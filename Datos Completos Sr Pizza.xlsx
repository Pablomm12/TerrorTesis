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uebas\"/>
    </mc:Choice>
  </mc:AlternateContent>
  <xr:revisionPtr revIDLastSave="0" documentId="13_ncr:1_{C23A63CB-8EF4-4335-8570-6EE5B786ABD4}" xr6:coauthVersionLast="47" xr6:coauthVersionMax="47" xr10:uidLastSave="{00000000-0000-0000-0000-000000000000}"/>
  <bookViews>
    <workbookView xWindow="-120" yWindow="-120" windowWidth="29040" windowHeight="15720" activeTab="4" xr2:uid="{AEEA02CB-6D8C-4E41-A649-EBA0E7F55782}"/>
  </bookViews>
  <sheets>
    <sheet name="Base Completa" sheetId="1" r:id="rId1"/>
    <sheet name="Torres" sheetId="2" r:id="rId2"/>
    <sheet name="San José" sheetId="3" r:id="rId3"/>
    <sheet name="Terraplaza" sheetId="4" r:id="rId4"/>
    <sheet name="Totales" sheetId="6" r:id="rId5"/>
    <sheet name="Resumen" sheetId="5" r:id="rId6"/>
  </sheets>
  <definedNames>
    <definedName name="_xlnm._FilterDatabase" localSheetId="0" hidden="1">'Base Completa'!$A$1:$I$3803</definedName>
    <definedName name="_xlnm._FilterDatabase" localSheetId="3" hidden="1">Terraplaza!$A$1:$I$1452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25" i="6"/>
  <c r="K18" i="2"/>
  <c r="J27" i="4"/>
  <c r="K2" i="4"/>
  <c r="K3" i="4"/>
  <c r="K4" i="4"/>
  <c r="K5" i="4"/>
  <c r="K6" i="4"/>
  <c r="K7" i="4"/>
  <c r="B8" i="6" s="1"/>
  <c r="K8" i="4"/>
  <c r="B9" i="6" s="1"/>
  <c r="K9" i="4"/>
  <c r="K10" i="4"/>
  <c r="K11" i="4"/>
  <c r="K12" i="4"/>
  <c r="K13" i="4"/>
  <c r="K14" i="4"/>
  <c r="K15" i="4"/>
  <c r="B16" i="6" s="1"/>
  <c r="K16" i="4"/>
  <c r="B17" i="6" s="1"/>
  <c r="K17" i="4"/>
  <c r="K18" i="4"/>
  <c r="K19" i="4"/>
  <c r="K20" i="4"/>
  <c r="K21" i="4"/>
  <c r="K22" i="4"/>
  <c r="K23" i="4"/>
  <c r="B24" i="6" s="1"/>
  <c r="K24" i="4"/>
  <c r="K25" i="4"/>
  <c r="K35" i="4"/>
  <c r="K199" i="4"/>
  <c r="K286" i="4"/>
  <c r="K455" i="4"/>
  <c r="K521" i="4"/>
  <c r="K694" i="4"/>
  <c r="K734" i="4"/>
  <c r="K879" i="4"/>
  <c r="K927" i="4"/>
  <c r="K1028" i="4"/>
  <c r="K1062" i="4"/>
  <c r="K1126" i="4"/>
  <c r="K1141" i="4"/>
  <c r="K1205" i="4"/>
  <c r="K1229" i="4"/>
  <c r="K1278" i="4"/>
  <c r="K1296" i="4"/>
  <c r="K1341" i="4"/>
  <c r="K1349" i="4"/>
  <c r="K1376" i="4"/>
  <c r="K1382" i="4"/>
  <c r="K1408" i="4"/>
  <c r="K1414" i="4"/>
  <c r="K1440" i="4"/>
  <c r="K1446" i="4"/>
  <c r="K1472" i="4"/>
  <c r="K1478" i="4"/>
  <c r="K1504" i="4"/>
  <c r="K1510" i="4"/>
  <c r="K1536" i="4"/>
  <c r="K1542" i="4"/>
  <c r="K1568" i="4"/>
  <c r="K1574" i="4"/>
  <c r="K1600" i="4"/>
  <c r="K1606" i="4"/>
  <c r="K1632" i="4"/>
  <c r="K1638" i="4"/>
  <c r="K1664" i="4"/>
  <c r="K1670" i="4"/>
  <c r="K1696" i="4"/>
  <c r="K1702" i="4"/>
  <c r="K1728" i="4"/>
  <c r="K1734" i="4"/>
  <c r="K1760" i="4"/>
  <c r="K1766" i="4"/>
  <c r="K1792" i="4"/>
  <c r="K1798" i="4"/>
  <c r="K1824" i="4"/>
  <c r="K1" i="4"/>
  <c r="K1" i="2"/>
  <c r="K1" i="3"/>
  <c r="J1" i="3"/>
  <c r="J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9" i="2"/>
  <c r="K20" i="2"/>
  <c r="K21" i="2"/>
  <c r="K22" i="2"/>
  <c r="K23" i="2"/>
  <c r="K24" i="2"/>
  <c r="K25" i="2"/>
  <c r="K163" i="2"/>
  <c r="K625" i="2"/>
  <c r="K754" i="2"/>
  <c r="K882" i="2"/>
  <c r="K1010" i="2"/>
  <c r="K1090" i="2"/>
  <c r="K1134" i="2"/>
  <c r="K1167" i="2"/>
  <c r="K1199" i="2"/>
  <c r="K1231" i="2"/>
  <c r="K1263" i="2"/>
  <c r="K1295" i="2"/>
  <c r="K1327" i="2"/>
  <c r="K1359" i="2"/>
  <c r="K1391" i="2"/>
  <c r="K1423" i="2"/>
  <c r="K1455" i="2"/>
  <c r="K1487" i="2"/>
  <c r="K1519" i="2"/>
  <c r="K1547" i="2"/>
  <c r="K1563" i="2"/>
  <c r="K1579" i="2"/>
  <c r="K1595" i="2"/>
  <c r="K1607" i="2"/>
  <c r="K1619" i="2"/>
  <c r="K1628" i="2"/>
  <c r="K1636" i="2"/>
  <c r="K1644" i="2"/>
  <c r="K1652" i="2"/>
  <c r="K1660" i="2"/>
  <c r="K1668" i="2"/>
  <c r="K1676" i="2"/>
  <c r="K1684" i="2"/>
  <c r="K1692" i="2"/>
  <c r="K1700" i="2"/>
  <c r="K1708" i="2"/>
  <c r="K1716" i="2"/>
  <c r="K1724" i="2"/>
  <c r="K1732" i="2"/>
  <c r="K1740" i="2"/>
  <c r="K1748" i="2"/>
  <c r="K1756" i="2"/>
  <c r="K1764" i="2"/>
  <c r="K1772" i="2"/>
  <c r="K1780" i="2"/>
  <c r="K1787" i="2"/>
  <c r="K1788" i="2"/>
  <c r="K1795" i="2"/>
  <c r="K1796" i="2"/>
  <c r="K1803" i="2"/>
  <c r="K1804" i="2"/>
  <c r="K1811" i="2"/>
  <c r="K1812" i="2"/>
  <c r="K1819" i="2"/>
  <c r="K1820" i="2"/>
  <c r="K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2" i="3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" i="4"/>
  <c r="J2" i="4"/>
  <c r="J1816" i="4"/>
  <c r="J1817" i="4"/>
  <c r="J1818" i="4"/>
  <c r="J1819" i="4"/>
  <c r="J1820" i="4"/>
  <c r="J1821" i="4"/>
  <c r="J1822" i="4"/>
  <c r="J1823" i="4"/>
  <c r="J1824" i="4"/>
  <c r="J1825" i="4"/>
  <c r="J1826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677" i="4"/>
  <c r="J1678" i="4"/>
  <c r="J1679" i="4"/>
  <c r="J1669" i="4"/>
  <c r="J1670" i="4"/>
  <c r="J1671" i="4"/>
  <c r="J1672" i="4"/>
  <c r="J1673" i="4"/>
  <c r="J1674" i="4"/>
  <c r="J1675" i="4"/>
  <c r="J1676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3" i="4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K443" i="2" s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K305" i="4" s="1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2" i="4"/>
  <c r="K1779" i="2" l="1"/>
  <c r="K1771" i="2"/>
  <c r="K1763" i="2"/>
  <c r="K1755" i="2"/>
  <c r="K1747" i="2"/>
  <c r="K1739" i="2"/>
  <c r="K1731" i="2"/>
  <c r="K1723" i="2"/>
  <c r="K1715" i="2"/>
  <c r="K1707" i="2"/>
  <c r="K1699" i="2"/>
  <c r="K1691" i="2"/>
  <c r="K1683" i="2"/>
  <c r="K1675" i="2"/>
  <c r="K1667" i="2"/>
  <c r="K1659" i="2"/>
  <c r="K1651" i="2"/>
  <c r="K1643" i="2"/>
  <c r="K1635" i="2"/>
  <c r="K1627" i="2"/>
  <c r="K1618" i="2"/>
  <c r="K1606" i="2"/>
  <c r="K1592" i="2"/>
  <c r="K1576" i="2"/>
  <c r="K1560" i="2"/>
  <c r="K1544" i="2"/>
  <c r="K1512" i="2"/>
  <c r="K1480" i="2"/>
  <c r="K1448" i="2"/>
  <c r="K1416" i="2"/>
  <c r="K1384" i="2"/>
  <c r="K1352" i="2"/>
  <c r="K1320" i="2"/>
  <c r="K1288" i="2"/>
  <c r="K1256" i="2"/>
  <c r="K1224" i="2"/>
  <c r="K1192" i="2"/>
  <c r="K1160" i="2"/>
  <c r="K1126" i="2"/>
  <c r="K1077" i="2"/>
  <c r="K984" i="2"/>
  <c r="K856" i="2"/>
  <c r="K728" i="2"/>
  <c r="K569" i="2"/>
  <c r="K59" i="2"/>
  <c r="K1826" i="2"/>
  <c r="K1818" i="2"/>
  <c r="K1810" i="2"/>
  <c r="K1802" i="2"/>
  <c r="K1794" i="2"/>
  <c r="K1786" i="2"/>
  <c r="K1778" i="2"/>
  <c r="K1770" i="2"/>
  <c r="K1762" i="2"/>
  <c r="K1754" i="2"/>
  <c r="K1746" i="2"/>
  <c r="K1738" i="2"/>
  <c r="K1730" i="2"/>
  <c r="K1722" i="2"/>
  <c r="K1714" i="2"/>
  <c r="K1706" i="2"/>
  <c r="K1698" i="2"/>
  <c r="K1690" i="2"/>
  <c r="K1682" i="2"/>
  <c r="K1674" i="2"/>
  <c r="K1666" i="2"/>
  <c r="K1658" i="2"/>
  <c r="K1650" i="2"/>
  <c r="K1642" i="2"/>
  <c r="K1634" i="2"/>
  <c r="K1626" i="2"/>
  <c r="K1616" i="2"/>
  <c r="K1605" i="2"/>
  <c r="K1591" i="2"/>
  <c r="K1575" i="2"/>
  <c r="K1559" i="2"/>
  <c r="K1543" i="2"/>
  <c r="K1511" i="2"/>
  <c r="K1479" i="2"/>
  <c r="K1447" i="2"/>
  <c r="K1415" i="2"/>
  <c r="K1383" i="2"/>
  <c r="K1351" i="2"/>
  <c r="K1319" i="2"/>
  <c r="K1287" i="2"/>
  <c r="K1255" i="2"/>
  <c r="K1223" i="2"/>
  <c r="K1191" i="2"/>
  <c r="K1159" i="2"/>
  <c r="K1125" i="2"/>
  <c r="K1074" i="2"/>
  <c r="K978" i="2"/>
  <c r="K850" i="2"/>
  <c r="K722" i="2"/>
  <c r="K547" i="2"/>
  <c r="K35" i="2"/>
  <c r="B36" i="6" s="1"/>
  <c r="K1825" i="2"/>
  <c r="K1817" i="2"/>
  <c r="K1809" i="2"/>
  <c r="K1801" i="2"/>
  <c r="K1793" i="2"/>
  <c r="K1785" i="2"/>
  <c r="K1777" i="2"/>
  <c r="K1769" i="2"/>
  <c r="K1761" i="2"/>
  <c r="K1753" i="2"/>
  <c r="K1745" i="2"/>
  <c r="K1737" i="2"/>
  <c r="K1729" i="2"/>
  <c r="K1721" i="2"/>
  <c r="K1713" i="2"/>
  <c r="K1705" i="2"/>
  <c r="K1697" i="2"/>
  <c r="K1689" i="2"/>
  <c r="K1681" i="2"/>
  <c r="K1673" i="2"/>
  <c r="K1665" i="2"/>
  <c r="K1657" i="2"/>
  <c r="K1649" i="2"/>
  <c r="K1641" i="2"/>
  <c r="K1633" i="2"/>
  <c r="K1624" i="2"/>
  <c r="K1615" i="2"/>
  <c r="K1603" i="2"/>
  <c r="K1589" i="2"/>
  <c r="K1573" i="2"/>
  <c r="K1557" i="2"/>
  <c r="K1536" i="2"/>
  <c r="B1537" i="6" s="1"/>
  <c r="K1504" i="2"/>
  <c r="B1505" i="6" s="1"/>
  <c r="K1472" i="2"/>
  <c r="B1473" i="6" s="1"/>
  <c r="K1440" i="2"/>
  <c r="K1408" i="2"/>
  <c r="K1376" i="2"/>
  <c r="K1344" i="2"/>
  <c r="K1312" i="2"/>
  <c r="K1280" i="2"/>
  <c r="K1248" i="2"/>
  <c r="K1216" i="2"/>
  <c r="K1184" i="2"/>
  <c r="K1152" i="2"/>
  <c r="K1114" i="2"/>
  <c r="K1057" i="2"/>
  <c r="K952" i="2"/>
  <c r="K824" i="2"/>
  <c r="K696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3" i="2"/>
  <c r="K221" i="2"/>
  <c r="K229" i="2"/>
  <c r="K237" i="2"/>
  <c r="K245" i="2"/>
  <c r="K253" i="2"/>
  <c r="K261" i="2"/>
  <c r="K269" i="2"/>
  <c r="K277" i="2"/>
  <c r="K285" i="2"/>
  <c r="K293" i="2"/>
  <c r="K301" i="2"/>
  <c r="K309" i="2"/>
  <c r="K317" i="2"/>
  <c r="K325" i="2"/>
  <c r="K333" i="2"/>
  <c r="K341" i="2"/>
  <c r="K349" i="2"/>
  <c r="K357" i="2"/>
  <c r="K365" i="2"/>
  <c r="K373" i="2"/>
  <c r="K381" i="2"/>
  <c r="K389" i="2"/>
  <c r="K397" i="2"/>
  <c r="K405" i="2"/>
  <c r="K413" i="2"/>
  <c r="K421" i="2"/>
  <c r="K429" i="2"/>
  <c r="K437" i="2"/>
  <c r="K445" i="2"/>
  <c r="K453" i="2"/>
  <c r="K461" i="2"/>
  <c r="K469" i="2"/>
  <c r="K477" i="2"/>
  <c r="K485" i="2"/>
  <c r="K493" i="2"/>
  <c r="K501" i="2"/>
  <c r="K509" i="2"/>
  <c r="K517" i="2"/>
  <c r="K525" i="2"/>
  <c r="K533" i="2"/>
  <c r="K541" i="2"/>
  <c r="K549" i="2"/>
  <c r="K557" i="2"/>
  <c r="K565" i="2"/>
  <c r="K573" i="2"/>
  <c r="K581" i="2"/>
  <c r="K589" i="2"/>
  <c r="K597" i="2"/>
  <c r="K605" i="2"/>
  <c r="K30" i="2"/>
  <c r="K38" i="2"/>
  <c r="K46" i="2"/>
  <c r="K54" i="2"/>
  <c r="K62" i="2"/>
  <c r="K70" i="2"/>
  <c r="K78" i="2"/>
  <c r="K86" i="2"/>
  <c r="K94" i="2"/>
  <c r="K102" i="2"/>
  <c r="K110" i="2"/>
  <c r="K118" i="2"/>
  <c r="K126" i="2"/>
  <c r="K134" i="2"/>
  <c r="K142" i="2"/>
  <c r="K150" i="2"/>
  <c r="K158" i="2"/>
  <c r="K166" i="2"/>
  <c r="K174" i="2"/>
  <c r="K182" i="2"/>
  <c r="K190" i="2"/>
  <c r="K198" i="2"/>
  <c r="K206" i="2"/>
  <c r="K214" i="2"/>
  <c r="K222" i="2"/>
  <c r="K230" i="2"/>
  <c r="K238" i="2"/>
  <c r="K246" i="2"/>
  <c r="K254" i="2"/>
  <c r="K262" i="2"/>
  <c r="K270" i="2"/>
  <c r="K278" i="2"/>
  <c r="K286" i="2"/>
  <c r="K294" i="2"/>
  <c r="K302" i="2"/>
  <c r="K310" i="2"/>
  <c r="K318" i="2"/>
  <c r="K326" i="2"/>
  <c r="K334" i="2"/>
  <c r="K342" i="2"/>
  <c r="K350" i="2"/>
  <c r="K358" i="2"/>
  <c r="K366" i="2"/>
  <c r="K374" i="2"/>
  <c r="K382" i="2"/>
  <c r="K390" i="2"/>
  <c r="K398" i="2"/>
  <c r="K406" i="2"/>
  <c r="K414" i="2"/>
  <c r="K422" i="2"/>
  <c r="K430" i="2"/>
  <c r="K438" i="2"/>
  <c r="K446" i="2"/>
  <c r="K454" i="2"/>
  <c r="K462" i="2"/>
  <c r="K470" i="2"/>
  <c r="K478" i="2"/>
  <c r="K486" i="2"/>
  <c r="K494" i="2"/>
  <c r="K502" i="2"/>
  <c r="K510" i="2"/>
  <c r="K518" i="2"/>
  <c r="K526" i="2"/>
  <c r="K534" i="2"/>
  <c r="K542" i="2"/>
  <c r="K550" i="2"/>
  <c r="K558" i="2"/>
  <c r="K566" i="2"/>
  <c r="K574" i="2"/>
  <c r="K582" i="2"/>
  <c r="K590" i="2"/>
  <c r="K598" i="2"/>
  <c r="K606" i="2"/>
  <c r="K614" i="2"/>
  <c r="K622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247" i="2"/>
  <c r="K255" i="2"/>
  <c r="K263" i="2"/>
  <c r="K271" i="2"/>
  <c r="K279" i="2"/>
  <c r="K287" i="2"/>
  <c r="K295" i="2"/>
  <c r="K303" i="2"/>
  <c r="K311" i="2"/>
  <c r="K319" i="2"/>
  <c r="K327" i="2"/>
  <c r="K335" i="2"/>
  <c r="K343" i="2"/>
  <c r="K351" i="2"/>
  <c r="K359" i="2"/>
  <c r="K367" i="2"/>
  <c r="K375" i="2"/>
  <c r="K383" i="2"/>
  <c r="K391" i="2"/>
  <c r="K399" i="2"/>
  <c r="K407" i="2"/>
  <c r="K415" i="2"/>
  <c r="K423" i="2"/>
  <c r="K431" i="2"/>
  <c r="K439" i="2"/>
  <c r="K447" i="2"/>
  <c r="K455" i="2"/>
  <c r="K463" i="2"/>
  <c r="K471" i="2"/>
  <c r="K479" i="2"/>
  <c r="K487" i="2"/>
  <c r="K495" i="2"/>
  <c r="K503" i="2"/>
  <c r="K511" i="2"/>
  <c r="K519" i="2"/>
  <c r="K527" i="2"/>
  <c r="K535" i="2"/>
  <c r="K543" i="2"/>
  <c r="K551" i="2"/>
  <c r="K559" i="2"/>
  <c r="K567" i="2"/>
  <c r="K575" i="2"/>
  <c r="K583" i="2"/>
  <c r="K591" i="2"/>
  <c r="K599" i="2"/>
  <c r="K607" i="2"/>
  <c r="K615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248" i="2"/>
  <c r="K256" i="2"/>
  <c r="K264" i="2"/>
  <c r="K272" i="2"/>
  <c r="K280" i="2"/>
  <c r="K288" i="2"/>
  <c r="K296" i="2"/>
  <c r="K304" i="2"/>
  <c r="K312" i="2"/>
  <c r="K320" i="2"/>
  <c r="K328" i="2"/>
  <c r="K336" i="2"/>
  <c r="K344" i="2"/>
  <c r="K352" i="2"/>
  <c r="K360" i="2"/>
  <c r="K368" i="2"/>
  <c r="K376" i="2"/>
  <c r="K384" i="2"/>
  <c r="K392" i="2"/>
  <c r="K400" i="2"/>
  <c r="K408" i="2"/>
  <c r="K416" i="2"/>
  <c r="K424" i="2"/>
  <c r="K432" i="2"/>
  <c r="K440" i="2"/>
  <c r="K448" i="2"/>
  <c r="K456" i="2"/>
  <c r="K464" i="2"/>
  <c r="K472" i="2"/>
  <c r="K480" i="2"/>
  <c r="K488" i="2"/>
  <c r="K496" i="2"/>
  <c r="K504" i="2"/>
  <c r="K512" i="2"/>
  <c r="K520" i="2"/>
  <c r="K528" i="2"/>
  <c r="K536" i="2"/>
  <c r="K544" i="2"/>
  <c r="K552" i="2"/>
  <c r="K560" i="2"/>
  <c r="K568" i="2"/>
  <c r="K576" i="2"/>
  <c r="K584" i="2"/>
  <c r="K592" i="2"/>
  <c r="K600" i="2"/>
  <c r="K608" i="2"/>
  <c r="K33" i="2"/>
  <c r="K41" i="2"/>
  <c r="K49" i="2"/>
  <c r="K57" i="2"/>
  <c r="K65" i="2"/>
  <c r="K73" i="2"/>
  <c r="K81" i="2"/>
  <c r="K89" i="2"/>
  <c r="K97" i="2"/>
  <c r="K105" i="2"/>
  <c r="K113" i="2"/>
  <c r="K121" i="2"/>
  <c r="K129" i="2"/>
  <c r="K137" i="2"/>
  <c r="K145" i="2"/>
  <c r="K153" i="2"/>
  <c r="K161" i="2"/>
  <c r="K169" i="2"/>
  <c r="K177" i="2"/>
  <c r="K185" i="2"/>
  <c r="K193" i="2"/>
  <c r="K201" i="2"/>
  <c r="K209" i="2"/>
  <c r="K217" i="2"/>
  <c r="K225" i="2"/>
  <c r="K233" i="2"/>
  <c r="K241" i="2"/>
  <c r="K249" i="2"/>
  <c r="K257" i="2"/>
  <c r="K265" i="2"/>
  <c r="K273" i="2"/>
  <c r="K281" i="2"/>
  <c r="K289" i="2"/>
  <c r="K297" i="2"/>
  <c r="K305" i="2"/>
  <c r="B306" i="6" s="1"/>
  <c r="K313" i="2"/>
  <c r="K321" i="2"/>
  <c r="K329" i="2"/>
  <c r="K337" i="2"/>
  <c r="K345" i="2"/>
  <c r="K353" i="2"/>
  <c r="K361" i="2"/>
  <c r="K369" i="2"/>
  <c r="K377" i="2"/>
  <c r="K385" i="2"/>
  <c r="K393" i="2"/>
  <c r="K401" i="2"/>
  <c r="K409" i="2"/>
  <c r="K417" i="2"/>
  <c r="K425" i="2"/>
  <c r="K433" i="2"/>
  <c r="K441" i="2"/>
  <c r="K449" i="2"/>
  <c r="K457" i="2"/>
  <c r="K465" i="2"/>
  <c r="K473" i="2"/>
  <c r="K481" i="2"/>
  <c r="K489" i="2"/>
  <c r="K497" i="2"/>
  <c r="K505" i="2"/>
  <c r="K513" i="2"/>
  <c r="K521" i="2"/>
  <c r="B522" i="6" s="1"/>
  <c r="K529" i="2"/>
  <c r="K537" i="2"/>
  <c r="K545" i="2"/>
  <c r="K553" i="2"/>
  <c r="K561" i="2"/>
  <c r="K26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4" i="2"/>
  <c r="K162" i="2"/>
  <c r="K170" i="2"/>
  <c r="K178" i="2"/>
  <c r="K186" i="2"/>
  <c r="K194" i="2"/>
  <c r="K202" i="2"/>
  <c r="K210" i="2"/>
  <c r="K218" i="2"/>
  <c r="K226" i="2"/>
  <c r="K234" i="2"/>
  <c r="K242" i="2"/>
  <c r="K250" i="2"/>
  <c r="K258" i="2"/>
  <c r="K266" i="2"/>
  <c r="K274" i="2"/>
  <c r="K282" i="2"/>
  <c r="K290" i="2"/>
  <c r="K298" i="2"/>
  <c r="K306" i="2"/>
  <c r="K314" i="2"/>
  <c r="K322" i="2"/>
  <c r="K330" i="2"/>
  <c r="K338" i="2"/>
  <c r="K346" i="2"/>
  <c r="K354" i="2"/>
  <c r="K362" i="2"/>
  <c r="K370" i="2"/>
  <c r="K378" i="2"/>
  <c r="K386" i="2"/>
  <c r="K394" i="2"/>
  <c r="K402" i="2"/>
  <c r="K410" i="2"/>
  <c r="K418" i="2"/>
  <c r="K426" i="2"/>
  <c r="K434" i="2"/>
  <c r="K442" i="2"/>
  <c r="K450" i="2"/>
  <c r="K458" i="2"/>
  <c r="K466" i="2"/>
  <c r="K474" i="2"/>
  <c r="K482" i="2"/>
  <c r="K490" i="2"/>
  <c r="K498" i="2"/>
  <c r="K506" i="2"/>
  <c r="K514" i="2"/>
  <c r="K522" i="2"/>
  <c r="K530" i="2"/>
  <c r="K538" i="2"/>
  <c r="K546" i="2"/>
  <c r="K554" i="2"/>
  <c r="K562" i="2"/>
  <c r="K570" i="2"/>
  <c r="K578" i="2"/>
  <c r="K586" i="2"/>
  <c r="K594" i="2"/>
  <c r="K602" i="2"/>
  <c r="K610" i="2"/>
  <c r="K618" i="2"/>
  <c r="K626" i="2"/>
  <c r="K36" i="2"/>
  <c r="K68" i="2"/>
  <c r="K100" i="2"/>
  <c r="K132" i="2"/>
  <c r="K164" i="2"/>
  <c r="K196" i="2"/>
  <c r="K228" i="2"/>
  <c r="K260" i="2"/>
  <c r="K292" i="2"/>
  <c r="K324" i="2"/>
  <c r="K356" i="2"/>
  <c r="K388" i="2"/>
  <c r="K420" i="2"/>
  <c r="K452" i="2"/>
  <c r="K484" i="2"/>
  <c r="K516" i="2"/>
  <c r="K548" i="2"/>
  <c r="K577" i="2"/>
  <c r="K596" i="2"/>
  <c r="K616" i="2"/>
  <c r="K627" i="2"/>
  <c r="K635" i="2"/>
  <c r="K643" i="2"/>
  <c r="K651" i="2"/>
  <c r="K659" i="2"/>
  <c r="K667" i="2"/>
  <c r="K675" i="2"/>
  <c r="K683" i="2"/>
  <c r="K691" i="2"/>
  <c r="K699" i="2"/>
  <c r="K707" i="2"/>
  <c r="K715" i="2"/>
  <c r="K723" i="2"/>
  <c r="K731" i="2"/>
  <c r="K739" i="2"/>
  <c r="K747" i="2"/>
  <c r="K755" i="2"/>
  <c r="K763" i="2"/>
  <c r="K771" i="2"/>
  <c r="K779" i="2"/>
  <c r="K787" i="2"/>
  <c r="K795" i="2"/>
  <c r="K803" i="2"/>
  <c r="K811" i="2"/>
  <c r="K819" i="2"/>
  <c r="K827" i="2"/>
  <c r="K835" i="2"/>
  <c r="K843" i="2"/>
  <c r="K851" i="2"/>
  <c r="K859" i="2"/>
  <c r="K867" i="2"/>
  <c r="K875" i="2"/>
  <c r="K883" i="2"/>
  <c r="K891" i="2"/>
  <c r="K899" i="2"/>
  <c r="K907" i="2"/>
  <c r="K915" i="2"/>
  <c r="K923" i="2"/>
  <c r="K931" i="2"/>
  <c r="K939" i="2"/>
  <c r="K947" i="2"/>
  <c r="K955" i="2"/>
  <c r="K963" i="2"/>
  <c r="K971" i="2"/>
  <c r="K979" i="2"/>
  <c r="K987" i="2"/>
  <c r="K995" i="2"/>
  <c r="K1003" i="2"/>
  <c r="K1011" i="2"/>
  <c r="K1019" i="2"/>
  <c r="K1027" i="2"/>
  <c r="K1035" i="2"/>
  <c r="K1043" i="2"/>
  <c r="K1051" i="2"/>
  <c r="K1059" i="2"/>
  <c r="K1067" i="2"/>
  <c r="K1075" i="2"/>
  <c r="K1083" i="2"/>
  <c r="K1091" i="2"/>
  <c r="K1099" i="2"/>
  <c r="K1107" i="2"/>
  <c r="K1115" i="2"/>
  <c r="K1123" i="2"/>
  <c r="K1131" i="2"/>
  <c r="K1139" i="2"/>
  <c r="K43" i="2"/>
  <c r="K75" i="2"/>
  <c r="K107" i="2"/>
  <c r="K139" i="2"/>
  <c r="K171" i="2"/>
  <c r="K203" i="2"/>
  <c r="K235" i="2"/>
  <c r="K267" i="2"/>
  <c r="K299" i="2"/>
  <c r="K331" i="2"/>
  <c r="K363" i="2"/>
  <c r="K395" i="2"/>
  <c r="K427" i="2"/>
  <c r="K459" i="2"/>
  <c r="K491" i="2"/>
  <c r="K523" i="2"/>
  <c r="K555" i="2"/>
  <c r="K579" i="2"/>
  <c r="K601" i="2"/>
  <c r="K617" i="2"/>
  <c r="K628" i="2"/>
  <c r="K636" i="2"/>
  <c r="K644" i="2"/>
  <c r="K652" i="2"/>
  <c r="K660" i="2"/>
  <c r="K668" i="2"/>
  <c r="K676" i="2"/>
  <c r="K684" i="2"/>
  <c r="K692" i="2"/>
  <c r="K700" i="2"/>
  <c r="K708" i="2"/>
  <c r="K716" i="2"/>
  <c r="K724" i="2"/>
  <c r="K732" i="2"/>
  <c r="K740" i="2"/>
  <c r="K748" i="2"/>
  <c r="K756" i="2"/>
  <c r="K764" i="2"/>
  <c r="K772" i="2"/>
  <c r="K780" i="2"/>
  <c r="K788" i="2"/>
  <c r="K796" i="2"/>
  <c r="K804" i="2"/>
  <c r="K812" i="2"/>
  <c r="K820" i="2"/>
  <c r="K828" i="2"/>
  <c r="K836" i="2"/>
  <c r="K844" i="2"/>
  <c r="K852" i="2"/>
  <c r="K860" i="2"/>
  <c r="K868" i="2"/>
  <c r="K876" i="2"/>
  <c r="K884" i="2"/>
  <c r="K892" i="2"/>
  <c r="K900" i="2"/>
  <c r="K908" i="2"/>
  <c r="K916" i="2"/>
  <c r="K924" i="2"/>
  <c r="K932" i="2"/>
  <c r="K940" i="2"/>
  <c r="K948" i="2"/>
  <c r="K956" i="2"/>
  <c r="K964" i="2"/>
  <c r="K972" i="2"/>
  <c r="K980" i="2"/>
  <c r="K988" i="2"/>
  <c r="K996" i="2"/>
  <c r="K1004" i="2"/>
  <c r="K1012" i="2"/>
  <c r="K1020" i="2"/>
  <c r="K1028" i="2"/>
  <c r="K1036" i="2"/>
  <c r="K1044" i="2"/>
  <c r="K1052" i="2"/>
  <c r="K1060" i="2"/>
  <c r="K1068" i="2"/>
  <c r="K1076" i="2"/>
  <c r="K1084" i="2"/>
  <c r="K1092" i="2"/>
  <c r="K1100" i="2"/>
  <c r="K1108" i="2"/>
  <c r="K1116" i="2"/>
  <c r="K1124" i="2"/>
  <c r="K44" i="2"/>
  <c r="K76" i="2"/>
  <c r="K108" i="2"/>
  <c r="K140" i="2"/>
  <c r="K172" i="2"/>
  <c r="K204" i="2"/>
  <c r="K236" i="2"/>
  <c r="K268" i="2"/>
  <c r="K300" i="2"/>
  <c r="K332" i="2"/>
  <c r="K364" i="2"/>
  <c r="K396" i="2"/>
  <c r="K428" i="2"/>
  <c r="K460" i="2"/>
  <c r="K492" i="2"/>
  <c r="K524" i="2"/>
  <c r="K556" i="2"/>
  <c r="K580" i="2"/>
  <c r="K603" i="2"/>
  <c r="K619" i="2"/>
  <c r="K629" i="2"/>
  <c r="K637" i="2"/>
  <c r="K645" i="2"/>
  <c r="K653" i="2"/>
  <c r="K661" i="2"/>
  <c r="K669" i="2"/>
  <c r="K677" i="2"/>
  <c r="K685" i="2"/>
  <c r="K693" i="2"/>
  <c r="K701" i="2"/>
  <c r="K709" i="2"/>
  <c r="K717" i="2"/>
  <c r="K725" i="2"/>
  <c r="K733" i="2"/>
  <c r="K741" i="2"/>
  <c r="K749" i="2"/>
  <c r="K757" i="2"/>
  <c r="K765" i="2"/>
  <c r="K773" i="2"/>
  <c r="K781" i="2"/>
  <c r="K789" i="2"/>
  <c r="K797" i="2"/>
  <c r="K805" i="2"/>
  <c r="K813" i="2"/>
  <c r="K821" i="2"/>
  <c r="K829" i="2"/>
  <c r="K837" i="2"/>
  <c r="K845" i="2"/>
  <c r="K853" i="2"/>
  <c r="K861" i="2"/>
  <c r="K869" i="2"/>
  <c r="K877" i="2"/>
  <c r="K885" i="2"/>
  <c r="K893" i="2"/>
  <c r="K901" i="2"/>
  <c r="K909" i="2"/>
  <c r="K917" i="2"/>
  <c r="K925" i="2"/>
  <c r="K933" i="2"/>
  <c r="K941" i="2"/>
  <c r="K949" i="2"/>
  <c r="K957" i="2"/>
  <c r="K965" i="2"/>
  <c r="K973" i="2"/>
  <c r="K981" i="2"/>
  <c r="K989" i="2"/>
  <c r="K997" i="2"/>
  <c r="K1005" i="2"/>
  <c r="K1013" i="2"/>
  <c r="K1021" i="2"/>
  <c r="K1029" i="2"/>
  <c r="K1037" i="2"/>
  <c r="K1045" i="2"/>
  <c r="K1053" i="2"/>
  <c r="K1061" i="2"/>
  <c r="K1069" i="2"/>
  <c r="K51" i="2"/>
  <c r="K83" i="2"/>
  <c r="K115" i="2"/>
  <c r="K147" i="2"/>
  <c r="K179" i="2"/>
  <c r="K211" i="2"/>
  <c r="K243" i="2"/>
  <c r="K275" i="2"/>
  <c r="K307" i="2"/>
  <c r="K339" i="2"/>
  <c r="K371" i="2"/>
  <c r="K403" i="2"/>
  <c r="K435" i="2"/>
  <c r="K467" i="2"/>
  <c r="K499" i="2"/>
  <c r="K531" i="2"/>
  <c r="K563" i="2"/>
  <c r="K585" i="2"/>
  <c r="K604" i="2"/>
  <c r="K620" i="2"/>
  <c r="K630" i="2"/>
  <c r="K638" i="2"/>
  <c r="K646" i="2"/>
  <c r="K654" i="2"/>
  <c r="K662" i="2"/>
  <c r="K670" i="2"/>
  <c r="K678" i="2"/>
  <c r="K686" i="2"/>
  <c r="K694" i="2"/>
  <c r="B695" i="6" s="1"/>
  <c r="K702" i="2"/>
  <c r="K710" i="2"/>
  <c r="K718" i="2"/>
  <c r="K726" i="2"/>
  <c r="K734" i="2"/>
  <c r="B735" i="6" s="1"/>
  <c r="K742" i="2"/>
  <c r="K750" i="2"/>
  <c r="K758" i="2"/>
  <c r="K766" i="2"/>
  <c r="K774" i="2"/>
  <c r="K782" i="2"/>
  <c r="K790" i="2"/>
  <c r="K798" i="2"/>
  <c r="K806" i="2"/>
  <c r="K814" i="2"/>
  <c r="K822" i="2"/>
  <c r="K830" i="2"/>
  <c r="K838" i="2"/>
  <c r="K846" i="2"/>
  <c r="K854" i="2"/>
  <c r="K862" i="2"/>
  <c r="K870" i="2"/>
  <c r="K878" i="2"/>
  <c r="K886" i="2"/>
  <c r="K894" i="2"/>
  <c r="K902" i="2"/>
  <c r="K910" i="2"/>
  <c r="K918" i="2"/>
  <c r="K926" i="2"/>
  <c r="K934" i="2"/>
  <c r="K942" i="2"/>
  <c r="K950" i="2"/>
  <c r="K958" i="2"/>
  <c r="K966" i="2"/>
  <c r="K974" i="2"/>
  <c r="K982" i="2"/>
  <c r="K990" i="2"/>
  <c r="K998" i="2"/>
  <c r="K1006" i="2"/>
  <c r="K1014" i="2"/>
  <c r="K1022" i="2"/>
  <c r="K1030" i="2"/>
  <c r="K1038" i="2"/>
  <c r="K1046" i="2"/>
  <c r="K1054" i="2"/>
  <c r="K1062" i="2"/>
  <c r="B1063" i="6" s="1"/>
  <c r="K1070" i="2"/>
  <c r="K1078" i="2"/>
  <c r="K1086" i="2"/>
  <c r="K1094" i="2"/>
  <c r="K52" i="2"/>
  <c r="K84" i="2"/>
  <c r="K116" i="2"/>
  <c r="K148" i="2"/>
  <c r="K180" i="2"/>
  <c r="K212" i="2"/>
  <c r="K244" i="2"/>
  <c r="K276" i="2"/>
  <c r="K308" i="2"/>
  <c r="K340" i="2"/>
  <c r="K372" i="2"/>
  <c r="K404" i="2"/>
  <c r="K436" i="2"/>
  <c r="K468" i="2"/>
  <c r="K500" i="2"/>
  <c r="K532" i="2"/>
  <c r="K564" i="2"/>
  <c r="K587" i="2"/>
  <c r="K609" i="2"/>
  <c r="K621" i="2"/>
  <c r="K631" i="2"/>
  <c r="K639" i="2"/>
  <c r="K647" i="2"/>
  <c r="K655" i="2"/>
  <c r="K663" i="2"/>
  <c r="K671" i="2"/>
  <c r="K679" i="2"/>
  <c r="K687" i="2"/>
  <c r="K695" i="2"/>
  <c r="K703" i="2"/>
  <c r="K711" i="2"/>
  <c r="K719" i="2"/>
  <c r="K727" i="2"/>
  <c r="K735" i="2"/>
  <c r="K743" i="2"/>
  <c r="K751" i="2"/>
  <c r="K759" i="2"/>
  <c r="K767" i="2"/>
  <c r="K775" i="2"/>
  <c r="K783" i="2"/>
  <c r="K791" i="2"/>
  <c r="K799" i="2"/>
  <c r="K807" i="2"/>
  <c r="K815" i="2"/>
  <c r="K823" i="2"/>
  <c r="K831" i="2"/>
  <c r="K839" i="2"/>
  <c r="K847" i="2"/>
  <c r="K855" i="2"/>
  <c r="K863" i="2"/>
  <c r="K871" i="2"/>
  <c r="K879" i="2"/>
  <c r="B880" i="6" s="1"/>
  <c r="K887" i="2"/>
  <c r="K895" i="2"/>
  <c r="K903" i="2"/>
  <c r="K911" i="2"/>
  <c r="K919" i="2"/>
  <c r="K927" i="2"/>
  <c r="K935" i="2"/>
  <c r="K943" i="2"/>
  <c r="K951" i="2"/>
  <c r="K959" i="2"/>
  <c r="K967" i="2"/>
  <c r="K975" i="2"/>
  <c r="K983" i="2"/>
  <c r="K991" i="2"/>
  <c r="K999" i="2"/>
  <c r="K1007" i="2"/>
  <c r="K1015" i="2"/>
  <c r="K1023" i="2"/>
  <c r="K1031" i="2"/>
  <c r="K1039" i="2"/>
  <c r="K1047" i="2"/>
  <c r="K1055" i="2"/>
  <c r="K1063" i="2"/>
  <c r="K1071" i="2"/>
  <c r="K1079" i="2"/>
  <c r="K1087" i="2"/>
  <c r="K28" i="2"/>
  <c r="K60" i="2"/>
  <c r="K92" i="2"/>
  <c r="K124" i="2"/>
  <c r="K156" i="2"/>
  <c r="K188" i="2"/>
  <c r="K220" i="2"/>
  <c r="K252" i="2"/>
  <c r="K284" i="2"/>
  <c r="K316" i="2"/>
  <c r="K348" i="2"/>
  <c r="K380" i="2"/>
  <c r="K412" i="2"/>
  <c r="K444" i="2"/>
  <c r="K476" i="2"/>
  <c r="K508" i="2"/>
  <c r="K540" i="2"/>
  <c r="K571" i="2"/>
  <c r="K593" i="2"/>
  <c r="K612" i="2"/>
  <c r="K624" i="2"/>
  <c r="K633" i="2"/>
  <c r="K641" i="2"/>
  <c r="K649" i="2"/>
  <c r="K657" i="2"/>
  <c r="K665" i="2"/>
  <c r="K673" i="2"/>
  <c r="K681" i="2"/>
  <c r="K689" i="2"/>
  <c r="K697" i="2"/>
  <c r="K705" i="2"/>
  <c r="K713" i="2"/>
  <c r="K721" i="2"/>
  <c r="K729" i="2"/>
  <c r="K737" i="2"/>
  <c r="K745" i="2"/>
  <c r="K753" i="2"/>
  <c r="K761" i="2"/>
  <c r="K769" i="2"/>
  <c r="K777" i="2"/>
  <c r="K785" i="2"/>
  <c r="K793" i="2"/>
  <c r="K801" i="2"/>
  <c r="K809" i="2"/>
  <c r="K817" i="2"/>
  <c r="K825" i="2"/>
  <c r="K833" i="2"/>
  <c r="K841" i="2"/>
  <c r="K849" i="2"/>
  <c r="K857" i="2"/>
  <c r="K865" i="2"/>
  <c r="K873" i="2"/>
  <c r="K881" i="2"/>
  <c r="K889" i="2"/>
  <c r="K897" i="2"/>
  <c r="K905" i="2"/>
  <c r="K913" i="2"/>
  <c r="K921" i="2"/>
  <c r="K929" i="2"/>
  <c r="K937" i="2"/>
  <c r="K945" i="2"/>
  <c r="K953" i="2"/>
  <c r="K961" i="2"/>
  <c r="K969" i="2"/>
  <c r="K977" i="2"/>
  <c r="K985" i="2"/>
  <c r="K993" i="2"/>
  <c r="K1001" i="2"/>
  <c r="K1009" i="2"/>
  <c r="K67" i="2"/>
  <c r="K195" i="2"/>
  <c r="K323" i="2"/>
  <c r="K451" i="2"/>
  <c r="K572" i="2"/>
  <c r="K634" i="2"/>
  <c r="K666" i="2"/>
  <c r="K698" i="2"/>
  <c r="K730" i="2"/>
  <c r="K762" i="2"/>
  <c r="K794" i="2"/>
  <c r="K826" i="2"/>
  <c r="K858" i="2"/>
  <c r="K890" i="2"/>
  <c r="K922" i="2"/>
  <c r="K954" i="2"/>
  <c r="K986" i="2"/>
  <c r="K1017" i="2"/>
  <c r="K1040" i="2"/>
  <c r="K1058" i="2"/>
  <c r="K1080" i="2"/>
  <c r="K1095" i="2"/>
  <c r="K1105" i="2"/>
  <c r="K1117" i="2"/>
  <c r="K1127" i="2"/>
  <c r="K1136" i="2"/>
  <c r="K1145" i="2"/>
  <c r="K1153" i="2"/>
  <c r="K1161" i="2"/>
  <c r="K1169" i="2"/>
  <c r="K1177" i="2"/>
  <c r="K1185" i="2"/>
  <c r="K1193" i="2"/>
  <c r="K1201" i="2"/>
  <c r="K1209" i="2"/>
  <c r="K1217" i="2"/>
  <c r="K1225" i="2"/>
  <c r="K1233" i="2"/>
  <c r="K1241" i="2"/>
  <c r="K1249" i="2"/>
  <c r="K1257" i="2"/>
  <c r="K1265" i="2"/>
  <c r="K1273" i="2"/>
  <c r="K1281" i="2"/>
  <c r="K1289" i="2"/>
  <c r="K1297" i="2"/>
  <c r="K1305" i="2"/>
  <c r="K1313" i="2"/>
  <c r="K1321" i="2"/>
  <c r="K1329" i="2"/>
  <c r="K1337" i="2"/>
  <c r="K1345" i="2"/>
  <c r="K1353" i="2"/>
  <c r="K1361" i="2"/>
  <c r="K1369" i="2"/>
  <c r="K1377" i="2"/>
  <c r="K1385" i="2"/>
  <c r="K1393" i="2"/>
  <c r="K1401" i="2"/>
  <c r="K1409" i="2"/>
  <c r="K1417" i="2"/>
  <c r="K1425" i="2"/>
  <c r="K1433" i="2"/>
  <c r="K1441" i="2"/>
  <c r="K1449" i="2"/>
  <c r="K1457" i="2"/>
  <c r="K1465" i="2"/>
  <c r="K1473" i="2"/>
  <c r="K1481" i="2"/>
  <c r="K1489" i="2"/>
  <c r="K1497" i="2"/>
  <c r="K1505" i="2"/>
  <c r="K1513" i="2"/>
  <c r="K1521" i="2"/>
  <c r="K1529" i="2"/>
  <c r="K1537" i="2"/>
  <c r="K1545" i="2"/>
  <c r="K1553" i="2"/>
  <c r="K1561" i="2"/>
  <c r="K1569" i="2"/>
  <c r="K1577" i="2"/>
  <c r="K1585" i="2"/>
  <c r="K1593" i="2"/>
  <c r="K1601" i="2"/>
  <c r="K1609" i="2"/>
  <c r="K1617" i="2"/>
  <c r="K1625" i="2"/>
  <c r="K91" i="2"/>
  <c r="K219" i="2"/>
  <c r="K347" i="2"/>
  <c r="K475" i="2"/>
  <c r="K588" i="2"/>
  <c r="K640" i="2"/>
  <c r="K672" i="2"/>
  <c r="K704" i="2"/>
  <c r="K736" i="2"/>
  <c r="K768" i="2"/>
  <c r="K800" i="2"/>
  <c r="K832" i="2"/>
  <c r="K864" i="2"/>
  <c r="K896" i="2"/>
  <c r="K928" i="2"/>
  <c r="K960" i="2"/>
  <c r="K992" i="2"/>
  <c r="K1018" i="2"/>
  <c r="K1041" i="2"/>
  <c r="K1064" i="2"/>
  <c r="K1081" i="2"/>
  <c r="K1096" i="2"/>
  <c r="K1106" i="2"/>
  <c r="K1118" i="2"/>
  <c r="K1128" i="2"/>
  <c r="K1137" i="2"/>
  <c r="K1146" i="2"/>
  <c r="K1154" i="2"/>
  <c r="K1162" i="2"/>
  <c r="K1170" i="2"/>
  <c r="K1178" i="2"/>
  <c r="K1186" i="2"/>
  <c r="K1194" i="2"/>
  <c r="K1202" i="2"/>
  <c r="K1210" i="2"/>
  <c r="K1218" i="2"/>
  <c r="K1226" i="2"/>
  <c r="K1234" i="2"/>
  <c r="K1242" i="2"/>
  <c r="K1250" i="2"/>
  <c r="K1258" i="2"/>
  <c r="K1266" i="2"/>
  <c r="K1274" i="2"/>
  <c r="K1282" i="2"/>
  <c r="K1290" i="2"/>
  <c r="K1298" i="2"/>
  <c r="K1306" i="2"/>
  <c r="K1314" i="2"/>
  <c r="K1322" i="2"/>
  <c r="K1330" i="2"/>
  <c r="K1338" i="2"/>
  <c r="K1346" i="2"/>
  <c r="K1354" i="2"/>
  <c r="K1362" i="2"/>
  <c r="K1370" i="2"/>
  <c r="K1378" i="2"/>
  <c r="K1386" i="2"/>
  <c r="K1394" i="2"/>
  <c r="K1402" i="2"/>
  <c r="K1410" i="2"/>
  <c r="K1418" i="2"/>
  <c r="K1426" i="2"/>
  <c r="K1434" i="2"/>
  <c r="K1442" i="2"/>
  <c r="K1450" i="2"/>
  <c r="K1458" i="2"/>
  <c r="K1466" i="2"/>
  <c r="K1474" i="2"/>
  <c r="K1482" i="2"/>
  <c r="K1490" i="2"/>
  <c r="K1498" i="2"/>
  <c r="K1506" i="2"/>
  <c r="K1514" i="2"/>
  <c r="K1522" i="2"/>
  <c r="K1530" i="2"/>
  <c r="K1538" i="2"/>
  <c r="K1546" i="2"/>
  <c r="K1554" i="2"/>
  <c r="K1562" i="2"/>
  <c r="K1570" i="2"/>
  <c r="K1578" i="2"/>
  <c r="K1586" i="2"/>
  <c r="K1594" i="2"/>
  <c r="K1602" i="2"/>
  <c r="K1610" i="2"/>
  <c r="K99" i="2"/>
  <c r="K227" i="2"/>
  <c r="K355" i="2"/>
  <c r="K483" i="2"/>
  <c r="K595" i="2"/>
  <c r="K642" i="2"/>
  <c r="K674" i="2"/>
  <c r="K706" i="2"/>
  <c r="K738" i="2"/>
  <c r="K770" i="2"/>
  <c r="K802" i="2"/>
  <c r="K834" i="2"/>
  <c r="K866" i="2"/>
  <c r="K898" i="2"/>
  <c r="K930" i="2"/>
  <c r="K962" i="2"/>
  <c r="K994" i="2"/>
  <c r="K1024" i="2"/>
  <c r="K1042" i="2"/>
  <c r="K1065" i="2"/>
  <c r="K1082" i="2"/>
  <c r="K1097" i="2"/>
  <c r="K1109" i="2"/>
  <c r="K1119" i="2"/>
  <c r="K1129" i="2"/>
  <c r="K1138" i="2"/>
  <c r="K1147" i="2"/>
  <c r="K1155" i="2"/>
  <c r="K1163" i="2"/>
  <c r="K1171" i="2"/>
  <c r="K1179" i="2"/>
  <c r="K1187" i="2"/>
  <c r="K1195" i="2"/>
  <c r="K1203" i="2"/>
  <c r="K1211" i="2"/>
  <c r="K1219" i="2"/>
  <c r="K1227" i="2"/>
  <c r="K1235" i="2"/>
  <c r="K1243" i="2"/>
  <c r="K1251" i="2"/>
  <c r="K1259" i="2"/>
  <c r="K1267" i="2"/>
  <c r="K1275" i="2"/>
  <c r="K1283" i="2"/>
  <c r="K1291" i="2"/>
  <c r="K1299" i="2"/>
  <c r="K1307" i="2"/>
  <c r="K1315" i="2"/>
  <c r="K1323" i="2"/>
  <c r="K1331" i="2"/>
  <c r="K1339" i="2"/>
  <c r="K1347" i="2"/>
  <c r="K1355" i="2"/>
  <c r="K1363" i="2"/>
  <c r="K1371" i="2"/>
  <c r="K1379" i="2"/>
  <c r="K1387" i="2"/>
  <c r="K1395" i="2"/>
  <c r="K1403" i="2"/>
  <c r="K1411" i="2"/>
  <c r="K1419" i="2"/>
  <c r="K1427" i="2"/>
  <c r="K1435" i="2"/>
  <c r="K1443" i="2"/>
  <c r="K1451" i="2"/>
  <c r="K1459" i="2"/>
  <c r="K1467" i="2"/>
  <c r="K1475" i="2"/>
  <c r="K1483" i="2"/>
  <c r="K1491" i="2"/>
  <c r="K1499" i="2"/>
  <c r="K1507" i="2"/>
  <c r="K1515" i="2"/>
  <c r="K1523" i="2"/>
  <c r="K1531" i="2"/>
  <c r="K1539" i="2"/>
  <c r="K123" i="2"/>
  <c r="K251" i="2"/>
  <c r="K379" i="2"/>
  <c r="K507" i="2"/>
  <c r="K611" i="2"/>
  <c r="K648" i="2"/>
  <c r="K680" i="2"/>
  <c r="K712" i="2"/>
  <c r="K744" i="2"/>
  <c r="K776" i="2"/>
  <c r="K808" i="2"/>
  <c r="K840" i="2"/>
  <c r="K872" i="2"/>
  <c r="K904" i="2"/>
  <c r="K936" i="2"/>
  <c r="K968" i="2"/>
  <c r="K1000" i="2"/>
  <c r="K1025" i="2"/>
  <c r="K1048" i="2"/>
  <c r="K1066" i="2"/>
  <c r="K1085" i="2"/>
  <c r="K1098" i="2"/>
  <c r="K1110" i="2"/>
  <c r="K1120" i="2"/>
  <c r="K1130" i="2"/>
  <c r="K1140" i="2"/>
  <c r="K1148" i="2"/>
  <c r="K1156" i="2"/>
  <c r="K1164" i="2"/>
  <c r="K1172" i="2"/>
  <c r="K1180" i="2"/>
  <c r="K1188" i="2"/>
  <c r="K1196" i="2"/>
  <c r="K1204" i="2"/>
  <c r="K1212" i="2"/>
  <c r="K1220" i="2"/>
  <c r="K1228" i="2"/>
  <c r="K1236" i="2"/>
  <c r="K1244" i="2"/>
  <c r="K1252" i="2"/>
  <c r="K1260" i="2"/>
  <c r="K1268" i="2"/>
  <c r="K1276" i="2"/>
  <c r="K1284" i="2"/>
  <c r="K1292" i="2"/>
  <c r="K1300" i="2"/>
  <c r="K1308" i="2"/>
  <c r="K1316" i="2"/>
  <c r="K1324" i="2"/>
  <c r="K1332" i="2"/>
  <c r="K1340" i="2"/>
  <c r="K1348" i="2"/>
  <c r="K1356" i="2"/>
  <c r="K1364" i="2"/>
  <c r="K1372" i="2"/>
  <c r="K1380" i="2"/>
  <c r="K1388" i="2"/>
  <c r="K1396" i="2"/>
  <c r="K1404" i="2"/>
  <c r="K1412" i="2"/>
  <c r="K1420" i="2"/>
  <c r="K1428" i="2"/>
  <c r="K1436" i="2"/>
  <c r="K1444" i="2"/>
  <c r="K1452" i="2"/>
  <c r="K1460" i="2"/>
  <c r="K1468" i="2"/>
  <c r="K1476" i="2"/>
  <c r="K1484" i="2"/>
  <c r="K1492" i="2"/>
  <c r="K1500" i="2"/>
  <c r="K1508" i="2"/>
  <c r="K1516" i="2"/>
  <c r="K1524" i="2"/>
  <c r="K1532" i="2"/>
  <c r="K1540" i="2"/>
  <c r="K1548" i="2"/>
  <c r="K1556" i="2"/>
  <c r="K1564" i="2"/>
  <c r="K1572" i="2"/>
  <c r="K1580" i="2"/>
  <c r="K1588" i="2"/>
  <c r="K1596" i="2"/>
  <c r="K1604" i="2"/>
  <c r="K1612" i="2"/>
  <c r="K131" i="2"/>
  <c r="K259" i="2"/>
  <c r="K387" i="2"/>
  <c r="K515" i="2"/>
  <c r="K613" i="2"/>
  <c r="K650" i="2"/>
  <c r="K682" i="2"/>
  <c r="K714" i="2"/>
  <c r="K746" i="2"/>
  <c r="K778" i="2"/>
  <c r="K810" i="2"/>
  <c r="K842" i="2"/>
  <c r="K874" i="2"/>
  <c r="K906" i="2"/>
  <c r="K938" i="2"/>
  <c r="K970" i="2"/>
  <c r="K1002" i="2"/>
  <c r="K1026" i="2"/>
  <c r="K1049" i="2"/>
  <c r="K1072" i="2"/>
  <c r="K1088" i="2"/>
  <c r="K1101" i="2"/>
  <c r="K1111" i="2"/>
  <c r="K1121" i="2"/>
  <c r="K1132" i="2"/>
  <c r="K1141" i="2"/>
  <c r="K1149" i="2"/>
  <c r="K1157" i="2"/>
  <c r="K1165" i="2"/>
  <c r="K1173" i="2"/>
  <c r="K1181" i="2"/>
  <c r="K1189" i="2"/>
  <c r="K1197" i="2"/>
  <c r="K1205" i="2"/>
  <c r="K1213" i="2"/>
  <c r="K1221" i="2"/>
  <c r="K1229" i="2"/>
  <c r="B1230" i="6" s="1"/>
  <c r="K1237" i="2"/>
  <c r="K1245" i="2"/>
  <c r="K1253" i="2"/>
  <c r="K1261" i="2"/>
  <c r="K1269" i="2"/>
  <c r="K1277" i="2"/>
  <c r="K1285" i="2"/>
  <c r="K1293" i="2"/>
  <c r="K1301" i="2"/>
  <c r="K1309" i="2"/>
  <c r="K1317" i="2"/>
  <c r="K1325" i="2"/>
  <c r="K1333" i="2"/>
  <c r="K1341" i="2"/>
  <c r="K1349" i="2"/>
  <c r="B1350" i="6" s="1"/>
  <c r="K1357" i="2"/>
  <c r="K1365" i="2"/>
  <c r="K1373" i="2"/>
  <c r="K1381" i="2"/>
  <c r="K1389" i="2"/>
  <c r="K1397" i="2"/>
  <c r="K1405" i="2"/>
  <c r="K1413" i="2"/>
  <c r="K1421" i="2"/>
  <c r="K1429" i="2"/>
  <c r="K1437" i="2"/>
  <c r="K1445" i="2"/>
  <c r="K1453" i="2"/>
  <c r="K1461" i="2"/>
  <c r="K1469" i="2"/>
  <c r="K1477" i="2"/>
  <c r="K1485" i="2"/>
  <c r="K1493" i="2"/>
  <c r="K1501" i="2"/>
  <c r="K1509" i="2"/>
  <c r="K1517" i="2"/>
  <c r="K1525" i="2"/>
  <c r="K1533" i="2"/>
  <c r="K1541" i="2"/>
  <c r="K27" i="2"/>
  <c r="K155" i="2"/>
  <c r="K283" i="2"/>
  <c r="K411" i="2"/>
  <c r="K539" i="2"/>
  <c r="K623" i="2"/>
  <c r="K656" i="2"/>
  <c r="K688" i="2"/>
  <c r="K720" i="2"/>
  <c r="K752" i="2"/>
  <c r="K784" i="2"/>
  <c r="K816" i="2"/>
  <c r="K848" i="2"/>
  <c r="K880" i="2"/>
  <c r="K912" i="2"/>
  <c r="K944" i="2"/>
  <c r="K976" i="2"/>
  <c r="K1008" i="2"/>
  <c r="K1032" i="2"/>
  <c r="K1050" i="2"/>
  <c r="K1073" i="2"/>
  <c r="K1089" i="2"/>
  <c r="K1102" i="2"/>
  <c r="K1112" i="2"/>
  <c r="K1122" i="2"/>
  <c r="K1133" i="2"/>
  <c r="K1142" i="2"/>
  <c r="K1150" i="2"/>
  <c r="K1158" i="2"/>
  <c r="K1166" i="2"/>
  <c r="K1174" i="2"/>
  <c r="K1182" i="2"/>
  <c r="K1190" i="2"/>
  <c r="K1198" i="2"/>
  <c r="K1206" i="2"/>
  <c r="K1214" i="2"/>
  <c r="K1222" i="2"/>
  <c r="K1230" i="2"/>
  <c r="K1238" i="2"/>
  <c r="K1246" i="2"/>
  <c r="K1254" i="2"/>
  <c r="K1262" i="2"/>
  <c r="K1270" i="2"/>
  <c r="K1278" i="2"/>
  <c r="B1279" i="6" s="1"/>
  <c r="K1286" i="2"/>
  <c r="K1294" i="2"/>
  <c r="K1302" i="2"/>
  <c r="K1310" i="2"/>
  <c r="K1318" i="2"/>
  <c r="K1326" i="2"/>
  <c r="K1334" i="2"/>
  <c r="K1342" i="2"/>
  <c r="K1350" i="2"/>
  <c r="K1358" i="2"/>
  <c r="K1366" i="2"/>
  <c r="K1374" i="2"/>
  <c r="K1382" i="2"/>
  <c r="B1383" i="6" s="1"/>
  <c r="K1390" i="2"/>
  <c r="K1398" i="2"/>
  <c r="K1406" i="2"/>
  <c r="K1414" i="2"/>
  <c r="B1415" i="6" s="1"/>
  <c r="K1422" i="2"/>
  <c r="K1430" i="2"/>
  <c r="K1438" i="2"/>
  <c r="K1446" i="2"/>
  <c r="B1447" i="6" s="1"/>
  <c r="K1454" i="2"/>
  <c r="K1462" i="2"/>
  <c r="K1470" i="2"/>
  <c r="K1478" i="2"/>
  <c r="K1486" i="2"/>
  <c r="K1494" i="2"/>
  <c r="K1502" i="2"/>
  <c r="K1510" i="2"/>
  <c r="B1511" i="6" s="1"/>
  <c r="K1518" i="2"/>
  <c r="K1526" i="2"/>
  <c r="K1534" i="2"/>
  <c r="K1542" i="2"/>
  <c r="B1543" i="6" s="1"/>
  <c r="K1550" i="2"/>
  <c r="K1558" i="2"/>
  <c r="K1566" i="2"/>
  <c r="K1574" i="2"/>
  <c r="B1575" i="6" s="1"/>
  <c r="K1582" i="2"/>
  <c r="K1590" i="2"/>
  <c r="K1824" i="2"/>
  <c r="K1816" i="2"/>
  <c r="K1808" i="2"/>
  <c r="K1800" i="2"/>
  <c r="K1792" i="2"/>
  <c r="K1784" i="2"/>
  <c r="K1776" i="2"/>
  <c r="K1768" i="2"/>
  <c r="K1760" i="2"/>
  <c r="B1761" i="6" s="1"/>
  <c r="K1752" i="2"/>
  <c r="K1744" i="2"/>
  <c r="K1736" i="2"/>
  <c r="K1728" i="2"/>
  <c r="B1729" i="6" s="1"/>
  <c r="K1720" i="2"/>
  <c r="K1712" i="2"/>
  <c r="K1704" i="2"/>
  <c r="K1696" i="2"/>
  <c r="B1697" i="6" s="1"/>
  <c r="K1688" i="2"/>
  <c r="K1680" i="2"/>
  <c r="K1672" i="2"/>
  <c r="K1664" i="2"/>
  <c r="B1665" i="6" s="1"/>
  <c r="K1656" i="2"/>
  <c r="K1648" i="2"/>
  <c r="K1640" i="2"/>
  <c r="K1632" i="2"/>
  <c r="B1633" i="6" s="1"/>
  <c r="K1623" i="2"/>
  <c r="K1614" i="2"/>
  <c r="K1600" i="2"/>
  <c r="B1601" i="6" s="1"/>
  <c r="K1587" i="2"/>
  <c r="K1571" i="2"/>
  <c r="K1555" i="2"/>
  <c r="K1535" i="2"/>
  <c r="K1503" i="2"/>
  <c r="K1471" i="2"/>
  <c r="K1439" i="2"/>
  <c r="K1407" i="2"/>
  <c r="K1375" i="2"/>
  <c r="K1343" i="2"/>
  <c r="K1311" i="2"/>
  <c r="K1279" i="2"/>
  <c r="K1247" i="2"/>
  <c r="K1215" i="2"/>
  <c r="K1183" i="2"/>
  <c r="K1151" i="2"/>
  <c r="K1113" i="2"/>
  <c r="K1056" i="2"/>
  <c r="K946" i="2"/>
  <c r="K818" i="2"/>
  <c r="K690" i="2"/>
  <c r="K419" i="2"/>
  <c r="K1823" i="2"/>
  <c r="K1815" i="2"/>
  <c r="K1807" i="2"/>
  <c r="K1799" i="2"/>
  <c r="K1791" i="2"/>
  <c r="K1783" i="2"/>
  <c r="K1775" i="2"/>
  <c r="K1767" i="2"/>
  <c r="K1759" i="2"/>
  <c r="K1751" i="2"/>
  <c r="K1743" i="2"/>
  <c r="K1735" i="2"/>
  <c r="K1727" i="2"/>
  <c r="K1719" i="2"/>
  <c r="K1711" i="2"/>
  <c r="K1703" i="2"/>
  <c r="K1695" i="2"/>
  <c r="K1687" i="2"/>
  <c r="K1679" i="2"/>
  <c r="K1671" i="2"/>
  <c r="K1663" i="2"/>
  <c r="K1655" i="2"/>
  <c r="K1647" i="2"/>
  <c r="K1639" i="2"/>
  <c r="K1631" i="2"/>
  <c r="K1622" i="2"/>
  <c r="K1613" i="2"/>
  <c r="K1599" i="2"/>
  <c r="K1584" i="2"/>
  <c r="K1568" i="2"/>
  <c r="B1569" i="6" s="1"/>
  <c r="K1552" i="2"/>
  <c r="K1528" i="2"/>
  <c r="K1496" i="2"/>
  <c r="K1464" i="2"/>
  <c r="K1432" i="2"/>
  <c r="K1400" i="2"/>
  <c r="K1368" i="2"/>
  <c r="K1336" i="2"/>
  <c r="K1304" i="2"/>
  <c r="K1272" i="2"/>
  <c r="K1240" i="2"/>
  <c r="K1208" i="2"/>
  <c r="K1176" i="2"/>
  <c r="K1144" i="2"/>
  <c r="K1104" i="2"/>
  <c r="K1034" i="2"/>
  <c r="K920" i="2"/>
  <c r="K792" i="2"/>
  <c r="K664" i="2"/>
  <c r="K315" i="2"/>
  <c r="K1822" i="2"/>
  <c r="K1814" i="2"/>
  <c r="K1806" i="2"/>
  <c r="K1798" i="2"/>
  <c r="K1790" i="2"/>
  <c r="K1782" i="2"/>
  <c r="K1774" i="2"/>
  <c r="K1766" i="2"/>
  <c r="B1767" i="6" s="1"/>
  <c r="K1758" i="2"/>
  <c r="K1750" i="2"/>
  <c r="K1742" i="2"/>
  <c r="K1734" i="2"/>
  <c r="B1735" i="6" s="1"/>
  <c r="K1726" i="2"/>
  <c r="K1718" i="2"/>
  <c r="K1710" i="2"/>
  <c r="K1702" i="2"/>
  <c r="K1694" i="2"/>
  <c r="K1686" i="2"/>
  <c r="K1678" i="2"/>
  <c r="K1670" i="2"/>
  <c r="B1671" i="6" s="1"/>
  <c r="K1662" i="2"/>
  <c r="K1654" i="2"/>
  <c r="K1646" i="2"/>
  <c r="K1638" i="2"/>
  <c r="K1630" i="2"/>
  <c r="K1621" i="2"/>
  <c r="K1611" i="2"/>
  <c r="K1598" i="2"/>
  <c r="K1583" i="2"/>
  <c r="K1567" i="2"/>
  <c r="K1551" i="2"/>
  <c r="K1527" i="2"/>
  <c r="K1495" i="2"/>
  <c r="K1463" i="2"/>
  <c r="K1431" i="2"/>
  <c r="K1399" i="2"/>
  <c r="K1367" i="2"/>
  <c r="K1335" i="2"/>
  <c r="K1303" i="2"/>
  <c r="K1271" i="2"/>
  <c r="K1239" i="2"/>
  <c r="K1207" i="2"/>
  <c r="K1175" i="2"/>
  <c r="K1143" i="2"/>
  <c r="K1103" i="2"/>
  <c r="K1033" i="2"/>
  <c r="K914" i="2"/>
  <c r="K786" i="2"/>
  <c r="K658" i="2"/>
  <c r="K291" i="2"/>
  <c r="K1821" i="2"/>
  <c r="K1813" i="2"/>
  <c r="K1805" i="2"/>
  <c r="K1797" i="2"/>
  <c r="K1789" i="2"/>
  <c r="K1781" i="2"/>
  <c r="K1773" i="2"/>
  <c r="K1765" i="2"/>
  <c r="K1757" i="2"/>
  <c r="K1749" i="2"/>
  <c r="K1741" i="2"/>
  <c r="K1733" i="2"/>
  <c r="K1725" i="2"/>
  <c r="K1717" i="2"/>
  <c r="K1709" i="2"/>
  <c r="K1701" i="2"/>
  <c r="K1693" i="2"/>
  <c r="K1685" i="2"/>
  <c r="K1677" i="2"/>
  <c r="K1669" i="2"/>
  <c r="K1661" i="2"/>
  <c r="K1653" i="2"/>
  <c r="K1645" i="2"/>
  <c r="K1637" i="2"/>
  <c r="K1629" i="2"/>
  <c r="K1620" i="2"/>
  <c r="K1608" i="2"/>
  <c r="K1597" i="2"/>
  <c r="K1581" i="2"/>
  <c r="K1565" i="2"/>
  <c r="K1549" i="2"/>
  <c r="K1520" i="2"/>
  <c r="K1488" i="2"/>
  <c r="K1456" i="2"/>
  <c r="K1424" i="2"/>
  <c r="K1392" i="2"/>
  <c r="K1360" i="2"/>
  <c r="K1328" i="2"/>
  <c r="K1296" i="2"/>
  <c r="B1297" i="6" s="1"/>
  <c r="K1264" i="2"/>
  <c r="K1232" i="2"/>
  <c r="K1200" i="2"/>
  <c r="K1168" i="2"/>
  <c r="K1135" i="2"/>
  <c r="K1093" i="2"/>
  <c r="K1016" i="2"/>
  <c r="K888" i="2"/>
  <c r="K760" i="2"/>
  <c r="K632" i="2"/>
  <c r="K187" i="2"/>
  <c r="B1409" i="6"/>
  <c r="B1206" i="6"/>
  <c r="B1639" i="6"/>
  <c r="B1142" i="6"/>
  <c r="B23" i="6"/>
  <c r="B15" i="6"/>
  <c r="B7" i="6"/>
  <c r="B1377" i="6"/>
  <c r="B1127" i="6"/>
  <c r="B456" i="6"/>
  <c r="B22" i="6"/>
  <c r="B14" i="6"/>
  <c r="B6" i="6"/>
  <c r="B1607" i="6"/>
  <c r="B1479" i="6"/>
  <c r="B287" i="6"/>
  <c r="B21" i="6"/>
  <c r="B13" i="6"/>
  <c r="B5" i="6"/>
  <c r="B1342" i="6"/>
  <c r="B1029" i="6"/>
  <c r="B200" i="6"/>
  <c r="B20" i="6"/>
  <c r="B12" i="6"/>
  <c r="B4" i="6"/>
  <c r="B1703" i="6"/>
  <c r="B928" i="6"/>
  <c r="B19" i="6"/>
  <c r="B11" i="6"/>
  <c r="B3" i="6"/>
  <c r="B1441" i="6"/>
  <c r="B26" i="6"/>
  <c r="B18" i="6"/>
  <c r="B10" i="6"/>
  <c r="K1825" i="4"/>
  <c r="K1793" i="4"/>
  <c r="K1761" i="4"/>
  <c r="B1762" i="6" s="1"/>
  <c r="K1729" i="4"/>
  <c r="B1730" i="6" s="1"/>
  <c r="K1697" i="4"/>
  <c r="K1665" i="4"/>
  <c r="B1666" i="6" s="1"/>
  <c r="K1633" i="4"/>
  <c r="K1601" i="4"/>
  <c r="B1602" i="6" s="1"/>
  <c r="K1569" i="4"/>
  <c r="K1537" i="4"/>
  <c r="K1505" i="4"/>
  <c r="B1506" i="6" s="1"/>
  <c r="K1473" i="4"/>
  <c r="B1474" i="6" s="1"/>
  <c r="K1441" i="4"/>
  <c r="B1442" i="6" s="1"/>
  <c r="K1409" i="4"/>
  <c r="K1377" i="4"/>
  <c r="B1378" i="6" s="1"/>
  <c r="K1342" i="4"/>
  <c r="K1285" i="4"/>
  <c r="K1222" i="4"/>
  <c r="K1133" i="4"/>
  <c r="K1039" i="4"/>
  <c r="K913" i="4"/>
  <c r="K711" i="4"/>
  <c r="K478" i="4"/>
  <c r="B479" i="6" s="1"/>
  <c r="K265" i="4"/>
  <c r="K1817" i="4"/>
  <c r="K1785" i="4"/>
  <c r="K1753" i="4"/>
  <c r="K1721" i="4"/>
  <c r="K1689" i="4"/>
  <c r="K1657" i="4"/>
  <c r="K1625" i="4"/>
  <c r="B1626" i="6" s="1"/>
  <c r="K1593" i="4"/>
  <c r="K1561" i="4"/>
  <c r="K1529" i="4"/>
  <c r="K1497" i="4"/>
  <c r="B1498" i="6" s="1"/>
  <c r="K1465" i="4"/>
  <c r="K1433" i="4"/>
  <c r="B1434" i="6" s="1"/>
  <c r="K1401" i="4"/>
  <c r="K1369" i="4"/>
  <c r="B1370" i="6" s="1"/>
  <c r="K1326" i="4"/>
  <c r="K1277" i="4"/>
  <c r="K1197" i="4"/>
  <c r="K1109" i="4"/>
  <c r="K1019" i="4"/>
  <c r="B1020" i="6" s="1"/>
  <c r="K863" i="4"/>
  <c r="B864" i="6" s="1"/>
  <c r="K647" i="4"/>
  <c r="K438" i="4"/>
  <c r="K167" i="4"/>
  <c r="K135" i="4"/>
  <c r="B136" i="6" s="1"/>
  <c r="K1814" i="4"/>
  <c r="K1782" i="4"/>
  <c r="B1783" i="6" s="1"/>
  <c r="K1750" i="4"/>
  <c r="K1718" i="4"/>
  <c r="B1719" i="6" s="1"/>
  <c r="K1686" i="4"/>
  <c r="K1654" i="4"/>
  <c r="B1655" i="6" s="1"/>
  <c r="K1622" i="4"/>
  <c r="B1623" i="6" s="1"/>
  <c r="K1590" i="4"/>
  <c r="K1558" i="4"/>
  <c r="K1526" i="4"/>
  <c r="K1494" i="4"/>
  <c r="B1495" i="6" s="1"/>
  <c r="K1462" i="4"/>
  <c r="K1430" i="4"/>
  <c r="K1398" i="4"/>
  <c r="K1366" i="4"/>
  <c r="B1367" i="6" s="1"/>
  <c r="K1320" i="4"/>
  <c r="B1321" i="6" s="1"/>
  <c r="K1262" i="4"/>
  <c r="K1190" i="4"/>
  <c r="K1101" i="4"/>
  <c r="K996" i="4"/>
  <c r="K849" i="4"/>
  <c r="K625" i="4"/>
  <c r="B626" i="6" s="1"/>
  <c r="K391" i="4"/>
  <c r="B392" i="6" s="1"/>
  <c r="K142" i="4"/>
  <c r="K1809" i="4"/>
  <c r="K1777" i="4"/>
  <c r="B1778" i="6" s="1"/>
  <c r="K1745" i="4"/>
  <c r="B1746" i="6" s="1"/>
  <c r="K1713" i="4"/>
  <c r="B1714" i="6" s="1"/>
  <c r="K1681" i="4"/>
  <c r="B1682" i="6" s="1"/>
  <c r="K1649" i="4"/>
  <c r="K1617" i="4"/>
  <c r="B1618" i="6" s="1"/>
  <c r="K1585" i="4"/>
  <c r="K1553" i="4"/>
  <c r="B1554" i="6" s="1"/>
  <c r="K1521" i="4"/>
  <c r="K1489" i="4"/>
  <c r="B1490" i="6" s="1"/>
  <c r="K1457" i="4"/>
  <c r="K1425" i="4"/>
  <c r="B1426" i="6" s="1"/>
  <c r="K1393" i="4"/>
  <c r="K1361" i="4"/>
  <c r="B1362" i="6" s="1"/>
  <c r="K1318" i="4"/>
  <c r="K1256" i="4"/>
  <c r="B1257" i="6" s="1"/>
  <c r="K1173" i="4"/>
  <c r="K1094" i="4"/>
  <c r="K986" i="4"/>
  <c r="K815" i="4"/>
  <c r="K607" i="4"/>
  <c r="K369" i="4"/>
  <c r="B370" i="6" s="1"/>
  <c r="K71" i="4"/>
  <c r="B72" i="6" s="1"/>
  <c r="K1808" i="4"/>
  <c r="K1776" i="4"/>
  <c r="K1744" i="4"/>
  <c r="B1745" i="6" s="1"/>
  <c r="K1712" i="4"/>
  <c r="K1680" i="4"/>
  <c r="B1681" i="6" s="1"/>
  <c r="K1648" i="4"/>
  <c r="K1616" i="4"/>
  <c r="K1584" i="4"/>
  <c r="K1552" i="4"/>
  <c r="K1520" i="4"/>
  <c r="K1488" i="4"/>
  <c r="K1456" i="4"/>
  <c r="K1424" i="4"/>
  <c r="K1392" i="4"/>
  <c r="B1393" i="6" s="1"/>
  <c r="K1360" i="4"/>
  <c r="B1361" i="6" s="1"/>
  <c r="K1304" i="4"/>
  <c r="K1254" i="4"/>
  <c r="K1165" i="4"/>
  <c r="K1077" i="4"/>
  <c r="K975" i="4"/>
  <c r="K798" i="4"/>
  <c r="B799" i="6" s="1"/>
  <c r="K561" i="4"/>
  <c r="B562" i="6" s="1"/>
  <c r="K351" i="4"/>
  <c r="K1801" i="4"/>
  <c r="K1769" i="4"/>
  <c r="K1737" i="4"/>
  <c r="B1738" i="6" s="1"/>
  <c r="K1705" i="4"/>
  <c r="K1673" i="4"/>
  <c r="B1674" i="6" s="1"/>
  <c r="K1641" i="4"/>
  <c r="K1609" i="4"/>
  <c r="K1577" i="4"/>
  <c r="K1545" i="4"/>
  <c r="K1513" i="4"/>
  <c r="K1481" i="4"/>
  <c r="K1449" i="4"/>
  <c r="K1417" i="4"/>
  <c r="K1385" i="4"/>
  <c r="K1352" i="4"/>
  <c r="K1301" i="4"/>
  <c r="K1237" i="4"/>
  <c r="K1158" i="4"/>
  <c r="K1069" i="4"/>
  <c r="B1070" i="6" s="1"/>
  <c r="K943" i="4"/>
  <c r="K777" i="4"/>
  <c r="K542" i="4"/>
  <c r="B543" i="6" s="1"/>
  <c r="K1813" i="4"/>
  <c r="K1797" i="4"/>
  <c r="K1781" i="4"/>
  <c r="K1765" i="4"/>
  <c r="K1749" i="4"/>
  <c r="K1733" i="4"/>
  <c r="B1734" i="6" s="1"/>
  <c r="K1717" i="4"/>
  <c r="K1701" i="4"/>
  <c r="K1685" i="4"/>
  <c r="K1669" i="4"/>
  <c r="B1670" i="6" s="1"/>
  <c r="K1653" i="4"/>
  <c r="K1637" i="4"/>
  <c r="K1621" i="4"/>
  <c r="K1605" i="4"/>
  <c r="B1606" i="6" s="1"/>
  <c r="K1589" i="4"/>
  <c r="B1590" i="6" s="1"/>
  <c r="K1573" i="4"/>
  <c r="K1557" i="4"/>
  <c r="K1541" i="4"/>
  <c r="K1525" i="4"/>
  <c r="K1509" i="4"/>
  <c r="K1493" i="4"/>
  <c r="K1477" i="4"/>
  <c r="K1461" i="4"/>
  <c r="B1462" i="6" s="1"/>
  <c r="K1445" i="4"/>
  <c r="K1429" i="4"/>
  <c r="K1413" i="4"/>
  <c r="K1397" i="4"/>
  <c r="K1381" i="4"/>
  <c r="K1365" i="4"/>
  <c r="K1344" i="4"/>
  <c r="K1325" i="4"/>
  <c r="B1326" i="6" s="1"/>
  <c r="K1302" i="4"/>
  <c r="K1280" i="4"/>
  <c r="K1261" i="4"/>
  <c r="B1262" i="6" s="1"/>
  <c r="K1230" i="4"/>
  <c r="K1198" i="4"/>
  <c r="K1166" i="4"/>
  <c r="B1167" i="6" s="1"/>
  <c r="K1134" i="4"/>
  <c r="B1135" i="6" s="1"/>
  <c r="K1102" i="4"/>
  <c r="B1103" i="6" s="1"/>
  <c r="K1070" i="4"/>
  <c r="K1030" i="4"/>
  <c r="K987" i="4"/>
  <c r="B988" i="6" s="1"/>
  <c r="K929" i="4"/>
  <c r="B930" i="6" s="1"/>
  <c r="K865" i="4"/>
  <c r="B866" i="6" s="1"/>
  <c r="K799" i="4"/>
  <c r="B800" i="6" s="1"/>
  <c r="K713" i="4"/>
  <c r="K630" i="4"/>
  <c r="K543" i="4"/>
  <c r="K457" i="4"/>
  <c r="K374" i="4"/>
  <c r="K287" i="4"/>
  <c r="K174" i="4"/>
  <c r="B175" i="6" s="1"/>
  <c r="K43" i="4"/>
  <c r="B44" i="6" s="1"/>
  <c r="K1822" i="4"/>
  <c r="K1806" i="4"/>
  <c r="K1790" i="4"/>
  <c r="K1774" i="4"/>
  <c r="B1775" i="6" s="1"/>
  <c r="K1758" i="4"/>
  <c r="K1742" i="4"/>
  <c r="K1726" i="4"/>
  <c r="K1710" i="4"/>
  <c r="B1711" i="6" s="1"/>
  <c r="K1694" i="4"/>
  <c r="K1678" i="4"/>
  <c r="K1662" i="4"/>
  <c r="K1646" i="4"/>
  <c r="B1647" i="6" s="1"/>
  <c r="K1630" i="4"/>
  <c r="K1614" i="4"/>
  <c r="K1598" i="4"/>
  <c r="K1582" i="4"/>
  <c r="K1566" i="4"/>
  <c r="K1550" i="4"/>
  <c r="B1551" i="6" s="1"/>
  <c r="K1534" i="4"/>
  <c r="K1518" i="4"/>
  <c r="K1502" i="4"/>
  <c r="K1486" i="4"/>
  <c r="K1470" i="4"/>
  <c r="K1454" i="4"/>
  <c r="K1438" i="4"/>
  <c r="K1422" i="4"/>
  <c r="B1423" i="6" s="1"/>
  <c r="K1406" i="4"/>
  <c r="K1390" i="4"/>
  <c r="K1374" i="4"/>
  <c r="K1358" i="4"/>
  <c r="K1336" i="4"/>
  <c r="K1317" i="4"/>
  <c r="K1294" i="4"/>
  <c r="B1295" i="6" s="1"/>
  <c r="K1272" i="4"/>
  <c r="B1273" i="6" s="1"/>
  <c r="K1253" i="4"/>
  <c r="K1221" i="4"/>
  <c r="K1189" i="4"/>
  <c r="K1157" i="4"/>
  <c r="K1125" i="4"/>
  <c r="K1093" i="4"/>
  <c r="B1094" i="6" s="1"/>
  <c r="K1060" i="4"/>
  <c r="K1018" i="4"/>
  <c r="K974" i="4"/>
  <c r="B975" i="6" s="1"/>
  <c r="K911" i="4"/>
  <c r="K847" i="4"/>
  <c r="K775" i="4"/>
  <c r="K689" i="4"/>
  <c r="B690" i="6" s="1"/>
  <c r="K606" i="4"/>
  <c r="B607" i="6" s="1"/>
  <c r="K519" i="4"/>
  <c r="B520" i="6" s="1"/>
  <c r="K433" i="4"/>
  <c r="B434" i="6" s="1"/>
  <c r="K350" i="4"/>
  <c r="B351" i="6" s="1"/>
  <c r="K263" i="4"/>
  <c r="B264" i="6" s="1"/>
  <c r="K26" i="4"/>
  <c r="B27" i="6" s="1"/>
  <c r="K31" i="4"/>
  <c r="K32" i="4"/>
  <c r="K40" i="4"/>
  <c r="K48" i="4"/>
  <c r="K56" i="4"/>
  <c r="B57" i="6" s="1"/>
  <c r="K64" i="4"/>
  <c r="B65" i="6" s="1"/>
  <c r="K34" i="4"/>
  <c r="B35" i="6" s="1"/>
  <c r="K29" i="4"/>
  <c r="K38" i="4"/>
  <c r="B39" i="6" s="1"/>
  <c r="K47" i="4"/>
  <c r="K57" i="4"/>
  <c r="B58" i="6" s="1"/>
  <c r="K66" i="4"/>
  <c r="B67" i="6" s="1"/>
  <c r="K74" i="4"/>
  <c r="K82" i="4"/>
  <c r="B83" i="6" s="1"/>
  <c r="K90" i="4"/>
  <c r="B91" i="6" s="1"/>
  <c r="K98" i="4"/>
  <c r="B99" i="6" s="1"/>
  <c r="K106" i="4"/>
  <c r="K114" i="4"/>
  <c r="K122" i="4"/>
  <c r="K130" i="4"/>
  <c r="B131" i="6" s="1"/>
  <c r="K138" i="4"/>
  <c r="K146" i="4"/>
  <c r="B147" i="6" s="1"/>
  <c r="K154" i="4"/>
  <c r="B155" i="6" s="1"/>
  <c r="K162" i="4"/>
  <c r="B163" i="6" s="1"/>
  <c r="K170" i="4"/>
  <c r="K178" i="4"/>
  <c r="K186" i="4"/>
  <c r="K194" i="4"/>
  <c r="B195" i="6" s="1"/>
  <c r="K202" i="4"/>
  <c r="K210" i="4"/>
  <c r="B211" i="6" s="1"/>
  <c r="K218" i="4"/>
  <c r="B219" i="6" s="1"/>
  <c r="K226" i="4"/>
  <c r="B227" i="6" s="1"/>
  <c r="K234" i="4"/>
  <c r="K242" i="4"/>
  <c r="K250" i="4"/>
  <c r="K258" i="4"/>
  <c r="B259" i="6" s="1"/>
  <c r="K266" i="4"/>
  <c r="K274" i="4"/>
  <c r="B275" i="6" s="1"/>
  <c r="K282" i="4"/>
  <c r="B283" i="6" s="1"/>
  <c r="K290" i="4"/>
  <c r="B291" i="6" s="1"/>
  <c r="K298" i="4"/>
  <c r="K306" i="4"/>
  <c r="K314" i="4"/>
  <c r="K322" i="4"/>
  <c r="B323" i="6" s="1"/>
  <c r="K330" i="4"/>
  <c r="K338" i="4"/>
  <c r="B339" i="6" s="1"/>
  <c r="K346" i="4"/>
  <c r="B347" i="6" s="1"/>
  <c r="K354" i="4"/>
  <c r="B355" i="6" s="1"/>
  <c r="K362" i="4"/>
  <c r="K370" i="4"/>
  <c r="K378" i="4"/>
  <c r="K386" i="4"/>
  <c r="B387" i="6" s="1"/>
  <c r="K394" i="4"/>
  <c r="K402" i="4"/>
  <c r="B403" i="6" s="1"/>
  <c r="K410" i="4"/>
  <c r="B411" i="6" s="1"/>
  <c r="K418" i="4"/>
  <c r="B419" i="6" s="1"/>
  <c r="K426" i="4"/>
  <c r="K434" i="4"/>
  <c r="K442" i="4"/>
  <c r="K450" i="4"/>
  <c r="B451" i="6" s="1"/>
  <c r="K458" i="4"/>
  <c r="K466" i="4"/>
  <c r="B467" i="6" s="1"/>
  <c r="K474" i="4"/>
  <c r="B475" i="6" s="1"/>
  <c r="K482" i="4"/>
  <c r="B483" i="6" s="1"/>
  <c r="K490" i="4"/>
  <c r="K498" i="4"/>
  <c r="K506" i="4"/>
  <c r="K514" i="4"/>
  <c r="B515" i="6" s="1"/>
  <c r="K522" i="4"/>
  <c r="K530" i="4"/>
  <c r="B531" i="6" s="1"/>
  <c r="K538" i="4"/>
  <c r="B539" i="6" s="1"/>
  <c r="K546" i="4"/>
  <c r="B547" i="6" s="1"/>
  <c r="K554" i="4"/>
  <c r="K562" i="4"/>
  <c r="K570" i="4"/>
  <c r="K578" i="4"/>
  <c r="B579" i="6" s="1"/>
  <c r="K586" i="4"/>
  <c r="K594" i="4"/>
  <c r="B595" i="6" s="1"/>
  <c r="K602" i="4"/>
  <c r="B603" i="6" s="1"/>
  <c r="K610" i="4"/>
  <c r="B611" i="6" s="1"/>
  <c r="K618" i="4"/>
  <c r="K626" i="4"/>
  <c r="K634" i="4"/>
  <c r="B635" i="6" s="1"/>
  <c r="K642" i="4"/>
  <c r="K650" i="4"/>
  <c r="K658" i="4"/>
  <c r="K666" i="4"/>
  <c r="B667" i="6" s="1"/>
  <c r="K674" i="4"/>
  <c r="K682" i="4"/>
  <c r="K690" i="4"/>
  <c r="K698" i="4"/>
  <c r="B699" i="6" s="1"/>
  <c r="K706" i="4"/>
  <c r="B707" i="6" s="1"/>
  <c r="K714" i="4"/>
  <c r="K722" i="4"/>
  <c r="K730" i="4"/>
  <c r="K738" i="4"/>
  <c r="K746" i="4"/>
  <c r="K754" i="4"/>
  <c r="B755" i="6" s="1"/>
  <c r="K762" i="4"/>
  <c r="K770" i="4"/>
  <c r="B771" i="6" s="1"/>
  <c r="K778" i="4"/>
  <c r="B779" i="6" s="1"/>
  <c r="K786" i="4"/>
  <c r="K794" i="4"/>
  <c r="K802" i="4"/>
  <c r="B803" i="6" s="1"/>
  <c r="K810" i="4"/>
  <c r="K818" i="4"/>
  <c r="K826" i="4"/>
  <c r="K834" i="4"/>
  <c r="B835" i="6" s="1"/>
  <c r="K842" i="4"/>
  <c r="K850" i="4"/>
  <c r="B851" i="6" s="1"/>
  <c r="K858" i="4"/>
  <c r="K866" i="4"/>
  <c r="K874" i="4"/>
  <c r="K882" i="4"/>
  <c r="B883" i="6" s="1"/>
  <c r="K890" i="4"/>
  <c r="B891" i="6" s="1"/>
  <c r="K898" i="4"/>
  <c r="K906" i="4"/>
  <c r="K914" i="4"/>
  <c r="B915" i="6" s="1"/>
  <c r="K922" i="4"/>
  <c r="B923" i="6" s="1"/>
  <c r="K930" i="4"/>
  <c r="K938" i="4"/>
  <c r="K946" i="4"/>
  <c r="K954" i="4"/>
  <c r="B955" i="6" s="1"/>
  <c r="K962" i="4"/>
  <c r="B963" i="6" s="1"/>
  <c r="K27" i="4"/>
  <c r="K39" i="4"/>
  <c r="K49" i="4"/>
  <c r="B50" i="6" s="1"/>
  <c r="K58" i="4"/>
  <c r="K67" i="4"/>
  <c r="K75" i="4"/>
  <c r="K83" i="4"/>
  <c r="B84" i="6" s="1"/>
  <c r="K91" i="4"/>
  <c r="B92" i="6" s="1"/>
  <c r="K99" i="4"/>
  <c r="K107" i="4"/>
  <c r="K115" i="4"/>
  <c r="K123" i="4"/>
  <c r="K131" i="4"/>
  <c r="K139" i="4"/>
  <c r="K147" i="4"/>
  <c r="K155" i="4"/>
  <c r="K163" i="4"/>
  <c r="B164" i="6" s="1"/>
  <c r="K171" i="4"/>
  <c r="K179" i="4"/>
  <c r="K187" i="4"/>
  <c r="B188" i="6" s="1"/>
  <c r="K195" i="4"/>
  <c r="K203" i="4"/>
  <c r="K211" i="4"/>
  <c r="K219" i="4"/>
  <c r="K227" i="4"/>
  <c r="B228" i="6" s="1"/>
  <c r="K235" i="4"/>
  <c r="B236" i="6" s="1"/>
  <c r="K243" i="4"/>
  <c r="K251" i="4"/>
  <c r="K259" i="4"/>
  <c r="K267" i="4"/>
  <c r="B268" i="6" s="1"/>
  <c r="K275" i="4"/>
  <c r="B276" i="6" s="1"/>
  <c r="K283" i="4"/>
  <c r="B284" i="6" s="1"/>
  <c r="K291" i="4"/>
  <c r="K299" i="4"/>
  <c r="B300" i="6" s="1"/>
  <c r="K307" i="4"/>
  <c r="B308" i="6" s="1"/>
  <c r="K315" i="4"/>
  <c r="B316" i="6" s="1"/>
  <c r="K323" i="4"/>
  <c r="K331" i="4"/>
  <c r="K339" i="4"/>
  <c r="B340" i="6" s="1"/>
  <c r="K347" i="4"/>
  <c r="K355" i="4"/>
  <c r="B356" i="6" s="1"/>
  <c r="K363" i="4"/>
  <c r="K371" i="4"/>
  <c r="K379" i="4"/>
  <c r="K387" i="4"/>
  <c r="K395" i="4"/>
  <c r="K403" i="4"/>
  <c r="K411" i="4"/>
  <c r="K419" i="4"/>
  <c r="B420" i="6" s="1"/>
  <c r="K427" i="4"/>
  <c r="K435" i="4"/>
  <c r="K443" i="4"/>
  <c r="B444" i="6" s="1"/>
  <c r="K451" i="4"/>
  <c r="K459" i="4"/>
  <c r="K467" i="4"/>
  <c r="K475" i="4"/>
  <c r="K483" i="4"/>
  <c r="B484" i="6" s="1"/>
  <c r="K491" i="4"/>
  <c r="B492" i="6" s="1"/>
  <c r="K499" i="4"/>
  <c r="K507" i="4"/>
  <c r="B508" i="6" s="1"/>
  <c r="K515" i="4"/>
  <c r="K523" i="4"/>
  <c r="B524" i="6" s="1"/>
  <c r="K531" i="4"/>
  <c r="B532" i="6" s="1"/>
  <c r="K539" i="4"/>
  <c r="B540" i="6" s="1"/>
  <c r="K547" i="4"/>
  <c r="K555" i="4"/>
  <c r="B556" i="6" s="1"/>
  <c r="K563" i="4"/>
  <c r="B564" i="6" s="1"/>
  <c r="K571" i="4"/>
  <c r="K579" i="4"/>
  <c r="K587" i="4"/>
  <c r="B588" i="6" s="1"/>
  <c r="K595" i="4"/>
  <c r="K603" i="4"/>
  <c r="K611" i="4"/>
  <c r="K619" i="4"/>
  <c r="B620" i="6" s="1"/>
  <c r="K627" i="4"/>
  <c r="B628" i="6" s="1"/>
  <c r="K635" i="4"/>
  <c r="B636" i="6" s="1"/>
  <c r="K643" i="4"/>
  <c r="K651" i="4"/>
  <c r="K659" i="4"/>
  <c r="K667" i="4"/>
  <c r="B668" i="6" s="1"/>
  <c r="K675" i="4"/>
  <c r="K683" i="4"/>
  <c r="B684" i="6" s="1"/>
  <c r="K691" i="4"/>
  <c r="B692" i="6" s="1"/>
  <c r="K699" i="4"/>
  <c r="B700" i="6" s="1"/>
  <c r="K707" i="4"/>
  <c r="K715" i="4"/>
  <c r="K723" i="4"/>
  <c r="K731" i="4"/>
  <c r="B732" i="6" s="1"/>
  <c r="K739" i="4"/>
  <c r="K747" i="4"/>
  <c r="B748" i="6" s="1"/>
  <c r="K755" i="4"/>
  <c r="B756" i="6" s="1"/>
  <c r="K763" i="4"/>
  <c r="B764" i="6" s="1"/>
  <c r="K771" i="4"/>
  <c r="K779" i="4"/>
  <c r="K787" i="4"/>
  <c r="K795" i="4"/>
  <c r="B796" i="6" s="1"/>
  <c r="K803" i="4"/>
  <c r="K811" i="4"/>
  <c r="B812" i="6" s="1"/>
  <c r="K819" i="4"/>
  <c r="B820" i="6" s="1"/>
  <c r="K827" i="4"/>
  <c r="B828" i="6" s="1"/>
  <c r="K835" i="4"/>
  <c r="K843" i="4"/>
  <c r="K851" i="4"/>
  <c r="K859" i="4"/>
  <c r="B860" i="6" s="1"/>
  <c r="K867" i="4"/>
  <c r="K875" i="4"/>
  <c r="B876" i="6" s="1"/>
  <c r="K883" i="4"/>
  <c r="B884" i="6" s="1"/>
  <c r="K891" i="4"/>
  <c r="B892" i="6" s="1"/>
  <c r="K899" i="4"/>
  <c r="K907" i="4"/>
  <c r="K915" i="4"/>
  <c r="K923" i="4"/>
  <c r="B924" i="6" s="1"/>
  <c r="K931" i="4"/>
  <c r="K939" i="4"/>
  <c r="B940" i="6" s="1"/>
  <c r="K947" i="4"/>
  <c r="B948" i="6" s="1"/>
  <c r="K955" i="4"/>
  <c r="B956" i="6" s="1"/>
  <c r="K963" i="4"/>
  <c r="K971" i="4"/>
  <c r="K979" i="4"/>
  <c r="K28" i="4"/>
  <c r="B29" i="6" s="1"/>
  <c r="K41" i="4"/>
  <c r="K50" i="4"/>
  <c r="K59" i="4"/>
  <c r="B60" i="6" s="1"/>
  <c r="K68" i="4"/>
  <c r="B69" i="6" s="1"/>
  <c r="K76" i="4"/>
  <c r="K84" i="4"/>
  <c r="B85" i="6" s="1"/>
  <c r="K92" i="4"/>
  <c r="B93" i="6" s="1"/>
  <c r="K100" i="4"/>
  <c r="K108" i="4"/>
  <c r="K116" i="4"/>
  <c r="B117" i="6" s="1"/>
  <c r="K124" i="4"/>
  <c r="B125" i="6" s="1"/>
  <c r="K132" i="4"/>
  <c r="B133" i="6" s="1"/>
  <c r="K140" i="4"/>
  <c r="B141" i="6" s="1"/>
  <c r="K148" i="4"/>
  <c r="K156" i="4"/>
  <c r="B157" i="6" s="1"/>
  <c r="K164" i="4"/>
  <c r="B165" i="6" s="1"/>
  <c r="K172" i="4"/>
  <c r="B173" i="6" s="1"/>
  <c r="K180" i="4"/>
  <c r="K188" i="4"/>
  <c r="K196" i="4"/>
  <c r="B197" i="6" s="1"/>
  <c r="K204" i="4"/>
  <c r="B205" i="6" s="1"/>
  <c r="K212" i="4"/>
  <c r="K220" i="4"/>
  <c r="K228" i="4"/>
  <c r="K236" i="4"/>
  <c r="K244" i="4"/>
  <c r="K252" i="4"/>
  <c r="K260" i="4"/>
  <c r="K268" i="4"/>
  <c r="K276" i="4"/>
  <c r="K284" i="4"/>
  <c r="K292" i="4"/>
  <c r="K300" i="4"/>
  <c r="K308" i="4"/>
  <c r="B309" i="6" s="1"/>
  <c r="K316" i="4"/>
  <c r="K324" i="4"/>
  <c r="B325" i="6" s="1"/>
  <c r="K332" i="4"/>
  <c r="K340" i="4"/>
  <c r="B341" i="6" s="1"/>
  <c r="K348" i="4"/>
  <c r="B349" i="6" s="1"/>
  <c r="K356" i="4"/>
  <c r="K364" i="4"/>
  <c r="K372" i="4"/>
  <c r="B373" i="6" s="1"/>
  <c r="K380" i="4"/>
  <c r="B381" i="6" s="1"/>
  <c r="K388" i="4"/>
  <c r="B389" i="6" s="1"/>
  <c r="K396" i="4"/>
  <c r="B397" i="6" s="1"/>
  <c r="K404" i="4"/>
  <c r="K412" i="4"/>
  <c r="B413" i="6" s="1"/>
  <c r="K420" i="4"/>
  <c r="B421" i="6" s="1"/>
  <c r="K428" i="4"/>
  <c r="B429" i="6" s="1"/>
  <c r="K436" i="4"/>
  <c r="K444" i="4"/>
  <c r="K452" i="4"/>
  <c r="B453" i="6" s="1"/>
  <c r="K460" i="4"/>
  <c r="B461" i="6" s="1"/>
  <c r="K468" i="4"/>
  <c r="K476" i="4"/>
  <c r="K484" i="4"/>
  <c r="K492" i="4"/>
  <c r="K500" i="4"/>
  <c r="K508" i="4"/>
  <c r="K516" i="4"/>
  <c r="K524" i="4"/>
  <c r="K532" i="4"/>
  <c r="K540" i="4"/>
  <c r="K548" i="4"/>
  <c r="K556" i="4"/>
  <c r="K564" i="4"/>
  <c r="B565" i="6" s="1"/>
  <c r="K572" i="4"/>
  <c r="K580" i="4"/>
  <c r="B581" i="6" s="1"/>
  <c r="K588" i="4"/>
  <c r="K596" i="4"/>
  <c r="K604" i="4"/>
  <c r="K612" i="4"/>
  <c r="B613" i="6" s="1"/>
  <c r="K620" i="4"/>
  <c r="K628" i="4"/>
  <c r="K636" i="4"/>
  <c r="K644" i="4"/>
  <c r="B645" i="6" s="1"/>
  <c r="K652" i="4"/>
  <c r="B653" i="6" s="1"/>
  <c r="K660" i="4"/>
  <c r="B661" i="6" s="1"/>
  <c r="K668" i="4"/>
  <c r="K676" i="4"/>
  <c r="K684" i="4"/>
  <c r="K692" i="4"/>
  <c r="K700" i="4"/>
  <c r="K708" i="4"/>
  <c r="B709" i="6" s="1"/>
  <c r="K716" i="4"/>
  <c r="B717" i="6" s="1"/>
  <c r="K724" i="4"/>
  <c r="B725" i="6" s="1"/>
  <c r="K732" i="4"/>
  <c r="K740" i="4"/>
  <c r="K748" i="4"/>
  <c r="K756" i="4"/>
  <c r="K764" i="4"/>
  <c r="K772" i="4"/>
  <c r="B773" i="6" s="1"/>
  <c r="K780" i="4"/>
  <c r="B781" i="6" s="1"/>
  <c r="K788" i="4"/>
  <c r="B789" i="6" s="1"/>
  <c r="K796" i="4"/>
  <c r="K804" i="4"/>
  <c r="K30" i="4"/>
  <c r="B31" i="6" s="1"/>
  <c r="K42" i="4"/>
  <c r="K51" i="4"/>
  <c r="B52" i="6" s="1"/>
  <c r="K60" i="4"/>
  <c r="K69" i="4"/>
  <c r="K77" i="4"/>
  <c r="K85" i="4"/>
  <c r="B86" i="6" s="1"/>
  <c r="K93" i="4"/>
  <c r="K101" i="4"/>
  <c r="B102" i="6" s="1"/>
  <c r="K109" i="4"/>
  <c r="B110" i="6" s="1"/>
  <c r="K117" i="4"/>
  <c r="B118" i="6" s="1"/>
  <c r="K125" i="4"/>
  <c r="K133" i="4"/>
  <c r="K141" i="4"/>
  <c r="K149" i="4"/>
  <c r="B150" i="6" s="1"/>
  <c r="K157" i="4"/>
  <c r="K165" i="4"/>
  <c r="B166" i="6" s="1"/>
  <c r="K173" i="4"/>
  <c r="B174" i="6" s="1"/>
  <c r="K181" i="4"/>
  <c r="B182" i="6" s="1"/>
  <c r="K189" i="4"/>
  <c r="K197" i="4"/>
  <c r="K205" i="4"/>
  <c r="K213" i="4"/>
  <c r="B214" i="6" s="1"/>
  <c r="K221" i="4"/>
  <c r="K229" i="4"/>
  <c r="B230" i="6" s="1"/>
  <c r="K237" i="4"/>
  <c r="B238" i="6" s="1"/>
  <c r="K245" i="4"/>
  <c r="B246" i="6" s="1"/>
  <c r="K253" i="4"/>
  <c r="K261" i="4"/>
  <c r="K269" i="4"/>
  <c r="K277" i="4"/>
  <c r="B278" i="6" s="1"/>
  <c r="K285" i="4"/>
  <c r="K293" i="4"/>
  <c r="B294" i="6" s="1"/>
  <c r="K301" i="4"/>
  <c r="B302" i="6" s="1"/>
  <c r="K309" i="4"/>
  <c r="B310" i="6" s="1"/>
  <c r="K317" i="4"/>
  <c r="K325" i="4"/>
  <c r="K333" i="4"/>
  <c r="K341" i="4"/>
  <c r="B342" i="6" s="1"/>
  <c r="K349" i="4"/>
  <c r="K357" i="4"/>
  <c r="B358" i="6" s="1"/>
  <c r="K365" i="4"/>
  <c r="B366" i="6" s="1"/>
  <c r="K373" i="4"/>
  <c r="B374" i="6" s="1"/>
  <c r="K381" i="4"/>
  <c r="K389" i="4"/>
  <c r="K397" i="4"/>
  <c r="K405" i="4"/>
  <c r="B406" i="6" s="1"/>
  <c r="K413" i="4"/>
  <c r="K421" i="4"/>
  <c r="B422" i="6" s="1"/>
  <c r="K429" i="4"/>
  <c r="B430" i="6" s="1"/>
  <c r="K437" i="4"/>
  <c r="B438" i="6" s="1"/>
  <c r="K445" i="4"/>
  <c r="K453" i="4"/>
  <c r="K461" i="4"/>
  <c r="K469" i="4"/>
  <c r="B470" i="6" s="1"/>
  <c r="K477" i="4"/>
  <c r="K485" i="4"/>
  <c r="B486" i="6" s="1"/>
  <c r="K493" i="4"/>
  <c r="B494" i="6" s="1"/>
  <c r="K501" i="4"/>
  <c r="B502" i="6" s="1"/>
  <c r="K509" i="4"/>
  <c r="K517" i="4"/>
  <c r="K525" i="4"/>
  <c r="K533" i="4"/>
  <c r="B534" i="6" s="1"/>
  <c r="K541" i="4"/>
  <c r="K549" i="4"/>
  <c r="B550" i="6" s="1"/>
  <c r="K557" i="4"/>
  <c r="B558" i="6" s="1"/>
  <c r="K565" i="4"/>
  <c r="B566" i="6" s="1"/>
  <c r="K573" i="4"/>
  <c r="K581" i="4"/>
  <c r="K589" i="4"/>
  <c r="K597" i="4"/>
  <c r="B598" i="6" s="1"/>
  <c r="K605" i="4"/>
  <c r="K613" i="4"/>
  <c r="K621" i="4"/>
  <c r="K629" i="4"/>
  <c r="B630" i="6" s="1"/>
  <c r="K637" i="4"/>
  <c r="B638" i="6" s="1"/>
  <c r="K645" i="4"/>
  <c r="K653" i="4"/>
  <c r="K661" i="4"/>
  <c r="K669" i="4"/>
  <c r="B670" i="6" s="1"/>
  <c r="K677" i="4"/>
  <c r="K685" i="4"/>
  <c r="B686" i="6" s="1"/>
  <c r="K693" i="4"/>
  <c r="B694" i="6" s="1"/>
  <c r="K701" i="4"/>
  <c r="B702" i="6" s="1"/>
  <c r="K709" i="4"/>
  <c r="K717" i="4"/>
  <c r="K725" i="4"/>
  <c r="K733" i="4"/>
  <c r="B734" i="6" s="1"/>
  <c r="K741" i="4"/>
  <c r="K749" i="4"/>
  <c r="B750" i="6" s="1"/>
  <c r="K757" i="4"/>
  <c r="B758" i="6" s="1"/>
  <c r="K765" i="4"/>
  <c r="B766" i="6" s="1"/>
  <c r="K773" i="4"/>
  <c r="K781" i="4"/>
  <c r="K789" i="4"/>
  <c r="K797" i="4"/>
  <c r="B798" i="6" s="1"/>
  <c r="K805" i="4"/>
  <c r="K813" i="4"/>
  <c r="B814" i="6" s="1"/>
  <c r="K821" i="4"/>
  <c r="B822" i="6" s="1"/>
  <c r="K829" i="4"/>
  <c r="B830" i="6" s="1"/>
  <c r="K837" i="4"/>
  <c r="K845" i="4"/>
  <c r="K853" i="4"/>
  <c r="K861" i="4"/>
  <c r="B862" i="6" s="1"/>
  <c r="K869" i="4"/>
  <c r="K877" i="4"/>
  <c r="B878" i="6" s="1"/>
  <c r="K885" i="4"/>
  <c r="B886" i="6" s="1"/>
  <c r="K893" i="4"/>
  <c r="B894" i="6" s="1"/>
  <c r="K901" i="4"/>
  <c r="K909" i="4"/>
  <c r="K917" i="4"/>
  <c r="K925" i="4"/>
  <c r="B926" i="6" s="1"/>
  <c r="K933" i="4"/>
  <c r="K941" i="4"/>
  <c r="B942" i="6" s="1"/>
  <c r="K949" i="4"/>
  <c r="B950" i="6" s="1"/>
  <c r="K957" i="4"/>
  <c r="B958" i="6" s="1"/>
  <c r="K965" i="4"/>
  <c r="K973" i="4"/>
  <c r="K981" i="4"/>
  <c r="K989" i="4"/>
  <c r="B990" i="6" s="1"/>
  <c r="K997" i="4"/>
  <c r="K1005" i="4"/>
  <c r="B1006" i="6" s="1"/>
  <c r="K1013" i="4"/>
  <c r="B1014" i="6" s="1"/>
  <c r="K1021" i="4"/>
  <c r="B1022" i="6" s="1"/>
  <c r="K1029" i="4"/>
  <c r="K1037" i="4"/>
  <c r="K1045" i="4"/>
  <c r="K1053" i="4"/>
  <c r="B1054" i="6" s="1"/>
  <c r="K1061" i="4"/>
  <c r="K36" i="4"/>
  <c r="K45" i="4"/>
  <c r="B46" i="6" s="1"/>
  <c r="K54" i="4"/>
  <c r="K63" i="4"/>
  <c r="K72" i="4"/>
  <c r="B73" i="6" s="1"/>
  <c r="K80" i="4"/>
  <c r="B81" i="6" s="1"/>
  <c r="K88" i="4"/>
  <c r="K96" i="4"/>
  <c r="K104" i="4"/>
  <c r="K112" i="4"/>
  <c r="K120" i="4"/>
  <c r="B121" i="6" s="1"/>
  <c r="K128" i="4"/>
  <c r="B129" i="6" s="1"/>
  <c r="K136" i="4"/>
  <c r="B137" i="6" s="1"/>
  <c r="K144" i="4"/>
  <c r="B145" i="6" s="1"/>
  <c r="K152" i="4"/>
  <c r="K160" i="4"/>
  <c r="K168" i="4"/>
  <c r="K176" i="4"/>
  <c r="K184" i="4"/>
  <c r="B185" i="6" s="1"/>
  <c r="K192" i="4"/>
  <c r="B193" i="6" s="1"/>
  <c r="K200" i="4"/>
  <c r="B201" i="6" s="1"/>
  <c r="K208" i="4"/>
  <c r="B209" i="6" s="1"/>
  <c r="K216" i="4"/>
  <c r="K224" i="4"/>
  <c r="K232" i="4"/>
  <c r="K240" i="4"/>
  <c r="K248" i="4"/>
  <c r="B249" i="6" s="1"/>
  <c r="K256" i="4"/>
  <c r="B257" i="6" s="1"/>
  <c r="K264" i="4"/>
  <c r="B265" i="6" s="1"/>
  <c r="K272" i="4"/>
  <c r="B273" i="6" s="1"/>
  <c r="K280" i="4"/>
  <c r="K288" i="4"/>
  <c r="K296" i="4"/>
  <c r="K304" i="4"/>
  <c r="K312" i="4"/>
  <c r="B313" i="6" s="1"/>
  <c r="K320" i="4"/>
  <c r="B321" i="6" s="1"/>
  <c r="K328" i="4"/>
  <c r="B329" i="6" s="1"/>
  <c r="K336" i="4"/>
  <c r="B337" i="6" s="1"/>
  <c r="K344" i="4"/>
  <c r="K352" i="4"/>
  <c r="K360" i="4"/>
  <c r="K368" i="4"/>
  <c r="K376" i="4"/>
  <c r="B377" i="6" s="1"/>
  <c r="K384" i="4"/>
  <c r="B385" i="6" s="1"/>
  <c r="K392" i="4"/>
  <c r="B393" i="6" s="1"/>
  <c r="K400" i="4"/>
  <c r="B401" i="6" s="1"/>
  <c r="K408" i="4"/>
  <c r="K416" i="4"/>
  <c r="K424" i="4"/>
  <c r="K432" i="4"/>
  <c r="K440" i="4"/>
  <c r="B441" i="6" s="1"/>
  <c r="K448" i="4"/>
  <c r="B449" i="6" s="1"/>
  <c r="K456" i="4"/>
  <c r="B457" i="6" s="1"/>
  <c r="K464" i="4"/>
  <c r="K472" i="4"/>
  <c r="K480" i="4"/>
  <c r="K488" i="4"/>
  <c r="K496" i="4"/>
  <c r="K504" i="4"/>
  <c r="B505" i="6" s="1"/>
  <c r="K512" i="4"/>
  <c r="B513" i="6" s="1"/>
  <c r="K520" i="4"/>
  <c r="B521" i="6" s="1"/>
  <c r="K528" i="4"/>
  <c r="K536" i="4"/>
  <c r="K544" i="4"/>
  <c r="K552" i="4"/>
  <c r="K560" i="4"/>
  <c r="K568" i="4"/>
  <c r="B569" i="6" s="1"/>
  <c r="K576" i="4"/>
  <c r="B577" i="6" s="1"/>
  <c r="K584" i="4"/>
  <c r="B585" i="6" s="1"/>
  <c r="K592" i="4"/>
  <c r="K600" i="4"/>
  <c r="K608" i="4"/>
  <c r="K616" i="4"/>
  <c r="B617" i="6" s="1"/>
  <c r="K624" i="4"/>
  <c r="B625" i="6" s="1"/>
  <c r="K632" i="4"/>
  <c r="K640" i="4"/>
  <c r="K648" i="4"/>
  <c r="B649" i="6" s="1"/>
  <c r="K656" i="4"/>
  <c r="B657" i="6" s="1"/>
  <c r="K664" i="4"/>
  <c r="B665" i="6" s="1"/>
  <c r="K672" i="4"/>
  <c r="B673" i="6" s="1"/>
  <c r="K680" i="4"/>
  <c r="B681" i="6" s="1"/>
  <c r="K688" i="4"/>
  <c r="K696" i="4"/>
  <c r="B697" i="6" s="1"/>
  <c r="K704" i="4"/>
  <c r="B705" i="6" s="1"/>
  <c r="K712" i="4"/>
  <c r="B713" i="6" s="1"/>
  <c r="K720" i="4"/>
  <c r="K728" i="4"/>
  <c r="B729" i="6" s="1"/>
  <c r="K736" i="4"/>
  <c r="B737" i="6" s="1"/>
  <c r="K744" i="4"/>
  <c r="K752" i="4"/>
  <c r="K760" i="4"/>
  <c r="K768" i="4"/>
  <c r="K776" i="4"/>
  <c r="K784" i="4"/>
  <c r="K792" i="4"/>
  <c r="B793" i="6" s="1"/>
  <c r="K800" i="4"/>
  <c r="K808" i="4"/>
  <c r="K816" i="4"/>
  <c r="K824" i="4"/>
  <c r="K832" i="4"/>
  <c r="K840" i="4"/>
  <c r="K848" i="4"/>
  <c r="B849" i="6" s="1"/>
  <c r="K856" i="4"/>
  <c r="K864" i="4"/>
  <c r="K872" i="4"/>
  <c r="K880" i="4"/>
  <c r="B881" i="6" s="1"/>
  <c r="K888" i="4"/>
  <c r="K896" i="4"/>
  <c r="K904" i="4"/>
  <c r="B905" i="6" s="1"/>
  <c r="K912" i="4"/>
  <c r="B913" i="6" s="1"/>
  <c r="K920" i="4"/>
  <c r="K928" i="4"/>
  <c r="B929" i="6" s="1"/>
  <c r="K936" i="4"/>
  <c r="B937" i="6" s="1"/>
  <c r="K944" i="4"/>
  <c r="K952" i="4"/>
  <c r="K960" i="4"/>
  <c r="B961" i="6" s="1"/>
  <c r="K968" i="4"/>
  <c r="B969" i="6" s="1"/>
  <c r="K976" i="4"/>
  <c r="K984" i="4"/>
  <c r="B985" i="6" s="1"/>
  <c r="K992" i="4"/>
  <c r="B993" i="6" s="1"/>
  <c r="K1000" i="4"/>
  <c r="K1008" i="4"/>
  <c r="K1016" i="4"/>
  <c r="B1017" i="6" s="1"/>
  <c r="K1024" i="4"/>
  <c r="B1025" i="6" s="1"/>
  <c r="K1032" i="4"/>
  <c r="K1040" i="4"/>
  <c r="K1048" i="4"/>
  <c r="K1056" i="4"/>
  <c r="K37" i="4"/>
  <c r="B38" i="6" s="1"/>
  <c r="K46" i="4"/>
  <c r="B47" i="6" s="1"/>
  <c r="K55" i="4"/>
  <c r="B56" i="6" s="1"/>
  <c r="K65" i="4"/>
  <c r="B66" i="6" s="1"/>
  <c r="K73" i="4"/>
  <c r="K81" i="4"/>
  <c r="K89" i="4"/>
  <c r="K97" i="4"/>
  <c r="K105" i="4"/>
  <c r="K113" i="4"/>
  <c r="B114" i="6" s="1"/>
  <c r="K121" i="4"/>
  <c r="B122" i="6" s="1"/>
  <c r="K129" i="4"/>
  <c r="B130" i="6" s="1"/>
  <c r="K137" i="4"/>
  <c r="K145" i="4"/>
  <c r="K153" i="4"/>
  <c r="K161" i="4"/>
  <c r="K169" i="4"/>
  <c r="K177" i="4"/>
  <c r="B178" i="6" s="1"/>
  <c r="K185" i="4"/>
  <c r="B186" i="6" s="1"/>
  <c r="K193" i="4"/>
  <c r="B194" i="6" s="1"/>
  <c r="K201" i="4"/>
  <c r="K209" i="4"/>
  <c r="K217" i="4"/>
  <c r="K225" i="4"/>
  <c r="K233" i="4"/>
  <c r="K241" i="4"/>
  <c r="B242" i="6" s="1"/>
  <c r="K249" i="4"/>
  <c r="B250" i="6" s="1"/>
  <c r="K257" i="4"/>
  <c r="B258" i="6" s="1"/>
  <c r="K53" i="4"/>
  <c r="B54" i="6" s="1"/>
  <c r="K87" i="4"/>
  <c r="B88" i="6" s="1"/>
  <c r="K119" i="4"/>
  <c r="B120" i="6" s="1"/>
  <c r="K151" i="4"/>
  <c r="B152" i="6" s="1"/>
  <c r="K183" i="4"/>
  <c r="K215" i="4"/>
  <c r="B216" i="6" s="1"/>
  <c r="K247" i="4"/>
  <c r="B248" i="6" s="1"/>
  <c r="K273" i="4"/>
  <c r="K295" i="4"/>
  <c r="K318" i="4"/>
  <c r="K337" i="4"/>
  <c r="K359" i="4"/>
  <c r="K382" i="4"/>
  <c r="K401" i="4"/>
  <c r="K423" i="4"/>
  <c r="K446" i="4"/>
  <c r="K465" i="4"/>
  <c r="K487" i="4"/>
  <c r="K510" i="4"/>
  <c r="K529" i="4"/>
  <c r="K551" i="4"/>
  <c r="K574" i="4"/>
  <c r="K593" i="4"/>
  <c r="B594" i="6" s="1"/>
  <c r="K615" i="4"/>
  <c r="K638" i="4"/>
  <c r="K657" i="4"/>
  <c r="K679" i="4"/>
  <c r="B680" i="6" s="1"/>
  <c r="K702" i="4"/>
  <c r="K721" i="4"/>
  <c r="K743" i="4"/>
  <c r="B744" i="6" s="1"/>
  <c r="K766" i="4"/>
  <c r="B767" i="6" s="1"/>
  <c r="K785" i="4"/>
  <c r="K807" i="4"/>
  <c r="B808" i="6" s="1"/>
  <c r="K823" i="4"/>
  <c r="K839" i="4"/>
  <c r="B840" i="6" s="1"/>
  <c r="K855" i="4"/>
  <c r="B856" i="6" s="1"/>
  <c r="K871" i="4"/>
  <c r="B872" i="6" s="1"/>
  <c r="K887" i="4"/>
  <c r="K903" i="4"/>
  <c r="B904" i="6" s="1"/>
  <c r="K919" i="4"/>
  <c r="B920" i="6" s="1"/>
  <c r="K935" i="4"/>
  <c r="B936" i="6" s="1"/>
  <c r="K951" i="4"/>
  <c r="K967" i="4"/>
  <c r="B968" i="6" s="1"/>
  <c r="K980" i="4"/>
  <c r="B981" i="6" s="1"/>
  <c r="K991" i="4"/>
  <c r="B992" i="6" s="1"/>
  <c r="K1002" i="4"/>
  <c r="B1003" i="6" s="1"/>
  <c r="K1012" i="4"/>
  <c r="B1013" i="6" s="1"/>
  <c r="K1023" i="4"/>
  <c r="K1034" i="4"/>
  <c r="K1044" i="4"/>
  <c r="B1045" i="6" s="1"/>
  <c r="K1055" i="4"/>
  <c r="B1056" i="6" s="1"/>
  <c r="K1065" i="4"/>
  <c r="B1066" i="6" s="1"/>
  <c r="K1073" i="4"/>
  <c r="B1074" i="6" s="1"/>
  <c r="K1081" i="4"/>
  <c r="B1082" i="6" s="1"/>
  <c r="K1089" i="4"/>
  <c r="B1090" i="6" s="1"/>
  <c r="K1097" i="4"/>
  <c r="K1105" i="4"/>
  <c r="B1106" i="6" s="1"/>
  <c r="K1113" i="4"/>
  <c r="K1121" i="4"/>
  <c r="K1129" i="4"/>
  <c r="K1137" i="4"/>
  <c r="K1145" i="4"/>
  <c r="K1153" i="4"/>
  <c r="B1154" i="6" s="1"/>
  <c r="K1161" i="4"/>
  <c r="K1169" i="4"/>
  <c r="B1170" i="6" s="1"/>
  <c r="K1177" i="4"/>
  <c r="B1178" i="6" s="1"/>
  <c r="K1185" i="4"/>
  <c r="B1186" i="6" s="1"/>
  <c r="K1193" i="4"/>
  <c r="K1201" i="4"/>
  <c r="K1209" i="4"/>
  <c r="K1217" i="4"/>
  <c r="B1218" i="6" s="1"/>
  <c r="K1225" i="4"/>
  <c r="K1233" i="4"/>
  <c r="B1234" i="6" s="1"/>
  <c r="K1241" i="4"/>
  <c r="B1242" i="6" s="1"/>
  <c r="K1249" i="4"/>
  <c r="B1250" i="6" s="1"/>
  <c r="K1257" i="4"/>
  <c r="K1265" i="4"/>
  <c r="K1273" i="4"/>
  <c r="K1281" i="4"/>
  <c r="B1282" i="6" s="1"/>
  <c r="K1289" i="4"/>
  <c r="K1297" i="4"/>
  <c r="B1298" i="6" s="1"/>
  <c r="K1305" i="4"/>
  <c r="B1306" i="6" s="1"/>
  <c r="K1313" i="4"/>
  <c r="B1314" i="6" s="1"/>
  <c r="K1321" i="4"/>
  <c r="K1329" i="4"/>
  <c r="K1337" i="4"/>
  <c r="K1345" i="4"/>
  <c r="B1346" i="6" s="1"/>
  <c r="K1353" i="4"/>
  <c r="K61" i="4"/>
  <c r="K94" i="4"/>
  <c r="B95" i="6" s="1"/>
  <c r="K126" i="4"/>
  <c r="K158" i="4"/>
  <c r="B159" i="6" s="1"/>
  <c r="K190" i="4"/>
  <c r="K222" i="4"/>
  <c r="B223" i="6" s="1"/>
  <c r="K254" i="4"/>
  <c r="K278" i="4"/>
  <c r="K297" i="4"/>
  <c r="K319" i="4"/>
  <c r="K342" i="4"/>
  <c r="K361" i="4"/>
  <c r="K383" i="4"/>
  <c r="K406" i="4"/>
  <c r="K425" i="4"/>
  <c r="K447" i="4"/>
  <c r="K470" i="4"/>
  <c r="K489" i="4"/>
  <c r="K511" i="4"/>
  <c r="K534" i="4"/>
  <c r="K553" i="4"/>
  <c r="K575" i="4"/>
  <c r="K598" i="4"/>
  <c r="K617" i="4"/>
  <c r="K639" i="4"/>
  <c r="K662" i="4"/>
  <c r="B663" i="6" s="1"/>
  <c r="K681" i="4"/>
  <c r="B682" i="6" s="1"/>
  <c r="K703" i="4"/>
  <c r="K726" i="4"/>
  <c r="B727" i="6" s="1"/>
  <c r="K745" i="4"/>
  <c r="B746" i="6" s="1"/>
  <c r="K767" i="4"/>
  <c r="K790" i="4"/>
  <c r="B791" i="6" s="1"/>
  <c r="K809" i="4"/>
  <c r="B810" i="6" s="1"/>
  <c r="K825" i="4"/>
  <c r="K841" i="4"/>
  <c r="K857" i="4"/>
  <c r="K873" i="4"/>
  <c r="B874" i="6" s="1"/>
  <c r="K889" i="4"/>
  <c r="K905" i="4"/>
  <c r="K921" i="4"/>
  <c r="K937" i="4"/>
  <c r="B938" i="6" s="1"/>
  <c r="K953" i="4"/>
  <c r="K969" i="4"/>
  <c r="K982" i="4"/>
  <c r="B983" i="6" s="1"/>
  <c r="K993" i="4"/>
  <c r="B994" i="6" s="1"/>
  <c r="K1003" i="4"/>
  <c r="B1004" i="6" s="1"/>
  <c r="K1014" i="4"/>
  <c r="K1025" i="4"/>
  <c r="K1035" i="4"/>
  <c r="K1046" i="4"/>
  <c r="B1047" i="6" s="1"/>
  <c r="K1057" i="4"/>
  <c r="K1066" i="4"/>
  <c r="K1074" i="4"/>
  <c r="K1082" i="4"/>
  <c r="K1090" i="4"/>
  <c r="B1091" i="6" s="1"/>
  <c r="K1098" i="4"/>
  <c r="B1099" i="6" s="1"/>
  <c r="K1106" i="4"/>
  <c r="B1107" i="6" s="1"/>
  <c r="K1114" i="4"/>
  <c r="B1115" i="6" s="1"/>
  <c r="K1122" i="4"/>
  <c r="K1130" i="4"/>
  <c r="K1138" i="4"/>
  <c r="B1139" i="6" s="1"/>
  <c r="K1146" i="4"/>
  <c r="K1154" i="4"/>
  <c r="K1162" i="4"/>
  <c r="K1170" i="4"/>
  <c r="K1178" i="4"/>
  <c r="B1179" i="6" s="1"/>
  <c r="K1186" i="4"/>
  <c r="B1187" i="6" s="1"/>
  <c r="K1194" i="4"/>
  <c r="B1195" i="6" s="1"/>
  <c r="K1202" i="4"/>
  <c r="K1210" i="4"/>
  <c r="K1218" i="4"/>
  <c r="K1226" i="4"/>
  <c r="K1234" i="4"/>
  <c r="K1242" i="4"/>
  <c r="B1243" i="6" s="1"/>
  <c r="K1250" i="4"/>
  <c r="B1251" i="6" s="1"/>
  <c r="K1258" i="4"/>
  <c r="B1259" i="6" s="1"/>
  <c r="K1266" i="4"/>
  <c r="K1274" i="4"/>
  <c r="K1282" i="4"/>
  <c r="K1290" i="4"/>
  <c r="K1298" i="4"/>
  <c r="K1306" i="4"/>
  <c r="B1307" i="6" s="1"/>
  <c r="K1314" i="4"/>
  <c r="B1315" i="6" s="1"/>
  <c r="K1322" i="4"/>
  <c r="B1323" i="6" s="1"/>
  <c r="K1330" i="4"/>
  <c r="K1338" i="4"/>
  <c r="K1346" i="4"/>
  <c r="K1354" i="4"/>
  <c r="K1362" i="4"/>
  <c r="K1370" i="4"/>
  <c r="B1371" i="6" s="1"/>
  <c r="K1378" i="4"/>
  <c r="B1379" i="6" s="1"/>
  <c r="K1386" i="4"/>
  <c r="B1387" i="6" s="1"/>
  <c r="K1394" i="4"/>
  <c r="K1402" i="4"/>
  <c r="K1410" i="4"/>
  <c r="K1418" i="4"/>
  <c r="K1426" i="4"/>
  <c r="K1434" i="4"/>
  <c r="B1435" i="6" s="1"/>
  <c r="K1442" i="4"/>
  <c r="B1443" i="6" s="1"/>
  <c r="K1450" i="4"/>
  <c r="B1451" i="6" s="1"/>
  <c r="K1458" i="4"/>
  <c r="K1466" i="4"/>
  <c r="K1474" i="4"/>
  <c r="K1482" i="4"/>
  <c r="K1490" i="4"/>
  <c r="K1498" i="4"/>
  <c r="B1499" i="6" s="1"/>
  <c r="K1506" i="4"/>
  <c r="B1507" i="6" s="1"/>
  <c r="K1514" i="4"/>
  <c r="B1515" i="6" s="1"/>
  <c r="K1522" i="4"/>
  <c r="K1530" i="4"/>
  <c r="K1538" i="4"/>
  <c r="K1546" i="4"/>
  <c r="K1554" i="4"/>
  <c r="K1562" i="4"/>
  <c r="B1563" i="6" s="1"/>
  <c r="K1570" i="4"/>
  <c r="B1571" i="6" s="1"/>
  <c r="K1578" i="4"/>
  <c r="B1579" i="6" s="1"/>
  <c r="K1586" i="4"/>
  <c r="K1594" i="4"/>
  <c r="K1602" i="4"/>
  <c r="K1610" i="4"/>
  <c r="K1618" i="4"/>
  <c r="B1619" i="6" s="1"/>
  <c r="K1626" i="4"/>
  <c r="B1627" i="6" s="1"/>
  <c r="K1634" i="4"/>
  <c r="B1635" i="6" s="1"/>
  <c r="K1642" i="4"/>
  <c r="B1643" i="6" s="1"/>
  <c r="K1650" i="4"/>
  <c r="B1651" i="6" s="1"/>
  <c r="K1658" i="4"/>
  <c r="B1659" i="6" s="1"/>
  <c r="K1666" i="4"/>
  <c r="K1674" i="4"/>
  <c r="B1675" i="6" s="1"/>
  <c r="K1682" i="4"/>
  <c r="K1690" i="4"/>
  <c r="B1691" i="6" s="1"/>
  <c r="K1698" i="4"/>
  <c r="B1699" i="6" s="1"/>
  <c r="K1706" i="4"/>
  <c r="B1707" i="6" s="1"/>
  <c r="K1714" i="4"/>
  <c r="B1715" i="6" s="1"/>
  <c r="K1722" i="4"/>
  <c r="B1723" i="6" s="1"/>
  <c r="K1730" i="4"/>
  <c r="K1738" i="4"/>
  <c r="B1739" i="6" s="1"/>
  <c r="K1746" i="4"/>
  <c r="K1754" i="4"/>
  <c r="B1755" i="6" s="1"/>
  <c r="K1762" i="4"/>
  <c r="B1763" i="6" s="1"/>
  <c r="K1770" i="4"/>
  <c r="B1771" i="6" s="1"/>
  <c r="K1778" i="4"/>
  <c r="B1779" i="6" s="1"/>
  <c r="K1786" i="4"/>
  <c r="B1787" i="6" s="1"/>
  <c r="K1794" i="4"/>
  <c r="K1802" i="4"/>
  <c r="K1810" i="4"/>
  <c r="K1818" i="4"/>
  <c r="K1826" i="4"/>
  <c r="K62" i="4"/>
  <c r="K95" i="4"/>
  <c r="K127" i="4"/>
  <c r="K159" i="4"/>
  <c r="K191" i="4"/>
  <c r="K223" i="4"/>
  <c r="K255" i="4"/>
  <c r="B256" i="6" s="1"/>
  <c r="K279" i="4"/>
  <c r="B280" i="6" s="1"/>
  <c r="K302" i="4"/>
  <c r="B303" i="6" s="1"/>
  <c r="K321" i="4"/>
  <c r="B322" i="6" s="1"/>
  <c r="K343" i="4"/>
  <c r="B344" i="6" s="1"/>
  <c r="K366" i="4"/>
  <c r="B367" i="6" s="1"/>
  <c r="K385" i="4"/>
  <c r="B386" i="6" s="1"/>
  <c r="K407" i="4"/>
  <c r="B408" i="6" s="1"/>
  <c r="K430" i="4"/>
  <c r="B431" i="6" s="1"/>
  <c r="K449" i="4"/>
  <c r="B450" i="6" s="1"/>
  <c r="K471" i="4"/>
  <c r="B472" i="6" s="1"/>
  <c r="K494" i="4"/>
  <c r="B495" i="6" s="1"/>
  <c r="K513" i="4"/>
  <c r="B514" i="6" s="1"/>
  <c r="K535" i="4"/>
  <c r="B536" i="6" s="1"/>
  <c r="K558" i="4"/>
  <c r="B559" i="6" s="1"/>
  <c r="K577" i="4"/>
  <c r="K599" i="4"/>
  <c r="B600" i="6" s="1"/>
  <c r="K622" i="4"/>
  <c r="B623" i="6" s="1"/>
  <c r="K641" i="4"/>
  <c r="K663" i="4"/>
  <c r="B664" i="6" s="1"/>
  <c r="K686" i="4"/>
  <c r="K705" i="4"/>
  <c r="K727" i="4"/>
  <c r="B728" i="6" s="1"/>
  <c r="K750" i="4"/>
  <c r="K769" i="4"/>
  <c r="K791" i="4"/>
  <c r="B792" i="6" s="1"/>
  <c r="K812" i="4"/>
  <c r="K828" i="4"/>
  <c r="K844" i="4"/>
  <c r="B845" i="6" s="1"/>
  <c r="K860" i="4"/>
  <c r="K876" i="4"/>
  <c r="K892" i="4"/>
  <c r="K908" i="4"/>
  <c r="B909" i="6" s="1"/>
  <c r="K924" i="4"/>
  <c r="K940" i="4"/>
  <c r="K956" i="4"/>
  <c r="K970" i="4"/>
  <c r="K983" i="4"/>
  <c r="B984" i="6" s="1"/>
  <c r="K994" i="4"/>
  <c r="K1004" i="4"/>
  <c r="K1015" i="4"/>
  <c r="K1026" i="4"/>
  <c r="B1027" i="6" s="1"/>
  <c r="K1036" i="4"/>
  <c r="B1037" i="6" s="1"/>
  <c r="K1047" i="4"/>
  <c r="B1048" i="6" s="1"/>
  <c r="K1058" i="4"/>
  <c r="B1059" i="6" s="1"/>
  <c r="K1067" i="4"/>
  <c r="B1068" i="6" s="1"/>
  <c r="K1075" i="4"/>
  <c r="B1076" i="6" s="1"/>
  <c r="K1083" i="4"/>
  <c r="B1084" i="6" s="1"/>
  <c r="K1091" i="4"/>
  <c r="K1099" i="4"/>
  <c r="K1107" i="4"/>
  <c r="K1115" i="4"/>
  <c r="K1123" i="4"/>
  <c r="K1131" i="4"/>
  <c r="B1132" i="6" s="1"/>
  <c r="K1139" i="4"/>
  <c r="B1140" i="6" s="1"/>
  <c r="K1147" i="4"/>
  <c r="B1148" i="6" s="1"/>
  <c r="K1155" i="4"/>
  <c r="B1156" i="6" s="1"/>
  <c r="K1163" i="4"/>
  <c r="K1171" i="4"/>
  <c r="K1179" i="4"/>
  <c r="K1187" i="4"/>
  <c r="B1188" i="6" s="1"/>
  <c r="K1195" i="4"/>
  <c r="K1203" i="4"/>
  <c r="B1204" i="6" s="1"/>
  <c r="K1211" i="4"/>
  <c r="B1212" i="6" s="1"/>
  <c r="K1219" i="4"/>
  <c r="B1220" i="6" s="1"/>
  <c r="K1227" i="4"/>
  <c r="K1235" i="4"/>
  <c r="K1243" i="4"/>
  <c r="K1251" i="4"/>
  <c r="B1252" i="6" s="1"/>
  <c r="K1259" i="4"/>
  <c r="K1267" i="4"/>
  <c r="B1268" i="6" s="1"/>
  <c r="K1275" i="4"/>
  <c r="B1276" i="6" s="1"/>
  <c r="K1283" i="4"/>
  <c r="B1284" i="6" s="1"/>
  <c r="K1291" i="4"/>
  <c r="K1299" i="4"/>
  <c r="K1307" i="4"/>
  <c r="K1315" i="4"/>
  <c r="B1316" i="6" s="1"/>
  <c r="K1323" i="4"/>
  <c r="K1331" i="4"/>
  <c r="B1332" i="6" s="1"/>
  <c r="K1339" i="4"/>
  <c r="B1340" i="6" s="1"/>
  <c r="K1347" i="4"/>
  <c r="B1348" i="6" s="1"/>
  <c r="K1355" i="4"/>
  <c r="K1363" i="4"/>
  <c r="K1371" i="4"/>
  <c r="K1379" i="4"/>
  <c r="B1380" i="6" s="1"/>
  <c r="K1387" i="4"/>
  <c r="K1395" i="4"/>
  <c r="B1396" i="6" s="1"/>
  <c r="K1403" i="4"/>
  <c r="B1404" i="6" s="1"/>
  <c r="K1411" i="4"/>
  <c r="B1412" i="6" s="1"/>
  <c r="K1419" i="4"/>
  <c r="K1427" i="4"/>
  <c r="K1435" i="4"/>
  <c r="K1443" i="4"/>
  <c r="B1444" i="6" s="1"/>
  <c r="K1451" i="4"/>
  <c r="K1459" i="4"/>
  <c r="B1460" i="6" s="1"/>
  <c r="K1467" i="4"/>
  <c r="B1468" i="6" s="1"/>
  <c r="K1475" i="4"/>
  <c r="B1476" i="6" s="1"/>
  <c r="K1483" i="4"/>
  <c r="K1491" i="4"/>
  <c r="K1499" i="4"/>
  <c r="K1507" i="4"/>
  <c r="B1508" i="6" s="1"/>
  <c r="K1515" i="4"/>
  <c r="K1523" i="4"/>
  <c r="B1524" i="6" s="1"/>
  <c r="K1531" i="4"/>
  <c r="B1532" i="6" s="1"/>
  <c r="K1539" i="4"/>
  <c r="B1540" i="6" s="1"/>
  <c r="K1547" i="4"/>
  <c r="B1548" i="6" s="1"/>
  <c r="K1555" i="4"/>
  <c r="K1563" i="4"/>
  <c r="B1564" i="6" s="1"/>
  <c r="K1571" i="4"/>
  <c r="K1579" i="4"/>
  <c r="B1580" i="6" s="1"/>
  <c r="K1587" i="4"/>
  <c r="K1595" i="4"/>
  <c r="B1596" i="6" s="1"/>
  <c r="K1603" i="4"/>
  <c r="B1604" i="6" s="1"/>
  <c r="K1611" i="4"/>
  <c r="K1619" i="4"/>
  <c r="B1620" i="6" s="1"/>
  <c r="K1627" i="4"/>
  <c r="B1628" i="6" s="1"/>
  <c r="K1635" i="4"/>
  <c r="B1636" i="6" s="1"/>
  <c r="K1643" i="4"/>
  <c r="B1644" i="6" s="1"/>
  <c r="K1651" i="4"/>
  <c r="B1652" i="6" s="1"/>
  <c r="K1659" i="4"/>
  <c r="K1667" i="4"/>
  <c r="B1668" i="6" s="1"/>
  <c r="K1675" i="4"/>
  <c r="B1676" i="6" s="1"/>
  <c r="K1683" i="4"/>
  <c r="B1684" i="6" s="1"/>
  <c r="K1691" i="4"/>
  <c r="B1692" i="6" s="1"/>
  <c r="K1699" i="4"/>
  <c r="B1700" i="6" s="1"/>
  <c r="K1707" i="4"/>
  <c r="B1708" i="6" s="1"/>
  <c r="K1715" i="4"/>
  <c r="B1716" i="6" s="1"/>
  <c r="K1723" i="4"/>
  <c r="K1731" i="4"/>
  <c r="B1732" i="6" s="1"/>
  <c r="K1739" i="4"/>
  <c r="B1740" i="6" s="1"/>
  <c r="K1747" i="4"/>
  <c r="B1748" i="6" s="1"/>
  <c r="K1755" i="4"/>
  <c r="B1756" i="6" s="1"/>
  <c r="K1763" i="4"/>
  <c r="B1764" i="6" s="1"/>
  <c r="K1771" i="4"/>
  <c r="B1772" i="6" s="1"/>
  <c r="K1779" i="4"/>
  <c r="B1780" i="6" s="1"/>
  <c r="K1787" i="4"/>
  <c r="B1788" i="6" s="1"/>
  <c r="K1795" i="4"/>
  <c r="K1803" i="4"/>
  <c r="K1811" i="4"/>
  <c r="K1819" i="4"/>
  <c r="K33" i="4"/>
  <c r="B34" i="6" s="1"/>
  <c r="K70" i="4"/>
  <c r="K102" i="4"/>
  <c r="B103" i="6" s="1"/>
  <c r="K134" i="4"/>
  <c r="K166" i="4"/>
  <c r="B167" i="6" s="1"/>
  <c r="K198" i="4"/>
  <c r="K230" i="4"/>
  <c r="B231" i="6" s="1"/>
  <c r="K262" i="4"/>
  <c r="K281" i="4"/>
  <c r="K303" i="4"/>
  <c r="K326" i="4"/>
  <c r="K345" i="4"/>
  <c r="K367" i="4"/>
  <c r="K390" i="4"/>
  <c r="K409" i="4"/>
  <c r="K431" i="4"/>
  <c r="K454" i="4"/>
  <c r="K473" i="4"/>
  <c r="K495" i="4"/>
  <c r="K518" i="4"/>
  <c r="K537" i="4"/>
  <c r="K559" i="4"/>
  <c r="K582" i="4"/>
  <c r="K601" i="4"/>
  <c r="K623" i="4"/>
  <c r="B624" i="6" s="1"/>
  <c r="K646" i="4"/>
  <c r="K665" i="4"/>
  <c r="K687" i="4"/>
  <c r="K710" i="4"/>
  <c r="K729" i="4"/>
  <c r="K751" i="4"/>
  <c r="K774" i="4"/>
  <c r="K793" i="4"/>
  <c r="K814" i="4"/>
  <c r="K830" i="4"/>
  <c r="K846" i="4"/>
  <c r="B847" i="6" s="1"/>
  <c r="K862" i="4"/>
  <c r="B863" i="6" s="1"/>
  <c r="K878" i="4"/>
  <c r="K894" i="4"/>
  <c r="K910" i="4"/>
  <c r="B911" i="6" s="1"/>
  <c r="K926" i="4"/>
  <c r="B927" i="6" s="1"/>
  <c r="K942" i="4"/>
  <c r="K958" i="4"/>
  <c r="K972" i="4"/>
  <c r="B973" i="6" s="1"/>
  <c r="K985" i="4"/>
  <c r="K995" i="4"/>
  <c r="K1006" i="4"/>
  <c r="K1017" i="4"/>
  <c r="K1027" i="4"/>
  <c r="K1038" i="4"/>
  <c r="B1039" i="6" s="1"/>
  <c r="K1049" i="4"/>
  <c r="B1050" i="6" s="1"/>
  <c r="K1059" i="4"/>
  <c r="K1068" i="4"/>
  <c r="K1076" i="4"/>
  <c r="B1077" i="6" s="1"/>
  <c r="K1084" i="4"/>
  <c r="K1092" i="4"/>
  <c r="B1093" i="6" s="1"/>
  <c r="K1100" i="4"/>
  <c r="B1101" i="6" s="1"/>
  <c r="K1108" i="4"/>
  <c r="B1109" i="6" s="1"/>
  <c r="K1116" i="4"/>
  <c r="K1124" i="4"/>
  <c r="K1132" i="4"/>
  <c r="B1133" i="6" s="1"/>
  <c r="K1140" i="4"/>
  <c r="K1148" i="4"/>
  <c r="K1156" i="4"/>
  <c r="K1164" i="4"/>
  <c r="K1172" i="4"/>
  <c r="B1173" i="6" s="1"/>
  <c r="K1180" i="4"/>
  <c r="B1181" i="6" s="1"/>
  <c r="K1188" i="4"/>
  <c r="B1189" i="6" s="1"/>
  <c r="K1196" i="4"/>
  <c r="K1204" i="4"/>
  <c r="K1212" i="4"/>
  <c r="K1220" i="4"/>
  <c r="K1228" i="4"/>
  <c r="K1236" i="4"/>
  <c r="B1237" i="6" s="1"/>
  <c r="K1244" i="4"/>
  <c r="B1245" i="6" s="1"/>
  <c r="K1252" i="4"/>
  <c r="B1253" i="6" s="1"/>
  <c r="K1260" i="4"/>
  <c r="K1268" i="4"/>
  <c r="K1276" i="4"/>
  <c r="K1284" i="4"/>
  <c r="K1292" i="4"/>
  <c r="K1300" i="4"/>
  <c r="B1301" i="6" s="1"/>
  <c r="K1308" i="4"/>
  <c r="B1309" i="6" s="1"/>
  <c r="K1316" i="4"/>
  <c r="B1317" i="6" s="1"/>
  <c r="K1324" i="4"/>
  <c r="K1332" i="4"/>
  <c r="K1340" i="4"/>
  <c r="K1348" i="4"/>
  <c r="K1356" i="4"/>
  <c r="K1364" i="4"/>
  <c r="B1365" i="6" s="1"/>
  <c r="K1372" i="4"/>
  <c r="B1373" i="6" s="1"/>
  <c r="K1380" i="4"/>
  <c r="B1381" i="6" s="1"/>
  <c r="K1388" i="4"/>
  <c r="K1396" i="4"/>
  <c r="K1404" i="4"/>
  <c r="K1412" i="4"/>
  <c r="K1420" i="4"/>
  <c r="K1428" i="4"/>
  <c r="B1429" i="6" s="1"/>
  <c r="K1436" i="4"/>
  <c r="B1437" i="6" s="1"/>
  <c r="K1444" i="4"/>
  <c r="B1445" i="6" s="1"/>
  <c r="K1452" i="4"/>
  <c r="K1460" i="4"/>
  <c r="K1468" i="4"/>
  <c r="K1476" i="4"/>
  <c r="K1484" i="4"/>
  <c r="K1492" i="4"/>
  <c r="B1493" i="6" s="1"/>
  <c r="K1500" i="4"/>
  <c r="B1501" i="6" s="1"/>
  <c r="K1508" i="4"/>
  <c r="B1509" i="6" s="1"/>
  <c r="K1516" i="4"/>
  <c r="K1524" i="4"/>
  <c r="K1532" i="4"/>
  <c r="K1540" i="4"/>
  <c r="K1548" i="4"/>
  <c r="K1556" i="4"/>
  <c r="B1557" i="6" s="1"/>
  <c r="K1564" i="4"/>
  <c r="B1565" i="6" s="1"/>
  <c r="K1572" i="4"/>
  <c r="B1573" i="6" s="1"/>
  <c r="K1580" i="4"/>
  <c r="K1588" i="4"/>
  <c r="K1596" i="4"/>
  <c r="K1604" i="4"/>
  <c r="K1612" i="4"/>
  <c r="K1620" i="4"/>
  <c r="B1621" i="6" s="1"/>
  <c r="K1628" i="4"/>
  <c r="B1629" i="6" s="1"/>
  <c r="K1636" i="4"/>
  <c r="B1637" i="6" s="1"/>
  <c r="K1644" i="4"/>
  <c r="B1645" i="6" s="1"/>
  <c r="K1652" i="4"/>
  <c r="B1653" i="6" s="1"/>
  <c r="K1660" i="4"/>
  <c r="B1661" i="6" s="1"/>
  <c r="K1668" i="4"/>
  <c r="B1669" i="6" s="1"/>
  <c r="K1676" i="4"/>
  <c r="B1677" i="6" s="1"/>
  <c r="K1684" i="4"/>
  <c r="B1685" i="6" s="1"/>
  <c r="K1692" i="4"/>
  <c r="B1693" i="6" s="1"/>
  <c r="K1700" i="4"/>
  <c r="B1701" i="6" s="1"/>
  <c r="K1708" i="4"/>
  <c r="B1709" i="6" s="1"/>
  <c r="K1716" i="4"/>
  <c r="B1717" i="6" s="1"/>
  <c r="K1724" i="4"/>
  <c r="B1725" i="6" s="1"/>
  <c r="K1732" i="4"/>
  <c r="B1733" i="6" s="1"/>
  <c r="K1740" i="4"/>
  <c r="B1741" i="6" s="1"/>
  <c r="K1748" i="4"/>
  <c r="B1749" i="6" s="1"/>
  <c r="K1756" i="4"/>
  <c r="B1757" i="6" s="1"/>
  <c r="K1764" i="4"/>
  <c r="B1765" i="6" s="1"/>
  <c r="K1772" i="4"/>
  <c r="B1773" i="6" s="1"/>
  <c r="K1780" i="4"/>
  <c r="B1781" i="6" s="1"/>
  <c r="K1788" i="4"/>
  <c r="B1789" i="6" s="1"/>
  <c r="K1796" i="4"/>
  <c r="K1804" i="4"/>
  <c r="K1812" i="4"/>
  <c r="K1820" i="4"/>
  <c r="K44" i="4"/>
  <c r="K79" i="4"/>
  <c r="B80" i="6" s="1"/>
  <c r="K111" i="4"/>
  <c r="K143" i="4"/>
  <c r="B144" i="6" s="1"/>
  <c r="K175" i="4"/>
  <c r="K207" i="4"/>
  <c r="B208" i="6" s="1"/>
  <c r="K239" i="4"/>
  <c r="K270" i="4"/>
  <c r="K289" i="4"/>
  <c r="K311" i="4"/>
  <c r="B312" i="6" s="1"/>
  <c r="K334" i="4"/>
  <c r="B335" i="6" s="1"/>
  <c r="K353" i="4"/>
  <c r="B354" i="6" s="1"/>
  <c r="K375" i="4"/>
  <c r="K398" i="4"/>
  <c r="B399" i="6" s="1"/>
  <c r="K417" i="4"/>
  <c r="B418" i="6" s="1"/>
  <c r="K439" i="4"/>
  <c r="K462" i="4"/>
  <c r="K481" i="4"/>
  <c r="B482" i="6" s="1"/>
  <c r="K503" i="4"/>
  <c r="B504" i="6" s="1"/>
  <c r="K526" i="4"/>
  <c r="B527" i="6" s="1"/>
  <c r="K545" i="4"/>
  <c r="K567" i="4"/>
  <c r="B568" i="6" s="1"/>
  <c r="K590" i="4"/>
  <c r="B591" i="6" s="1"/>
  <c r="K609" i="4"/>
  <c r="B610" i="6" s="1"/>
  <c r="K631" i="4"/>
  <c r="K654" i="4"/>
  <c r="B655" i="6" s="1"/>
  <c r="K673" i="4"/>
  <c r="B674" i="6" s="1"/>
  <c r="K695" i="4"/>
  <c r="K718" i="4"/>
  <c r="B719" i="6" s="1"/>
  <c r="K737" i="4"/>
  <c r="B738" i="6" s="1"/>
  <c r="K759" i="4"/>
  <c r="K782" i="4"/>
  <c r="B783" i="6" s="1"/>
  <c r="K801" i="4"/>
  <c r="B802" i="6" s="1"/>
  <c r="K820" i="4"/>
  <c r="B821" i="6" s="1"/>
  <c r="K836" i="4"/>
  <c r="B837" i="6" s="1"/>
  <c r="K852" i="4"/>
  <c r="B853" i="6" s="1"/>
  <c r="K868" i="4"/>
  <c r="K884" i="4"/>
  <c r="B885" i="6" s="1"/>
  <c r="K900" i="4"/>
  <c r="B901" i="6" s="1"/>
  <c r="K916" i="4"/>
  <c r="B917" i="6" s="1"/>
  <c r="K932" i="4"/>
  <c r="K948" i="4"/>
  <c r="B949" i="6" s="1"/>
  <c r="K964" i="4"/>
  <c r="B965" i="6" s="1"/>
  <c r="K977" i="4"/>
  <c r="K988" i="4"/>
  <c r="K999" i="4"/>
  <c r="B1000" i="6" s="1"/>
  <c r="K1010" i="4"/>
  <c r="B1011" i="6" s="1"/>
  <c r="K1020" i="4"/>
  <c r="K1031" i="4"/>
  <c r="K1042" i="4"/>
  <c r="B1043" i="6" s="1"/>
  <c r="K1052" i="4"/>
  <c r="K1063" i="4"/>
  <c r="B1064" i="6" s="1"/>
  <c r="K1071" i="4"/>
  <c r="K1079" i="4"/>
  <c r="K1087" i="4"/>
  <c r="K1095" i="4"/>
  <c r="B1096" i="6" s="1"/>
  <c r="K1103" i="4"/>
  <c r="K1111" i="4"/>
  <c r="K1119" i="4"/>
  <c r="B1120" i="6" s="1"/>
  <c r="K1127" i="4"/>
  <c r="K1135" i="4"/>
  <c r="B1136" i="6" s="1"/>
  <c r="K1143" i="4"/>
  <c r="B1144" i="6" s="1"/>
  <c r="K1151" i="4"/>
  <c r="B1152" i="6" s="1"/>
  <c r="K1159" i="4"/>
  <c r="B1160" i="6" s="1"/>
  <c r="K1167" i="4"/>
  <c r="B1168" i="6" s="1"/>
  <c r="K1175" i="4"/>
  <c r="K1183" i="4"/>
  <c r="B1184" i="6" s="1"/>
  <c r="K1191" i="4"/>
  <c r="K1199" i="4"/>
  <c r="B1200" i="6" s="1"/>
  <c r="K1207" i="4"/>
  <c r="K1215" i="4"/>
  <c r="B1216" i="6" s="1"/>
  <c r="K1223" i="4"/>
  <c r="B1224" i="6" s="1"/>
  <c r="K1231" i="4"/>
  <c r="B1232" i="6" s="1"/>
  <c r="K1239" i="4"/>
  <c r="K1247" i="4"/>
  <c r="K1255" i="4"/>
  <c r="B1256" i="6" s="1"/>
  <c r="K1263" i="4"/>
  <c r="B1264" i="6" s="1"/>
  <c r="K1271" i="4"/>
  <c r="B1272" i="6" s="1"/>
  <c r="K1279" i="4"/>
  <c r="B1280" i="6" s="1"/>
  <c r="K1287" i="4"/>
  <c r="B1288" i="6" s="1"/>
  <c r="K1295" i="4"/>
  <c r="B1296" i="6" s="1"/>
  <c r="K1303" i="4"/>
  <c r="B1304" i="6" s="1"/>
  <c r="K1311" i="4"/>
  <c r="K1319" i="4"/>
  <c r="B1320" i="6" s="1"/>
  <c r="K1327" i="4"/>
  <c r="B1328" i="6" s="1"/>
  <c r="K1335" i="4"/>
  <c r="B1336" i="6" s="1"/>
  <c r="K1343" i="4"/>
  <c r="K1351" i="4"/>
  <c r="K1359" i="4"/>
  <c r="B1360" i="6" s="1"/>
  <c r="K1367" i="4"/>
  <c r="K1375" i="4"/>
  <c r="K1383" i="4"/>
  <c r="B1384" i="6" s="1"/>
  <c r="K1391" i="4"/>
  <c r="B1392" i="6" s="1"/>
  <c r="K1399" i="4"/>
  <c r="B1400" i="6" s="1"/>
  <c r="K1407" i="4"/>
  <c r="B1408" i="6" s="1"/>
  <c r="K1415" i="4"/>
  <c r="B1416" i="6" s="1"/>
  <c r="K1423" i="4"/>
  <c r="B1424" i="6" s="1"/>
  <c r="K1431" i="4"/>
  <c r="K1439" i="4"/>
  <c r="B1440" i="6" s="1"/>
  <c r="K1447" i="4"/>
  <c r="K1455" i="4"/>
  <c r="B1456" i="6" s="1"/>
  <c r="K1463" i="4"/>
  <c r="K1471" i="4"/>
  <c r="B1472" i="6" s="1"/>
  <c r="K1479" i="4"/>
  <c r="B1480" i="6" s="1"/>
  <c r="K1487" i="4"/>
  <c r="B1488" i="6" s="1"/>
  <c r="K1495" i="4"/>
  <c r="K1503" i="4"/>
  <c r="K1511" i="4"/>
  <c r="B1512" i="6" s="1"/>
  <c r="K1519" i="4"/>
  <c r="B1520" i="6" s="1"/>
  <c r="K1527" i="4"/>
  <c r="B1528" i="6" s="1"/>
  <c r="K1535" i="4"/>
  <c r="B1536" i="6" s="1"/>
  <c r="K1543" i="4"/>
  <c r="B1544" i="6" s="1"/>
  <c r="K1551" i="4"/>
  <c r="B1552" i="6" s="1"/>
  <c r="K1559" i="4"/>
  <c r="B1560" i="6" s="1"/>
  <c r="K1567" i="4"/>
  <c r="B1568" i="6" s="1"/>
  <c r="K1575" i="4"/>
  <c r="B1576" i="6" s="1"/>
  <c r="K1583" i="4"/>
  <c r="K1591" i="4"/>
  <c r="K1599" i="4"/>
  <c r="K1607" i="4"/>
  <c r="B1608" i="6" s="1"/>
  <c r="K1615" i="4"/>
  <c r="B1616" i="6" s="1"/>
  <c r="K1623" i="4"/>
  <c r="B1624" i="6" s="1"/>
  <c r="K1631" i="4"/>
  <c r="B1632" i="6" s="1"/>
  <c r="K1639" i="4"/>
  <c r="B1640" i="6" s="1"/>
  <c r="K1647" i="4"/>
  <c r="K1655" i="4"/>
  <c r="B1656" i="6" s="1"/>
  <c r="K1663" i="4"/>
  <c r="K1671" i="4"/>
  <c r="K1679" i="4"/>
  <c r="K1687" i="4"/>
  <c r="B1688" i="6" s="1"/>
  <c r="K1695" i="4"/>
  <c r="B1696" i="6" s="1"/>
  <c r="K1703" i="4"/>
  <c r="B1704" i="6" s="1"/>
  <c r="K1711" i="4"/>
  <c r="K1719" i="4"/>
  <c r="B1720" i="6" s="1"/>
  <c r="K1727" i="4"/>
  <c r="K1735" i="4"/>
  <c r="K1743" i="4"/>
  <c r="K1751" i="4"/>
  <c r="B1752" i="6" s="1"/>
  <c r="K1759" i="4"/>
  <c r="B1760" i="6" s="1"/>
  <c r="K1767" i="4"/>
  <c r="B1768" i="6" s="1"/>
  <c r="K1775" i="4"/>
  <c r="K1783" i="4"/>
  <c r="B1784" i="6" s="1"/>
  <c r="K1791" i="4"/>
  <c r="K1799" i="4"/>
  <c r="K1807" i="4"/>
  <c r="K1815" i="4"/>
  <c r="K1823" i="4"/>
  <c r="K52" i="4"/>
  <c r="B53" i="6" s="1"/>
  <c r="K86" i="4"/>
  <c r="K118" i="4"/>
  <c r="K150" i="4"/>
  <c r="B151" i="6" s="1"/>
  <c r="K182" i="4"/>
  <c r="K214" i="4"/>
  <c r="K246" i="4"/>
  <c r="B247" i="6" s="1"/>
  <c r="K271" i="4"/>
  <c r="B272" i="6" s="1"/>
  <c r="K294" i="4"/>
  <c r="B295" i="6" s="1"/>
  <c r="K313" i="4"/>
  <c r="B314" i="6" s="1"/>
  <c r="K335" i="4"/>
  <c r="B336" i="6" s="1"/>
  <c r="K358" i="4"/>
  <c r="B359" i="6" s="1"/>
  <c r="K377" i="4"/>
  <c r="B378" i="6" s="1"/>
  <c r="K399" i="4"/>
  <c r="B400" i="6" s="1"/>
  <c r="K422" i="4"/>
  <c r="B423" i="6" s="1"/>
  <c r="K441" i="4"/>
  <c r="B442" i="6" s="1"/>
  <c r="K463" i="4"/>
  <c r="B464" i="6" s="1"/>
  <c r="K486" i="4"/>
  <c r="B487" i="6" s="1"/>
  <c r="K505" i="4"/>
  <c r="B506" i="6" s="1"/>
  <c r="K527" i="4"/>
  <c r="B528" i="6" s="1"/>
  <c r="K550" i="4"/>
  <c r="B551" i="6" s="1"/>
  <c r="K569" i="4"/>
  <c r="B570" i="6" s="1"/>
  <c r="K591" i="4"/>
  <c r="B592" i="6" s="1"/>
  <c r="K614" i="4"/>
  <c r="B615" i="6" s="1"/>
  <c r="K633" i="4"/>
  <c r="K655" i="4"/>
  <c r="K678" i="4"/>
  <c r="K697" i="4"/>
  <c r="K719" i="4"/>
  <c r="K742" i="4"/>
  <c r="K761" i="4"/>
  <c r="K783" i="4"/>
  <c r="K806" i="4"/>
  <c r="B807" i="6" s="1"/>
  <c r="K822" i="4"/>
  <c r="K838" i="4"/>
  <c r="K854" i="4"/>
  <c r="B855" i="6" s="1"/>
  <c r="K870" i="4"/>
  <c r="K886" i="4"/>
  <c r="K902" i="4"/>
  <c r="K918" i="4"/>
  <c r="B919" i="6" s="1"/>
  <c r="K934" i="4"/>
  <c r="B935" i="6" s="1"/>
  <c r="K950" i="4"/>
  <c r="K966" i="4"/>
  <c r="K978" i="4"/>
  <c r="B979" i="6" s="1"/>
  <c r="K990" i="4"/>
  <c r="B991" i="6" s="1"/>
  <c r="K1001" i="4"/>
  <c r="B1002" i="6" s="1"/>
  <c r="K1011" i="4"/>
  <c r="B1012" i="6" s="1"/>
  <c r="K1022" i="4"/>
  <c r="B1023" i="6" s="1"/>
  <c r="K1033" i="4"/>
  <c r="B1034" i="6" s="1"/>
  <c r="K1043" i="4"/>
  <c r="K1054" i="4"/>
  <c r="B1055" i="6" s="1"/>
  <c r="K1064" i="4"/>
  <c r="K1072" i="4"/>
  <c r="K1080" i="4"/>
  <c r="K1088" i="4"/>
  <c r="K1096" i="4"/>
  <c r="K1104" i="4"/>
  <c r="K1112" i="4"/>
  <c r="K1120" i="4"/>
  <c r="B1121" i="6" s="1"/>
  <c r="K1128" i="4"/>
  <c r="B1129" i="6" s="1"/>
  <c r="K1136" i="4"/>
  <c r="K1144" i="4"/>
  <c r="K1152" i="4"/>
  <c r="B1153" i="6" s="1"/>
  <c r="K1160" i="4"/>
  <c r="B1161" i="6" s="1"/>
  <c r="K1168" i="4"/>
  <c r="K1176" i="4"/>
  <c r="K1184" i="4"/>
  <c r="B1185" i="6" s="1"/>
  <c r="K1192" i="4"/>
  <c r="B1193" i="6" s="1"/>
  <c r="K1200" i="4"/>
  <c r="K1208" i="4"/>
  <c r="B1209" i="6" s="1"/>
  <c r="K1216" i="4"/>
  <c r="B1217" i="6" s="1"/>
  <c r="K1224" i="4"/>
  <c r="B1225" i="6" s="1"/>
  <c r="K1232" i="4"/>
  <c r="K1240" i="4"/>
  <c r="B1241" i="6" s="1"/>
  <c r="K1248" i="4"/>
  <c r="B1249" i="6" s="1"/>
  <c r="K1821" i="4"/>
  <c r="K1805" i="4"/>
  <c r="K1789" i="4"/>
  <c r="B1790" i="6" s="1"/>
  <c r="K1773" i="4"/>
  <c r="K1757" i="4"/>
  <c r="K1741" i="4"/>
  <c r="K1725" i="4"/>
  <c r="B1726" i="6" s="1"/>
  <c r="K1709" i="4"/>
  <c r="K1693" i="4"/>
  <c r="K1677" i="4"/>
  <c r="K1661" i="4"/>
  <c r="B1662" i="6" s="1"/>
  <c r="K1645" i="4"/>
  <c r="K1629" i="4"/>
  <c r="K1613" i="4"/>
  <c r="K1597" i="4"/>
  <c r="B1598" i="6" s="1"/>
  <c r="K1581" i="4"/>
  <c r="B1582" i="6" s="1"/>
  <c r="K1565" i="4"/>
  <c r="B1566" i="6" s="1"/>
  <c r="K1549" i="4"/>
  <c r="K1533" i="4"/>
  <c r="B1534" i="6" s="1"/>
  <c r="K1517" i="4"/>
  <c r="B1518" i="6" s="1"/>
  <c r="K1501" i="4"/>
  <c r="B1502" i="6" s="1"/>
  <c r="K1485" i="4"/>
  <c r="K1469" i="4"/>
  <c r="B1470" i="6" s="1"/>
  <c r="K1453" i="4"/>
  <c r="B1454" i="6" s="1"/>
  <c r="K1437" i="4"/>
  <c r="B1438" i="6" s="1"/>
  <c r="K1421" i="4"/>
  <c r="K1405" i="4"/>
  <c r="B1406" i="6" s="1"/>
  <c r="K1389" i="4"/>
  <c r="B1390" i="6" s="1"/>
  <c r="K1373" i="4"/>
  <c r="B1374" i="6" s="1"/>
  <c r="K1357" i="4"/>
  <c r="K1334" i="4"/>
  <c r="K1312" i="4"/>
  <c r="B1313" i="6" s="1"/>
  <c r="K1293" i="4"/>
  <c r="K1270" i="4"/>
  <c r="K1246" i="4"/>
  <c r="K1214" i="4"/>
  <c r="K1182" i="4"/>
  <c r="K1150" i="4"/>
  <c r="K1118" i="4"/>
  <c r="B1119" i="6" s="1"/>
  <c r="K1086" i="4"/>
  <c r="B1087" i="6" s="1"/>
  <c r="K1051" i="4"/>
  <c r="B1052" i="6" s="1"/>
  <c r="K1009" i="4"/>
  <c r="B1010" i="6" s="1"/>
  <c r="K961" i="4"/>
  <c r="K897" i="4"/>
  <c r="K833" i="4"/>
  <c r="K758" i="4"/>
  <c r="K671" i="4"/>
  <c r="B672" i="6" s="1"/>
  <c r="K585" i="4"/>
  <c r="B586" i="6" s="1"/>
  <c r="K502" i="4"/>
  <c r="B503" i="6" s="1"/>
  <c r="K415" i="4"/>
  <c r="K329" i="4"/>
  <c r="K238" i="4"/>
  <c r="B239" i="6" s="1"/>
  <c r="K110" i="4"/>
  <c r="B111" i="6" s="1"/>
  <c r="K1333" i="4"/>
  <c r="B1334" i="6" s="1"/>
  <c r="K1310" i="4"/>
  <c r="K1288" i="4"/>
  <c r="B1289" i="6" s="1"/>
  <c r="K1269" i="4"/>
  <c r="B1270" i="6" s="1"/>
  <c r="K1245" i="4"/>
  <c r="K1213" i="4"/>
  <c r="B1214" i="6" s="1"/>
  <c r="K1181" i="4"/>
  <c r="K1149" i="4"/>
  <c r="B1150" i="6" s="1"/>
  <c r="K1117" i="4"/>
  <c r="B1118" i="6" s="1"/>
  <c r="K1085" i="4"/>
  <c r="K1050" i="4"/>
  <c r="K1007" i="4"/>
  <c r="K959" i="4"/>
  <c r="K895" i="4"/>
  <c r="K831" i="4"/>
  <c r="K753" i="4"/>
  <c r="B754" i="6" s="1"/>
  <c r="K670" i="4"/>
  <c r="B671" i="6" s="1"/>
  <c r="K583" i="4"/>
  <c r="B584" i="6" s="1"/>
  <c r="K497" i="4"/>
  <c r="B498" i="6" s="1"/>
  <c r="K414" i="4"/>
  <c r="B415" i="6" s="1"/>
  <c r="K327" i="4"/>
  <c r="B328" i="6" s="1"/>
  <c r="K231" i="4"/>
  <c r="K103" i="4"/>
  <c r="K1816" i="4"/>
  <c r="K1800" i="4"/>
  <c r="K1784" i="4"/>
  <c r="K1768" i="4"/>
  <c r="B1769" i="6" s="1"/>
  <c r="K1752" i="4"/>
  <c r="B1753" i="6" s="1"/>
  <c r="K1736" i="4"/>
  <c r="B1737" i="6" s="1"/>
  <c r="K1720" i="4"/>
  <c r="K1704" i="4"/>
  <c r="K1688" i="4"/>
  <c r="B1689" i="6" s="1"/>
  <c r="K1672" i="4"/>
  <c r="B1673" i="6" s="1"/>
  <c r="K1656" i="4"/>
  <c r="K1640" i="4"/>
  <c r="B1641" i="6" s="1"/>
  <c r="K1624" i="4"/>
  <c r="B1625" i="6" s="1"/>
  <c r="K1608" i="4"/>
  <c r="K1592" i="4"/>
  <c r="B1593" i="6" s="1"/>
  <c r="K1576" i="4"/>
  <c r="K1560" i="4"/>
  <c r="B1561" i="6" s="1"/>
  <c r="K1544" i="4"/>
  <c r="B1545" i="6" s="1"/>
  <c r="K1528" i="4"/>
  <c r="B1529" i="6" s="1"/>
  <c r="K1512" i="4"/>
  <c r="B1513" i="6" s="1"/>
  <c r="K1496" i="4"/>
  <c r="B1497" i="6" s="1"/>
  <c r="K1480" i="4"/>
  <c r="B1481" i="6" s="1"/>
  <c r="K1464" i="4"/>
  <c r="B1465" i="6" s="1"/>
  <c r="K1448" i="4"/>
  <c r="B1449" i="6" s="1"/>
  <c r="K1432" i="4"/>
  <c r="K1416" i="4"/>
  <c r="B1417" i="6" s="1"/>
  <c r="K1400" i="4"/>
  <c r="K1384" i="4"/>
  <c r="B1385" i="6" s="1"/>
  <c r="K1368" i="4"/>
  <c r="K1350" i="4"/>
  <c r="B1351" i="6" s="1"/>
  <c r="K1328" i="4"/>
  <c r="B1329" i="6" s="1"/>
  <c r="K1309" i="4"/>
  <c r="K1286" i="4"/>
  <c r="B1287" i="6" s="1"/>
  <c r="K1264" i="4"/>
  <c r="K1238" i="4"/>
  <c r="B1239" i="6" s="1"/>
  <c r="K1206" i="4"/>
  <c r="B1207" i="6" s="1"/>
  <c r="K1174" i="4"/>
  <c r="B1175" i="6" s="1"/>
  <c r="K1142" i="4"/>
  <c r="K1110" i="4"/>
  <c r="B1111" i="6" s="1"/>
  <c r="K1078" i="4"/>
  <c r="K1041" i="4"/>
  <c r="K998" i="4"/>
  <c r="B999" i="6" s="1"/>
  <c r="K945" i="4"/>
  <c r="B946" i="6" s="1"/>
  <c r="K881" i="4"/>
  <c r="B882" i="6" s="1"/>
  <c r="K817" i="4"/>
  <c r="B818" i="6" s="1"/>
  <c r="K735" i="4"/>
  <c r="B736" i="6" s="1"/>
  <c r="K649" i="4"/>
  <c r="K566" i="4"/>
  <c r="B567" i="6" s="1"/>
  <c r="K479" i="4"/>
  <c r="B480" i="6" s="1"/>
  <c r="K393" i="4"/>
  <c r="B394" i="6" s="1"/>
  <c r="K310" i="4"/>
  <c r="B311" i="6" s="1"/>
  <c r="K206" i="4"/>
  <c r="B207" i="6" s="1"/>
  <c r="K78" i="4"/>
  <c r="B79" i="6" s="1"/>
  <c r="B1401" i="6" l="1"/>
  <c r="B1265" i="6"/>
  <c r="B759" i="6"/>
  <c r="B1358" i="6"/>
  <c r="B1486" i="6"/>
  <c r="B1233" i="6"/>
  <c r="B1105" i="6"/>
  <c r="B1448" i="6"/>
  <c r="B1192" i="6"/>
  <c r="B696" i="6"/>
  <c r="B1597" i="6"/>
  <c r="B1533" i="6"/>
  <c r="B1469" i="6"/>
  <c r="B1341" i="6"/>
  <c r="B1405" i="6"/>
  <c r="B1149" i="6"/>
  <c r="B1492" i="6"/>
  <c r="B704" i="6"/>
  <c r="B417" i="6"/>
  <c r="B161" i="6"/>
  <c r="B614" i="6"/>
  <c r="B651" i="6"/>
  <c r="B631" i="6"/>
  <c r="B1458" i="6"/>
  <c r="B1213" i="6"/>
  <c r="B583" i="6"/>
  <c r="B1556" i="6"/>
  <c r="B1172" i="6"/>
  <c r="B813" i="6"/>
  <c r="B63" i="6"/>
  <c r="B1057" i="6"/>
  <c r="B801" i="6"/>
  <c r="B609" i="6"/>
  <c r="B353" i="6"/>
  <c r="B97" i="6"/>
  <c r="B685" i="6"/>
  <c r="B557" i="6"/>
  <c r="B907" i="6"/>
  <c r="B1679" i="6"/>
  <c r="B778" i="6"/>
  <c r="B1042" i="6"/>
  <c r="B1433" i="6"/>
  <c r="B834" i="6"/>
  <c r="B1183" i="6"/>
  <c r="B1630" i="6"/>
  <c r="B1758" i="6"/>
  <c r="B784" i="6"/>
  <c r="B1376" i="6"/>
  <c r="B1312" i="6"/>
  <c r="B1053" i="6"/>
  <c r="B112" i="6"/>
  <c r="B1589" i="6"/>
  <c r="B1525" i="6"/>
  <c r="B1461" i="6"/>
  <c r="B1397" i="6"/>
  <c r="B1277" i="6"/>
  <c r="B410" i="6"/>
  <c r="B1428" i="6"/>
  <c r="B1236" i="6"/>
  <c r="B530" i="6"/>
  <c r="B481" i="6"/>
  <c r="B225" i="6"/>
  <c r="B749" i="6"/>
  <c r="B292" i="6"/>
  <c r="B28" i="6"/>
  <c r="B1079" i="6"/>
  <c r="B1577" i="6"/>
  <c r="B104" i="6"/>
  <c r="B832" i="6"/>
  <c r="B898" i="6"/>
  <c r="B1089" i="6"/>
  <c r="B762" i="6"/>
  <c r="B1432" i="6"/>
  <c r="B1176" i="6"/>
  <c r="B1069" i="6"/>
  <c r="B538" i="6"/>
  <c r="B368" i="6"/>
  <c r="B1092" i="6"/>
  <c r="B1016" i="6"/>
  <c r="B770" i="6"/>
  <c r="B952" i="6"/>
  <c r="B824" i="6"/>
  <c r="B488" i="6"/>
  <c r="B319" i="6"/>
  <c r="B210" i="6"/>
  <c r="B146" i="6"/>
  <c r="B82" i="6"/>
  <c r="B1041" i="6"/>
  <c r="B977" i="6"/>
  <c r="B721" i="6"/>
  <c r="B593" i="6"/>
  <c r="B529" i="6"/>
  <c r="B465" i="6"/>
  <c r="B1046" i="6"/>
  <c r="B982" i="6"/>
  <c r="B918" i="6"/>
  <c r="B854" i="6"/>
  <c r="B790" i="6"/>
  <c r="B726" i="6"/>
  <c r="B662" i="6"/>
  <c r="B477" i="6"/>
  <c r="B221" i="6"/>
  <c r="B980" i="6"/>
  <c r="B916" i="6"/>
  <c r="B852" i="6"/>
  <c r="B788" i="6"/>
  <c r="B724" i="6"/>
  <c r="B660" i="6"/>
  <c r="B404" i="6"/>
  <c r="B148" i="6"/>
  <c r="B763" i="6"/>
  <c r="B571" i="6"/>
  <c r="B507" i="6"/>
  <c r="B443" i="6"/>
  <c r="B379" i="6"/>
  <c r="B315" i="6"/>
  <c r="B251" i="6"/>
  <c r="B187" i="6"/>
  <c r="B123" i="6"/>
  <c r="B1455" i="6"/>
  <c r="B1583" i="6"/>
  <c r="B1366" i="6"/>
  <c r="B1494" i="6"/>
  <c r="B1622" i="6"/>
  <c r="B1166" i="6"/>
  <c r="B1521" i="6"/>
  <c r="B1777" i="6"/>
  <c r="B1174" i="6"/>
  <c r="B1522" i="6"/>
  <c r="B1191" i="6"/>
  <c r="B1110" i="6"/>
  <c r="B1134" i="6"/>
  <c r="B1007" i="6"/>
  <c r="B1364" i="6"/>
  <c r="B1300" i="6"/>
  <c r="B1108" i="6"/>
  <c r="B941" i="6"/>
  <c r="B642" i="6"/>
  <c r="B360" i="6"/>
  <c r="B545" i="6"/>
  <c r="B289" i="6"/>
  <c r="B621" i="6"/>
  <c r="B301" i="6"/>
  <c r="B1713" i="6"/>
  <c r="B997" i="6"/>
  <c r="B650" i="6"/>
  <c r="B1721" i="6"/>
  <c r="B232" i="6"/>
  <c r="B896" i="6"/>
  <c r="B962" i="6"/>
  <c r="B1145" i="6"/>
  <c r="B887" i="6"/>
  <c r="B933" i="6"/>
  <c r="B632" i="6"/>
  <c r="B45" i="6"/>
  <c r="B1125" i="6"/>
  <c r="B519" i="6"/>
  <c r="B346" i="6"/>
  <c r="B135" i="6"/>
  <c r="B1724" i="6"/>
  <c r="B1660" i="6"/>
  <c r="B1005" i="6"/>
  <c r="B751" i="6"/>
  <c r="B1747" i="6"/>
  <c r="B1683" i="6"/>
  <c r="B1036" i="6"/>
  <c r="B640" i="6"/>
  <c r="B466" i="6"/>
  <c r="B296" i="6"/>
  <c r="B777" i="6"/>
  <c r="B1038" i="6"/>
  <c r="B974" i="6"/>
  <c r="B910" i="6"/>
  <c r="B846" i="6"/>
  <c r="B782" i="6"/>
  <c r="B718" i="6"/>
  <c r="B654" i="6"/>
  <c r="B590" i="6"/>
  <c r="B526" i="6"/>
  <c r="B462" i="6"/>
  <c r="B398" i="6"/>
  <c r="B334" i="6"/>
  <c r="B270" i="6"/>
  <c r="B206" i="6"/>
  <c r="B142" i="6"/>
  <c r="B78" i="6"/>
  <c r="B469" i="6"/>
  <c r="B213" i="6"/>
  <c r="B972" i="6"/>
  <c r="B908" i="6"/>
  <c r="B844" i="6"/>
  <c r="B780" i="6"/>
  <c r="B716" i="6"/>
  <c r="B652" i="6"/>
  <c r="B396" i="6"/>
  <c r="B140" i="6"/>
  <c r="B947" i="6"/>
  <c r="B627" i="6"/>
  <c r="B563" i="6"/>
  <c r="B499" i="6"/>
  <c r="B435" i="6"/>
  <c r="B371" i="6"/>
  <c r="B307" i="6"/>
  <c r="B243" i="6"/>
  <c r="B179" i="6"/>
  <c r="B115" i="6"/>
  <c r="B48" i="6"/>
  <c r="B33" i="6"/>
  <c r="B1199" i="6"/>
  <c r="B1638" i="6"/>
  <c r="B1766" i="6"/>
  <c r="B1770" i="6"/>
  <c r="B1255" i="6"/>
  <c r="B1263" i="6"/>
  <c r="B1530" i="6"/>
  <c r="B1422" i="6"/>
  <c r="B1137" i="6"/>
  <c r="B1672" i="6"/>
  <c r="B496" i="6"/>
  <c r="B1098" i="6"/>
  <c r="B447" i="6"/>
  <c r="B274" i="6"/>
  <c r="B833" i="6"/>
  <c r="B582" i="6"/>
  <c r="B518" i="6"/>
  <c r="B454" i="6"/>
  <c r="B390" i="6"/>
  <c r="B326" i="6"/>
  <c r="B262" i="6"/>
  <c r="B198" i="6"/>
  <c r="B134" i="6"/>
  <c r="B70" i="6"/>
  <c r="B525" i="6"/>
  <c r="B269" i="6"/>
  <c r="B324" i="6"/>
  <c r="B196" i="6"/>
  <c r="B875" i="6"/>
  <c r="B1743" i="6"/>
  <c r="B1238" i="6"/>
  <c r="B1585" i="6"/>
  <c r="B1319" i="6"/>
  <c r="B1586" i="6"/>
  <c r="B960" i="6"/>
  <c r="B1736" i="6"/>
  <c r="B327" i="6"/>
  <c r="B877" i="6"/>
  <c r="B1026" i="6"/>
  <c r="B618" i="6"/>
  <c r="B1024" i="6"/>
  <c r="B616" i="6"/>
  <c r="B1369" i="6"/>
  <c r="B1008" i="6"/>
  <c r="B1294" i="6"/>
  <c r="B1694" i="6"/>
  <c r="B1065" i="6"/>
  <c r="B698" i="6"/>
  <c r="B1728" i="6"/>
  <c r="B1664" i="6"/>
  <c r="B1600" i="6"/>
  <c r="B1344" i="6"/>
  <c r="B1088" i="6"/>
  <c r="B760" i="6"/>
  <c r="B240" i="6"/>
  <c r="B943" i="6"/>
  <c r="B815" i="6"/>
  <c r="B647" i="6"/>
  <c r="B474" i="6"/>
  <c r="B304" i="6"/>
  <c r="B71" i="6"/>
  <c r="B1516" i="6"/>
  <c r="B1452" i="6"/>
  <c r="B1388" i="6"/>
  <c r="B1324" i="6"/>
  <c r="B1260" i="6"/>
  <c r="B1196" i="6"/>
  <c r="B861" i="6"/>
  <c r="B706" i="6"/>
  <c r="B160" i="6"/>
  <c r="B1731" i="6"/>
  <c r="B1667" i="6"/>
  <c r="B1603" i="6"/>
  <c r="B1539" i="6"/>
  <c r="B1475" i="6"/>
  <c r="B1411" i="6"/>
  <c r="B1347" i="6"/>
  <c r="B1283" i="6"/>
  <c r="B1219" i="6"/>
  <c r="B1155" i="6"/>
  <c r="B1015" i="6"/>
  <c r="B906" i="6"/>
  <c r="B768" i="6"/>
  <c r="B599" i="6"/>
  <c r="B426" i="6"/>
  <c r="B255" i="6"/>
  <c r="B424" i="6"/>
  <c r="B953" i="6"/>
  <c r="B889" i="6"/>
  <c r="B825" i="6"/>
  <c r="B761" i="6"/>
  <c r="B633" i="6"/>
  <c r="B55" i="6"/>
  <c r="B574" i="6"/>
  <c r="B510" i="6"/>
  <c r="B446" i="6"/>
  <c r="B382" i="6"/>
  <c r="B318" i="6"/>
  <c r="B254" i="6"/>
  <c r="B190" i="6"/>
  <c r="B126" i="6"/>
  <c r="B61" i="6"/>
  <c r="B517" i="6"/>
  <c r="B261" i="6"/>
  <c r="B572" i="6"/>
  <c r="B380" i="6"/>
  <c r="B252" i="6"/>
  <c r="B124" i="6"/>
  <c r="B59" i="6"/>
  <c r="B931" i="6"/>
  <c r="B867" i="6"/>
  <c r="B739" i="6"/>
  <c r="B675" i="6"/>
  <c r="B30" i="6"/>
  <c r="B848" i="6"/>
  <c r="B1190" i="6"/>
  <c r="B1375" i="6"/>
  <c r="B1503" i="6"/>
  <c r="B1631" i="6"/>
  <c r="B1759" i="6"/>
  <c r="B375" i="6"/>
  <c r="B1414" i="6"/>
  <c r="B1542" i="6"/>
  <c r="B1302" i="6"/>
  <c r="B1578" i="6"/>
  <c r="B352" i="6"/>
  <c r="B1617" i="6"/>
  <c r="B168" i="6"/>
  <c r="B1327" i="6"/>
  <c r="B1594" i="6"/>
  <c r="B266" i="6"/>
  <c r="B1343" i="6"/>
  <c r="B1710" i="6"/>
  <c r="B967" i="6"/>
  <c r="B839" i="6"/>
  <c r="B679" i="6"/>
  <c r="B119" i="6"/>
  <c r="B1592" i="6"/>
  <c r="B1464" i="6"/>
  <c r="B1208" i="6"/>
  <c r="B1080" i="6"/>
  <c r="B1028" i="6"/>
  <c r="B794" i="6"/>
  <c r="B455" i="6"/>
  <c r="B282" i="6"/>
  <c r="B1572" i="6"/>
  <c r="B1124" i="6"/>
  <c r="B687" i="6"/>
  <c r="B128" i="6"/>
  <c r="B1595" i="6"/>
  <c r="B1531" i="6"/>
  <c r="B1467" i="6"/>
  <c r="B1403" i="6"/>
  <c r="B1339" i="6"/>
  <c r="B1275" i="6"/>
  <c r="B1211" i="6"/>
  <c r="B1147" i="6"/>
  <c r="B1083" i="6"/>
  <c r="B890" i="6"/>
  <c r="B576" i="6"/>
  <c r="B407" i="6"/>
  <c r="B1338" i="6"/>
  <c r="B1274" i="6"/>
  <c r="B1210" i="6"/>
  <c r="B1146" i="6"/>
  <c r="B888" i="6"/>
  <c r="B575" i="6"/>
  <c r="B402" i="6"/>
  <c r="B1009" i="6"/>
  <c r="B945" i="6"/>
  <c r="B753" i="6"/>
  <c r="B689" i="6"/>
  <c r="B561" i="6"/>
  <c r="B497" i="6"/>
  <c r="B433" i="6"/>
  <c r="B369" i="6"/>
  <c r="B305" i="6"/>
  <c r="B241" i="6"/>
  <c r="B177" i="6"/>
  <c r="B113" i="6"/>
  <c r="B765" i="6"/>
  <c r="B701" i="6"/>
  <c r="B637" i="6"/>
  <c r="B509" i="6"/>
  <c r="B445" i="6"/>
  <c r="B317" i="6"/>
  <c r="B253" i="6"/>
  <c r="B189" i="6"/>
  <c r="B436" i="6"/>
  <c r="B180" i="6"/>
  <c r="B795" i="6"/>
  <c r="B1391" i="6"/>
  <c r="B1519" i="6"/>
  <c r="B1281" i="6"/>
  <c r="B1430" i="6"/>
  <c r="B1558" i="6"/>
  <c r="B1353" i="6"/>
  <c r="B1649" i="6"/>
  <c r="B1394" i="6"/>
  <c r="B1650" i="6"/>
  <c r="B1657" i="6"/>
  <c r="B1785" i="6"/>
  <c r="B1044" i="6"/>
  <c r="B951" i="6"/>
  <c r="B823" i="6"/>
  <c r="B869" i="6"/>
  <c r="B176" i="6"/>
  <c r="B1018" i="6"/>
  <c r="B602" i="6"/>
  <c r="B432" i="6"/>
  <c r="B263" i="6"/>
  <c r="B1500" i="6"/>
  <c r="B1436" i="6"/>
  <c r="B1372" i="6"/>
  <c r="B1308" i="6"/>
  <c r="B1244" i="6"/>
  <c r="B1180" i="6"/>
  <c r="B191" i="6"/>
  <c r="B1330" i="6"/>
  <c r="B1266" i="6"/>
  <c r="B1202" i="6"/>
  <c r="B552" i="6"/>
  <c r="B383" i="6"/>
  <c r="B809" i="6"/>
  <c r="B37" i="6"/>
  <c r="B437" i="6"/>
  <c r="B181" i="6"/>
  <c r="B51" i="6"/>
  <c r="B364" i="6"/>
  <c r="B108" i="6"/>
  <c r="B40" i="6"/>
  <c r="B723" i="6"/>
  <c r="B1071" i="6"/>
  <c r="B1702" i="6"/>
  <c r="B1642" i="6"/>
  <c r="B1687" i="6"/>
  <c r="B1402" i="6"/>
  <c r="B1333" i="6"/>
  <c r="B1269" i="6"/>
  <c r="B1205" i="6"/>
  <c r="B1141" i="6"/>
  <c r="B996" i="6"/>
  <c r="B879" i="6"/>
  <c r="B560" i="6"/>
  <c r="B391" i="6"/>
  <c r="B199" i="6"/>
  <c r="B1612" i="6"/>
  <c r="B1484" i="6"/>
  <c r="B1420" i="6"/>
  <c r="B1356" i="6"/>
  <c r="B1292" i="6"/>
  <c r="B1228" i="6"/>
  <c r="B1164" i="6"/>
  <c r="B1100" i="6"/>
  <c r="B925" i="6"/>
  <c r="B1123" i="6"/>
  <c r="B1058" i="6"/>
  <c r="B970" i="6"/>
  <c r="B842" i="6"/>
  <c r="B512" i="6"/>
  <c r="B343" i="6"/>
  <c r="B127" i="6"/>
  <c r="B511" i="6"/>
  <c r="B338" i="6"/>
  <c r="B218" i="6"/>
  <c r="B154" i="6"/>
  <c r="B90" i="6"/>
  <c r="B1049" i="6"/>
  <c r="B857" i="6"/>
  <c r="B601" i="6"/>
  <c r="B537" i="6"/>
  <c r="B473" i="6"/>
  <c r="B409" i="6"/>
  <c r="B345" i="6"/>
  <c r="B281" i="6"/>
  <c r="B217" i="6"/>
  <c r="B153" i="6"/>
  <c r="B89" i="6"/>
  <c r="B606" i="6"/>
  <c r="B542" i="6"/>
  <c r="B478" i="6"/>
  <c r="B414" i="6"/>
  <c r="B350" i="6"/>
  <c r="B286" i="6"/>
  <c r="B222" i="6"/>
  <c r="B158" i="6"/>
  <c r="B94" i="6"/>
  <c r="B805" i="6"/>
  <c r="B741" i="6"/>
  <c r="B677" i="6"/>
  <c r="B549" i="6"/>
  <c r="B485" i="6"/>
  <c r="B357" i="6"/>
  <c r="B293" i="6"/>
  <c r="B229" i="6"/>
  <c r="B101" i="6"/>
  <c r="B604" i="6"/>
  <c r="B476" i="6"/>
  <c r="B348" i="6"/>
  <c r="B220" i="6"/>
  <c r="B156" i="6"/>
  <c r="B899" i="6"/>
  <c r="B643" i="6"/>
  <c r="B49" i="6"/>
  <c r="B1061" i="6"/>
  <c r="B1439" i="6"/>
  <c r="B1567" i="6"/>
  <c r="B1695" i="6"/>
  <c r="B714" i="6"/>
  <c r="B1345" i="6"/>
  <c r="B1478" i="6"/>
  <c r="B944" i="6"/>
  <c r="B1450" i="6"/>
  <c r="B1706" i="6"/>
  <c r="B1078" i="6"/>
  <c r="B1489" i="6"/>
  <c r="B1102" i="6"/>
  <c r="B1751" i="6"/>
  <c r="B1466" i="6"/>
  <c r="B1722" i="6"/>
  <c r="B1613" i="6"/>
  <c r="B1229" i="6"/>
  <c r="B1086" i="6"/>
  <c r="B1151" i="6"/>
  <c r="B1614" i="6"/>
  <c r="B1742" i="6"/>
  <c r="B1169" i="6"/>
  <c r="B634" i="6"/>
  <c r="B1128" i="6"/>
  <c r="B978" i="6"/>
  <c r="B1085" i="6"/>
  <c r="B895" i="6"/>
  <c r="B752" i="6"/>
  <c r="B1504" i="6"/>
  <c r="B1040" i="6"/>
  <c r="B1051" i="6"/>
  <c r="B1357" i="6"/>
  <c r="B1122" i="6"/>
  <c r="B1095" i="6"/>
  <c r="B1310" i="6"/>
  <c r="B1705" i="6"/>
  <c r="B1182" i="6"/>
  <c r="B1215" i="6"/>
  <c r="B1646" i="6"/>
  <c r="B1774" i="6"/>
  <c r="B903" i="6"/>
  <c r="B1496" i="6"/>
  <c r="B1368" i="6"/>
  <c r="B1240" i="6"/>
  <c r="B1112" i="6"/>
  <c r="B1581" i="6"/>
  <c r="B1517" i="6"/>
  <c r="B1453" i="6"/>
  <c r="B1389" i="6"/>
  <c r="B1325" i="6"/>
  <c r="B1261" i="6"/>
  <c r="B1197" i="6"/>
  <c r="B986" i="6"/>
  <c r="B711" i="6"/>
  <c r="B954" i="6"/>
  <c r="B826" i="6"/>
  <c r="B490" i="6"/>
  <c r="B320" i="6"/>
  <c r="B1114" i="6"/>
  <c r="B658" i="6"/>
  <c r="B785" i="6"/>
  <c r="B797" i="6"/>
  <c r="B733" i="6"/>
  <c r="B669" i="6"/>
  <c r="B605" i="6"/>
  <c r="B541" i="6"/>
  <c r="B285" i="6"/>
  <c r="B596" i="6"/>
  <c r="B468" i="6"/>
  <c r="B212" i="6"/>
  <c r="B827" i="6"/>
  <c r="B41" i="6"/>
  <c r="B1318" i="6"/>
  <c r="B1750" i="6"/>
  <c r="B1482" i="6"/>
  <c r="B1527" i="6"/>
  <c r="B1754" i="6"/>
  <c r="B1549" i="6"/>
  <c r="B1293" i="6"/>
  <c r="B971" i="6"/>
  <c r="B817" i="6"/>
  <c r="B921" i="6"/>
  <c r="B412" i="6"/>
  <c r="B1485" i="6"/>
  <c r="B1165" i="6"/>
  <c r="B1097" i="6"/>
  <c r="B1248" i="6"/>
  <c r="B730" i="6"/>
  <c r="B1421" i="6"/>
  <c r="B573" i="6"/>
  <c r="B330" i="6"/>
  <c r="B1247" i="6"/>
  <c r="B1081" i="6"/>
  <c r="B743" i="6"/>
  <c r="B215" i="6"/>
  <c r="B1744" i="6"/>
  <c r="B1680" i="6"/>
  <c r="B1104" i="6"/>
  <c r="B1032" i="6"/>
  <c r="B463" i="6"/>
  <c r="B290" i="6"/>
  <c r="B1060" i="6"/>
  <c r="B688" i="6"/>
  <c r="B893" i="6"/>
  <c r="B578" i="6"/>
  <c r="B224" i="6"/>
  <c r="B1555" i="6"/>
  <c r="B1491" i="6"/>
  <c r="B1427" i="6"/>
  <c r="B1363" i="6"/>
  <c r="B1299" i="6"/>
  <c r="B1235" i="6"/>
  <c r="B1171" i="6"/>
  <c r="B471" i="6"/>
  <c r="B298" i="6"/>
  <c r="B62" i="6"/>
  <c r="B1035" i="6"/>
  <c r="B639" i="6"/>
  <c r="B202" i="6"/>
  <c r="B138" i="6"/>
  <c r="B74" i="6"/>
  <c r="B1033" i="6"/>
  <c r="B841" i="6"/>
  <c r="B597" i="6"/>
  <c r="B533" i="6"/>
  <c r="B405" i="6"/>
  <c r="B277" i="6"/>
  <c r="B149" i="6"/>
  <c r="B460" i="6"/>
  <c r="B332" i="6"/>
  <c r="B204" i="6"/>
  <c r="B76" i="6"/>
  <c r="B819" i="6"/>
  <c r="B691" i="6"/>
  <c r="B1126" i="6"/>
  <c r="B1337" i="6"/>
  <c r="B1471" i="6"/>
  <c r="B1599" i="6"/>
  <c r="B1727" i="6"/>
  <c r="B1382" i="6"/>
  <c r="B1510" i="6"/>
  <c r="B1159" i="6"/>
  <c r="B1514" i="6"/>
  <c r="B1553" i="6"/>
  <c r="B1559" i="6"/>
  <c r="B1198" i="6"/>
  <c r="B1786" i="6"/>
  <c r="B1223" i="6"/>
  <c r="B1538" i="6"/>
  <c r="B1143" i="6"/>
  <c r="B1609" i="6"/>
  <c r="B1246" i="6"/>
  <c r="B416" i="6"/>
  <c r="B1271" i="6"/>
  <c r="B1550" i="6"/>
  <c r="B1678" i="6"/>
  <c r="B1201" i="6"/>
  <c r="B1073" i="6"/>
  <c r="B871" i="6"/>
  <c r="B720" i="6"/>
  <c r="B183" i="6"/>
  <c r="B1352" i="6"/>
  <c r="B1021" i="6"/>
  <c r="B440" i="6"/>
  <c r="B271" i="6"/>
  <c r="B1117" i="6"/>
  <c r="B959" i="6"/>
  <c r="B831" i="6"/>
  <c r="B666" i="6"/>
  <c r="B1588" i="6"/>
  <c r="B995" i="6"/>
  <c r="B192" i="6"/>
  <c r="B1611" i="6"/>
  <c r="B1547" i="6"/>
  <c r="B1483" i="6"/>
  <c r="B1419" i="6"/>
  <c r="B1355" i="6"/>
  <c r="B1291" i="6"/>
  <c r="B1227" i="6"/>
  <c r="B1163" i="6"/>
  <c r="B922" i="6"/>
  <c r="B448" i="6"/>
  <c r="B279" i="6"/>
  <c r="B1354" i="6"/>
  <c r="B1290" i="6"/>
  <c r="B1226" i="6"/>
  <c r="B1162" i="6"/>
  <c r="B786" i="6"/>
  <c r="B897" i="6"/>
  <c r="B769" i="6"/>
  <c r="B641" i="6"/>
  <c r="B64" i="6"/>
  <c r="B1030" i="6"/>
  <c r="B966" i="6"/>
  <c r="B902" i="6"/>
  <c r="B838" i="6"/>
  <c r="B774" i="6"/>
  <c r="B710" i="6"/>
  <c r="B646" i="6"/>
  <c r="B589" i="6"/>
  <c r="B333" i="6"/>
  <c r="B77" i="6"/>
  <c r="B964" i="6"/>
  <c r="B900" i="6"/>
  <c r="B836" i="6"/>
  <c r="B772" i="6"/>
  <c r="B708" i="6"/>
  <c r="B644" i="6"/>
  <c r="B580" i="6"/>
  <c r="B516" i="6"/>
  <c r="B452" i="6"/>
  <c r="B388" i="6"/>
  <c r="B260" i="6"/>
  <c r="B132" i="6"/>
  <c r="B68" i="6"/>
  <c r="B939" i="6"/>
  <c r="B811" i="6"/>
  <c r="B747" i="6"/>
  <c r="B683" i="6"/>
  <c r="B619" i="6"/>
  <c r="B555" i="6"/>
  <c r="B491" i="6"/>
  <c r="B427" i="6"/>
  <c r="B363" i="6"/>
  <c r="B299" i="6"/>
  <c r="B235" i="6"/>
  <c r="B171" i="6"/>
  <c r="B107" i="6"/>
  <c r="B32" i="6"/>
  <c r="B776" i="6"/>
  <c r="B1158" i="6"/>
  <c r="B1359" i="6"/>
  <c r="B1487" i="6"/>
  <c r="B1615" i="6"/>
  <c r="B288" i="6"/>
  <c r="B1231" i="6"/>
  <c r="B1398" i="6"/>
  <c r="B1526" i="6"/>
  <c r="B1654" i="6"/>
  <c r="B1782" i="6"/>
  <c r="B1546" i="6"/>
  <c r="B1305" i="6"/>
  <c r="B143" i="6"/>
  <c r="B1591" i="6"/>
  <c r="B1278" i="6"/>
  <c r="B1562" i="6"/>
  <c r="B1286" i="6"/>
  <c r="B1570" i="6"/>
  <c r="B500" i="6"/>
  <c r="B372" i="6"/>
  <c r="B244" i="6"/>
  <c r="B116" i="6"/>
  <c r="B859" i="6"/>
  <c r="B731" i="6"/>
  <c r="B912" i="6"/>
  <c r="B1222" i="6"/>
  <c r="B458" i="6"/>
  <c r="B1031" i="6"/>
  <c r="B1686" i="6"/>
  <c r="B1610" i="6"/>
  <c r="B608" i="6"/>
  <c r="B1399" i="6"/>
  <c r="B439" i="6"/>
  <c r="B1634" i="6"/>
  <c r="B1311" i="6"/>
  <c r="B1335" i="6"/>
  <c r="B1177" i="6"/>
  <c r="B1113" i="6"/>
  <c r="B656" i="6"/>
  <c r="B87" i="6"/>
  <c r="B1776" i="6"/>
  <c r="B1712" i="6"/>
  <c r="B1648" i="6"/>
  <c r="B1584" i="6"/>
  <c r="B1072" i="6"/>
  <c r="B989" i="6"/>
  <c r="B546" i="6"/>
  <c r="B376" i="6"/>
  <c r="B1605" i="6"/>
  <c r="B1541" i="6"/>
  <c r="B1477" i="6"/>
  <c r="B1413" i="6"/>
  <c r="B1349" i="6"/>
  <c r="B1285" i="6"/>
  <c r="B1221" i="6"/>
  <c r="B1157" i="6"/>
  <c r="B775" i="6"/>
  <c r="B1116" i="6"/>
  <c r="B957" i="6"/>
  <c r="B829" i="6"/>
  <c r="B96" i="6"/>
  <c r="B1587" i="6"/>
  <c r="B1523" i="6"/>
  <c r="B1459" i="6"/>
  <c r="B1395" i="6"/>
  <c r="B1331" i="6"/>
  <c r="B1267" i="6"/>
  <c r="B1203" i="6"/>
  <c r="B1075" i="6"/>
  <c r="B554" i="6"/>
  <c r="B384" i="6"/>
  <c r="B1138" i="6"/>
  <c r="B722" i="6"/>
  <c r="B184" i="6"/>
  <c r="B234" i="6"/>
  <c r="B170" i="6"/>
  <c r="B106" i="6"/>
  <c r="B1001" i="6"/>
  <c r="B873" i="6"/>
  <c r="B745" i="6"/>
  <c r="B553" i="6"/>
  <c r="B489" i="6"/>
  <c r="B425" i="6"/>
  <c r="B361" i="6"/>
  <c r="B297" i="6"/>
  <c r="B233" i="6"/>
  <c r="B169" i="6"/>
  <c r="B105" i="6"/>
  <c r="B622" i="6"/>
  <c r="B43" i="6"/>
  <c r="B757" i="6"/>
  <c r="B693" i="6"/>
  <c r="B629" i="6"/>
  <c r="B501" i="6"/>
  <c r="B245" i="6"/>
  <c r="B428" i="6"/>
  <c r="B172" i="6"/>
  <c r="B787" i="6"/>
  <c r="B659" i="6"/>
  <c r="B1254" i="6"/>
  <c r="B1407" i="6"/>
  <c r="B1535" i="6"/>
  <c r="B1663" i="6"/>
  <c r="B544" i="6"/>
  <c r="B1303" i="6"/>
  <c r="B1446" i="6"/>
  <c r="B1574" i="6"/>
  <c r="B1386" i="6"/>
  <c r="B1425" i="6"/>
  <c r="B816" i="6"/>
  <c r="B850" i="6"/>
  <c r="B1431" i="6"/>
  <c r="B648" i="6"/>
  <c r="B1658" i="6"/>
  <c r="B712" i="6"/>
  <c r="B1410" i="6"/>
  <c r="B1131" i="6"/>
  <c r="B1067" i="6"/>
  <c r="B858" i="6"/>
  <c r="B535" i="6"/>
  <c r="B362" i="6"/>
  <c r="B1322" i="6"/>
  <c r="B1258" i="6"/>
  <c r="B1194" i="6"/>
  <c r="B1130" i="6"/>
  <c r="B703" i="6"/>
  <c r="B226" i="6"/>
  <c r="B162" i="6"/>
  <c r="B98" i="6"/>
  <c r="B865" i="6"/>
  <c r="B1062" i="6"/>
  <c r="B998" i="6"/>
  <c r="B934" i="6"/>
  <c r="B870" i="6"/>
  <c r="B806" i="6"/>
  <c r="B742" i="6"/>
  <c r="B678" i="6"/>
  <c r="B493" i="6"/>
  <c r="B365" i="6"/>
  <c r="B237" i="6"/>
  <c r="B109" i="6"/>
  <c r="B42" i="6"/>
  <c r="B932" i="6"/>
  <c r="B868" i="6"/>
  <c r="B804" i="6"/>
  <c r="B740" i="6"/>
  <c r="B676" i="6"/>
  <c r="B612" i="6"/>
  <c r="B548" i="6"/>
  <c r="B100" i="6"/>
  <c r="B843" i="6"/>
  <c r="B715" i="6"/>
  <c r="B587" i="6"/>
  <c r="B523" i="6"/>
  <c r="B459" i="6"/>
  <c r="B395" i="6"/>
  <c r="B331" i="6"/>
  <c r="B267" i="6"/>
  <c r="B203" i="6"/>
  <c r="B139" i="6"/>
  <c r="B75" i="6"/>
  <c r="B1019" i="6"/>
  <c r="B1718" i="6"/>
  <c r="B1418" i="6"/>
  <c r="B976" i="6"/>
  <c r="B1457" i="6"/>
  <c r="B987" i="6"/>
  <c r="B1463" i="6"/>
  <c r="B1690" i="6"/>
  <c r="B914" i="6"/>
  <c r="B1698" i="6"/>
</calcChain>
</file>

<file path=xl/sharedStrings.xml><?xml version="1.0" encoding="utf-8"?>
<sst xmlns="http://schemas.openxmlformats.org/spreadsheetml/2006/main" count="16096" uniqueCount="37">
  <si>
    <t>dia</t>
  </si>
  <si>
    <t>mes</t>
  </si>
  <si>
    <t>anio</t>
  </si>
  <si>
    <t>inventario_inicial_pizza</t>
  </si>
  <si>
    <t>entrada_pizza</t>
  </si>
  <si>
    <t>inventario_final_pizza</t>
  </si>
  <si>
    <t>venta_pizza</t>
  </si>
  <si>
    <t>precio_venta_pizza</t>
  </si>
  <si>
    <t>ENERO</t>
  </si>
  <si>
    <t>NA</t>
  </si>
  <si>
    <t>SEPTIEMBRE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</si>
  <si>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</si>
  <si>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</si>
  <si>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</si>
  <si>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</si>
  <si>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</si>
  <si>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</si>
  <si>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</si>
  <si>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</si>
  <si>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</si>
  <si>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</si>
  <si>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pizzeria</t>
  </si>
  <si>
    <t>Terraplaza</t>
  </si>
  <si>
    <t>Torres</t>
  </si>
  <si>
    <t>SEPT.</t>
  </si>
  <si>
    <t>San_Jose</t>
  </si>
  <si>
    <t>Enero</t>
  </si>
  <si>
    <t>Febrero</t>
  </si>
  <si>
    <t>Marzo</t>
  </si>
  <si>
    <t>Mayo</t>
  </si>
  <si>
    <t>Junio</t>
  </si>
  <si>
    <t>Julio</t>
  </si>
  <si>
    <t>Agosto</t>
  </si>
  <si>
    <t>Noviembre</t>
  </si>
  <si>
    <t>Fecha</t>
  </si>
  <si>
    <t>Total</t>
  </si>
  <si>
    <t>San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</si>
</sst>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Datos de ventas desagregados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Terraplaza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Terraplaza!$J$1:$J$1826</c:f>
              <c:numCache>
                <c:formatCode>m/d/yyyy</c:formatCode>
                <c:ptCount val="182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  <c:pt idx="366">
                  <c:v>43832</c:v>
                </c:pt>
                <c:pt idx="367">
                  <c:v>43833</c:v>
                </c:pt>
                <c:pt idx="368">
                  <c:v>43834</c:v>
                </c:pt>
                <c:pt idx="369">
                  <c:v>43835</c:v>
                </c:pt>
                <c:pt idx="370">
                  <c:v>43836</c:v>
                </c:pt>
                <c:pt idx="371">
                  <c:v>43837</c:v>
                </c:pt>
                <c:pt idx="372">
                  <c:v>43838</c:v>
                </c:pt>
                <c:pt idx="373">
                  <c:v>43839</c:v>
                </c:pt>
                <c:pt idx="374">
                  <c:v>43840</c:v>
                </c:pt>
                <c:pt idx="375">
                  <c:v>43841</c:v>
                </c:pt>
                <c:pt idx="376">
                  <c:v>43842</c:v>
                </c:pt>
                <c:pt idx="377">
                  <c:v>43843</c:v>
                </c:pt>
                <c:pt idx="378">
                  <c:v>43844</c:v>
                </c:pt>
                <c:pt idx="379">
                  <c:v>43845</c:v>
                </c:pt>
                <c:pt idx="380">
                  <c:v>43846</c:v>
                </c:pt>
                <c:pt idx="381">
                  <c:v>43847</c:v>
                </c:pt>
                <c:pt idx="382">
                  <c:v>43848</c:v>
                </c:pt>
                <c:pt idx="383">
                  <c:v>43849</c:v>
                </c:pt>
                <c:pt idx="384">
                  <c:v>43850</c:v>
                </c:pt>
                <c:pt idx="385">
                  <c:v>43851</c:v>
                </c:pt>
                <c:pt idx="386">
                  <c:v>43852</c:v>
                </c:pt>
                <c:pt idx="387">
                  <c:v>43853</c:v>
                </c:pt>
                <c:pt idx="388">
                  <c:v>43854</c:v>
                </c:pt>
                <c:pt idx="389">
                  <c:v>43855</c:v>
                </c:pt>
                <c:pt idx="390">
                  <c:v>43856</c:v>
                </c:pt>
                <c:pt idx="391">
                  <c:v>43857</c:v>
                </c:pt>
                <c:pt idx="392">
                  <c:v>43858</c:v>
                </c:pt>
                <c:pt idx="393">
                  <c:v>43859</c:v>
                </c:pt>
                <c:pt idx="394">
                  <c:v>43860</c:v>
                </c:pt>
                <c:pt idx="395">
                  <c:v>43861</c:v>
                </c:pt>
                <c:pt idx="396">
                  <c:v>43862</c:v>
                </c:pt>
                <c:pt idx="397">
                  <c:v>43863</c:v>
                </c:pt>
                <c:pt idx="398">
                  <c:v>43864</c:v>
                </c:pt>
                <c:pt idx="399">
                  <c:v>43865</c:v>
                </c:pt>
                <c:pt idx="400">
                  <c:v>43866</c:v>
                </c:pt>
                <c:pt idx="401">
                  <c:v>43867</c:v>
                </c:pt>
                <c:pt idx="402">
                  <c:v>43868</c:v>
                </c:pt>
                <c:pt idx="403">
                  <c:v>43869</c:v>
                </c:pt>
                <c:pt idx="404">
                  <c:v>43870</c:v>
                </c:pt>
                <c:pt idx="405">
                  <c:v>43871</c:v>
                </c:pt>
                <c:pt idx="406">
                  <c:v>43872</c:v>
                </c:pt>
                <c:pt idx="407">
                  <c:v>43873</c:v>
                </c:pt>
                <c:pt idx="408">
                  <c:v>43874</c:v>
                </c:pt>
                <c:pt idx="409">
                  <c:v>43875</c:v>
                </c:pt>
                <c:pt idx="410">
                  <c:v>43876</c:v>
                </c:pt>
                <c:pt idx="411">
                  <c:v>43877</c:v>
                </c:pt>
                <c:pt idx="412">
                  <c:v>43878</c:v>
                </c:pt>
                <c:pt idx="413">
                  <c:v>43879</c:v>
                </c:pt>
                <c:pt idx="414">
                  <c:v>43880</c:v>
                </c:pt>
                <c:pt idx="415">
                  <c:v>43881</c:v>
                </c:pt>
                <c:pt idx="416">
                  <c:v>43882</c:v>
                </c:pt>
                <c:pt idx="417">
                  <c:v>43883</c:v>
                </c:pt>
                <c:pt idx="418">
                  <c:v>43884</c:v>
                </c:pt>
                <c:pt idx="419">
                  <c:v>43885</c:v>
                </c:pt>
                <c:pt idx="420">
                  <c:v>43886</c:v>
                </c:pt>
                <c:pt idx="421">
                  <c:v>43887</c:v>
                </c:pt>
                <c:pt idx="422">
                  <c:v>43888</c:v>
                </c:pt>
                <c:pt idx="423">
                  <c:v>43889</c:v>
                </c:pt>
                <c:pt idx="424">
                  <c:v>43890</c:v>
                </c:pt>
                <c:pt idx="425">
                  <c:v>43891</c:v>
                </c:pt>
                <c:pt idx="426">
                  <c:v>43892</c:v>
                </c:pt>
                <c:pt idx="427">
                  <c:v>43893</c:v>
                </c:pt>
                <c:pt idx="428">
                  <c:v>43894</c:v>
                </c:pt>
                <c:pt idx="429">
                  <c:v>43895</c:v>
                </c:pt>
                <c:pt idx="430">
                  <c:v>43896</c:v>
                </c:pt>
                <c:pt idx="431">
                  <c:v>43897</c:v>
                </c:pt>
                <c:pt idx="432">
                  <c:v>43898</c:v>
                </c:pt>
                <c:pt idx="433">
                  <c:v>43899</c:v>
                </c:pt>
                <c:pt idx="434">
                  <c:v>43900</c:v>
                </c:pt>
                <c:pt idx="435">
                  <c:v>43901</c:v>
                </c:pt>
                <c:pt idx="436">
                  <c:v>43902</c:v>
                </c:pt>
                <c:pt idx="437">
                  <c:v>43903</c:v>
                </c:pt>
                <c:pt idx="438">
                  <c:v>43904</c:v>
                </c:pt>
                <c:pt idx="439">
                  <c:v>43905</c:v>
                </c:pt>
                <c:pt idx="440">
                  <c:v>43906</c:v>
                </c:pt>
                <c:pt idx="441">
                  <c:v>43907</c:v>
                </c:pt>
                <c:pt idx="442">
                  <c:v>43908</c:v>
                </c:pt>
                <c:pt idx="443">
                  <c:v>43909</c:v>
                </c:pt>
                <c:pt idx="444">
                  <c:v>43910</c:v>
                </c:pt>
                <c:pt idx="445">
                  <c:v>43911</c:v>
                </c:pt>
                <c:pt idx="446">
                  <c:v>43912</c:v>
                </c:pt>
                <c:pt idx="447">
                  <c:v>43913</c:v>
                </c:pt>
                <c:pt idx="448">
                  <c:v>43914</c:v>
                </c:pt>
                <c:pt idx="449">
                  <c:v>43915</c:v>
                </c:pt>
                <c:pt idx="450">
                  <c:v>43916</c:v>
                </c:pt>
                <c:pt idx="451">
                  <c:v>43917</c:v>
                </c:pt>
                <c:pt idx="452">
                  <c:v>43918</c:v>
                </c:pt>
                <c:pt idx="453">
                  <c:v>43919</c:v>
                </c:pt>
                <c:pt idx="454">
                  <c:v>43920</c:v>
                </c:pt>
                <c:pt idx="455">
                  <c:v>43921</c:v>
                </c:pt>
                <c:pt idx="456">
                  <c:v>43922</c:v>
                </c:pt>
                <c:pt idx="457">
                  <c:v>43923</c:v>
                </c:pt>
                <c:pt idx="458">
                  <c:v>43924</c:v>
                </c:pt>
                <c:pt idx="459">
                  <c:v>43925</c:v>
                </c:pt>
                <c:pt idx="460">
                  <c:v>43926</c:v>
                </c:pt>
                <c:pt idx="461">
                  <c:v>43927</c:v>
                </c:pt>
                <c:pt idx="462">
                  <c:v>43928</c:v>
                </c:pt>
                <c:pt idx="463">
                  <c:v>43929</c:v>
                </c:pt>
                <c:pt idx="464">
                  <c:v>43930</c:v>
                </c:pt>
                <c:pt idx="465">
                  <c:v>43931</c:v>
                </c:pt>
                <c:pt idx="466">
                  <c:v>43932</c:v>
                </c:pt>
                <c:pt idx="467">
                  <c:v>43933</c:v>
                </c:pt>
                <c:pt idx="468">
                  <c:v>43934</c:v>
                </c:pt>
                <c:pt idx="469">
                  <c:v>43935</c:v>
                </c:pt>
                <c:pt idx="470">
                  <c:v>43936</c:v>
                </c:pt>
                <c:pt idx="471">
                  <c:v>43937</c:v>
                </c:pt>
                <c:pt idx="472">
                  <c:v>43938</c:v>
                </c:pt>
                <c:pt idx="473">
                  <c:v>43939</c:v>
                </c:pt>
                <c:pt idx="474">
                  <c:v>43940</c:v>
                </c:pt>
                <c:pt idx="475">
                  <c:v>43941</c:v>
                </c:pt>
                <c:pt idx="476">
                  <c:v>43942</c:v>
                </c:pt>
                <c:pt idx="477">
                  <c:v>43943</c:v>
                </c:pt>
                <c:pt idx="478">
                  <c:v>43944</c:v>
                </c:pt>
                <c:pt idx="479">
                  <c:v>43945</c:v>
                </c:pt>
                <c:pt idx="480">
                  <c:v>43946</c:v>
                </c:pt>
                <c:pt idx="481">
                  <c:v>43947</c:v>
                </c:pt>
                <c:pt idx="482">
                  <c:v>43948</c:v>
                </c:pt>
                <c:pt idx="483">
                  <c:v>43949</c:v>
                </c:pt>
                <c:pt idx="484">
                  <c:v>43950</c:v>
                </c:pt>
                <c:pt idx="485">
                  <c:v>43951</c:v>
                </c:pt>
                <c:pt idx="486">
                  <c:v>43952</c:v>
                </c:pt>
                <c:pt idx="487">
                  <c:v>43953</c:v>
                </c:pt>
                <c:pt idx="488">
                  <c:v>43954</c:v>
                </c:pt>
                <c:pt idx="489">
                  <c:v>43955</c:v>
                </c:pt>
                <c:pt idx="490">
                  <c:v>43956</c:v>
                </c:pt>
                <c:pt idx="491">
                  <c:v>43957</c:v>
                </c:pt>
                <c:pt idx="492">
                  <c:v>43958</c:v>
                </c:pt>
                <c:pt idx="493">
                  <c:v>43959</c:v>
                </c:pt>
                <c:pt idx="494">
                  <c:v>43960</c:v>
                </c:pt>
                <c:pt idx="495">
                  <c:v>43961</c:v>
                </c:pt>
                <c:pt idx="496">
                  <c:v>43962</c:v>
                </c:pt>
                <c:pt idx="497">
                  <c:v>43963</c:v>
                </c:pt>
                <c:pt idx="498">
                  <c:v>43964</c:v>
                </c:pt>
                <c:pt idx="499">
                  <c:v>43965</c:v>
                </c:pt>
                <c:pt idx="500">
                  <c:v>43966</c:v>
                </c:pt>
                <c:pt idx="501">
                  <c:v>43967</c:v>
                </c:pt>
                <c:pt idx="502">
                  <c:v>43968</c:v>
                </c:pt>
                <c:pt idx="503">
                  <c:v>43969</c:v>
                </c:pt>
                <c:pt idx="504">
                  <c:v>43970</c:v>
                </c:pt>
                <c:pt idx="505">
                  <c:v>43971</c:v>
                </c:pt>
                <c:pt idx="506">
                  <c:v>43972</c:v>
                </c:pt>
                <c:pt idx="507">
                  <c:v>43973</c:v>
                </c:pt>
                <c:pt idx="508">
                  <c:v>43974</c:v>
                </c:pt>
                <c:pt idx="509">
                  <c:v>43975</c:v>
                </c:pt>
                <c:pt idx="510">
                  <c:v>43976</c:v>
                </c:pt>
                <c:pt idx="511">
                  <c:v>43977</c:v>
                </c:pt>
                <c:pt idx="512">
                  <c:v>43978</c:v>
                </c:pt>
                <c:pt idx="513">
                  <c:v>43979</c:v>
                </c:pt>
                <c:pt idx="514">
                  <c:v>43980</c:v>
                </c:pt>
                <c:pt idx="515">
                  <c:v>43981</c:v>
                </c:pt>
                <c:pt idx="516">
                  <c:v>43982</c:v>
                </c:pt>
                <c:pt idx="517">
                  <c:v>43983</c:v>
                </c:pt>
                <c:pt idx="518">
                  <c:v>43984</c:v>
                </c:pt>
                <c:pt idx="519">
                  <c:v>43985</c:v>
                </c:pt>
                <c:pt idx="520">
                  <c:v>43986</c:v>
                </c:pt>
                <c:pt idx="521">
                  <c:v>43987</c:v>
                </c:pt>
                <c:pt idx="522">
                  <c:v>43988</c:v>
                </c:pt>
                <c:pt idx="523">
                  <c:v>43989</c:v>
                </c:pt>
                <c:pt idx="524">
                  <c:v>43990</c:v>
                </c:pt>
                <c:pt idx="525">
                  <c:v>43991</c:v>
                </c:pt>
                <c:pt idx="526">
                  <c:v>43992</c:v>
                </c:pt>
                <c:pt idx="527">
                  <c:v>43993</c:v>
                </c:pt>
                <c:pt idx="528">
                  <c:v>43994</c:v>
                </c:pt>
                <c:pt idx="529">
                  <c:v>43995</c:v>
                </c:pt>
                <c:pt idx="530">
                  <c:v>43996</c:v>
                </c:pt>
                <c:pt idx="531">
                  <c:v>43997</c:v>
                </c:pt>
                <c:pt idx="532">
                  <c:v>43998</c:v>
                </c:pt>
                <c:pt idx="533">
                  <c:v>43999</c:v>
                </c:pt>
                <c:pt idx="534">
                  <c:v>44000</c:v>
                </c:pt>
                <c:pt idx="535">
                  <c:v>44001</c:v>
                </c:pt>
                <c:pt idx="536">
                  <c:v>44002</c:v>
                </c:pt>
                <c:pt idx="537">
                  <c:v>44003</c:v>
                </c:pt>
                <c:pt idx="538">
                  <c:v>44004</c:v>
                </c:pt>
                <c:pt idx="539">
                  <c:v>44005</c:v>
                </c:pt>
                <c:pt idx="540">
                  <c:v>44006</c:v>
                </c:pt>
                <c:pt idx="541">
                  <c:v>44007</c:v>
                </c:pt>
                <c:pt idx="542">
                  <c:v>44008</c:v>
                </c:pt>
                <c:pt idx="543">
                  <c:v>44009</c:v>
                </c:pt>
                <c:pt idx="544">
                  <c:v>44010</c:v>
                </c:pt>
                <c:pt idx="545">
                  <c:v>44011</c:v>
                </c:pt>
                <c:pt idx="546">
                  <c:v>44012</c:v>
                </c:pt>
                <c:pt idx="547">
                  <c:v>44013</c:v>
                </c:pt>
                <c:pt idx="548">
                  <c:v>44014</c:v>
                </c:pt>
                <c:pt idx="549">
                  <c:v>44015</c:v>
                </c:pt>
                <c:pt idx="550">
                  <c:v>44016</c:v>
                </c:pt>
                <c:pt idx="551">
                  <c:v>44017</c:v>
                </c:pt>
                <c:pt idx="552">
                  <c:v>44018</c:v>
                </c:pt>
                <c:pt idx="553">
                  <c:v>44019</c:v>
                </c:pt>
                <c:pt idx="554">
                  <c:v>44020</c:v>
                </c:pt>
                <c:pt idx="555">
                  <c:v>44021</c:v>
                </c:pt>
                <c:pt idx="556">
                  <c:v>44022</c:v>
                </c:pt>
                <c:pt idx="557">
                  <c:v>44023</c:v>
                </c:pt>
                <c:pt idx="558">
                  <c:v>44024</c:v>
                </c:pt>
                <c:pt idx="559">
                  <c:v>44025</c:v>
                </c:pt>
                <c:pt idx="560">
                  <c:v>44026</c:v>
                </c:pt>
                <c:pt idx="561">
                  <c:v>44027</c:v>
                </c:pt>
                <c:pt idx="562">
                  <c:v>44028</c:v>
                </c:pt>
                <c:pt idx="563">
                  <c:v>44029</c:v>
                </c:pt>
                <c:pt idx="564">
                  <c:v>44030</c:v>
                </c:pt>
                <c:pt idx="565">
                  <c:v>44031</c:v>
                </c:pt>
                <c:pt idx="566">
                  <c:v>44032</c:v>
                </c:pt>
                <c:pt idx="567">
                  <c:v>44033</c:v>
                </c:pt>
                <c:pt idx="568">
                  <c:v>44034</c:v>
                </c:pt>
                <c:pt idx="569">
                  <c:v>44035</c:v>
                </c:pt>
                <c:pt idx="570">
                  <c:v>44036</c:v>
                </c:pt>
                <c:pt idx="571">
                  <c:v>44037</c:v>
                </c:pt>
                <c:pt idx="572">
                  <c:v>44038</c:v>
                </c:pt>
                <c:pt idx="573">
                  <c:v>44039</c:v>
                </c:pt>
                <c:pt idx="574">
                  <c:v>44040</c:v>
                </c:pt>
                <c:pt idx="575">
                  <c:v>44041</c:v>
                </c:pt>
                <c:pt idx="576">
                  <c:v>44042</c:v>
                </c:pt>
                <c:pt idx="577">
                  <c:v>44043</c:v>
                </c:pt>
                <c:pt idx="578">
                  <c:v>44044</c:v>
                </c:pt>
                <c:pt idx="579">
                  <c:v>44045</c:v>
                </c:pt>
                <c:pt idx="580">
                  <c:v>44046</c:v>
                </c:pt>
                <c:pt idx="581">
                  <c:v>44047</c:v>
                </c:pt>
                <c:pt idx="582">
                  <c:v>44048</c:v>
                </c:pt>
                <c:pt idx="583">
                  <c:v>44049</c:v>
                </c:pt>
                <c:pt idx="584">
                  <c:v>44050</c:v>
                </c:pt>
                <c:pt idx="585">
                  <c:v>44051</c:v>
                </c:pt>
                <c:pt idx="586">
                  <c:v>44052</c:v>
                </c:pt>
                <c:pt idx="587">
                  <c:v>44053</c:v>
                </c:pt>
                <c:pt idx="588">
                  <c:v>44054</c:v>
                </c:pt>
                <c:pt idx="589">
                  <c:v>44055</c:v>
                </c:pt>
                <c:pt idx="590">
                  <c:v>44056</c:v>
                </c:pt>
                <c:pt idx="591">
                  <c:v>44057</c:v>
                </c:pt>
                <c:pt idx="592">
                  <c:v>44058</c:v>
                </c:pt>
                <c:pt idx="593">
                  <c:v>44059</c:v>
                </c:pt>
                <c:pt idx="594">
                  <c:v>44060</c:v>
                </c:pt>
                <c:pt idx="595">
                  <c:v>44061</c:v>
                </c:pt>
                <c:pt idx="596">
                  <c:v>44062</c:v>
                </c:pt>
                <c:pt idx="597">
                  <c:v>44063</c:v>
                </c:pt>
                <c:pt idx="598">
                  <c:v>44064</c:v>
                </c:pt>
                <c:pt idx="599">
                  <c:v>44065</c:v>
                </c:pt>
                <c:pt idx="600">
                  <c:v>44066</c:v>
                </c:pt>
                <c:pt idx="601">
                  <c:v>44067</c:v>
                </c:pt>
                <c:pt idx="602">
                  <c:v>44068</c:v>
                </c:pt>
                <c:pt idx="603">
                  <c:v>44069</c:v>
                </c:pt>
                <c:pt idx="604">
                  <c:v>44070</c:v>
                </c:pt>
                <c:pt idx="605">
                  <c:v>44071</c:v>
                </c:pt>
                <c:pt idx="606">
                  <c:v>44072</c:v>
                </c:pt>
                <c:pt idx="607">
                  <c:v>44073</c:v>
                </c:pt>
                <c:pt idx="608">
                  <c:v>44074</c:v>
                </c:pt>
                <c:pt idx="609">
                  <c:v>44075</c:v>
                </c:pt>
                <c:pt idx="610">
                  <c:v>44076</c:v>
                </c:pt>
                <c:pt idx="611">
                  <c:v>44077</c:v>
                </c:pt>
                <c:pt idx="612">
                  <c:v>44078</c:v>
                </c:pt>
                <c:pt idx="613">
                  <c:v>44079</c:v>
                </c:pt>
                <c:pt idx="614">
                  <c:v>44080</c:v>
                </c:pt>
                <c:pt idx="615">
                  <c:v>44081</c:v>
                </c:pt>
                <c:pt idx="616">
                  <c:v>44082</c:v>
                </c:pt>
                <c:pt idx="617">
                  <c:v>44083</c:v>
                </c:pt>
                <c:pt idx="618">
                  <c:v>44084</c:v>
                </c:pt>
                <c:pt idx="619">
                  <c:v>44085</c:v>
                </c:pt>
                <c:pt idx="620">
                  <c:v>44086</c:v>
                </c:pt>
                <c:pt idx="621">
                  <c:v>44087</c:v>
                </c:pt>
                <c:pt idx="622">
                  <c:v>44088</c:v>
                </c:pt>
                <c:pt idx="623">
                  <c:v>44089</c:v>
                </c:pt>
                <c:pt idx="624">
                  <c:v>44090</c:v>
                </c:pt>
                <c:pt idx="625">
                  <c:v>44091</c:v>
                </c:pt>
                <c:pt idx="626">
                  <c:v>44092</c:v>
                </c:pt>
                <c:pt idx="627">
                  <c:v>44093</c:v>
                </c:pt>
                <c:pt idx="628">
                  <c:v>44094</c:v>
                </c:pt>
                <c:pt idx="629">
                  <c:v>44095</c:v>
                </c:pt>
                <c:pt idx="630">
                  <c:v>44096</c:v>
                </c:pt>
                <c:pt idx="631">
                  <c:v>44097</c:v>
                </c:pt>
                <c:pt idx="632">
                  <c:v>44098</c:v>
                </c:pt>
                <c:pt idx="633">
                  <c:v>44099</c:v>
                </c:pt>
                <c:pt idx="634">
                  <c:v>44100</c:v>
                </c:pt>
                <c:pt idx="635">
                  <c:v>44101</c:v>
                </c:pt>
                <c:pt idx="636">
                  <c:v>44102</c:v>
                </c:pt>
                <c:pt idx="637">
                  <c:v>44103</c:v>
                </c:pt>
                <c:pt idx="638">
                  <c:v>44104</c:v>
                </c:pt>
                <c:pt idx="639">
                  <c:v>44105</c:v>
                </c:pt>
                <c:pt idx="640">
                  <c:v>44106</c:v>
                </c:pt>
                <c:pt idx="641">
                  <c:v>44107</c:v>
                </c:pt>
                <c:pt idx="642">
                  <c:v>44108</c:v>
                </c:pt>
                <c:pt idx="643">
                  <c:v>44109</c:v>
                </c:pt>
                <c:pt idx="644">
                  <c:v>44110</c:v>
                </c:pt>
                <c:pt idx="645">
                  <c:v>44111</c:v>
                </c:pt>
                <c:pt idx="646">
                  <c:v>44112</c:v>
                </c:pt>
                <c:pt idx="647">
                  <c:v>44113</c:v>
                </c:pt>
                <c:pt idx="648">
                  <c:v>44114</c:v>
                </c:pt>
                <c:pt idx="649">
                  <c:v>44115</c:v>
                </c:pt>
                <c:pt idx="650">
                  <c:v>44116</c:v>
                </c:pt>
                <c:pt idx="651">
                  <c:v>44117</c:v>
                </c:pt>
                <c:pt idx="652">
                  <c:v>44118</c:v>
                </c:pt>
                <c:pt idx="653">
                  <c:v>44119</c:v>
                </c:pt>
                <c:pt idx="654">
                  <c:v>44120</c:v>
                </c:pt>
                <c:pt idx="655">
                  <c:v>44121</c:v>
                </c:pt>
                <c:pt idx="656">
                  <c:v>44122</c:v>
                </c:pt>
                <c:pt idx="657">
                  <c:v>44123</c:v>
                </c:pt>
                <c:pt idx="658">
                  <c:v>44124</c:v>
                </c:pt>
                <c:pt idx="659">
                  <c:v>44125</c:v>
                </c:pt>
                <c:pt idx="660">
                  <c:v>44126</c:v>
                </c:pt>
                <c:pt idx="661">
                  <c:v>44127</c:v>
                </c:pt>
                <c:pt idx="662">
                  <c:v>44128</c:v>
                </c:pt>
                <c:pt idx="663">
                  <c:v>44129</c:v>
                </c:pt>
                <c:pt idx="664">
                  <c:v>44130</c:v>
                </c:pt>
                <c:pt idx="665">
                  <c:v>44131</c:v>
                </c:pt>
                <c:pt idx="666">
                  <c:v>44132</c:v>
                </c:pt>
                <c:pt idx="667">
                  <c:v>44133</c:v>
                </c:pt>
                <c:pt idx="668">
                  <c:v>44134</c:v>
                </c:pt>
                <c:pt idx="669">
                  <c:v>44135</c:v>
                </c:pt>
                <c:pt idx="670">
                  <c:v>44136</c:v>
                </c:pt>
                <c:pt idx="671">
                  <c:v>44137</c:v>
                </c:pt>
                <c:pt idx="672">
                  <c:v>44138</c:v>
                </c:pt>
                <c:pt idx="673">
                  <c:v>44139</c:v>
                </c:pt>
                <c:pt idx="674">
                  <c:v>44140</c:v>
                </c:pt>
                <c:pt idx="675">
                  <c:v>44141</c:v>
                </c:pt>
                <c:pt idx="676">
                  <c:v>44142</c:v>
                </c:pt>
                <c:pt idx="677">
                  <c:v>44143</c:v>
                </c:pt>
                <c:pt idx="678">
                  <c:v>44144</c:v>
                </c:pt>
                <c:pt idx="679">
                  <c:v>44145</c:v>
                </c:pt>
                <c:pt idx="680">
                  <c:v>44146</c:v>
                </c:pt>
                <c:pt idx="681">
                  <c:v>44147</c:v>
                </c:pt>
                <c:pt idx="682">
                  <c:v>44148</c:v>
                </c:pt>
                <c:pt idx="683">
                  <c:v>44149</c:v>
                </c:pt>
                <c:pt idx="684">
                  <c:v>44150</c:v>
                </c:pt>
                <c:pt idx="685">
                  <c:v>44151</c:v>
                </c:pt>
                <c:pt idx="686">
                  <c:v>44152</c:v>
                </c:pt>
                <c:pt idx="687">
                  <c:v>44153</c:v>
                </c:pt>
                <c:pt idx="688">
                  <c:v>44154</c:v>
                </c:pt>
                <c:pt idx="689">
                  <c:v>44155</c:v>
                </c:pt>
                <c:pt idx="690">
                  <c:v>44156</c:v>
                </c:pt>
                <c:pt idx="691">
                  <c:v>44157</c:v>
                </c:pt>
                <c:pt idx="692">
                  <c:v>44158</c:v>
                </c:pt>
                <c:pt idx="693">
                  <c:v>44159</c:v>
                </c:pt>
                <c:pt idx="694">
                  <c:v>44160</c:v>
                </c:pt>
                <c:pt idx="695">
                  <c:v>44161</c:v>
                </c:pt>
                <c:pt idx="696">
                  <c:v>44162</c:v>
                </c:pt>
                <c:pt idx="697">
                  <c:v>44163</c:v>
                </c:pt>
                <c:pt idx="698">
                  <c:v>44164</c:v>
                </c:pt>
                <c:pt idx="699">
                  <c:v>44165</c:v>
                </c:pt>
                <c:pt idx="700">
                  <c:v>44166</c:v>
                </c:pt>
                <c:pt idx="701">
                  <c:v>44167</c:v>
                </c:pt>
                <c:pt idx="702">
                  <c:v>44168</c:v>
                </c:pt>
                <c:pt idx="703">
                  <c:v>44169</c:v>
                </c:pt>
                <c:pt idx="704">
                  <c:v>44170</c:v>
                </c:pt>
                <c:pt idx="705">
                  <c:v>44171</c:v>
                </c:pt>
                <c:pt idx="706">
                  <c:v>44172</c:v>
                </c:pt>
                <c:pt idx="707">
                  <c:v>44173</c:v>
                </c:pt>
                <c:pt idx="708">
                  <c:v>44174</c:v>
                </c:pt>
                <c:pt idx="709">
                  <c:v>44175</c:v>
                </c:pt>
                <c:pt idx="710">
                  <c:v>44176</c:v>
                </c:pt>
                <c:pt idx="711">
                  <c:v>44177</c:v>
                </c:pt>
                <c:pt idx="712">
                  <c:v>44178</c:v>
                </c:pt>
                <c:pt idx="713">
                  <c:v>44179</c:v>
                </c:pt>
                <c:pt idx="714">
                  <c:v>44180</c:v>
                </c:pt>
                <c:pt idx="715">
                  <c:v>44181</c:v>
                </c:pt>
                <c:pt idx="716">
                  <c:v>44182</c:v>
                </c:pt>
                <c:pt idx="717">
                  <c:v>44183</c:v>
                </c:pt>
                <c:pt idx="718">
                  <c:v>44184</c:v>
                </c:pt>
                <c:pt idx="719">
                  <c:v>44185</c:v>
                </c:pt>
                <c:pt idx="720">
                  <c:v>44186</c:v>
                </c:pt>
                <c:pt idx="721">
                  <c:v>44187</c:v>
                </c:pt>
                <c:pt idx="722">
                  <c:v>44188</c:v>
                </c:pt>
                <c:pt idx="723">
                  <c:v>44189</c:v>
                </c:pt>
                <c:pt idx="724">
                  <c:v>44190</c:v>
                </c:pt>
                <c:pt idx="725">
                  <c:v>44191</c:v>
                </c:pt>
                <c:pt idx="726">
                  <c:v>44192</c:v>
                </c:pt>
                <c:pt idx="727">
                  <c:v>44193</c:v>
                </c:pt>
                <c:pt idx="728">
                  <c:v>44194</c:v>
                </c:pt>
                <c:pt idx="729">
                  <c:v>44195</c:v>
                </c:pt>
                <c:pt idx="730">
                  <c:v>44196</c:v>
                </c:pt>
                <c:pt idx="731">
                  <c:v>44197</c:v>
                </c:pt>
                <c:pt idx="732">
                  <c:v>44198</c:v>
                </c:pt>
                <c:pt idx="733">
                  <c:v>44199</c:v>
                </c:pt>
                <c:pt idx="734">
                  <c:v>44200</c:v>
                </c:pt>
                <c:pt idx="735">
                  <c:v>44201</c:v>
                </c:pt>
                <c:pt idx="736">
                  <c:v>44202</c:v>
                </c:pt>
                <c:pt idx="737">
                  <c:v>44203</c:v>
                </c:pt>
                <c:pt idx="738">
                  <c:v>44204</c:v>
                </c:pt>
                <c:pt idx="739">
                  <c:v>44205</c:v>
                </c:pt>
                <c:pt idx="740">
                  <c:v>44206</c:v>
                </c:pt>
                <c:pt idx="741">
                  <c:v>44207</c:v>
                </c:pt>
                <c:pt idx="742">
                  <c:v>44208</c:v>
                </c:pt>
                <c:pt idx="743">
                  <c:v>44209</c:v>
                </c:pt>
                <c:pt idx="744">
                  <c:v>44210</c:v>
                </c:pt>
                <c:pt idx="745">
                  <c:v>44211</c:v>
                </c:pt>
                <c:pt idx="746">
                  <c:v>44212</c:v>
                </c:pt>
                <c:pt idx="747">
                  <c:v>44213</c:v>
                </c:pt>
                <c:pt idx="748">
                  <c:v>44214</c:v>
                </c:pt>
                <c:pt idx="749">
                  <c:v>44215</c:v>
                </c:pt>
                <c:pt idx="750">
                  <c:v>44216</c:v>
                </c:pt>
                <c:pt idx="751">
                  <c:v>44217</c:v>
                </c:pt>
                <c:pt idx="752">
                  <c:v>44218</c:v>
                </c:pt>
                <c:pt idx="753">
                  <c:v>44219</c:v>
                </c:pt>
                <c:pt idx="754">
                  <c:v>44220</c:v>
                </c:pt>
                <c:pt idx="755">
                  <c:v>44221</c:v>
                </c:pt>
                <c:pt idx="756">
                  <c:v>44222</c:v>
                </c:pt>
                <c:pt idx="757">
                  <c:v>44223</c:v>
                </c:pt>
                <c:pt idx="758">
                  <c:v>44224</c:v>
                </c:pt>
                <c:pt idx="759">
                  <c:v>44225</c:v>
                </c:pt>
                <c:pt idx="760">
                  <c:v>44226</c:v>
                </c:pt>
                <c:pt idx="761">
                  <c:v>44227</c:v>
                </c:pt>
                <c:pt idx="762">
                  <c:v>44228</c:v>
                </c:pt>
                <c:pt idx="763">
                  <c:v>44229</c:v>
                </c:pt>
                <c:pt idx="764">
                  <c:v>44230</c:v>
                </c:pt>
                <c:pt idx="765">
                  <c:v>44231</c:v>
                </c:pt>
                <c:pt idx="766">
                  <c:v>44232</c:v>
                </c:pt>
                <c:pt idx="767">
                  <c:v>44233</c:v>
                </c:pt>
                <c:pt idx="768">
                  <c:v>44234</c:v>
                </c:pt>
                <c:pt idx="769">
                  <c:v>44235</c:v>
                </c:pt>
                <c:pt idx="770">
                  <c:v>44236</c:v>
                </c:pt>
                <c:pt idx="771">
                  <c:v>44237</c:v>
                </c:pt>
                <c:pt idx="772">
                  <c:v>44238</c:v>
                </c:pt>
                <c:pt idx="773">
                  <c:v>44239</c:v>
                </c:pt>
                <c:pt idx="774">
                  <c:v>44240</c:v>
                </c:pt>
                <c:pt idx="775">
                  <c:v>44241</c:v>
                </c:pt>
                <c:pt idx="776">
                  <c:v>44242</c:v>
                </c:pt>
                <c:pt idx="777">
                  <c:v>44243</c:v>
                </c:pt>
                <c:pt idx="778">
                  <c:v>44244</c:v>
                </c:pt>
                <c:pt idx="779">
                  <c:v>44245</c:v>
                </c:pt>
                <c:pt idx="780">
                  <c:v>44246</c:v>
                </c:pt>
                <c:pt idx="781">
                  <c:v>44247</c:v>
                </c:pt>
                <c:pt idx="782">
                  <c:v>44248</c:v>
                </c:pt>
                <c:pt idx="783">
                  <c:v>44249</c:v>
                </c:pt>
                <c:pt idx="784">
                  <c:v>44250</c:v>
                </c:pt>
                <c:pt idx="785">
                  <c:v>44251</c:v>
                </c:pt>
                <c:pt idx="786">
                  <c:v>44252</c:v>
                </c:pt>
                <c:pt idx="787">
                  <c:v>44253</c:v>
                </c:pt>
                <c:pt idx="788">
                  <c:v>44254</c:v>
                </c:pt>
                <c:pt idx="789">
                  <c:v>44255</c:v>
                </c:pt>
                <c:pt idx="790">
                  <c:v>44256</c:v>
                </c:pt>
                <c:pt idx="791">
                  <c:v>44257</c:v>
                </c:pt>
                <c:pt idx="792">
                  <c:v>44258</c:v>
                </c:pt>
                <c:pt idx="793">
                  <c:v>44259</c:v>
                </c:pt>
                <c:pt idx="794">
                  <c:v>44260</c:v>
                </c:pt>
                <c:pt idx="795">
                  <c:v>44261</c:v>
                </c:pt>
                <c:pt idx="796">
                  <c:v>44262</c:v>
                </c:pt>
                <c:pt idx="797">
                  <c:v>44263</c:v>
                </c:pt>
                <c:pt idx="798">
                  <c:v>44264</c:v>
                </c:pt>
                <c:pt idx="799">
                  <c:v>44265</c:v>
                </c:pt>
                <c:pt idx="800">
                  <c:v>44266</c:v>
                </c:pt>
                <c:pt idx="801">
                  <c:v>44267</c:v>
                </c:pt>
                <c:pt idx="802">
                  <c:v>44268</c:v>
                </c:pt>
                <c:pt idx="803">
                  <c:v>44269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44275</c:v>
                </c:pt>
                <c:pt idx="810">
                  <c:v>44276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44282</c:v>
                </c:pt>
                <c:pt idx="817">
                  <c:v>44283</c:v>
                </c:pt>
                <c:pt idx="818">
                  <c:v>44284</c:v>
                </c:pt>
                <c:pt idx="819">
                  <c:v>44285</c:v>
                </c:pt>
                <c:pt idx="820">
                  <c:v>44286</c:v>
                </c:pt>
                <c:pt idx="821">
                  <c:v>44287</c:v>
                </c:pt>
                <c:pt idx="822">
                  <c:v>44288</c:v>
                </c:pt>
                <c:pt idx="823">
                  <c:v>44289</c:v>
                </c:pt>
                <c:pt idx="824">
                  <c:v>44290</c:v>
                </c:pt>
                <c:pt idx="825">
                  <c:v>44291</c:v>
                </c:pt>
                <c:pt idx="826">
                  <c:v>44292</c:v>
                </c:pt>
                <c:pt idx="827">
                  <c:v>44293</c:v>
                </c:pt>
                <c:pt idx="828">
                  <c:v>44294</c:v>
                </c:pt>
                <c:pt idx="829">
                  <c:v>44295</c:v>
                </c:pt>
                <c:pt idx="830">
                  <c:v>44296</c:v>
                </c:pt>
                <c:pt idx="831">
                  <c:v>44297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44303</c:v>
                </c:pt>
                <c:pt idx="838">
                  <c:v>44304</c:v>
                </c:pt>
                <c:pt idx="839">
                  <c:v>44305</c:v>
                </c:pt>
                <c:pt idx="840">
                  <c:v>44306</c:v>
                </c:pt>
                <c:pt idx="841">
                  <c:v>44307</c:v>
                </c:pt>
                <c:pt idx="842">
                  <c:v>44308</c:v>
                </c:pt>
                <c:pt idx="843">
                  <c:v>44309</c:v>
                </c:pt>
                <c:pt idx="844">
                  <c:v>44310</c:v>
                </c:pt>
                <c:pt idx="845">
                  <c:v>44311</c:v>
                </c:pt>
                <c:pt idx="846">
                  <c:v>44312</c:v>
                </c:pt>
                <c:pt idx="847">
                  <c:v>44313</c:v>
                </c:pt>
                <c:pt idx="848">
                  <c:v>44314</c:v>
                </c:pt>
                <c:pt idx="849">
                  <c:v>44315</c:v>
                </c:pt>
                <c:pt idx="850">
                  <c:v>44316</c:v>
                </c:pt>
                <c:pt idx="851">
                  <c:v>44317</c:v>
                </c:pt>
                <c:pt idx="852">
                  <c:v>44318</c:v>
                </c:pt>
                <c:pt idx="853">
                  <c:v>44319</c:v>
                </c:pt>
                <c:pt idx="854">
                  <c:v>44320</c:v>
                </c:pt>
                <c:pt idx="855">
                  <c:v>44321</c:v>
                </c:pt>
                <c:pt idx="856">
                  <c:v>44322</c:v>
                </c:pt>
                <c:pt idx="857">
                  <c:v>44323</c:v>
                </c:pt>
                <c:pt idx="858">
                  <c:v>44324</c:v>
                </c:pt>
                <c:pt idx="859">
                  <c:v>44325</c:v>
                </c:pt>
                <c:pt idx="860">
                  <c:v>44326</c:v>
                </c:pt>
                <c:pt idx="861">
                  <c:v>44327</c:v>
                </c:pt>
                <c:pt idx="862">
                  <c:v>44328</c:v>
                </c:pt>
                <c:pt idx="863">
                  <c:v>44329</c:v>
                </c:pt>
                <c:pt idx="864">
                  <c:v>44330</c:v>
                </c:pt>
                <c:pt idx="865">
                  <c:v>44331</c:v>
                </c:pt>
                <c:pt idx="866">
                  <c:v>44332</c:v>
                </c:pt>
                <c:pt idx="867">
                  <c:v>44333</c:v>
                </c:pt>
                <c:pt idx="868">
                  <c:v>44334</c:v>
                </c:pt>
                <c:pt idx="869">
                  <c:v>44335</c:v>
                </c:pt>
                <c:pt idx="870">
                  <c:v>44336</c:v>
                </c:pt>
                <c:pt idx="871">
                  <c:v>44337</c:v>
                </c:pt>
                <c:pt idx="872">
                  <c:v>44338</c:v>
                </c:pt>
                <c:pt idx="873">
                  <c:v>44339</c:v>
                </c:pt>
                <c:pt idx="874">
                  <c:v>44340</c:v>
                </c:pt>
                <c:pt idx="875">
                  <c:v>44341</c:v>
                </c:pt>
                <c:pt idx="876">
                  <c:v>44342</c:v>
                </c:pt>
                <c:pt idx="877">
                  <c:v>44343</c:v>
                </c:pt>
                <c:pt idx="878">
                  <c:v>44344</c:v>
                </c:pt>
                <c:pt idx="879">
                  <c:v>44345</c:v>
                </c:pt>
                <c:pt idx="880">
                  <c:v>44346</c:v>
                </c:pt>
                <c:pt idx="881">
                  <c:v>44347</c:v>
                </c:pt>
                <c:pt idx="882">
                  <c:v>44348</c:v>
                </c:pt>
                <c:pt idx="883">
                  <c:v>44349</c:v>
                </c:pt>
                <c:pt idx="884">
                  <c:v>44350</c:v>
                </c:pt>
                <c:pt idx="885">
                  <c:v>44351</c:v>
                </c:pt>
                <c:pt idx="886">
                  <c:v>44352</c:v>
                </c:pt>
                <c:pt idx="887">
                  <c:v>44353</c:v>
                </c:pt>
                <c:pt idx="888">
                  <c:v>44354</c:v>
                </c:pt>
                <c:pt idx="889">
                  <c:v>44355</c:v>
                </c:pt>
                <c:pt idx="890">
                  <c:v>44356</c:v>
                </c:pt>
                <c:pt idx="891">
                  <c:v>44357</c:v>
                </c:pt>
                <c:pt idx="892">
                  <c:v>44358</c:v>
                </c:pt>
                <c:pt idx="893">
                  <c:v>44359</c:v>
                </c:pt>
                <c:pt idx="894">
                  <c:v>44360</c:v>
                </c:pt>
                <c:pt idx="895">
                  <c:v>44361</c:v>
                </c:pt>
                <c:pt idx="896">
                  <c:v>44362</c:v>
                </c:pt>
                <c:pt idx="897">
                  <c:v>44363</c:v>
                </c:pt>
                <c:pt idx="898">
                  <c:v>44364</c:v>
                </c:pt>
                <c:pt idx="899">
                  <c:v>44365</c:v>
                </c:pt>
                <c:pt idx="900">
                  <c:v>44366</c:v>
                </c:pt>
                <c:pt idx="901">
                  <c:v>44367</c:v>
                </c:pt>
                <c:pt idx="902">
                  <c:v>44368</c:v>
                </c:pt>
                <c:pt idx="903">
                  <c:v>44369</c:v>
                </c:pt>
                <c:pt idx="904">
                  <c:v>44370</c:v>
                </c:pt>
                <c:pt idx="905">
                  <c:v>44371</c:v>
                </c:pt>
                <c:pt idx="906">
                  <c:v>44372</c:v>
                </c:pt>
                <c:pt idx="907">
                  <c:v>44373</c:v>
                </c:pt>
                <c:pt idx="908">
                  <c:v>44374</c:v>
                </c:pt>
                <c:pt idx="909">
                  <c:v>44375</c:v>
                </c:pt>
                <c:pt idx="910">
                  <c:v>44376</c:v>
                </c:pt>
                <c:pt idx="911">
                  <c:v>44377</c:v>
                </c:pt>
                <c:pt idx="912">
                  <c:v>44378</c:v>
                </c:pt>
                <c:pt idx="913">
                  <c:v>44379</c:v>
                </c:pt>
                <c:pt idx="914">
                  <c:v>44380</c:v>
                </c:pt>
                <c:pt idx="915">
                  <c:v>44381</c:v>
                </c:pt>
                <c:pt idx="916">
                  <c:v>44382</c:v>
                </c:pt>
                <c:pt idx="917">
                  <c:v>44383</c:v>
                </c:pt>
                <c:pt idx="918">
                  <c:v>44384</c:v>
                </c:pt>
                <c:pt idx="919">
                  <c:v>44385</c:v>
                </c:pt>
                <c:pt idx="920">
                  <c:v>44386</c:v>
                </c:pt>
                <c:pt idx="921">
                  <c:v>44387</c:v>
                </c:pt>
                <c:pt idx="922">
                  <c:v>44388</c:v>
                </c:pt>
                <c:pt idx="923">
                  <c:v>44389</c:v>
                </c:pt>
                <c:pt idx="924">
                  <c:v>44390</c:v>
                </c:pt>
                <c:pt idx="925">
                  <c:v>44391</c:v>
                </c:pt>
                <c:pt idx="926">
                  <c:v>44392</c:v>
                </c:pt>
                <c:pt idx="927">
                  <c:v>44393</c:v>
                </c:pt>
                <c:pt idx="928">
                  <c:v>44394</c:v>
                </c:pt>
                <c:pt idx="929">
                  <c:v>44395</c:v>
                </c:pt>
                <c:pt idx="930">
                  <c:v>44396</c:v>
                </c:pt>
                <c:pt idx="931">
                  <c:v>44397</c:v>
                </c:pt>
                <c:pt idx="932">
                  <c:v>44398</c:v>
                </c:pt>
                <c:pt idx="933">
                  <c:v>44399</c:v>
                </c:pt>
                <c:pt idx="934">
                  <c:v>44400</c:v>
                </c:pt>
                <c:pt idx="935">
                  <c:v>44401</c:v>
                </c:pt>
                <c:pt idx="936">
                  <c:v>44402</c:v>
                </c:pt>
                <c:pt idx="937">
                  <c:v>44403</c:v>
                </c:pt>
                <c:pt idx="938">
                  <c:v>44404</c:v>
                </c:pt>
                <c:pt idx="939">
                  <c:v>44405</c:v>
                </c:pt>
                <c:pt idx="940">
                  <c:v>44406</c:v>
                </c:pt>
                <c:pt idx="941">
                  <c:v>44407</c:v>
                </c:pt>
                <c:pt idx="942">
                  <c:v>44408</c:v>
                </c:pt>
                <c:pt idx="943">
                  <c:v>44409</c:v>
                </c:pt>
                <c:pt idx="944">
                  <c:v>44410</c:v>
                </c:pt>
                <c:pt idx="945">
                  <c:v>44411</c:v>
                </c:pt>
                <c:pt idx="946">
                  <c:v>44412</c:v>
                </c:pt>
                <c:pt idx="947">
                  <c:v>44413</c:v>
                </c:pt>
                <c:pt idx="948">
                  <c:v>44414</c:v>
                </c:pt>
                <c:pt idx="949">
                  <c:v>44415</c:v>
                </c:pt>
                <c:pt idx="950">
                  <c:v>44416</c:v>
                </c:pt>
                <c:pt idx="951">
                  <c:v>44417</c:v>
                </c:pt>
                <c:pt idx="952">
                  <c:v>44418</c:v>
                </c:pt>
                <c:pt idx="953">
                  <c:v>44419</c:v>
                </c:pt>
                <c:pt idx="954">
                  <c:v>44420</c:v>
                </c:pt>
                <c:pt idx="955">
                  <c:v>44421</c:v>
                </c:pt>
                <c:pt idx="956">
                  <c:v>44422</c:v>
                </c:pt>
                <c:pt idx="957">
                  <c:v>44423</c:v>
                </c:pt>
                <c:pt idx="958">
                  <c:v>44424</c:v>
                </c:pt>
                <c:pt idx="959">
                  <c:v>44425</c:v>
                </c:pt>
                <c:pt idx="960">
                  <c:v>44426</c:v>
                </c:pt>
                <c:pt idx="961">
                  <c:v>44427</c:v>
                </c:pt>
                <c:pt idx="962">
                  <c:v>44428</c:v>
                </c:pt>
                <c:pt idx="963">
                  <c:v>44429</c:v>
                </c:pt>
                <c:pt idx="964">
                  <c:v>44430</c:v>
                </c:pt>
                <c:pt idx="965">
                  <c:v>44431</c:v>
                </c:pt>
                <c:pt idx="966">
                  <c:v>44432</c:v>
                </c:pt>
                <c:pt idx="967">
                  <c:v>44433</c:v>
                </c:pt>
                <c:pt idx="968">
                  <c:v>44434</c:v>
                </c:pt>
                <c:pt idx="969">
                  <c:v>44435</c:v>
                </c:pt>
                <c:pt idx="970">
                  <c:v>44436</c:v>
                </c:pt>
                <c:pt idx="971">
                  <c:v>44437</c:v>
                </c:pt>
                <c:pt idx="972">
                  <c:v>44438</c:v>
                </c:pt>
                <c:pt idx="973">
                  <c:v>44439</c:v>
                </c:pt>
                <c:pt idx="974">
                  <c:v>44440</c:v>
                </c:pt>
                <c:pt idx="975">
                  <c:v>44441</c:v>
                </c:pt>
                <c:pt idx="976">
                  <c:v>44442</c:v>
                </c:pt>
                <c:pt idx="977">
                  <c:v>44443</c:v>
                </c:pt>
                <c:pt idx="978">
                  <c:v>44444</c:v>
                </c:pt>
                <c:pt idx="979">
                  <c:v>44445</c:v>
                </c:pt>
                <c:pt idx="980">
                  <c:v>44446</c:v>
                </c:pt>
                <c:pt idx="981">
                  <c:v>44447</c:v>
                </c:pt>
                <c:pt idx="982">
                  <c:v>44448</c:v>
                </c:pt>
                <c:pt idx="983">
                  <c:v>44449</c:v>
                </c:pt>
                <c:pt idx="984">
                  <c:v>44450</c:v>
                </c:pt>
                <c:pt idx="985">
                  <c:v>44451</c:v>
                </c:pt>
                <c:pt idx="986">
                  <c:v>44452</c:v>
                </c:pt>
                <c:pt idx="987">
                  <c:v>44453</c:v>
                </c:pt>
                <c:pt idx="988">
                  <c:v>44454</c:v>
                </c:pt>
                <c:pt idx="989">
                  <c:v>44455</c:v>
                </c:pt>
                <c:pt idx="990">
                  <c:v>44456</c:v>
                </c:pt>
                <c:pt idx="991">
                  <c:v>44457</c:v>
                </c:pt>
                <c:pt idx="992">
                  <c:v>44458</c:v>
                </c:pt>
                <c:pt idx="993">
                  <c:v>44459</c:v>
                </c:pt>
                <c:pt idx="994">
                  <c:v>44460</c:v>
                </c:pt>
                <c:pt idx="995">
                  <c:v>44461</c:v>
                </c:pt>
                <c:pt idx="996">
                  <c:v>44462</c:v>
                </c:pt>
                <c:pt idx="997">
                  <c:v>44463</c:v>
                </c:pt>
                <c:pt idx="998">
                  <c:v>44464</c:v>
                </c:pt>
                <c:pt idx="999">
                  <c:v>44465</c:v>
                </c:pt>
                <c:pt idx="1000">
                  <c:v>44466</c:v>
                </c:pt>
                <c:pt idx="1001">
                  <c:v>44467</c:v>
                </c:pt>
                <c:pt idx="1002">
                  <c:v>44468</c:v>
                </c:pt>
                <c:pt idx="1003">
                  <c:v>44469</c:v>
                </c:pt>
                <c:pt idx="1004">
                  <c:v>44470</c:v>
                </c:pt>
                <c:pt idx="1005">
                  <c:v>44471</c:v>
                </c:pt>
                <c:pt idx="1006">
                  <c:v>44472</c:v>
                </c:pt>
                <c:pt idx="1007">
                  <c:v>44473</c:v>
                </c:pt>
                <c:pt idx="1008">
                  <c:v>44474</c:v>
                </c:pt>
                <c:pt idx="1009">
                  <c:v>44475</c:v>
                </c:pt>
                <c:pt idx="1010">
                  <c:v>44476</c:v>
                </c:pt>
                <c:pt idx="1011">
                  <c:v>44477</c:v>
                </c:pt>
                <c:pt idx="1012">
                  <c:v>44478</c:v>
                </c:pt>
                <c:pt idx="1013">
                  <c:v>44479</c:v>
                </c:pt>
                <c:pt idx="1014">
                  <c:v>44480</c:v>
                </c:pt>
                <c:pt idx="1015">
                  <c:v>44481</c:v>
                </c:pt>
                <c:pt idx="1016">
                  <c:v>44482</c:v>
                </c:pt>
                <c:pt idx="1017">
                  <c:v>44483</c:v>
                </c:pt>
                <c:pt idx="1018">
                  <c:v>44484</c:v>
                </c:pt>
                <c:pt idx="1019">
                  <c:v>44485</c:v>
                </c:pt>
                <c:pt idx="1020">
                  <c:v>44486</c:v>
                </c:pt>
                <c:pt idx="1021">
                  <c:v>44487</c:v>
                </c:pt>
                <c:pt idx="1022">
                  <c:v>44488</c:v>
                </c:pt>
                <c:pt idx="1023">
                  <c:v>44489</c:v>
                </c:pt>
                <c:pt idx="1024">
                  <c:v>44490</c:v>
                </c:pt>
                <c:pt idx="1025">
                  <c:v>44491</c:v>
                </c:pt>
                <c:pt idx="1026">
                  <c:v>44492</c:v>
                </c:pt>
                <c:pt idx="1027">
                  <c:v>44493</c:v>
                </c:pt>
                <c:pt idx="1028">
                  <c:v>44494</c:v>
                </c:pt>
                <c:pt idx="1029">
                  <c:v>44495</c:v>
                </c:pt>
                <c:pt idx="1030">
                  <c:v>44496</c:v>
                </c:pt>
                <c:pt idx="1031">
                  <c:v>44497</c:v>
                </c:pt>
                <c:pt idx="1032">
                  <c:v>44498</c:v>
                </c:pt>
                <c:pt idx="1033">
                  <c:v>44499</c:v>
                </c:pt>
                <c:pt idx="1034">
                  <c:v>44500</c:v>
                </c:pt>
                <c:pt idx="1035">
                  <c:v>44501</c:v>
                </c:pt>
                <c:pt idx="1036">
                  <c:v>44502</c:v>
                </c:pt>
                <c:pt idx="1037">
                  <c:v>44503</c:v>
                </c:pt>
                <c:pt idx="1038">
                  <c:v>44504</c:v>
                </c:pt>
                <c:pt idx="1039">
                  <c:v>44505</c:v>
                </c:pt>
                <c:pt idx="1040">
                  <c:v>44506</c:v>
                </c:pt>
                <c:pt idx="1041">
                  <c:v>44507</c:v>
                </c:pt>
                <c:pt idx="1042">
                  <c:v>44508</c:v>
                </c:pt>
                <c:pt idx="1043">
                  <c:v>44509</c:v>
                </c:pt>
                <c:pt idx="1044">
                  <c:v>44510</c:v>
                </c:pt>
                <c:pt idx="1045">
                  <c:v>44511</c:v>
                </c:pt>
                <c:pt idx="1046">
                  <c:v>44512</c:v>
                </c:pt>
                <c:pt idx="1047">
                  <c:v>44513</c:v>
                </c:pt>
                <c:pt idx="1048">
                  <c:v>44514</c:v>
                </c:pt>
                <c:pt idx="1049">
                  <c:v>44515</c:v>
                </c:pt>
                <c:pt idx="1050">
                  <c:v>44516</c:v>
                </c:pt>
                <c:pt idx="1051">
                  <c:v>44517</c:v>
                </c:pt>
                <c:pt idx="1052">
                  <c:v>44518</c:v>
                </c:pt>
                <c:pt idx="1053">
                  <c:v>44519</c:v>
                </c:pt>
                <c:pt idx="1054">
                  <c:v>44520</c:v>
                </c:pt>
                <c:pt idx="1055">
                  <c:v>44521</c:v>
                </c:pt>
                <c:pt idx="1056">
                  <c:v>44522</c:v>
                </c:pt>
                <c:pt idx="1057">
                  <c:v>44523</c:v>
                </c:pt>
                <c:pt idx="1058">
                  <c:v>44524</c:v>
                </c:pt>
                <c:pt idx="1059">
                  <c:v>44525</c:v>
                </c:pt>
                <c:pt idx="1060">
                  <c:v>44526</c:v>
                </c:pt>
                <c:pt idx="1061">
                  <c:v>44527</c:v>
                </c:pt>
                <c:pt idx="1062">
                  <c:v>44528</c:v>
                </c:pt>
                <c:pt idx="1063">
                  <c:v>44529</c:v>
                </c:pt>
                <c:pt idx="1064">
                  <c:v>44530</c:v>
                </c:pt>
                <c:pt idx="1065">
                  <c:v>44531</c:v>
                </c:pt>
                <c:pt idx="1066">
                  <c:v>44532</c:v>
                </c:pt>
                <c:pt idx="1067">
                  <c:v>44533</c:v>
                </c:pt>
                <c:pt idx="1068">
                  <c:v>44534</c:v>
                </c:pt>
                <c:pt idx="1069">
                  <c:v>44535</c:v>
                </c:pt>
                <c:pt idx="1070">
                  <c:v>44536</c:v>
                </c:pt>
                <c:pt idx="1071">
                  <c:v>44537</c:v>
                </c:pt>
                <c:pt idx="1072">
                  <c:v>44538</c:v>
                </c:pt>
                <c:pt idx="1073">
                  <c:v>44539</c:v>
                </c:pt>
                <c:pt idx="1074">
                  <c:v>44540</c:v>
                </c:pt>
                <c:pt idx="1075">
                  <c:v>44541</c:v>
                </c:pt>
                <c:pt idx="1076">
                  <c:v>44542</c:v>
                </c:pt>
                <c:pt idx="1077">
                  <c:v>44543</c:v>
                </c:pt>
                <c:pt idx="1078">
                  <c:v>44544</c:v>
                </c:pt>
                <c:pt idx="1079">
                  <c:v>44545</c:v>
                </c:pt>
                <c:pt idx="1080">
                  <c:v>44546</c:v>
                </c:pt>
                <c:pt idx="1081">
                  <c:v>44547</c:v>
                </c:pt>
                <c:pt idx="1082">
                  <c:v>44548</c:v>
                </c:pt>
                <c:pt idx="1083">
                  <c:v>44549</c:v>
                </c:pt>
                <c:pt idx="1084">
                  <c:v>44550</c:v>
                </c:pt>
                <c:pt idx="1085">
                  <c:v>44551</c:v>
                </c:pt>
                <c:pt idx="1086">
                  <c:v>44552</c:v>
                </c:pt>
                <c:pt idx="1087">
                  <c:v>44553</c:v>
                </c:pt>
                <c:pt idx="1088">
                  <c:v>44554</c:v>
                </c:pt>
                <c:pt idx="1089">
                  <c:v>44555</c:v>
                </c:pt>
                <c:pt idx="1090">
                  <c:v>44556</c:v>
                </c:pt>
                <c:pt idx="1091">
                  <c:v>44557</c:v>
                </c:pt>
                <c:pt idx="1092">
                  <c:v>44558</c:v>
                </c:pt>
                <c:pt idx="1093">
                  <c:v>44559</c:v>
                </c:pt>
                <c:pt idx="1094">
                  <c:v>44560</c:v>
                </c:pt>
                <c:pt idx="1095">
                  <c:v>44561</c:v>
                </c:pt>
                <c:pt idx="1096">
                  <c:v>44562</c:v>
                </c:pt>
                <c:pt idx="1097">
                  <c:v>44563</c:v>
                </c:pt>
                <c:pt idx="1098">
                  <c:v>44564</c:v>
                </c:pt>
                <c:pt idx="1099">
                  <c:v>44565</c:v>
                </c:pt>
                <c:pt idx="1100">
                  <c:v>44566</c:v>
                </c:pt>
                <c:pt idx="1101">
                  <c:v>44567</c:v>
                </c:pt>
                <c:pt idx="1102">
                  <c:v>44568</c:v>
                </c:pt>
                <c:pt idx="1103">
                  <c:v>44569</c:v>
                </c:pt>
                <c:pt idx="1104">
                  <c:v>44570</c:v>
                </c:pt>
                <c:pt idx="1105">
                  <c:v>44571</c:v>
                </c:pt>
                <c:pt idx="1106">
                  <c:v>44572</c:v>
                </c:pt>
                <c:pt idx="1107">
                  <c:v>44573</c:v>
                </c:pt>
                <c:pt idx="1108">
                  <c:v>44574</c:v>
                </c:pt>
                <c:pt idx="1109">
                  <c:v>44575</c:v>
                </c:pt>
                <c:pt idx="1110">
                  <c:v>44576</c:v>
                </c:pt>
                <c:pt idx="1111">
                  <c:v>44577</c:v>
                </c:pt>
                <c:pt idx="1112">
                  <c:v>44578</c:v>
                </c:pt>
                <c:pt idx="1113">
                  <c:v>44579</c:v>
                </c:pt>
                <c:pt idx="1114">
                  <c:v>44580</c:v>
                </c:pt>
                <c:pt idx="1115">
                  <c:v>44581</c:v>
                </c:pt>
                <c:pt idx="1116">
                  <c:v>44582</c:v>
                </c:pt>
                <c:pt idx="1117">
                  <c:v>44583</c:v>
                </c:pt>
                <c:pt idx="1118">
                  <c:v>44584</c:v>
                </c:pt>
                <c:pt idx="1119">
                  <c:v>44585</c:v>
                </c:pt>
                <c:pt idx="1120">
                  <c:v>44586</c:v>
                </c:pt>
                <c:pt idx="1121">
                  <c:v>44587</c:v>
                </c:pt>
                <c:pt idx="1122">
                  <c:v>44588</c:v>
                </c:pt>
                <c:pt idx="1123">
                  <c:v>44589</c:v>
                </c:pt>
                <c:pt idx="1124">
                  <c:v>44590</c:v>
                </c:pt>
                <c:pt idx="1125">
                  <c:v>44591</c:v>
                </c:pt>
                <c:pt idx="1126">
                  <c:v>44592</c:v>
                </c:pt>
                <c:pt idx="1127">
                  <c:v>44593</c:v>
                </c:pt>
                <c:pt idx="1128">
                  <c:v>44594</c:v>
                </c:pt>
                <c:pt idx="1129">
                  <c:v>44595</c:v>
                </c:pt>
                <c:pt idx="1130">
                  <c:v>44596</c:v>
                </c:pt>
                <c:pt idx="1131">
                  <c:v>44597</c:v>
                </c:pt>
                <c:pt idx="1132">
                  <c:v>44598</c:v>
                </c:pt>
                <c:pt idx="1133">
                  <c:v>44599</c:v>
                </c:pt>
                <c:pt idx="1134">
                  <c:v>44600</c:v>
                </c:pt>
                <c:pt idx="1135">
                  <c:v>44601</c:v>
                </c:pt>
                <c:pt idx="1136">
                  <c:v>44602</c:v>
                </c:pt>
                <c:pt idx="1137">
                  <c:v>44603</c:v>
                </c:pt>
                <c:pt idx="1138">
                  <c:v>44604</c:v>
                </c:pt>
                <c:pt idx="1139">
                  <c:v>44605</c:v>
                </c:pt>
                <c:pt idx="1140">
                  <c:v>44606</c:v>
                </c:pt>
                <c:pt idx="1141">
                  <c:v>44607</c:v>
                </c:pt>
                <c:pt idx="1142">
                  <c:v>44608</c:v>
                </c:pt>
                <c:pt idx="1143">
                  <c:v>44609</c:v>
                </c:pt>
                <c:pt idx="1144">
                  <c:v>44610</c:v>
                </c:pt>
                <c:pt idx="1145">
                  <c:v>44611</c:v>
                </c:pt>
                <c:pt idx="1146">
                  <c:v>44612</c:v>
                </c:pt>
                <c:pt idx="1147">
                  <c:v>44613</c:v>
                </c:pt>
                <c:pt idx="1148">
                  <c:v>44614</c:v>
                </c:pt>
                <c:pt idx="1149">
                  <c:v>44615</c:v>
                </c:pt>
                <c:pt idx="1150">
                  <c:v>44616</c:v>
                </c:pt>
                <c:pt idx="1151">
                  <c:v>44617</c:v>
                </c:pt>
                <c:pt idx="1152">
                  <c:v>44618</c:v>
                </c:pt>
                <c:pt idx="1153">
                  <c:v>44619</c:v>
                </c:pt>
                <c:pt idx="1154">
                  <c:v>44620</c:v>
                </c:pt>
                <c:pt idx="1155">
                  <c:v>44621</c:v>
                </c:pt>
                <c:pt idx="1156">
                  <c:v>44622</c:v>
                </c:pt>
                <c:pt idx="1157">
                  <c:v>44623</c:v>
                </c:pt>
                <c:pt idx="1158">
                  <c:v>44624</c:v>
                </c:pt>
                <c:pt idx="1159">
                  <c:v>44625</c:v>
                </c:pt>
                <c:pt idx="1160">
                  <c:v>44626</c:v>
                </c:pt>
                <c:pt idx="1161">
                  <c:v>44627</c:v>
                </c:pt>
                <c:pt idx="1162">
                  <c:v>44628</c:v>
                </c:pt>
                <c:pt idx="1163">
                  <c:v>44629</c:v>
                </c:pt>
                <c:pt idx="1164">
                  <c:v>44630</c:v>
                </c:pt>
                <c:pt idx="1165">
                  <c:v>44631</c:v>
                </c:pt>
                <c:pt idx="1166">
                  <c:v>44632</c:v>
                </c:pt>
                <c:pt idx="1167">
                  <c:v>44633</c:v>
                </c:pt>
                <c:pt idx="1168">
                  <c:v>44634</c:v>
                </c:pt>
                <c:pt idx="1169">
                  <c:v>44635</c:v>
                </c:pt>
                <c:pt idx="1170">
                  <c:v>44636</c:v>
                </c:pt>
                <c:pt idx="1171">
                  <c:v>44637</c:v>
                </c:pt>
                <c:pt idx="1172">
                  <c:v>44638</c:v>
                </c:pt>
                <c:pt idx="1173">
                  <c:v>44639</c:v>
                </c:pt>
                <c:pt idx="1174">
                  <c:v>44640</c:v>
                </c:pt>
                <c:pt idx="1175">
                  <c:v>44641</c:v>
                </c:pt>
                <c:pt idx="1176">
                  <c:v>44642</c:v>
                </c:pt>
                <c:pt idx="1177">
                  <c:v>44643</c:v>
                </c:pt>
                <c:pt idx="1178">
                  <c:v>44644</c:v>
                </c:pt>
                <c:pt idx="1179">
                  <c:v>44645</c:v>
                </c:pt>
                <c:pt idx="1180">
                  <c:v>44646</c:v>
                </c:pt>
                <c:pt idx="1181">
                  <c:v>44647</c:v>
                </c:pt>
                <c:pt idx="1182">
                  <c:v>44648</c:v>
                </c:pt>
                <c:pt idx="1183">
                  <c:v>44649</c:v>
                </c:pt>
                <c:pt idx="1184">
                  <c:v>44650</c:v>
                </c:pt>
                <c:pt idx="1185">
                  <c:v>44651</c:v>
                </c:pt>
                <c:pt idx="1186">
                  <c:v>44652</c:v>
                </c:pt>
                <c:pt idx="1187">
                  <c:v>44653</c:v>
                </c:pt>
                <c:pt idx="1188">
                  <c:v>44654</c:v>
                </c:pt>
                <c:pt idx="1189">
                  <c:v>44655</c:v>
                </c:pt>
                <c:pt idx="1190">
                  <c:v>44656</c:v>
                </c:pt>
                <c:pt idx="1191">
                  <c:v>44657</c:v>
                </c:pt>
                <c:pt idx="1192">
                  <c:v>44658</c:v>
                </c:pt>
                <c:pt idx="1193">
                  <c:v>44659</c:v>
                </c:pt>
                <c:pt idx="1194">
                  <c:v>44660</c:v>
                </c:pt>
                <c:pt idx="1195">
                  <c:v>44661</c:v>
                </c:pt>
                <c:pt idx="1196">
                  <c:v>44662</c:v>
                </c:pt>
                <c:pt idx="1197">
                  <c:v>44663</c:v>
                </c:pt>
                <c:pt idx="1198">
                  <c:v>44664</c:v>
                </c:pt>
                <c:pt idx="1199">
                  <c:v>44665</c:v>
                </c:pt>
                <c:pt idx="1200">
                  <c:v>44666</c:v>
                </c:pt>
                <c:pt idx="1201">
                  <c:v>44667</c:v>
                </c:pt>
                <c:pt idx="1202">
                  <c:v>44668</c:v>
                </c:pt>
                <c:pt idx="1203">
                  <c:v>44669</c:v>
                </c:pt>
                <c:pt idx="1204">
                  <c:v>44670</c:v>
                </c:pt>
                <c:pt idx="1205">
                  <c:v>44671</c:v>
                </c:pt>
                <c:pt idx="1206">
                  <c:v>44672</c:v>
                </c:pt>
                <c:pt idx="1207">
                  <c:v>44673</c:v>
                </c:pt>
                <c:pt idx="1208">
                  <c:v>44674</c:v>
                </c:pt>
                <c:pt idx="1209">
                  <c:v>44675</c:v>
                </c:pt>
                <c:pt idx="1210">
                  <c:v>44676</c:v>
                </c:pt>
                <c:pt idx="1211">
                  <c:v>44677</c:v>
                </c:pt>
                <c:pt idx="1212">
                  <c:v>44678</c:v>
                </c:pt>
                <c:pt idx="1213">
                  <c:v>44679</c:v>
                </c:pt>
                <c:pt idx="1214">
                  <c:v>44680</c:v>
                </c:pt>
                <c:pt idx="1215">
                  <c:v>44681</c:v>
                </c:pt>
                <c:pt idx="1216">
                  <c:v>44682</c:v>
                </c:pt>
                <c:pt idx="1217">
                  <c:v>44683</c:v>
                </c:pt>
                <c:pt idx="1218">
                  <c:v>44684</c:v>
                </c:pt>
                <c:pt idx="1219">
                  <c:v>44685</c:v>
                </c:pt>
                <c:pt idx="1220">
                  <c:v>44686</c:v>
                </c:pt>
                <c:pt idx="1221">
                  <c:v>44687</c:v>
                </c:pt>
                <c:pt idx="1222">
                  <c:v>44688</c:v>
                </c:pt>
                <c:pt idx="1223">
                  <c:v>44689</c:v>
                </c:pt>
                <c:pt idx="1224">
                  <c:v>44690</c:v>
                </c:pt>
                <c:pt idx="1225">
                  <c:v>44691</c:v>
                </c:pt>
                <c:pt idx="1226">
                  <c:v>44692</c:v>
                </c:pt>
                <c:pt idx="1227">
                  <c:v>44693</c:v>
                </c:pt>
                <c:pt idx="1228">
                  <c:v>44694</c:v>
                </c:pt>
                <c:pt idx="1229">
                  <c:v>44695</c:v>
                </c:pt>
                <c:pt idx="1230">
                  <c:v>44696</c:v>
                </c:pt>
                <c:pt idx="1231">
                  <c:v>44697</c:v>
                </c:pt>
                <c:pt idx="1232">
                  <c:v>44698</c:v>
                </c:pt>
                <c:pt idx="1233">
                  <c:v>44699</c:v>
                </c:pt>
                <c:pt idx="1234">
                  <c:v>44700</c:v>
                </c:pt>
                <c:pt idx="1235">
                  <c:v>44701</c:v>
                </c:pt>
                <c:pt idx="1236">
                  <c:v>44702</c:v>
                </c:pt>
                <c:pt idx="1237">
                  <c:v>44703</c:v>
                </c:pt>
                <c:pt idx="1238">
                  <c:v>44704</c:v>
                </c:pt>
                <c:pt idx="1239">
                  <c:v>44705</c:v>
                </c:pt>
                <c:pt idx="1240">
                  <c:v>44706</c:v>
                </c:pt>
                <c:pt idx="1241">
                  <c:v>44707</c:v>
                </c:pt>
                <c:pt idx="1242">
                  <c:v>44708</c:v>
                </c:pt>
                <c:pt idx="1243">
                  <c:v>44709</c:v>
                </c:pt>
                <c:pt idx="1244">
                  <c:v>44710</c:v>
                </c:pt>
                <c:pt idx="1245">
                  <c:v>44711</c:v>
                </c:pt>
                <c:pt idx="1246">
                  <c:v>44712</c:v>
                </c:pt>
                <c:pt idx="1247">
                  <c:v>44713</c:v>
                </c:pt>
                <c:pt idx="1248">
                  <c:v>44714</c:v>
                </c:pt>
                <c:pt idx="1249">
                  <c:v>44715</c:v>
                </c:pt>
                <c:pt idx="1250">
                  <c:v>44716</c:v>
                </c:pt>
                <c:pt idx="1251">
                  <c:v>44717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44723</c:v>
                </c:pt>
                <c:pt idx="1258">
                  <c:v>44724</c:v>
                </c:pt>
                <c:pt idx="1259">
                  <c:v>44725</c:v>
                </c:pt>
                <c:pt idx="1260">
                  <c:v>44726</c:v>
                </c:pt>
                <c:pt idx="1261">
                  <c:v>44727</c:v>
                </c:pt>
                <c:pt idx="1262">
                  <c:v>44728</c:v>
                </c:pt>
                <c:pt idx="1263">
                  <c:v>44729</c:v>
                </c:pt>
                <c:pt idx="1264">
                  <c:v>44730</c:v>
                </c:pt>
                <c:pt idx="1265">
                  <c:v>44731</c:v>
                </c:pt>
                <c:pt idx="1266">
                  <c:v>44732</c:v>
                </c:pt>
                <c:pt idx="1267">
                  <c:v>44733</c:v>
                </c:pt>
                <c:pt idx="1268">
                  <c:v>44734</c:v>
                </c:pt>
                <c:pt idx="1269">
                  <c:v>44735</c:v>
                </c:pt>
                <c:pt idx="1270">
                  <c:v>44736</c:v>
                </c:pt>
                <c:pt idx="1271">
                  <c:v>44737</c:v>
                </c:pt>
                <c:pt idx="1272">
                  <c:v>44738</c:v>
                </c:pt>
                <c:pt idx="1273">
                  <c:v>44739</c:v>
                </c:pt>
                <c:pt idx="1274">
                  <c:v>44740</c:v>
                </c:pt>
                <c:pt idx="1275">
                  <c:v>44741</c:v>
                </c:pt>
                <c:pt idx="1276">
                  <c:v>44742</c:v>
                </c:pt>
                <c:pt idx="1277">
                  <c:v>44743</c:v>
                </c:pt>
                <c:pt idx="1278">
                  <c:v>44744</c:v>
                </c:pt>
                <c:pt idx="1279">
                  <c:v>44745</c:v>
                </c:pt>
                <c:pt idx="1280">
                  <c:v>44746</c:v>
                </c:pt>
                <c:pt idx="1281">
                  <c:v>44747</c:v>
                </c:pt>
                <c:pt idx="1282">
                  <c:v>44748</c:v>
                </c:pt>
                <c:pt idx="1283">
                  <c:v>44749</c:v>
                </c:pt>
                <c:pt idx="1284">
                  <c:v>44750</c:v>
                </c:pt>
                <c:pt idx="1285">
                  <c:v>44751</c:v>
                </c:pt>
                <c:pt idx="1286">
                  <c:v>44752</c:v>
                </c:pt>
                <c:pt idx="1287">
                  <c:v>44753</c:v>
                </c:pt>
                <c:pt idx="1288">
                  <c:v>44754</c:v>
                </c:pt>
                <c:pt idx="1289">
                  <c:v>44755</c:v>
                </c:pt>
                <c:pt idx="1290">
                  <c:v>44756</c:v>
                </c:pt>
                <c:pt idx="1291">
                  <c:v>44757</c:v>
                </c:pt>
                <c:pt idx="1292">
                  <c:v>44758</c:v>
                </c:pt>
                <c:pt idx="1293">
                  <c:v>44759</c:v>
                </c:pt>
                <c:pt idx="1294">
                  <c:v>44760</c:v>
                </c:pt>
                <c:pt idx="1295">
                  <c:v>44761</c:v>
                </c:pt>
                <c:pt idx="1296">
                  <c:v>44762</c:v>
                </c:pt>
                <c:pt idx="1297">
                  <c:v>44763</c:v>
                </c:pt>
                <c:pt idx="1298">
                  <c:v>44764</c:v>
                </c:pt>
                <c:pt idx="1299">
                  <c:v>44765</c:v>
                </c:pt>
                <c:pt idx="1300">
                  <c:v>44766</c:v>
                </c:pt>
                <c:pt idx="1301">
                  <c:v>44767</c:v>
                </c:pt>
                <c:pt idx="1302">
                  <c:v>44768</c:v>
                </c:pt>
                <c:pt idx="1303">
                  <c:v>44769</c:v>
                </c:pt>
                <c:pt idx="1304">
                  <c:v>44770</c:v>
                </c:pt>
                <c:pt idx="1305">
                  <c:v>44771</c:v>
                </c:pt>
                <c:pt idx="1306">
                  <c:v>44772</c:v>
                </c:pt>
                <c:pt idx="1307">
                  <c:v>44773</c:v>
                </c:pt>
                <c:pt idx="1308">
                  <c:v>44774</c:v>
                </c:pt>
                <c:pt idx="1309">
                  <c:v>44775</c:v>
                </c:pt>
                <c:pt idx="1310">
                  <c:v>44776</c:v>
                </c:pt>
                <c:pt idx="1311">
                  <c:v>44777</c:v>
                </c:pt>
                <c:pt idx="1312">
                  <c:v>44778</c:v>
                </c:pt>
                <c:pt idx="1313">
                  <c:v>44779</c:v>
                </c:pt>
                <c:pt idx="1314">
                  <c:v>44780</c:v>
                </c:pt>
                <c:pt idx="1315">
                  <c:v>44781</c:v>
                </c:pt>
                <c:pt idx="1316">
                  <c:v>44782</c:v>
                </c:pt>
                <c:pt idx="1317">
                  <c:v>44783</c:v>
                </c:pt>
                <c:pt idx="1318">
                  <c:v>44784</c:v>
                </c:pt>
                <c:pt idx="1319">
                  <c:v>44785</c:v>
                </c:pt>
                <c:pt idx="1320">
                  <c:v>44786</c:v>
                </c:pt>
                <c:pt idx="1321">
                  <c:v>44787</c:v>
                </c:pt>
                <c:pt idx="1322">
                  <c:v>44788</c:v>
                </c:pt>
                <c:pt idx="1323">
                  <c:v>44789</c:v>
                </c:pt>
                <c:pt idx="1324">
                  <c:v>44790</c:v>
                </c:pt>
                <c:pt idx="1325">
                  <c:v>44791</c:v>
                </c:pt>
                <c:pt idx="1326">
                  <c:v>44792</c:v>
                </c:pt>
                <c:pt idx="1327">
                  <c:v>44793</c:v>
                </c:pt>
                <c:pt idx="1328">
                  <c:v>44794</c:v>
                </c:pt>
                <c:pt idx="1329">
                  <c:v>44795</c:v>
                </c:pt>
                <c:pt idx="1330">
                  <c:v>44796</c:v>
                </c:pt>
                <c:pt idx="1331">
                  <c:v>44797</c:v>
                </c:pt>
                <c:pt idx="1332">
                  <c:v>44798</c:v>
                </c:pt>
                <c:pt idx="1333">
                  <c:v>44799</c:v>
                </c:pt>
                <c:pt idx="1334">
                  <c:v>44800</c:v>
                </c:pt>
                <c:pt idx="1335">
                  <c:v>44801</c:v>
                </c:pt>
                <c:pt idx="1336">
                  <c:v>44802</c:v>
                </c:pt>
                <c:pt idx="1337">
                  <c:v>44803</c:v>
                </c:pt>
                <c:pt idx="1338">
                  <c:v>44804</c:v>
                </c:pt>
                <c:pt idx="1339">
                  <c:v>44805</c:v>
                </c:pt>
                <c:pt idx="1340">
                  <c:v>44806</c:v>
                </c:pt>
                <c:pt idx="1341">
                  <c:v>44807</c:v>
                </c:pt>
                <c:pt idx="1342">
                  <c:v>44808</c:v>
                </c:pt>
                <c:pt idx="1343">
                  <c:v>44809</c:v>
                </c:pt>
                <c:pt idx="1344">
                  <c:v>44810</c:v>
                </c:pt>
                <c:pt idx="1345">
                  <c:v>44811</c:v>
                </c:pt>
                <c:pt idx="1346">
                  <c:v>44812</c:v>
                </c:pt>
                <c:pt idx="1347">
                  <c:v>44813</c:v>
                </c:pt>
                <c:pt idx="1348">
                  <c:v>44814</c:v>
                </c:pt>
                <c:pt idx="1349">
                  <c:v>44815</c:v>
                </c:pt>
                <c:pt idx="1350">
                  <c:v>44816</c:v>
                </c:pt>
                <c:pt idx="1351">
                  <c:v>44817</c:v>
                </c:pt>
                <c:pt idx="1352">
                  <c:v>44818</c:v>
                </c:pt>
                <c:pt idx="1353">
                  <c:v>44819</c:v>
                </c:pt>
                <c:pt idx="1354">
                  <c:v>44820</c:v>
                </c:pt>
                <c:pt idx="1355">
                  <c:v>44821</c:v>
                </c:pt>
                <c:pt idx="1356">
                  <c:v>44822</c:v>
                </c:pt>
                <c:pt idx="1357">
                  <c:v>44823</c:v>
                </c:pt>
                <c:pt idx="1358">
                  <c:v>44824</c:v>
                </c:pt>
                <c:pt idx="1359">
                  <c:v>44825</c:v>
                </c:pt>
                <c:pt idx="1360">
                  <c:v>44826</c:v>
                </c:pt>
                <c:pt idx="1361">
                  <c:v>44827</c:v>
                </c:pt>
                <c:pt idx="1362">
                  <c:v>44828</c:v>
                </c:pt>
                <c:pt idx="1363">
                  <c:v>44829</c:v>
                </c:pt>
                <c:pt idx="1364">
                  <c:v>44830</c:v>
                </c:pt>
                <c:pt idx="1365">
                  <c:v>44831</c:v>
                </c:pt>
                <c:pt idx="1366">
                  <c:v>44832</c:v>
                </c:pt>
                <c:pt idx="1367">
                  <c:v>44833</c:v>
                </c:pt>
                <c:pt idx="1368">
                  <c:v>44834</c:v>
                </c:pt>
                <c:pt idx="1369">
                  <c:v>44835</c:v>
                </c:pt>
                <c:pt idx="1370">
                  <c:v>44836</c:v>
                </c:pt>
                <c:pt idx="1371">
                  <c:v>44837</c:v>
                </c:pt>
                <c:pt idx="1372">
                  <c:v>44838</c:v>
                </c:pt>
                <c:pt idx="1373">
                  <c:v>44839</c:v>
                </c:pt>
                <c:pt idx="1374">
                  <c:v>44840</c:v>
                </c:pt>
                <c:pt idx="1375">
                  <c:v>44841</c:v>
                </c:pt>
                <c:pt idx="1376">
                  <c:v>44842</c:v>
                </c:pt>
                <c:pt idx="1377">
                  <c:v>44843</c:v>
                </c:pt>
                <c:pt idx="1378">
                  <c:v>44844</c:v>
                </c:pt>
                <c:pt idx="1379">
                  <c:v>44845</c:v>
                </c:pt>
                <c:pt idx="1380">
                  <c:v>44846</c:v>
                </c:pt>
                <c:pt idx="1381">
                  <c:v>44847</c:v>
                </c:pt>
                <c:pt idx="1382">
                  <c:v>44848</c:v>
                </c:pt>
                <c:pt idx="1383">
                  <c:v>44849</c:v>
                </c:pt>
                <c:pt idx="1384">
                  <c:v>44850</c:v>
                </c:pt>
                <c:pt idx="1385">
                  <c:v>44851</c:v>
                </c:pt>
                <c:pt idx="1386">
                  <c:v>44852</c:v>
                </c:pt>
                <c:pt idx="1387">
                  <c:v>44853</c:v>
                </c:pt>
                <c:pt idx="1388">
                  <c:v>44854</c:v>
                </c:pt>
                <c:pt idx="1389">
                  <c:v>44855</c:v>
                </c:pt>
                <c:pt idx="1390">
                  <c:v>44856</c:v>
                </c:pt>
                <c:pt idx="1391">
                  <c:v>44857</c:v>
                </c:pt>
                <c:pt idx="1392">
                  <c:v>44858</c:v>
                </c:pt>
                <c:pt idx="1393">
                  <c:v>44859</c:v>
                </c:pt>
                <c:pt idx="1394">
                  <c:v>44860</c:v>
                </c:pt>
                <c:pt idx="1395">
                  <c:v>44861</c:v>
                </c:pt>
                <c:pt idx="1396">
                  <c:v>44862</c:v>
                </c:pt>
                <c:pt idx="1397">
                  <c:v>44863</c:v>
                </c:pt>
                <c:pt idx="1398">
                  <c:v>44864</c:v>
                </c:pt>
                <c:pt idx="1399">
                  <c:v>44865</c:v>
                </c:pt>
                <c:pt idx="1400">
                  <c:v>44866</c:v>
                </c:pt>
                <c:pt idx="1401">
                  <c:v>44867</c:v>
                </c:pt>
                <c:pt idx="1402">
                  <c:v>44868</c:v>
                </c:pt>
                <c:pt idx="1403">
                  <c:v>44869</c:v>
                </c:pt>
                <c:pt idx="1404">
                  <c:v>44870</c:v>
                </c:pt>
                <c:pt idx="1405">
                  <c:v>44871</c:v>
                </c:pt>
                <c:pt idx="1406">
                  <c:v>44872</c:v>
                </c:pt>
                <c:pt idx="1407">
                  <c:v>44873</c:v>
                </c:pt>
                <c:pt idx="1408">
                  <c:v>44874</c:v>
                </c:pt>
                <c:pt idx="1409">
                  <c:v>44875</c:v>
                </c:pt>
                <c:pt idx="1410">
                  <c:v>44876</c:v>
                </c:pt>
                <c:pt idx="1411">
                  <c:v>44877</c:v>
                </c:pt>
                <c:pt idx="1412">
                  <c:v>44878</c:v>
                </c:pt>
                <c:pt idx="1413">
                  <c:v>44879</c:v>
                </c:pt>
                <c:pt idx="1414">
                  <c:v>44880</c:v>
                </c:pt>
                <c:pt idx="1415">
                  <c:v>44881</c:v>
                </c:pt>
                <c:pt idx="1416">
                  <c:v>44882</c:v>
                </c:pt>
                <c:pt idx="1417">
                  <c:v>44883</c:v>
                </c:pt>
                <c:pt idx="1418">
                  <c:v>44884</c:v>
                </c:pt>
                <c:pt idx="1419">
                  <c:v>44885</c:v>
                </c:pt>
                <c:pt idx="1420">
                  <c:v>44886</c:v>
                </c:pt>
                <c:pt idx="1421">
                  <c:v>44887</c:v>
                </c:pt>
                <c:pt idx="1422">
                  <c:v>44888</c:v>
                </c:pt>
                <c:pt idx="1423">
                  <c:v>44889</c:v>
                </c:pt>
                <c:pt idx="1424">
                  <c:v>44890</c:v>
                </c:pt>
                <c:pt idx="1425">
                  <c:v>44891</c:v>
                </c:pt>
                <c:pt idx="1426">
                  <c:v>44892</c:v>
                </c:pt>
                <c:pt idx="1427">
                  <c:v>44893</c:v>
                </c:pt>
                <c:pt idx="1428">
                  <c:v>44894</c:v>
                </c:pt>
                <c:pt idx="1429">
                  <c:v>44895</c:v>
                </c:pt>
                <c:pt idx="1430">
                  <c:v>44896</c:v>
                </c:pt>
                <c:pt idx="1431">
                  <c:v>44897</c:v>
                </c:pt>
                <c:pt idx="1432">
                  <c:v>44898</c:v>
                </c:pt>
                <c:pt idx="1433">
                  <c:v>44899</c:v>
                </c:pt>
                <c:pt idx="1434">
                  <c:v>44900</c:v>
                </c:pt>
                <c:pt idx="1435">
                  <c:v>44901</c:v>
                </c:pt>
                <c:pt idx="1436">
                  <c:v>44902</c:v>
                </c:pt>
                <c:pt idx="1437">
                  <c:v>44903</c:v>
                </c:pt>
                <c:pt idx="1438">
                  <c:v>44904</c:v>
                </c:pt>
                <c:pt idx="1439">
                  <c:v>44905</c:v>
                </c:pt>
                <c:pt idx="1440">
                  <c:v>44906</c:v>
                </c:pt>
                <c:pt idx="1441">
                  <c:v>44907</c:v>
                </c:pt>
                <c:pt idx="1442">
                  <c:v>44908</c:v>
                </c:pt>
                <c:pt idx="1443">
                  <c:v>44909</c:v>
                </c:pt>
                <c:pt idx="1444">
                  <c:v>44910</c:v>
                </c:pt>
                <c:pt idx="1445">
                  <c:v>44911</c:v>
                </c:pt>
                <c:pt idx="1446">
                  <c:v>44912</c:v>
                </c:pt>
                <c:pt idx="1447">
                  <c:v>44913</c:v>
                </c:pt>
                <c:pt idx="1448">
                  <c:v>44914</c:v>
                </c:pt>
                <c:pt idx="1449">
                  <c:v>44915</c:v>
                </c:pt>
                <c:pt idx="1450">
                  <c:v>44916</c:v>
                </c:pt>
                <c:pt idx="1451">
                  <c:v>44917</c:v>
                </c:pt>
                <c:pt idx="1452">
                  <c:v>44918</c:v>
                </c:pt>
                <c:pt idx="1453">
                  <c:v>44919</c:v>
                </c:pt>
                <c:pt idx="1454">
                  <c:v>44920</c:v>
                </c:pt>
                <c:pt idx="1455">
                  <c:v>44921</c:v>
                </c:pt>
                <c:pt idx="1456">
                  <c:v>44922</c:v>
                </c:pt>
                <c:pt idx="1457">
                  <c:v>44923</c:v>
                </c:pt>
                <c:pt idx="1458">
                  <c:v>44924</c:v>
                </c:pt>
                <c:pt idx="1459">
                  <c:v>44925</c:v>
                </c:pt>
                <c:pt idx="1460">
                  <c:v>44926</c:v>
                </c:pt>
                <c:pt idx="1461">
                  <c:v>44927</c:v>
                </c:pt>
                <c:pt idx="1462">
                  <c:v>44928</c:v>
                </c:pt>
                <c:pt idx="1463">
                  <c:v>44929</c:v>
                </c:pt>
                <c:pt idx="1464">
                  <c:v>44930</c:v>
                </c:pt>
                <c:pt idx="1465">
                  <c:v>44931</c:v>
                </c:pt>
                <c:pt idx="1466">
                  <c:v>44932</c:v>
                </c:pt>
                <c:pt idx="1467">
                  <c:v>44933</c:v>
                </c:pt>
                <c:pt idx="1468">
                  <c:v>44934</c:v>
                </c:pt>
                <c:pt idx="1469">
                  <c:v>44935</c:v>
                </c:pt>
                <c:pt idx="1470">
                  <c:v>44936</c:v>
                </c:pt>
                <c:pt idx="1471">
                  <c:v>44937</c:v>
                </c:pt>
                <c:pt idx="1472">
                  <c:v>44938</c:v>
                </c:pt>
                <c:pt idx="1473">
                  <c:v>44939</c:v>
                </c:pt>
                <c:pt idx="1474">
                  <c:v>44940</c:v>
                </c:pt>
                <c:pt idx="1475">
                  <c:v>44941</c:v>
                </c:pt>
                <c:pt idx="1476">
                  <c:v>44942</c:v>
                </c:pt>
                <c:pt idx="1477">
                  <c:v>44943</c:v>
                </c:pt>
                <c:pt idx="1478">
                  <c:v>44944</c:v>
                </c:pt>
                <c:pt idx="1479">
                  <c:v>44945</c:v>
                </c:pt>
                <c:pt idx="1480">
                  <c:v>44946</c:v>
                </c:pt>
                <c:pt idx="1481">
                  <c:v>44947</c:v>
                </c:pt>
                <c:pt idx="1482">
                  <c:v>44948</c:v>
                </c:pt>
                <c:pt idx="1483">
                  <c:v>44949</c:v>
                </c:pt>
                <c:pt idx="1484">
                  <c:v>44950</c:v>
                </c:pt>
                <c:pt idx="1485">
                  <c:v>44951</c:v>
                </c:pt>
                <c:pt idx="1486">
                  <c:v>44952</c:v>
                </c:pt>
                <c:pt idx="1487">
                  <c:v>44953</c:v>
                </c:pt>
                <c:pt idx="1488">
                  <c:v>44954</c:v>
                </c:pt>
                <c:pt idx="1489">
                  <c:v>44955</c:v>
                </c:pt>
                <c:pt idx="1490">
                  <c:v>44956</c:v>
                </c:pt>
                <c:pt idx="1491">
                  <c:v>44957</c:v>
                </c:pt>
                <c:pt idx="1492">
                  <c:v>44958</c:v>
                </c:pt>
                <c:pt idx="1493">
                  <c:v>44959</c:v>
                </c:pt>
                <c:pt idx="1494">
                  <c:v>44960</c:v>
                </c:pt>
                <c:pt idx="1495">
                  <c:v>44961</c:v>
                </c:pt>
                <c:pt idx="1496">
                  <c:v>44962</c:v>
                </c:pt>
                <c:pt idx="1497">
                  <c:v>44963</c:v>
                </c:pt>
                <c:pt idx="1498">
                  <c:v>44964</c:v>
                </c:pt>
                <c:pt idx="1499">
                  <c:v>44965</c:v>
                </c:pt>
                <c:pt idx="1500">
                  <c:v>44966</c:v>
                </c:pt>
                <c:pt idx="1501">
                  <c:v>44967</c:v>
                </c:pt>
                <c:pt idx="1502">
                  <c:v>44968</c:v>
                </c:pt>
                <c:pt idx="1503">
                  <c:v>44969</c:v>
                </c:pt>
                <c:pt idx="1504">
                  <c:v>44970</c:v>
                </c:pt>
                <c:pt idx="1505">
                  <c:v>44971</c:v>
                </c:pt>
                <c:pt idx="1506">
                  <c:v>44972</c:v>
                </c:pt>
                <c:pt idx="1507">
                  <c:v>44973</c:v>
                </c:pt>
                <c:pt idx="1508">
                  <c:v>44974</c:v>
                </c:pt>
                <c:pt idx="1509">
                  <c:v>44975</c:v>
                </c:pt>
                <c:pt idx="1510">
                  <c:v>44976</c:v>
                </c:pt>
                <c:pt idx="1511">
                  <c:v>44977</c:v>
                </c:pt>
                <c:pt idx="1512">
                  <c:v>44978</c:v>
                </c:pt>
                <c:pt idx="1513">
                  <c:v>44979</c:v>
                </c:pt>
                <c:pt idx="1514">
                  <c:v>44980</c:v>
                </c:pt>
                <c:pt idx="1515">
                  <c:v>44981</c:v>
                </c:pt>
                <c:pt idx="1516">
                  <c:v>44982</c:v>
                </c:pt>
                <c:pt idx="1517">
                  <c:v>44983</c:v>
                </c:pt>
                <c:pt idx="1518">
                  <c:v>44984</c:v>
                </c:pt>
                <c:pt idx="1519">
                  <c:v>44985</c:v>
                </c:pt>
                <c:pt idx="1520">
                  <c:v>44986</c:v>
                </c:pt>
                <c:pt idx="1521">
                  <c:v>44987</c:v>
                </c:pt>
                <c:pt idx="1522">
                  <c:v>44988</c:v>
                </c:pt>
                <c:pt idx="1523">
                  <c:v>44989</c:v>
                </c:pt>
                <c:pt idx="1524">
                  <c:v>44990</c:v>
                </c:pt>
                <c:pt idx="1525">
                  <c:v>44991</c:v>
                </c:pt>
                <c:pt idx="1526">
                  <c:v>44992</c:v>
                </c:pt>
                <c:pt idx="1527">
                  <c:v>44993</c:v>
                </c:pt>
                <c:pt idx="1528">
                  <c:v>44994</c:v>
                </c:pt>
                <c:pt idx="1529">
                  <c:v>44995</c:v>
                </c:pt>
                <c:pt idx="1530">
                  <c:v>44996</c:v>
                </c:pt>
                <c:pt idx="1531">
                  <c:v>44997</c:v>
                </c:pt>
                <c:pt idx="1532">
                  <c:v>44998</c:v>
                </c:pt>
                <c:pt idx="1533">
                  <c:v>44999</c:v>
                </c:pt>
                <c:pt idx="1534">
                  <c:v>45000</c:v>
                </c:pt>
                <c:pt idx="1535">
                  <c:v>45001</c:v>
                </c:pt>
                <c:pt idx="1536">
                  <c:v>45002</c:v>
                </c:pt>
                <c:pt idx="1537">
                  <c:v>45003</c:v>
                </c:pt>
                <c:pt idx="1538">
                  <c:v>45004</c:v>
                </c:pt>
                <c:pt idx="1539">
                  <c:v>45005</c:v>
                </c:pt>
                <c:pt idx="1540">
                  <c:v>45006</c:v>
                </c:pt>
                <c:pt idx="1541">
                  <c:v>45007</c:v>
                </c:pt>
                <c:pt idx="1542">
                  <c:v>45008</c:v>
                </c:pt>
                <c:pt idx="1543">
                  <c:v>45009</c:v>
                </c:pt>
                <c:pt idx="1544">
                  <c:v>45010</c:v>
                </c:pt>
                <c:pt idx="1545">
                  <c:v>45011</c:v>
                </c:pt>
                <c:pt idx="1546">
                  <c:v>45012</c:v>
                </c:pt>
                <c:pt idx="1547">
                  <c:v>45013</c:v>
                </c:pt>
                <c:pt idx="1548">
                  <c:v>45014</c:v>
                </c:pt>
                <c:pt idx="1549">
                  <c:v>45015</c:v>
                </c:pt>
                <c:pt idx="1550">
                  <c:v>45016</c:v>
                </c:pt>
                <c:pt idx="1551">
                  <c:v>45017</c:v>
                </c:pt>
                <c:pt idx="1552">
                  <c:v>45018</c:v>
                </c:pt>
                <c:pt idx="1553">
                  <c:v>45019</c:v>
                </c:pt>
                <c:pt idx="1554">
                  <c:v>45020</c:v>
                </c:pt>
                <c:pt idx="1555">
                  <c:v>45021</c:v>
                </c:pt>
                <c:pt idx="1556">
                  <c:v>45022</c:v>
                </c:pt>
                <c:pt idx="1557">
                  <c:v>45023</c:v>
                </c:pt>
                <c:pt idx="1558">
                  <c:v>45024</c:v>
                </c:pt>
                <c:pt idx="1559">
                  <c:v>45025</c:v>
                </c:pt>
                <c:pt idx="1560">
                  <c:v>45026</c:v>
                </c:pt>
                <c:pt idx="1561">
                  <c:v>45027</c:v>
                </c:pt>
                <c:pt idx="1562">
                  <c:v>45028</c:v>
                </c:pt>
                <c:pt idx="1563">
                  <c:v>45029</c:v>
                </c:pt>
                <c:pt idx="1564">
                  <c:v>45030</c:v>
                </c:pt>
                <c:pt idx="1565">
                  <c:v>45031</c:v>
                </c:pt>
                <c:pt idx="1566">
                  <c:v>45032</c:v>
                </c:pt>
                <c:pt idx="1567">
                  <c:v>45033</c:v>
                </c:pt>
                <c:pt idx="1568">
                  <c:v>45034</c:v>
                </c:pt>
                <c:pt idx="1569">
                  <c:v>45035</c:v>
                </c:pt>
                <c:pt idx="1570">
                  <c:v>45036</c:v>
                </c:pt>
                <c:pt idx="1571">
                  <c:v>45037</c:v>
                </c:pt>
                <c:pt idx="1572">
                  <c:v>45038</c:v>
                </c:pt>
                <c:pt idx="1573">
                  <c:v>45039</c:v>
                </c:pt>
                <c:pt idx="1574">
                  <c:v>45040</c:v>
                </c:pt>
                <c:pt idx="1575">
                  <c:v>45041</c:v>
                </c:pt>
                <c:pt idx="1576">
                  <c:v>45042</c:v>
                </c:pt>
                <c:pt idx="1577">
                  <c:v>45043</c:v>
                </c:pt>
                <c:pt idx="1578">
                  <c:v>45044</c:v>
                </c:pt>
                <c:pt idx="1579">
                  <c:v>45045</c:v>
                </c:pt>
                <c:pt idx="1580">
                  <c:v>45046</c:v>
                </c:pt>
                <c:pt idx="1581">
                  <c:v>45047</c:v>
                </c:pt>
                <c:pt idx="1582">
                  <c:v>45048</c:v>
                </c:pt>
                <c:pt idx="1583">
                  <c:v>45049</c:v>
                </c:pt>
                <c:pt idx="1584">
                  <c:v>45050</c:v>
                </c:pt>
                <c:pt idx="1585">
                  <c:v>45051</c:v>
                </c:pt>
                <c:pt idx="1586">
                  <c:v>45052</c:v>
                </c:pt>
                <c:pt idx="1587">
                  <c:v>45053</c:v>
                </c:pt>
                <c:pt idx="1588">
                  <c:v>45054</c:v>
                </c:pt>
                <c:pt idx="1589">
                  <c:v>45055</c:v>
                </c:pt>
                <c:pt idx="1590">
                  <c:v>45056</c:v>
                </c:pt>
                <c:pt idx="1591">
                  <c:v>45057</c:v>
                </c:pt>
                <c:pt idx="1592">
                  <c:v>45058</c:v>
                </c:pt>
                <c:pt idx="1593">
                  <c:v>45059</c:v>
                </c:pt>
                <c:pt idx="1594">
                  <c:v>45060</c:v>
                </c:pt>
                <c:pt idx="1595">
                  <c:v>45061</c:v>
                </c:pt>
                <c:pt idx="1596">
                  <c:v>45062</c:v>
                </c:pt>
                <c:pt idx="1597">
                  <c:v>45063</c:v>
                </c:pt>
                <c:pt idx="1598">
                  <c:v>45064</c:v>
                </c:pt>
                <c:pt idx="1599">
                  <c:v>45065</c:v>
                </c:pt>
                <c:pt idx="1600">
                  <c:v>45066</c:v>
                </c:pt>
                <c:pt idx="1601">
                  <c:v>45067</c:v>
                </c:pt>
                <c:pt idx="1602">
                  <c:v>45068</c:v>
                </c:pt>
                <c:pt idx="1603">
                  <c:v>45069</c:v>
                </c:pt>
                <c:pt idx="1604">
                  <c:v>45070</c:v>
                </c:pt>
                <c:pt idx="1605">
                  <c:v>45071</c:v>
                </c:pt>
                <c:pt idx="1606">
                  <c:v>45072</c:v>
                </c:pt>
                <c:pt idx="1607">
                  <c:v>45073</c:v>
                </c:pt>
                <c:pt idx="1608">
                  <c:v>45074</c:v>
                </c:pt>
                <c:pt idx="1609">
                  <c:v>45075</c:v>
                </c:pt>
                <c:pt idx="1610">
                  <c:v>45076</c:v>
                </c:pt>
                <c:pt idx="1611">
                  <c:v>45077</c:v>
                </c:pt>
                <c:pt idx="1612">
                  <c:v>45078</c:v>
                </c:pt>
                <c:pt idx="1613">
                  <c:v>45079</c:v>
                </c:pt>
                <c:pt idx="1614">
                  <c:v>45080</c:v>
                </c:pt>
                <c:pt idx="1615">
                  <c:v>45081</c:v>
                </c:pt>
                <c:pt idx="1616">
                  <c:v>45082</c:v>
                </c:pt>
                <c:pt idx="1617">
                  <c:v>45083</c:v>
                </c:pt>
                <c:pt idx="1618">
                  <c:v>45084</c:v>
                </c:pt>
                <c:pt idx="1619">
                  <c:v>45085</c:v>
                </c:pt>
                <c:pt idx="1620">
                  <c:v>45086</c:v>
                </c:pt>
                <c:pt idx="1621">
                  <c:v>45087</c:v>
                </c:pt>
                <c:pt idx="1622">
                  <c:v>45088</c:v>
                </c:pt>
                <c:pt idx="1623">
                  <c:v>45089</c:v>
                </c:pt>
                <c:pt idx="1624">
                  <c:v>45090</c:v>
                </c:pt>
                <c:pt idx="1625">
                  <c:v>45091</c:v>
                </c:pt>
                <c:pt idx="1626">
                  <c:v>45092</c:v>
                </c:pt>
                <c:pt idx="1627">
                  <c:v>45093</c:v>
                </c:pt>
                <c:pt idx="1628">
                  <c:v>45094</c:v>
                </c:pt>
                <c:pt idx="1629">
                  <c:v>45095</c:v>
                </c:pt>
                <c:pt idx="1630">
                  <c:v>45096</c:v>
                </c:pt>
                <c:pt idx="1631">
                  <c:v>45097</c:v>
                </c:pt>
                <c:pt idx="1632">
                  <c:v>45098</c:v>
                </c:pt>
                <c:pt idx="1633">
                  <c:v>45099</c:v>
                </c:pt>
                <c:pt idx="1634">
                  <c:v>45100</c:v>
                </c:pt>
                <c:pt idx="1635">
                  <c:v>45101</c:v>
                </c:pt>
                <c:pt idx="1636">
                  <c:v>45102</c:v>
                </c:pt>
                <c:pt idx="1637">
                  <c:v>45103</c:v>
                </c:pt>
                <c:pt idx="1638">
                  <c:v>45104</c:v>
                </c:pt>
                <c:pt idx="1639">
                  <c:v>45105</c:v>
                </c:pt>
                <c:pt idx="1640">
                  <c:v>45106</c:v>
                </c:pt>
                <c:pt idx="1641">
                  <c:v>45107</c:v>
                </c:pt>
                <c:pt idx="1642">
                  <c:v>45108</c:v>
                </c:pt>
                <c:pt idx="1643">
                  <c:v>45109</c:v>
                </c:pt>
                <c:pt idx="1644">
                  <c:v>45110</c:v>
                </c:pt>
                <c:pt idx="1645">
                  <c:v>45111</c:v>
                </c:pt>
                <c:pt idx="1646">
                  <c:v>45112</c:v>
                </c:pt>
                <c:pt idx="1647">
                  <c:v>45113</c:v>
                </c:pt>
                <c:pt idx="1648">
                  <c:v>45114</c:v>
                </c:pt>
                <c:pt idx="1649">
                  <c:v>45115</c:v>
                </c:pt>
                <c:pt idx="1650">
                  <c:v>45116</c:v>
                </c:pt>
                <c:pt idx="1651">
                  <c:v>45117</c:v>
                </c:pt>
                <c:pt idx="1652">
                  <c:v>45118</c:v>
                </c:pt>
                <c:pt idx="1653">
                  <c:v>45119</c:v>
                </c:pt>
                <c:pt idx="1654">
                  <c:v>45120</c:v>
                </c:pt>
                <c:pt idx="1655">
                  <c:v>45121</c:v>
                </c:pt>
                <c:pt idx="1656">
                  <c:v>45122</c:v>
                </c:pt>
                <c:pt idx="1657">
                  <c:v>45123</c:v>
                </c:pt>
                <c:pt idx="1658">
                  <c:v>45124</c:v>
                </c:pt>
                <c:pt idx="1659">
                  <c:v>45125</c:v>
                </c:pt>
                <c:pt idx="1660">
                  <c:v>45126</c:v>
                </c:pt>
                <c:pt idx="1661">
                  <c:v>45127</c:v>
                </c:pt>
                <c:pt idx="1662">
                  <c:v>45128</c:v>
                </c:pt>
                <c:pt idx="1663">
                  <c:v>45129</c:v>
                </c:pt>
                <c:pt idx="1664">
                  <c:v>45130</c:v>
                </c:pt>
                <c:pt idx="1665">
                  <c:v>45131</c:v>
                </c:pt>
                <c:pt idx="1666">
                  <c:v>45132</c:v>
                </c:pt>
                <c:pt idx="1667">
                  <c:v>45133</c:v>
                </c:pt>
                <c:pt idx="1668">
                  <c:v>45134</c:v>
                </c:pt>
                <c:pt idx="1669">
                  <c:v>45135</c:v>
                </c:pt>
                <c:pt idx="1670">
                  <c:v>45136</c:v>
                </c:pt>
                <c:pt idx="1671">
                  <c:v>45137</c:v>
                </c:pt>
                <c:pt idx="1672">
                  <c:v>45138</c:v>
                </c:pt>
                <c:pt idx="1673">
                  <c:v>45139</c:v>
                </c:pt>
                <c:pt idx="1674">
                  <c:v>45140</c:v>
                </c:pt>
                <c:pt idx="1675">
                  <c:v>45141</c:v>
                </c:pt>
                <c:pt idx="1676">
                  <c:v>45142</c:v>
                </c:pt>
                <c:pt idx="1677">
                  <c:v>45143</c:v>
                </c:pt>
                <c:pt idx="1678">
                  <c:v>45144</c:v>
                </c:pt>
                <c:pt idx="1679">
                  <c:v>45145</c:v>
                </c:pt>
                <c:pt idx="1680">
                  <c:v>45146</c:v>
                </c:pt>
                <c:pt idx="1681">
                  <c:v>45147</c:v>
                </c:pt>
                <c:pt idx="1682">
                  <c:v>45148</c:v>
                </c:pt>
                <c:pt idx="1683">
                  <c:v>45149</c:v>
                </c:pt>
                <c:pt idx="1684">
                  <c:v>45150</c:v>
                </c:pt>
                <c:pt idx="1685">
                  <c:v>45151</c:v>
                </c:pt>
                <c:pt idx="1686">
                  <c:v>45152</c:v>
                </c:pt>
                <c:pt idx="1687">
                  <c:v>45153</c:v>
                </c:pt>
                <c:pt idx="1688">
                  <c:v>45154</c:v>
                </c:pt>
                <c:pt idx="1689">
                  <c:v>45155</c:v>
                </c:pt>
                <c:pt idx="1690">
                  <c:v>45156</c:v>
                </c:pt>
                <c:pt idx="1691">
                  <c:v>45157</c:v>
                </c:pt>
                <c:pt idx="1692">
                  <c:v>45158</c:v>
                </c:pt>
                <c:pt idx="1693">
                  <c:v>45159</c:v>
                </c:pt>
                <c:pt idx="1694">
                  <c:v>45160</c:v>
                </c:pt>
                <c:pt idx="1695">
                  <c:v>45161</c:v>
                </c:pt>
                <c:pt idx="1696">
                  <c:v>45162</c:v>
                </c:pt>
                <c:pt idx="1697">
                  <c:v>45163</c:v>
                </c:pt>
                <c:pt idx="1698">
                  <c:v>45164</c:v>
                </c:pt>
                <c:pt idx="1699">
                  <c:v>45165</c:v>
                </c:pt>
                <c:pt idx="1700">
                  <c:v>45166</c:v>
                </c:pt>
                <c:pt idx="1701">
                  <c:v>45167</c:v>
                </c:pt>
                <c:pt idx="1702">
                  <c:v>45168</c:v>
                </c:pt>
                <c:pt idx="1703">
                  <c:v>45169</c:v>
                </c:pt>
                <c:pt idx="1704">
                  <c:v>45170</c:v>
                </c:pt>
                <c:pt idx="1705">
                  <c:v>45171</c:v>
                </c:pt>
                <c:pt idx="1706">
                  <c:v>45172</c:v>
                </c:pt>
                <c:pt idx="1707">
                  <c:v>45173</c:v>
                </c:pt>
                <c:pt idx="1708">
                  <c:v>45174</c:v>
                </c:pt>
                <c:pt idx="1709">
                  <c:v>45175</c:v>
                </c:pt>
                <c:pt idx="1710">
                  <c:v>45176</c:v>
                </c:pt>
                <c:pt idx="1711">
                  <c:v>45177</c:v>
                </c:pt>
                <c:pt idx="1712">
                  <c:v>45178</c:v>
                </c:pt>
                <c:pt idx="1713">
                  <c:v>45179</c:v>
                </c:pt>
                <c:pt idx="1714">
                  <c:v>45180</c:v>
                </c:pt>
                <c:pt idx="1715">
                  <c:v>45181</c:v>
                </c:pt>
                <c:pt idx="1716">
                  <c:v>45182</c:v>
                </c:pt>
                <c:pt idx="1717">
                  <c:v>45183</c:v>
                </c:pt>
                <c:pt idx="1718">
                  <c:v>45184</c:v>
                </c:pt>
                <c:pt idx="1719">
                  <c:v>45185</c:v>
                </c:pt>
                <c:pt idx="1720">
                  <c:v>45186</c:v>
                </c:pt>
                <c:pt idx="1721">
                  <c:v>45187</c:v>
                </c:pt>
                <c:pt idx="1722">
                  <c:v>45188</c:v>
                </c:pt>
                <c:pt idx="1723">
                  <c:v>45189</c:v>
                </c:pt>
                <c:pt idx="1724">
                  <c:v>45190</c:v>
                </c:pt>
                <c:pt idx="1725">
                  <c:v>45191</c:v>
                </c:pt>
                <c:pt idx="1726">
                  <c:v>45192</c:v>
                </c:pt>
                <c:pt idx="1727">
                  <c:v>45193</c:v>
                </c:pt>
                <c:pt idx="1728">
                  <c:v>45194</c:v>
                </c:pt>
                <c:pt idx="1729">
                  <c:v>45195</c:v>
                </c:pt>
                <c:pt idx="1730">
                  <c:v>45196</c:v>
                </c:pt>
                <c:pt idx="1731">
                  <c:v>45197</c:v>
                </c:pt>
                <c:pt idx="1732">
                  <c:v>45198</c:v>
                </c:pt>
                <c:pt idx="1733">
                  <c:v>45199</c:v>
                </c:pt>
                <c:pt idx="1734">
                  <c:v>45200</c:v>
                </c:pt>
                <c:pt idx="1735">
                  <c:v>45201</c:v>
                </c:pt>
                <c:pt idx="1736">
                  <c:v>45202</c:v>
                </c:pt>
                <c:pt idx="1737">
                  <c:v>45203</c:v>
                </c:pt>
                <c:pt idx="1738">
                  <c:v>45204</c:v>
                </c:pt>
                <c:pt idx="1739">
                  <c:v>45205</c:v>
                </c:pt>
                <c:pt idx="1740">
                  <c:v>45206</c:v>
                </c:pt>
                <c:pt idx="1741">
                  <c:v>45207</c:v>
                </c:pt>
                <c:pt idx="1742">
                  <c:v>45208</c:v>
                </c:pt>
                <c:pt idx="1743">
                  <c:v>45209</c:v>
                </c:pt>
                <c:pt idx="1744">
                  <c:v>45210</c:v>
                </c:pt>
                <c:pt idx="1745">
                  <c:v>45211</c:v>
                </c:pt>
                <c:pt idx="1746">
                  <c:v>45212</c:v>
                </c:pt>
                <c:pt idx="1747">
                  <c:v>45213</c:v>
                </c:pt>
                <c:pt idx="1748">
                  <c:v>45214</c:v>
                </c:pt>
                <c:pt idx="1749">
                  <c:v>45215</c:v>
                </c:pt>
                <c:pt idx="1750">
                  <c:v>45216</c:v>
                </c:pt>
                <c:pt idx="1751">
                  <c:v>45217</c:v>
                </c:pt>
                <c:pt idx="1752">
                  <c:v>45218</c:v>
                </c:pt>
                <c:pt idx="1753">
                  <c:v>45219</c:v>
                </c:pt>
                <c:pt idx="1754">
                  <c:v>45220</c:v>
                </c:pt>
                <c:pt idx="1755">
                  <c:v>45221</c:v>
                </c:pt>
                <c:pt idx="1756">
                  <c:v>45222</c:v>
                </c:pt>
                <c:pt idx="1757">
                  <c:v>45223</c:v>
                </c:pt>
                <c:pt idx="1758">
                  <c:v>45224</c:v>
                </c:pt>
                <c:pt idx="1759">
                  <c:v>45225</c:v>
                </c:pt>
                <c:pt idx="1760">
                  <c:v>45226</c:v>
                </c:pt>
                <c:pt idx="1761">
                  <c:v>45227</c:v>
                </c:pt>
                <c:pt idx="1762">
                  <c:v>45228</c:v>
                </c:pt>
                <c:pt idx="1763">
                  <c:v>45229</c:v>
                </c:pt>
                <c:pt idx="1764">
                  <c:v>45230</c:v>
                </c:pt>
                <c:pt idx="1765">
                  <c:v>45231</c:v>
                </c:pt>
                <c:pt idx="1766">
                  <c:v>45232</c:v>
                </c:pt>
                <c:pt idx="1767">
                  <c:v>45233</c:v>
                </c:pt>
                <c:pt idx="1768">
                  <c:v>45234</c:v>
                </c:pt>
                <c:pt idx="1769">
                  <c:v>45235</c:v>
                </c:pt>
                <c:pt idx="1770">
                  <c:v>45236</c:v>
                </c:pt>
                <c:pt idx="1771">
                  <c:v>45237</c:v>
                </c:pt>
                <c:pt idx="1772">
                  <c:v>45238</c:v>
                </c:pt>
                <c:pt idx="1773">
                  <c:v>45239</c:v>
                </c:pt>
                <c:pt idx="1774">
                  <c:v>45240</c:v>
                </c:pt>
                <c:pt idx="1775">
                  <c:v>45241</c:v>
                </c:pt>
                <c:pt idx="1776">
                  <c:v>45242</c:v>
                </c:pt>
                <c:pt idx="1777">
                  <c:v>45243</c:v>
                </c:pt>
                <c:pt idx="1778">
                  <c:v>45244</c:v>
                </c:pt>
                <c:pt idx="1779">
                  <c:v>45245</c:v>
                </c:pt>
                <c:pt idx="1780">
                  <c:v>45246</c:v>
                </c:pt>
                <c:pt idx="1781">
                  <c:v>45247</c:v>
                </c:pt>
                <c:pt idx="1782">
                  <c:v>45248</c:v>
                </c:pt>
                <c:pt idx="1783">
                  <c:v>45249</c:v>
                </c:pt>
                <c:pt idx="1784">
                  <c:v>45250</c:v>
                </c:pt>
                <c:pt idx="1785">
                  <c:v>45251</c:v>
                </c:pt>
                <c:pt idx="1786">
                  <c:v>45252</c:v>
                </c:pt>
                <c:pt idx="1787">
                  <c:v>45253</c:v>
                </c:pt>
                <c:pt idx="1788">
                  <c:v>45254</c:v>
                </c:pt>
                <c:pt idx="1789">
                  <c:v>45255</c:v>
                </c:pt>
                <c:pt idx="1790">
                  <c:v>45256</c:v>
                </c:pt>
                <c:pt idx="1791">
                  <c:v>45257</c:v>
                </c:pt>
                <c:pt idx="1792">
                  <c:v>45258</c:v>
                </c:pt>
                <c:pt idx="1793">
                  <c:v>45259</c:v>
                </c:pt>
                <c:pt idx="1794">
                  <c:v>45260</c:v>
                </c:pt>
                <c:pt idx="1795">
                  <c:v>45261</c:v>
                </c:pt>
                <c:pt idx="1796">
                  <c:v>45262</c:v>
                </c:pt>
                <c:pt idx="1797">
                  <c:v>45263</c:v>
                </c:pt>
                <c:pt idx="1798">
                  <c:v>45264</c:v>
                </c:pt>
                <c:pt idx="1799">
                  <c:v>45265</c:v>
                </c:pt>
                <c:pt idx="1800">
                  <c:v>45266</c:v>
                </c:pt>
                <c:pt idx="1801">
                  <c:v>45267</c:v>
                </c:pt>
                <c:pt idx="1802">
                  <c:v>45268</c:v>
                </c:pt>
                <c:pt idx="1803">
                  <c:v>45269</c:v>
                </c:pt>
                <c:pt idx="1804">
                  <c:v>45270</c:v>
                </c:pt>
                <c:pt idx="1805">
                  <c:v>45271</c:v>
                </c:pt>
                <c:pt idx="1806">
                  <c:v>45272</c:v>
                </c:pt>
                <c:pt idx="1807">
                  <c:v>45273</c:v>
                </c:pt>
                <c:pt idx="1808">
                  <c:v>45274</c:v>
                </c:pt>
                <c:pt idx="1809">
                  <c:v>45275</c:v>
                </c:pt>
                <c:pt idx="1810">
                  <c:v>45276</c:v>
                </c:pt>
                <c:pt idx="1811">
                  <c:v>45277</c:v>
                </c:pt>
                <c:pt idx="1812">
                  <c:v>45278</c:v>
                </c:pt>
                <c:pt idx="1813">
                  <c:v>45279</c:v>
                </c:pt>
                <c:pt idx="1814">
                  <c:v>45280</c:v>
                </c:pt>
                <c:pt idx="1815">
                  <c:v>45281</c:v>
                </c:pt>
                <c:pt idx="1816">
                  <c:v>45282</c:v>
                </c:pt>
                <c:pt idx="1817">
                  <c:v>45283</c:v>
                </c:pt>
                <c:pt idx="1818">
                  <c:v>45284</c:v>
                </c:pt>
                <c:pt idx="1819">
                  <c:v>45285</c:v>
                </c:pt>
                <c:pt idx="1820">
                  <c:v>45286</c:v>
                </c:pt>
                <c:pt idx="1821">
                  <c:v>45287</c:v>
                </c:pt>
                <c:pt idx="1822">
                  <c:v>45288</c:v>
                </c:pt>
                <c:pt idx="1823">
                  <c:v>45289</c:v>
                </c:pt>
                <c:pt idx="1824">
                  <c:v>45290</c:v>
                </c:pt>
                <c:pt idx="1825">
                  <c:v>45291</c:v>
                </c:pt>
              </c:numCache>
            </c:numRef>
          </c:cat>
          <c:val>
            <c:numRef>
              <c:f>Terraplaza!$K$1:$K$1826</c:f>
              <c:numCache>
                <c:formatCode>General</c:formatCode>
                <c:ptCount val="1826"/>
                <c:pt idx="0">
                  <c:v>59.25</c:v>
                </c:pt>
                <c:pt idx="1">
                  <c:v>60.75</c:v>
                </c:pt>
                <c:pt idx="2">
                  <c:v>38</c:v>
                </c:pt>
                <c:pt idx="3">
                  <c:v>41.25</c:v>
                </c:pt>
                <c:pt idx="4">
                  <c:v>32.75</c:v>
                </c:pt>
                <c:pt idx="5">
                  <c:v>23.75</c:v>
                </c:pt>
                <c:pt idx="6">
                  <c:v>53.25</c:v>
                </c:pt>
                <c:pt idx="7">
                  <c:v>53.75</c:v>
                </c:pt>
                <c:pt idx="8">
                  <c:v>52.25</c:v>
                </c:pt>
                <c:pt idx="9">
                  <c:v>46.5</c:v>
                </c:pt>
                <c:pt idx="10">
                  <c:v>50.5</c:v>
                </c:pt>
                <c:pt idx="11">
                  <c:v>73</c:v>
                </c:pt>
                <c:pt idx="12">
                  <c:v>48.75</c:v>
                </c:pt>
                <c:pt idx="13">
                  <c:v>18.25</c:v>
                </c:pt>
                <c:pt idx="14">
                  <c:v>45.5</c:v>
                </c:pt>
                <c:pt idx="15">
                  <c:v>49.75</c:v>
                </c:pt>
                <c:pt idx="16">
                  <c:v>26.75</c:v>
                </c:pt>
                <c:pt idx="17">
                  <c:v>32.75</c:v>
                </c:pt>
                <c:pt idx="18">
                  <c:v>52.25</c:v>
                </c:pt>
                <c:pt idx="19">
                  <c:v>61</c:v>
                </c:pt>
                <c:pt idx="20">
                  <c:v>19</c:v>
                </c:pt>
                <c:pt idx="21">
                  <c:v>29.125</c:v>
                </c:pt>
                <c:pt idx="22">
                  <c:v>24.875</c:v>
                </c:pt>
                <c:pt idx="23">
                  <c:v>15</c:v>
                </c:pt>
                <c:pt idx="24">
                  <c:v>17</c:v>
                </c:pt>
                <c:pt idx="25">
                  <c:v>53</c:v>
                </c:pt>
                <c:pt idx="26">
                  <c:v>37.375</c:v>
                </c:pt>
                <c:pt idx="27">
                  <c:v>14.625</c:v>
                </c:pt>
                <c:pt idx="28">
                  <c:v>27.25</c:v>
                </c:pt>
                <c:pt idx="29">
                  <c:v>19.75</c:v>
                </c:pt>
                <c:pt idx="30">
                  <c:v>23.5</c:v>
                </c:pt>
                <c:pt idx="31">
                  <c:v>34.5</c:v>
                </c:pt>
                <c:pt idx="32">
                  <c:v>45.5</c:v>
                </c:pt>
                <c:pt idx="33">
                  <c:v>43.75</c:v>
                </c:pt>
                <c:pt idx="34">
                  <c:v>13</c:v>
                </c:pt>
                <c:pt idx="35">
                  <c:v>17.75</c:v>
                </c:pt>
                <c:pt idx="36">
                  <c:v>22</c:v>
                </c:pt>
                <c:pt idx="37">
                  <c:v>14.5</c:v>
                </c:pt>
                <c:pt idx="38">
                  <c:v>29</c:v>
                </c:pt>
                <c:pt idx="39">
                  <c:v>33.5</c:v>
                </c:pt>
                <c:pt idx="40">
                  <c:v>33</c:v>
                </c:pt>
                <c:pt idx="41">
                  <c:v>10</c:v>
                </c:pt>
                <c:pt idx="42">
                  <c:v>16</c:v>
                </c:pt>
                <c:pt idx="43">
                  <c:v>16</c:v>
                </c:pt>
                <c:pt idx="44">
                  <c:v>17.5</c:v>
                </c:pt>
                <c:pt idx="45">
                  <c:v>21.5</c:v>
                </c:pt>
                <c:pt idx="46">
                  <c:v>35.5</c:v>
                </c:pt>
                <c:pt idx="47">
                  <c:v>38.25</c:v>
                </c:pt>
                <c:pt idx="48">
                  <c:v>7.25</c:v>
                </c:pt>
                <c:pt idx="49">
                  <c:v>13.5</c:v>
                </c:pt>
                <c:pt idx="50">
                  <c:v>14.5</c:v>
                </c:pt>
                <c:pt idx="51">
                  <c:v>14.375</c:v>
                </c:pt>
                <c:pt idx="52">
                  <c:v>19.125</c:v>
                </c:pt>
                <c:pt idx="53">
                  <c:v>27.25</c:v>
                </c:pt>
                <c:pt idx="54">
                  <c:v>42</c:v>
                </c:pt>
                <c:pt idx="55">
                  <c:v>9.75</c:v>
                </c:pt>
                <c:pt idx="56">
                  <c:v>13.75</c:v>
                </c:pt>
                <c:pt idx="57">
                  <c:v>15.5</c:v>
                </c:pt>
                <c:pt idx="58">
                  <c:v>25.25</c:v>
                </c:pt>
                <c:pt idx="59">
                  <c:v>29.5</c:v>
                </c:pt>
                <c:pt idx="60">
                  <c:v>37.5</c:v>
                </c:pt>
                <c:pt idx="61">
                  <c:v>39.5</c:v>
                </c:pt>
                <c:pt idx="62">
                  <c:v>11.625</c:v>
                </c:pt>
                <c:pt idx="63">
                  <c:v>11.375</c:v>
                </c:pt>
                <c:pt idx="64">
                  <c:v>13.5</c:v>
                </c:pt>
                <c:pt idx="65">
                  <c:v>16.25</c:v>
                </c:pt>
                <c:pt idx="66">
                  <c:v>32</c:v>
                </c:pt>
                <c:pt idx="67">
                  <c:v>44.75</c:v>
                </c:pt>
                <c:pt idx="68">
                  <c:v>34</c:v>
                </c:pt>
                <c:pt idx="69">
                  <c:v>6.5</c:v>
                </c:pt>
                <c:pt idx="70">
                  <c:v>21</c:v>
                </c:pt>
                <c:pt idx="71">
                  <c:v>17.5</c:v>
                </c:pt>
                <c:pt idx="72">
                  <c:v>19</c:v>
                </c:pt>
                <c:pt idx="73">
                  <c:v>27</c:v>
                </c:pt>
                <c:pt idx="74">
                  <c:v>35</c:v>
                </c:pt>
                <c:pt idx="75">
                  <c:v>35.25</c:v>
                </c:pt>
                <c:pt idx="76">
                  <c:v>12.875</c:v>
                </c:pt>
                <c:pt idx="77">
                  <c:v>19.875</c:v>
                </c:pt>
                <c:pt idx="78">
                  <c:v>15.5</c:v>
                </c:pt>
                <c:pt idx="79">
                  <c:v>16.875</c:v>
                </c:pt>
                <c:pt idx="80">
                  <c:v>27.625</c:v>
                </c:pt>
                <c:pt idx="81">
                  <c:v>42</c:v>
                </c:pt>
                <c:pt idx="82">
                  <c:v>35</c:v>
                </c:pt>
                <c:pt idx="83">
                  <c:v>37</c:v>
                </c:pt>
                <c:pt idx="84">
                  <c:v>15.5</c:v>
                </c:pt>
                <c:pt idx="85">
                  <c:v>22.5</c:v>
                </c:pt>
                <c:pt idx="86">
                  <c:v>13.75</c:v>
                </c:pt>
                <c:pt idx="87">
                  <c:v>26.25</c:v>
                </c:pt>
                <c:pt idx="88">
                  <c:v>58.375</c:v>
                </c:pt>
                <c:pt idx="89">
                  <c:v>49.625</c:v>
                </c:pt>
                <c:pt idx="90">
                  <c:v>11.75</c:v>
                </c:pt>
                <c:pt idx="91">
                  <c:v>19</c:v>
                </c:pt>
                <c:pt idx="92">
                  <c:v>25.25</c:v>
                </c:pt>
                <c:pt idx="93">
                  <c:v>23</c:v>
                </c:pt>
                <c:pt idx="94">
                  <c:v>34</c:v>
                </c:pt>
                <c:pt idx="95">
                  <c:v>53</c:v>
                </c:pt>
                <c:pt idx="96">
                  <c:v>63</c:v>
                </c:pt>
                <c:pt idx="97">
                  <c:v>14.75</c:v>
                </c:pt>
                <c:pt idx="98">
                  <c:v>23.875</c:v>
                </c:pt>
                <c:pt idx="99">
                  <c:v>21.375</c:v>
                </c:pt>
                <c:pt idx="100">
                  <c:v>23.5</c:v>
                </c:pt>
                <c:pt idx="101">
                  <c:v>36.125</c:v>
                </c:pt>
                <c:pt idx="102">
                  <c:v>42.375</c:v>
                </c:pt>
                <c:pt idx="103">
                  <c:v>60</c:v>
                </c:pt>
                <c:pt idx="104">
                  <c:v>32.5</c:v>
                </c:pt>
                <c:pt idx="105">
                  <c:v>39.5</c:v>
                </c:pt>
                <c:pt idx="106">
                  <c:v>55</c:v>
                </c:pt>
                <c:pt idx="107">
                  <c:v>43.75</c:v>
                </c:pt>
                <c:pt idx="108">
                  <c:v>62.25</c:v>
                </c:pt>
                <c:pt idx="109">
                  <c:v>47</c:v>
                </c:pt>
                <c:pt idx="110">
                  <c:v>51</c:v>
                </c:pt>
                <c:pt idx="111">
                  <c:v>9.5</c:v>
                </c:pt>
                <c:pt idx="112">
                  <c:v>25.25</c:v>
                </c:pt>
                <c:pt idx="113">
                  <c:v>33.5</c:v>
                </c:pt>
                <c:pt idx="114">
                  <c:v>41.75</c:v>
                </c:pt>
                <c:pt idx="115">
                  <c:v>40.25</c:v>
                </c:pt>
                <c:pt idx="116">
                  <c:v>78.75</c:v>
                </c:pt>
                <c:pt idx="117">
                  <c:v>80.5</c:v>
                </c:pt>
                <c:pt idx="118">
                  <c:v>12.5</c:v>
                </c:pt>
                <c:pt idx="119">
                  <c:v>54.25</c:v>
                </c:pt>
                <c:pt idx="120">
                  <c:v>68.75</c:v>
                </c:pt>
                <c:pt idx="121">
                  <c:v>21.75</c:v>
                </c:pt>
                <c:pt idx="122">
                  <c:v>30.875</c:v>
                </c:pt>
                <c:pt idx="123">
                  <c:v>51.375</c:v>
                </c:pt>
                <c:pt idx="124">
                  <c:v>47.75</c:v>
                </c:pt>
                <c:pt idx="125">
                  <c:v>10.25</c:v>
                </c:pt>
                <c:pt idx="126">
                  <c:v>27.5</c:v>
                </c:pt>
                <c:pt idx="127">
                  <c:v>16</c:v>
                </c:pt>
                <c:pt idx="128">
                  <c:v>27.25</c:v>
                </c:pt>
                <c:pt idx="129">
                  <c:v>24.75</c:v>
                </c:pt>
                <c:pt idx="130">
                  <c:v>46.5</c:v>
                </c:pt>
                <c:pt idx="131">
                  <c:v>27</c:v>
                </c:pt>
                <c:pt idx="132">
                  <c:v>11</c:v>
                </c:pt>
                <c:pt idx="133">
                  <c:v>23</c:v>
                </c:pt>
                <c:pt idx="134">
                  <c:v>23</c:v>
                </c:pt>
                <c:pt idx="135">
                  <c:v>12</c:v>
                </c:pt>
                <c:pt idx="136">
                  <c:v>29</c:v>
                </c:pt>
                <c:pt idx="137">
                  <c:v>30</c:v>
                </c:pt>
                <c:pt idx="138">
                  <c:v>39</c:v>
                </c:pt>
                <c:pt idx="139">
                  <c:v>16.5</c:v>
                </c:pt>
                <c:pt idx="140">
                  <c:v>15.5</c:v>
                </c:pt>
                <c:pt idx="141">
                  <c:v>22.625</c:v>
                </c:pt>
                <c:pt idx="142">
                  <c:v>13</c:v>
                </c:pt>
                <c:pt idx="143">
                  <c:v>21.25</c:v>
                </c:pt>
                <c:pt idx="144">
                  <c:v>33.125</c:v>
                </c:pt>
                <c:pt idx="145">
                  <c:v>45.75</c:v>
                </c:pt>
                <c:pt idx="146">
                  <c:v>9.25</c:v>
                </c:pt>
                <c:pt idx="147">
                  <c:v>20.625</c:v>
                </c:pt>
                <c:pt idx="148">
                  <c:v>22.625</c:v>
                </c:pt>
                <c:pt idx="149">
                  <c:v>17.125</c:v>
                </c:pt>
                <c:pt idx="150">
                  <c:v>19.625</c:v>
                </c:pt>
                <c:pt idx="151">
                  <c:v>47.5</c:v>
                </c:pt>
                <c:pt idx="152">
                  <c:v>47.25</c:v>
                </c:pt>
                <c:pt idx="153">
                  <c:v>44.375</c:v>
                </c:pt>
                <c:pt idx="154">
                  <c:v>17.125</c:v>
                </c:pt>
                <c:pt idx="155">
                  <c:v>17.75</c:v>
                </c:pt>
                <c:pt idx="156">
                  <c:v>13</c:v>
                </c:pt>
                <c:pt idx="157">
                  <c:v>17.125</c:v>
                </c:pt>
                <c:pt idx="158">
                  <c:v>41.375</c:v>
                </c:pt>
                <c:pt idx="159">
                  <c:v>30</c:v>
                </c:pt>
                <c:pt idx="160">
                  <c:v>19.5</c:v>
                </c:pt>
                <c:pt idx="161">
                  <c:v>15</c:v>
                </c:pt>
                <c:pt idx="162">
                  <c:v>20.125</c:v>
                </c:pt>
                <c:pt idx="163">
                  <c:v>9.5</c:v>
                </c:pt>
                <c:pt idx="164">
                  <c:v>20.375</c:v>
                </c:pt>
                <c:pt idx="165">
                  <c:v>36</c:v>
                </c:pt>
                <c:pt idx="166">
                  <c:v>34.25</c:v>
                </c:pt>
                <c:pt idx="167">
                  <c:v>17.75</c:v>
                </c:pt>
                <c:pt idx="168">
                  <c:v>32</c:v>
                </c:pt>
                <c:pt idx="169">
                  <c:v>31.625</c:v>
                </c:pt>
                <c:pt idx="170">
                  <c:v>28.375</c:v>
                </c:pt>
                <c:pt idx="171">
                  <c:v>33.125</c:v>
                </c:pt>
                <c:pt idx="172">
                  <c:v>43.875</c:v>
                </c:pt>
                <c:pt idx="173">
                  <c:v>50.25</c:v>
                </c:pt>
                <c:pt idx="174">
                  <c:v>43.75</c:v>
                </c:pt>
                <c:pt idx="175">
                  <c:v>50</c:v>
                </c:pt>
                <c:pt idx="176">
                  <c:v>53.25</c:v>
                </c:pt>
                <c:pt idx="177">
                  <c:v>29.5</c:v>
                </c:pt>
                <c:pt idx="178">
                  <c:v>44.75</c:v>
                </c:pt>
                <c:pt idx="179">
                  <c:v>39.75</c:v>
                </c:pt>
                <c:pt idx="180">
                  <c:v>53.75</c:v>
                </c:pt>
                <c:pt idx="181">
                  <c:v>50</c:v>
                </c:pt>
                <c:pt idx="182">
                  <c:v>46</c:v>
                </c:pt>
                <c:pt idx="183">
                  <c:v>48</c:v>
                </c:pt>
                <c:pt idx="184">
                  <c:v>31</c:v>
                </c:pt>
                <c:pt idx="185">
                  <c:v>29.25</c:v>
                </c:pt>
                <c:pt idx="186">
                  <c:v>46.75</c:v>
                </c:pt>
                <c:pt idx="187">
                  <c:v>45.75</c:v>
                </c:pt>
                <c:pt idx="188">
                  <c:v>15.375</c:v>
                </c:pt>
                <c:pt idx="189">
                  <c:v>34.25</c:v>
                </c:pt>
                <c:pt idx="190">
                  <c:v>33.625</c:v>
                </c:pt>
                <c:pt idx="191">
                  <c:v>20.625</c:v>
                </c:pt>
                <c:pt idx="192">
                  <c:v>36.125</c:v>
                </c:pt>
                <c:pt idx="193">
                  <c:v>43.25</c:v>
                </c:pt>
                <c:pt idx="194">
                  <c:v>30.75</c:v>
                </c:pt>
                <c:pt idx="195">
                  <c:v>15.875</c:v>
                </c:pt>
                <c:pt idx="196">
                  <c:v>29.375</c:v>
                </c:pt>
                <c:pt idx="197">
                  <c:v>27.5</c:v>
                </c:pt>
                <c:pt idx="198">
                  <c:v>21.875</c:v>
                </c:pt>
                <c:pt idx="199">
                  <c:v>31.875</c:v>
                </c:pt>
                <c:pt idx="200">
                  <c:v>49.75</c:v>
                </c:pt>
                <c:pt idx="201">
                  <c:v>46</c:v>
                </c:pt>
                <c:pt idx="202">
                  <c:v>14.625</c:v>
                </c:pt>
                <c:pt idx="203">
                  <c:v>40.375</c:v>
                </c:pt>
                <c:pt idx="204">
                  <c:v>36.125</c:v>
                </c:pt>
                <c:pt idx="205">
                  <c:v>24</c:v>
                </c:pt>
                <c:pt idx="206">
                  <c:v>22</c:v>
                </c:pt>
                <c:pt idx="207">
                  <c:v>44</c:v>
                </c:pt>
                <c:pt idx="208">
                  <c:v>50.75</c:v>
                </c:pt>
                <c:pt idx="209">
                  <c:v>14.625</c:v>
                </c:pt>
                <c:pt idx="210">
                  <c:v>27.5</c:v>
                </c:pt>
                <c:pt idx="211">
                  <c:v>35</c:v>
                </c:pt>
                <c:pt idx="212">
                  <c:v>20</c:v>
                </c:pt>
                <c:pt idx="213">
                  <c:v>39</c:v>
                </c:pt>
                <c:pt idx="214">
                  <c:v>33</c:v>
                </c:pt>
                <c:pt idx="215">
                  <c:v>47</c:v>
                </c:pt>
                <c:pt idx="216">
                  <c:v>11.5</c:v>
                </c:pt>
                <c:pt idx="217">
                  <c:v>34.5</c:v>
                </c:pt>
                <c:pt idx="218">
                  <c:v>54.5</c:v>
                </c:pt>
                <c:pt idx="219">
                  <c:v>13</c:v>
                </c:pt>
                <c:pt idx="220">
                  <c:v>19</c:v>
                </c:pt>
                <c:pt idx="221">
                  <c:v>29.5</c:v>
                </c:pt>
                <c:pt idx="222">
                  <c:v>33</c:v>
                </c:pt>
                <c:pt idx="223">
                  <c:v>9.125</c:v>
                </c:pt>
                <c:pt idx="224">
                  <c:v>18.875</c:v>
                </c:pt>
                <c:pt idx="225">
                  <c:v>26</c:v>
                </c:pt>
                <c:pt idx="226">
                  <c:v>11</c:v>
                </c:pt>
                <c:pt idx="227">
                  <c:v>27</c:v>
                </c:pt>
                <c:pt idx="228">
                  <c:v>38</c:v>
                </c:pt>
                <c:pt idx="229">
                  <c:v>35</c:v>
                </c:pt>
                <c:pt idx="230">
                  <c:v>34</c:v>
                </c:pt>
                <c:pt idx="231">
                  <c:v>11</c:v>
                </c:pt>
                <c:pt idx="232">
                  <c:v>15</c:v>
                </c:pt>
                <c:pt idx="233">
                  <c:v>15</c:v>
                </c:pt>
                <c:pt idx="234">
                  <c:v>20</c:v>
                </c:pt>
                <c:pt idx="235">
                  <c:v>13.5</c:v>
                </c:pt>
                <c:pt idx="236">
                  <c:v>27.5</c:v>
                </c:pt>
                <c:pt idx="237">
                  <c:v>9.75</c:v>
                </c:pt>
                <c:pt idx="238">
                  <c:v>15.25</c:v>
                </c:pt>
                <c:pt idx="239">
                  <c:v>15</c:v>
                </c:pt>
                <c:pt idx="240">
                  <c:v>11</c:v>
                </c:pt>
                <c:pt idx="241">
                  <c:v>20</c:v>
                </c:pt>
                <c:pt idx="242">
                  <c:v>38.5</c:v>
                </c:pt>
                <c:pt idx="243">
                  <c:v>35.5</c:v>
                </c:pt>
                <c:pt idx="244">
                  <c:v>11.5</c:v>
                </c:pt>
                <c:pt idx="245">
                  <c:v>18.375</c:v>
                </c:pt>
                <c:pt idx="246">
                  <c:v>20.125</c:v>
                </c:pt>
                <c:pt idx="247">
                  <c:v>16.75</c:v>
                </c:pt>
                <c:pt idx="248">
                  <c:v>23.625</c:v>
                </c:pt>
                <c:pt idx="249">
                  <c:v>37.875</c:v>
                </c:pt>
                <c:pt idx="250">
                  <c:v>31.25</c:v>
                </c:pt>
                <c:pt idx="251">
                  <c:v>12.25</c:v>
                </c:pt>
                <c:pt idx="252">
                  <c:v>15.25</c:v>
                </c:pt>
                <c:pt idx="253">
                  <c:v>22.5</c:v>
                </c:pt>
                <c:pt idx="254">
                  <c:v>15</c:v>
                </c:pt>
                <c:pt idx="255">
                  <c:v>14.625</c:v>
                </c:pt>
                <c:pt idx="256">
                  <c:v>40.875</c:v>
                </c:pt>
                <c:pt idx="257">
                  <c:v>34.5</c:v>
                </c:pt>
                <c:pt idx="258">
                  <c:v>9</c:v>
                </c:pt>
                <c:pt idx="259">
                  <c:v>16</c:v>
                </c:pt>
                <c:pt idx="260">
                  <c:v>16.25</c:v>
                </c:pt>
                <c:pt idx="261">
                  <c:v>16.25</c:v>
                </c:pt>
                <c:pt idx="262">
                  <c:v>21</c:v>
                </c:pt>
                <c:pt idx="263">
                  <c:v>45.125</c:v>
                </c:pt>
                <c:pt idx="264">
                  <c:v>29.5</c:v>
                </c:pt>
                <c:pt idx="265">
                  <c:v>10.375</c:v>
                </c:pt>
                <c:pt idx="266">
                  <c:v>9.5</c:v>
                </c:pt>
                <c:pt idx="267">
                  <c:v>14.875</c:v>
                </c:pt>
                <c:pt idx="268">
                  <c:v>9.75</c:v>
                </c:pt>
                <c:pt idx="269">
                  <c:v>19.5</c:v>
                </c:pt>
                <c:pt idx="270">
                  <c:v>33.75</c:v>
                </c:pt>
                <c:pt idx="271">
                  <c:v>42.5</c:v>
                </c:pt>
                <c:pt idx="272">
                  <c:v>15.125</c:v>
                </c:pt>
                <c:pt idx="273">
                  <c:v>13.25</c:v>
                </c:pt>
                <c:pt idx="274">
                  <c:v>19.25</c:v>
                </c:pt>
                <c:pt idx="275">
                  <c:v>21.75</c:v>
                </c:pt>
                <c:pt idx="276">
                  <c:v>31</c:v>
                </c:pt>
                <c:pt idx="277">
                  <c:v>55.75</c:v>
                </c:pt>
                <c:pt idx="278">
                  <c:v>56</c:v>
                </c:pt>
                <c:pt idx="279">
                  <c:v>26</c:v>
                </c:pt>
                <c:pt idx="280">
                  <c:v>50</c:v>
                </c:pt>
                <c:pt idx="281">
                  <c:v>52</c:v>
                </c:pt>
                <c:pt idx="282">
                  <c:v>38</c:v>
                </c:pt>
                <c:pt idx="283">
                  <c:v>43.25</c:v>
                </c:pt>
                <c:pt idx="284">
                  <c:v>40.75</c:v>
                </c:pt>
                <c:pt idx="285">
                  <c:v>52.125</c:v>
                </c:pt>
                <c:pt idx="286">
                  <c:v>46.375</c:v>
                </c:pt>
                <c:pt idx="287">
                  <c:v>21.25</c:v>
                </c:pt>
                <c:pt idx="288">
                  <c:v>27.625</c:v>
                </c:pt>
                <c:pt idx="289">
                  <c:v>19</c:v>
                </c:pt>
                <c:pt idx="290">
                  <c:v>26.25</c:v>
                </c:pt>
                <c:pt idx="291">
                  <c:v>37.625</c:v>
                </c:pt>
                <c:pt idx="292">
                  <c:v>50.75</c:v>
                </c:pt>
                <c:pt idx="293">
                  <c:v>11.25</c:v>
                </c:pt>
                <c:pt idx="294">
                  <c:v>17.75</c:v>
                </c:pt>
                <c:pt idx="295">
                  <c:v>25</c:v>
                </c:pt>
                <c:pt idx="296">
                  <c:v>19.625</c:v>
                </c:pt>
                <c:pt idx="297">
                  <c:v>18.375</c:v>
                </c:pt>
                <c:pt idx="298">
                  <c:v>45.5</c:v>
                </c:pt>
                <c:pt idx="299">
                  <c:v>36</c:v>
                </c:pt>
                <c:pt idx="300">
                  <c:v>9.75</c:v>
                </c:pt>
                <c:pt idx="301">
                  <c:v>17.75</c:v>
                </c:pt>
                <c:pt idx="302">
                  <c:v>17</c:v>
                </c:pt>
                <c:pt idx="303">
                  <c:v>106</c:v>
                </c:pt>
                <c:pt idx="304">
                  <c:v>28.5</c:v>
                </c:pt>
                <c:pt idx="305">
                  <c:v>43.125</c:v>
                </c:pt>
                <c:pt idx="306">
                  <c:v>58.375</c:v>
                </c:pt>
                <c:pt idx="307">
                  <c:v>43.25</c:v>
                </c:pt>
                <c:pt idx="308">
                  <c:v>20.75</c:v>
                </c:pt>
                <c:pt idx="309">
                  <c:v>27</c:v>
                </c:pt>
                <c:pt idx="310">
                  <c:v>7.5</c:v>
                </c:pt>
                <c:pt idx="311">
                  <c:v>26.5</c:v>
                </c:pt>
                <c:pt idx="312">
                  <c:v>42</c:v>
                </c:pt>
                <c:pt idx="313">
                  <c:v>52</c:v>
                </c:pt>
                <c:pt idx="314">
                  <c:v>38</c:v>
                </c:pt>
                <c:pt idx="315">
                  <c:v>18.375</c:v>
                </c:pt>
                <c:pt idx="316">
                  <c:v>18.625</c:v>
                </c:pt>
                <c:pt idx="317">
                  <c:v>13</c:v>
                </c:pt>
                <c:pt idx="318">
                  <c:v>29.5</c:v>
                </c:pt>
                <c:pt idx="319">
                  <c:v>49.75</c:v>
                </c:pt>
                <c:pt idx="320">
                  <c:v>51.75</c:v>
                </c:pt>
                <c:pt idx="321">
                  <c:v>13.5</c:v>
                </c:pt>
                <c:pt idx="322">
                  <c:v>17</c:v>
                </c:pt>
                <c:pt idx="323">
                  <c:v>19.75</c:v>
                </c:pt>
                <c:pt idx="324">
                  <c:v>24.75</c:v>
                </c:pt>
                <c:pt idx="325">
                  <c:v>22.125</c:v>
                </c:pt>
                <c:pt idx="326">
                  <c:v>34</c:v>
                </c:pt>
                <c:pt idx="327">
                  <c:v>43.875</c:v>
                </c:pt>
                <c:pt idx="328">
                  <c:v>10.375</c:v>
                </c:pt>
                <c:pt idx="329">
                  <c:v>23.625</c:v>
                </c:pt>
                <c:pt idx="330">
                  <c:v>18</c:v>
                </c:pt>
                <c:pt idx="331">
                  <c:v>17</c:v>
                </c:pt>
                <c:pt idx="332">
                  <c:v>32.5</c:v>
                </c:pt>
                <c:pt idx="333">
                  <c:v>37</c:v>
                </c:pt>
                <c:pt idx="334">
                  <c:v>51.125</c:v>
                </c:pt>
                <c:pt idx="335">
                  <c:v>17</c:v>
                </c:pt>
                <c:pt idx="336">
                  <c:v>19.375</c:v>
                </c:pt>
                <c:pt idx="337">
                  <c:v>29.75</c:v>
                </c:pt>
                <c:pt idx="338">
                  <c:v>20</c:v>
                </c:pt>
                <c:pt idx="339">
                  <c:v>23.5</c:v>
                </c:pt>
                <c:pt idx="340">
                  <c:v>26.25</c:v>
                </c:pt>
                <c:pt idx="341">
                  <c:v>49.5</c:v>
                </c:pt>
                <c:pt idx="342">
                  <c:v>18.25</c:v>
                </c:pt>
                <c:pt idx="343">
                  <c:v>27.75</c:v>
                </c:pt>
                <c:pt idx="344">
                  <c:v>40</c:v>
                </c:pt>
                <c:pt idx="345">
                  <c:v>17</c:v>
                </c:pt>
                <c:pt idx="346">
                  <c:v>38</c:v>
                </c:pt>
                <c:pt idx="347">
                  <c:v>54.5</c:v>
                </c:pt>
                <c:pt idx="348">
                  <c:v>50.5</c:v>
                </c:pt>
                <c:pt idx="349">
                  <c:v>14.75</c:v>
                </c:pt>
                <c:pt idx="350">
                  <c:v>28</c:v>
                </c:pt>
                <c:pt idx="351">
                  <c:v>33.75</c:v>
                </c:pt>
                <c:pt idx="352">
                  <c:v>24.5</c:v>
                </c:pt>
                <c:pt idx="353">
                  <c:v>37.75</c:v>
                </c:pt>
                <c:pt idx="354">
                  <c:v>43.75</c:v>
                </c:pt>
                <c:pt idx="355">
                  <c:v>46</c:v>
                </c:pt>
                <c:pt idx="356">
                  <c:v>31.75</c:v>
                </c:pt>
                <c:pt idx="357">
                  <c:v>12</c:v>
                </c:pt>
                <c:pt idx="358">
                  <c:v>64.75</c:v>
                </c:pt>
                <c:pt idx="359">
                  <c:v>46.5</c:v>
                </c:pt>
                <c:pt idx="360">
                  <c:v>39</c:v>
                </c:pt>
                <c:pt idx="361">
                  <c:v>43.75</c:v>
                </c:pt>
                <c:pt idx="362">
                  <c:v>56.875</c:v>
                </c:pt>
                <c:pt idx="363">
                  <c:v>46.875</c:v>
                </c:pt>
                <c:pt idx="364">
                  <c:v>0</c:v>
                </c:pt>
                <c:pt idx="365">
                  <c:v>74</c:v>
                </c:pt>
                <c:pt idx="366">
                  <c:v>57</c:v>
                </c:pt>
                <c:pt idx="367">
                  <c:v>35.5</c:v>
                </c:pt>
                <c:pt idx="368">
                  <c:v>29.75</c:v>
                </c:pt>
                <c:pt idx="369">
                  <c:v>22</c:v>
                </c:pt>
                <c:pt idx="370">
                  <c:v>31.75</c:v>
                </c:pt>
                <c:pt idx="371">
                  <c:v>35</c:v>
                </c:pt>
                <c:pt idx="372">
                  <c:v>33</c:v>
                </c:pt>
                <c:pt idx="373">
                  <c:v>27</c:v>
                </c:pt>
                <c:pt idx="374">
                  <c:v>23</c:v>
                </c:pt>
                <c:pt idx="375">
                  <c:v>33</c:v>
                </c:pt>
                <c:pt idx="376">
                  <c:v>38.125</c:v>
                </c:pt>
                <c:pt idx="377">
                  <c:v>12.375</c:v>
                </c:pt>
                <c:pt idx="378">
                  <c:v>34</c:v>
                </c:pt>
                <c:pt idx="379">
                  <c:v>31</c:v>
                </c:pt>
                <c:pt idx="380">
                  <c:v>20.5</c:v>
                </c:pt>
                <c:pt idx="381">
                  <c:v>20</c:v>
                </c:pt>
                <c:pt idx="382">
                  <c:v>42</c:v>
                </c:pt>
                <c:pt idx="383">
                  <c:v>39</c:v>
                </c:pt>
                <c:pt idx="384">
                  <c:v>16.5</c:v>
                </c:pt>
                <c:pt idx="385">
                  <c:v>21.5</c:v>
                </c:pt>
                <c:pt idx="386">
                  <c:v>22.5</c:v>
                </c:pt>
                <c:pt idx="387">
                  <c:v>17</c:v>
                </c:pt>
                <c:pt idx="388">
                  <c:v>24</c:v>
                </c:pt>
                <c:pt idx="389">
                  <c:v>27.5</c:v>
                </c:pt>
                <c:pt idx="390">
                  <c:v>36</c:v>
                </c:pt>
                <c:pt idx="391">
                  <c:v>13.25</c:v>
                </c:pt>
                <c:pt idx="392">
                  <c:v>19.75</c:v>
                </c:pt>
                <c:pt idx="393">
                  <c:v>18.5</c:v>
                </c:pt>
                <c:pt idx="394">
                  <c:v>15.5</c:v>
                </c:pt>
                <c:pt idx="395">
                  <c:v>24</c:v>
                </c:pt>
                <c:pt idx="396">
                  <c:v>32</c:v>
                </c:pt>
                <c:pt idx="397">
                  <c:v>33.5</c:v>
                </c:pt>
                <c:pt idx="398">
                  <c:v>11</c:v>
                </c:pt>
                <c:pt idx="399">
                  <c:v>10.875</c:v>
                </c:pt>
                <c:pt idx="400">
                  <c:v>18.75</c:v>
                </c:pt>
                <c:pt idx="401">
                  <c:v>10.625</c:v>
                </c:pt>
                <c:pt idx="402">
                  <c:v>30.25</c:v>
                </c:pt>
                <c:pt idx="403">
                  <c:v>22.5</c:v>
                </c:pt>
                <c:pt idx="404">
                  <c:v>40.5</c:v>
                </c:pt>
                <c:pt idx="405">
                  <c:v>10</c:v>
                </c:pt>
                <c:pt idx="406">
                  <c:v>14</c:v>
                </c:pt>
                <c:pt idx="407">
                  <c:v>20</c:v>
                </c:pt>
                <c:pt idx="408">
                  <c:v>11</c:v>
                </c:pt>
                <c:pt idx="409">
                  <c:v>24.125</c:v>
                </c:pt>
                <c:pt idx="410">
                  <c:v>36.375</c:v>
                </c:pt>
                <c:pt idx="411">
                  <c:v>40.875</c:v>
                </c:pt>
                <c:pt idx="412">
                  <c:v>10.625</c:v>
                </c:pt>
                <c:pt idx="413">
                  <c:v>17.5</c:v>
                </c:pt>
                <c:pt idx="414">
                  <c:v>19.5</c:v>
                </c:pt>
                <c:pt idx="415">
                  <c:v>20</c:v>
                </c:pt>
                <c:pt idx="416">
                  <c:v>17</c:v>
                </c:pt>
                <c:pt idx="417">
                  <c:v>40</c:v>
                </c:pt>
                <c:pt idx="418">
                  <c:v>42</c:v>
                </c:pt>
                <c:pt idx="419">
                  <c:v>6</c:v>
                </c:pt>
                <c:pt idx="420">
                  <c:v>13</c:v>
                </c:pt>
                <c:pt idx="421">
                  <c:v>13</c:v>
                </c:pt>
                <c:pt idx="422">
                  <c:v>10.5</c:v>
                </c:pt>
                <c:pt idx="423">
                  <c:v>25.5</c:v>
                </c:pt>
                <c:pt idx="424">
                  <c:v>33</c:v>
                </c:pt>
                <c:pt idx="425">
                  <c:v>31</c:v>
                </c:pt>
                <c:pt idx="426">
                  <c:v>12.125</c:v>
                </c:pt>
                <c:pt idx="427">
                  <c:v>14.375</c:v>
                </c:pt>
                <c:pt idx="428">
                  <c:v>14</c:v>
                </c:pt>
                <c:pt idx="429">
                  <c:v>14.25</c:v>
                </c:pt>
                <c:pt idx="430">
                  <c:v>21.75</c:v>
                </c:pt>
                <c:pt idx="431">
                  <c:v>33.25</c:v>
                </c:pt>
                <c:pt idx="432">
                  <c:v>32.5</c:v>
                </c:pt>
                <c:pt idx="433">
                  <c:v>4.375</c:v>
                </c:pt>
                <c:pt idx="434">
                  <c:v>15.5</c:v>
                </c:pt>
                <c:pt idx="435">
                  <c:v>18.875</c:v>
                </c:pt>
                <c:pt idx="436">
                  <c:v>9.5</c:v>
                </c:pt>
                <c:pt idx="437">
                  <c:v>14.125</c:v>
                </c:pt>
                <c:pt idx="438">
                  <c:v>26.75</c:v>
                </c:pt>
                <c:pt idx="439">
                  <c:v>20.625</c:v>
                </c:pt>
                <c:pt idx="440">
                  <c:v>7.625</c:v>
                </c:pt>
                <c:pt idx="441">
                  <c:v>7.375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18</c:v>
                </c:pt>
                <c:pt idx="671">
                  <c:v>16.125</c:v>
                </c:pt>
                <c:pt idx="672">
                  <c:v>7.75</c:v>
                </c:pt>
                <c:pt idx="673">
                  <c:v>7.125</c:v>
                </c:pt>
                <c:pt idx="674">
                  <c:v>8.25</c:v>
                </c:pt>
                <c:pt idx="675">
                  <c:v>17</c:v>
                </c:pt>
                <c:pt idx="676">
                  <c:v>19.375</c:v>
                </c:pt>
                <c:pt idx="677">
                  <c:v>24.25</c:v>
                </c:pt>
                <c:pt idx="678">
                  <c:v>8</c:v>
                </c:pt>
                <c:pt idx="679">
                  <c:v>7.75</c:v>
                </c:pt>
                <c:pt idx="680">
                  <c:v>7</c:v>
                </c:pt>
                <c:pt idx="681">
                  <c:v>12.5</c:v>
                </c:pt>
                <c:pt idx="682">
                  <c:v>13.25</c:v>
                </c:pt>
                <c:pt idx="683">
                  <c:v>31.5</c:v>
                </c:pt>
                <c:pt idx="684">
                  <c:v>26.375</c:v>
                </c:pt>
                <c:pt idx="685">
                  <c:v>21.625</c:v>
                </c:pt>
                <c:pt idx="686">
                  <c:v>11.625</c:v>
                </c:pt>
                <c:pt idx="687">
                  <c:v>10.375</c:v>
                </c:pt>
                <c:pt idx="688">
                  <c:v>10</c:v>
                </c:pt>
                <c:pt idx="689">
                  <c:v>14</c:v>
                </c:pt>
                <c:pt idx="690">
                  <c:v>23.5</c:v>
                </c:pt>
                <c:pt idx="691">
                  <c:v>29</c:v>
                </c:pt>
                <c:pt idx="692">
                  <c:v>10.75</c:v>
                </c:pt>
                <c:pt idx="693">
                  <c:v>11</c:v>
                </c:pt>
                <c:pt idx="694">
                  <c:v>11</c:v>
                </c:pt>
                <c:pt idx="695">
                  <c:v>11.875</c:v>
                </c:pt>
                <c:pt idx="696">
                  <c:v>15.75</c:v>
                </c:pt>
                <c:pt idx="697">
                  <c:v>31.375</c:v>
                </c:pt>
                <c:pt idx="698">
                  <c:v>33</c:v>
                </c:pt>
                <c:pt idx="699">
                  <c:v>11.25</c:v>
                </c:pt>
                <c:pt idx="700">
                  <c:v>11.5</c:v>
                </c:pt>
                <c:pt idx="701">
                  <c:v>18.375</c:v>
                </c:pt>
                <c:pt idx="702">
                  <c:v>11.375</c:v>
                </c:pt>
                <c:pt idx="703">
                  <c:v>23.5</c:v>
                </c:pt>
                <c:pt idx="704">
                  <c:v>20</c:v>
                </c:pt>
                <c:pt idx="705">
                  <c:v>22.25</c:v>
                </c:pt>
                <c:pt idx="706">
                  <c:v>29.3</c:v>
                </c:pt>
                <c:pt idx="707">
                  <c:v>17.45</c:v>
                </c:pt>
                <c:pt idx="708">
                  <c:v>8</c:v>
                </c:pt>
                <c:pt idx="709">
                  <c:v>13.725</c:v>
                </c:pt>
                <c:pt idx="710">
                  <c:v>17.274999999999999</c:v>
                </c:pt>
                <c:pt idx="711">
                  <c:v>14.75</c:v>
                </c:pt>
                <c:pt idx="712">
                  <c:v>35</c:v>
                </c:pt>
                <c:pt idx="713">
                  <c:v>10</c:v>
                </c:pt>
                <c:pt idx="714">
                  <c:v>17.125</c:v>
                </c:pt>
                <c:pt idx="715">
                  <c:v>10.875</c:v>
                </c:pt>
                <c:pt idx="716">
                  <c:v>13</c:v>
                </c:pt>
                <c:pt idx="717">
                  <c:v>30</c:v>
                </c:pt>
                <c:pt idx="718">
                  <c:v>19</c:v>
                </c:pt>
                <c:pt idx="719">
                  <c:v>20</c:v>
                </c:pt>
                <c:pt idx="720">
                  <c:v>14.625</c:v>
                </c:pt>
                <c:pt idx="721">
                  <c:v>19.625</c:v>
                </c:pt>
                <c:pt idx="722">
                  <c:v>18.75</c:v>
                </c:pt>
                <c:pt idx="723">
                  <c:v>#N/A</c:v>
                </c:pt>
                <c:pt idx="724">
                  <c:v>32</c:v>
                </c:pt>
                <c:pt idx="725">
                  <c:v>26</c:v>
                </c:pt>
                <c:pt idx="726">
                  <c:v>20</c:v>
                </c:pt>
                <c:pt idx="727">
                  <c:v>20</c:v>
                </c:pt>
                <c:pt idx="728">
                  <c:v>21</c:v>
                </c:pt>
                <c:pt idx="729">
                  <c:v>16.125</c:v>
                </c:pt>
                <c:pt idx="730">
                  <c:v>#N/A</c:v>
                </c:pt>
                <c:pt idx="731">
                  <c:v>27.25</c:v>
                </c:pt>
                <c:pt idx="732">
                  <c:v>31.625</c:v>
                </c:pt>
                <c:pt idx="733">
                  <c:v>20</c:v>
                </c:pt>
                <c:pt idx="734">
                  <c:v>12</c:v>
                </c:pt>
                <c:pt idx="735">
                  <c:v>11.625</c:v>
                </c:pt>
                <c:pt idx="736">
                  <c:v>8.125</c:v>
                </c:pt>
                <c:pt idx="737">
                  <c:v>16</c:v>
                </c:pt>
                <c:pt idx="738">
                  <c:v>11.25</c:v>
                </c:pt>
                <c:pt idx="739">
                  <c:v>15.25</c:v>
                </c:pt>
                <c:pt idx="740">
                  <c:v>19.5</c:v>
                </c:pt>
                <c:pt idx="741">
                  <c:v>16.25</c:v>
                </c:pt>
                <c:pt idx="742">
                  <c:v>11.75</c:v>
                </c:pt>
                <c:pt idx="743">
                  <c:v>3.125</c:v>
                </c:pt>
                <c:pt idx="744">
                  <c:v>11.125</c:v>
                </c:pt>
                <c:pt idx="745">
                  <c:v>6</c:v>
                </c:pt>
                <c:pt idx="746">
                  <c:v>10.5</c:v>
                </c:pt>
                <c:pt idx="747">
                  <c:v>11.5</c:v>
                </c:pt>
                <c:pt idx="748">
                  <c:v>6</c:v>
                </c:pt>
                <c:pt idx="749">
                  <c:v>6.125</c:v>
                </c:pt>
                <c:pt idx="750">
                  <c:v>3.875</c:v>
                </c:pt>
                <c:pt idx="751">
                  <c:v>9.5</c:v>
                </c:pt>
                <c:pt idx="752">
                  <c:v>15</c:v>
                </c:pt>
                <c:pt idx="753">
                  <c:v>4.625</c:v>
                </c:pt>
                <c:pt idx="754">
                  <c:v>5.125</c:v>
                </c:pt>
                <c:pt idx="755">
                  <c:v>11.75</c:v>
                </c:pt>
                <c:pt idx="756">
                  <c:v>4.75</c:v>
                </c:pt>
                <c:pt idx="757">
                  <c:v>6</c:v>
                </c:pt>
                <c:pt idx="758">
                  <c:v>11.375</c:v>
                </c:pt>
                <c:pt idx="759">
                  <c:v>11.875</c:v>
                </c:pt>
                <c:pt idx="760">
                  <c:v>19.125</c:v>
                </c:pt>
                <c:pt idx="761">
                  <c:v>18.25</c:v>
                </c:pt>
                <c:pt idx="762">
                  <c:v>4.625</c:v>
                </c:pt>
                <c:pt idx="763">
                  <c:v>6.25</c:v>
                </c:pt>
                <c:pt idx="764">
                  <c:v>9</c:v>
                </c:pt>
                <c:pt idx="765">
                  <c:v>11.5</c:v>
                </c:pt>
                <c:pt idx="766">
                  <c:v>12</c:v>
                </c:pt>
                <c:pt idx="767">
                  <c:v>13.875</c:v>
                </c:pt>
                <c:pt idx="768">
                  <c:v>13.625</c:v>
                </c:pt>
                <c:pt idx="769">
                  <c:v>9.625</c:v>
                </c:pt>
                <c:pt idx="770">
                  <c:v>10.5</c:v>
                </c:pt>
                <c:pt idx="771">
                  <c:v>7.875</c:v>
                </c:pt>
                <c:pt idx="772">
                  <c:v>6.125</c:v>
                </c:pt>
                <c:pt idx="773">
                  <c:v>13</c:v>
                </c:pt>
                <c:pt idx="774">
                  <c:v>23.125</c:v>
                </c:pt>
                <c:pt idx="775">
                  <c:v>12.5</c:v>
                </c:pt>
                <c:pt idx="776">
                  <c:v>8.75</c:v>
                </c:pt>
                <c:pt idx="777">
                  <c:v>6.5</c:v>
                </c:pt>
                <c:pt idx="778">
                  <c:v>7.25</c:v>
                </c:pt>
                <c:pt idx="779">
                  <c:v>5.25</c:v>
                </c:pt>
                <c:pt idx="780">
                  <c:v>13</c:v>
                </c:pt>
                <c:pt idx="781">
                  <c:v>13.125</c:v>
                </c:pt>
                <c:pt idx="782">
                  <c:v>15.125</c:v>
                </c:pt>
                <c:pt idx="783">
                  <c:v>7.125</c:v>
                </c:pt>
                <c:pt idx="784">
                  <c:v>6.625</c:v>
                </c:pt>
                <c:pt idx="785">
                  <c:v>5.375</c:v>
                </c:pt>
                <c:pt idx="786">
                  <c:v>#N/A</c:v>
                </c:pt>
                <c:pt idx="787">
                  <c:v>15.375</c:v>
                </c:pt>
                <c:pt idx="788">
                  <c:v>24.85</c:v>
                </c:pt>
                <c:pt idx="789">
                  <c:v>23.15</c:v>
                </c:pt>
                <c:pt idx="790">
                  <c:v>7.875</c:v>
                </c:pt>
                <c:pt idx="791">
                  <c:v>12.75</c:v>
                </c:pt>
                <c:pt idx="792">
                  <c:v>9.25</c:v>
                </c:pt>
                <c:pt idx="793">
                  <c:v>11.125</c:v>
                </c:pt>
                <c:pt idx="794">
                  <c:v>17.625</c:v>
                </c:pt>
                <c:pt idx="795">
                  <c:v>18.25</c:v>
                </c:pt>
                <c:pt idx="796">
                  <c:v>27</c:v>
                </c:pt>
                <c:pt idx="797">
                  <c:v>12</c:v>
                </c:pt>
                <c:pt idx="798">
                  <c:v>3.75</c:v>
                </c:pt>
                <c:pt idx="799">
                  <c:v>9.75</c:v>
                </c:pt>
                <c:pt idx="800">
                  <c:v>7.125</c:v>
                </c:pt>
                <c:pt idx="801">
                  <c:v>18.875</c:v>
                </c:pt>
                <c:pt idx="802">
                  <c:v>22</c:v>
                </c:pt>
                <c:pt idx="803">
                  <c:v>23.5</c:v>
                </c:pt>
                <c:pt idx="804">
                  <c:v>6.5</c:v>
                </c:pt>
                <c:pt idx="805">
                  <c:v>9</c:v>
                </c:pt>
                <c:pt idx="806">
                  <c:v>11.625</c:v>
                </c:pt>
                <c:pt idx="807">
                  <c:v>14</c:v>
                </c:pt>
                <c:pt idx="808">
                  <c:v>15.875</c:v>
                </c:pt>
                <c:pt idx="809">
                  <c:v>21.25</c:v>
                </c:pt>
                <c:pt idx="810">
                  <c:v>29.5</c:v>
                </c:pt>
                <c:pt idx="811">
                  <c:v>21.5</c:v>
                </c:pt>
                <c:pt idx="812">
                  <c:v>8.25</c:v>
                </c:pt>
                <c:pt idx="813">
                  <c:v>7.5</c:v>
                </c:pt>
                <c:pt idx="814">
                  <c:v>10.375</c:v>
                </c:pt>
                <c:pt idx="815">
                  <c:v>10.75</c:v>
                </c:pt>
                <c:pt idx="816">
                  <c:v>31</c:v>
                </c:pt>
                <c:pt idx="817">
                  <c:v>23.125</c:v>
                </c:pt>
                <c:pt idx="818">
                  <c:v>9.75</c:v>
                </c:pt>
                <c:pt idx="819">
                  <c:v>10</c:v>
                </c:pt>
                <c:pt idx="820">
                  <c:v>19.75</c:v>
                </c:pt>
                <c:pt idx="821">
                  <c:v>18</c:v>
                </c:pt>
                <c:pt idx="822">
                  <c:v>31.25</c:v>
                </c:pt>
                <c:pt idx="823">
                  <c:v>18.125</c:v>
                </c:pt>
                <c:pt idx="824">
                  <c:v>21.75</c:v>
                </c:pt>
                <c:pt idx="825">
                  <c:v>8.375</c:v>
                </c:pt>
                <c:pt idx="826">
                  <c:v>9</c:v>
                </c:pt>
                <c:pt idx="827">
                  <c:v>9</c:v>
                </c:pt>
                <c:pt idx="828">
                  <c:v>9.75</c:v>
                </c:pt>
                <c:pt idx="829">
                  <c:v>12.375</c:v>
                </c:pt>
                <c:pt idx="830">
                  <c:v>18.875</c:v>
                </c:pt>
                <c:pt idx="831">
                  <c:v>19.25</c:v>
                </c:pt>
                <c:pt idx="832">
                  <c:v>8.125</c:v>
                </c:pt>
                <c:pt idx="833">
                  <c:v>9.375</c:v>
                </c:pt>
                <c:pt idx="834">
                  <c:v>5.75</c:v>
                </c:pt>
                <c:pt idx="835">
                  <c:v>8.25</c:v>
                </c:pt>
                <c:pt idx="836">
                  <c:v>17</c:v>
                </c:pt>
                <c:pt idx="837">
                  <c:v>19.25</c:v>
                </c:pt>
                <c:pt idx="838">
                  <c:v>30</c:v>
                </c:pt>
                <c:pt idx="839">
                  <c:v>8.625</c:v>
                </c:pt>
                <c:pt idx="840">
                  <c:v>9.875</c:v>
                </c:pt>
                <c:pt idx="841">
                  <c:v>9.25</c:v>
                </c:pt>
                <c:pt idx="842">
                  <c:v>12.125</c:v>
                </c:pt>
                <c:pt idx="843">
                  <c:v>9.125</c:v>
                </c:pt>
                <c:pt idx="844">
                  <c:v>28.5</c:v>
                </c:pt>
                <c:pt idx="845">
                  <c:v>21</c:v>
                </c:pt>
                <c:pt idx="846">
                  <c:v>7</c:v>
                </c:pt>
                <c:pt idx="847">
                  <c:v>6.75</c:v>
                </c:pt>
                <c:pt idx="848">
                  <c:v>3</c:v>
                </c:pt>
                <c:pt idx="849">
                  <c:v>4.5</c:v>
                </c:pt>
                <c:pt idx="850">
                  <c:v>6.75</c:v>
                </c:pt>
                <c:pt idx="851">
                  <c:v>17.25</c:v>
                </c:pt>
                <c:pt idx="852">
                  <c:v>13.875</c:v>
                </c:pt>
                <c:pt idx="853">
                  <c:v>0</c:v>
                </c:pt>
                <c:pt idx="854">
                  <c:v>6.5</c:v>
                </c:pt>
                <c:pt idx="855">
                  <c:v>0</c:v>
                </c:pt>
                <c:pt idx="856">
                  <c:v>8.5</c:v>
                </c:pt>
                <c:pt idx="857">
                  <c:v>9.375</c:v>
                </c:pt>
                <c:pt idx="858">
                  <c:v>17.875</c:v>
                </c:pt>
                <c:pt idx="859">
                  <c:v>38.25</c:v>
                </c:pt>
                <c:pt idx="860">
                  <c:v>4.125</c:v>
                </c:pt>
                <c:pt idx="861">
                  <c:v>14.75</c:v>
                </c:pt>
                <c:pt idx="862">
                  <c:v>8.5</c:v>
                </c:pt>
                <c:pt idx="863">
                  <c:v>8.5</c:v>
                </c:pt>
                <c:pt idx="864">
                  <c:v>6.5</c:v>
                </c:pt>
                <c:pt idx="865">
                  <c:v>20.5</c:v>
                </c:pt>
                <c:pt idx="866">
                  <c:v>25.5</c:v>
                </c:pt>
                <c:pt idx="867">
                  <c:v>14</c:v>
                </c:pt>
                <c:pt idx="868">
                  <c:v>6.5</c:v>
                </c:pt>
                <c:pt idx="869">
                  <c:v>0</c:v>
                </c:pt>
                <c:pt idx="870">
                  <c:v>11.375</c:v>
                </c:pt>
                <c:pt idx="871">
                  <c:v>8.875</c:v>
                </c:pt>
                <c:pt idx="872">
                  <c:v>7.5</c:v>
                </c:pt>
                <c:pt idx="873">
                  <c:v>22</c:v>
                </c:pt>
                <c:pt idx="874">
                  <c:v>4.75</c:v>
                </c:pt>
                <c:pt idx="875">
                  <c:v>10</c:v>
                </c:pt>
                <c:pt idx="876">
                  <c:v>7.25</c:v>
                </c:pt>
                <c:pt idx="877">
                  <c:v>8.375</c:v>
                </c:pt>
                <c:pt idx="878">
                  <c:v>4.625</c:v>
                </c:pt>
                <c:pt idx="879">
                  <c:v>23.5</c:v>
                </c:pt>
                <c:pt idx="880">
                  <c:v>18.125</c:v>
                </c:pt>
                <c:pt idx="881">
                  <c:v>11.75</c:v>
                </c:pt>
                <c:pt idx="882">
                  <c:v>8.75</c:v>
                </c:pt>
                <c:pt idx="883">
                  <c:v>20</c:v>
                </c:pt>
                <c:pt idx="884">
                  <c:v>8.875</c:v>
                </c:pt>
                <c:pt idx="885">
                  <c:v>21.25</c:v>
                </c:pt>
                <c:pt idx="886">
                  <c:v>25.5</c:v>
                </c:pt>
                <c:pt idx="887">
                  <c:v>30</c:v>
                </c:pt>
                <c:pt idx="888">
                  <c:v>21.5</c:v>
                </c:pt>
                <c:pt idx="889">
                  <c:v>12.875</c:v>
                </c:pt>
                <c:pt idx="890">
                  <c:v>9.625</c:v>
                </c:pt>
                <c:pt idx="891">
                  <c:v>13</c:v>
                </c:pt>
                <c:pt idx="892">
                  <c:v>18.5</c:v>
                </c:pt>
                <c:pt idx="893">
                  <c:v>26.25</c:v>
                </c:pt>
                <c:pt idx="894">
                  <c:v>19.5</c:v>
                </c:pt>
                <c:pt idx="895">
                  <c:v>18.5</c:v>
                </c:pt>
                <c:pt idx="896">
                  <c:v>32</c:v>
                </c:pt>
                <c:pt idx="897">
                  <c:v>24</c:v>
                </c:pt>
                <c:pt idx="898">
                  <c:v>21.5</c:v>
                </c:pt>
                <c:pt idx="899">
                  <c:v>38.5</c:v>
                </c:pt>
                <c:pt idx="900">
                  <c:v>28</c:v>
                </c:pt>
                <c:pt idx="901">
                  <c:v>25</c:v>
                </c:pt>
                <c:pt idx="902">
                  <c:v>16</c:v>
                </c:pt>
                <c:pt idx="903">
                  <c:v>14</c:v>
                </c:pt>
                <c:pt idx="904">
                  <c:v>5</c:v>
                </c:pt>
                <c:pt idx="905">
                  <c:v>29.625</c:v>
                </c:pt>
                <c:pt idx="906">
                  <c:v>31.375</c:v>
                </c:pt>
                <c:pt idx="907">
                  <c:v>38</c:v>
                </c:pt>
                <c:pt idx="908">
                  <c:v>43.25</c:v>
                </c:pt>
                <c:pt idx="909">
                  <c:v>13.75</c:v>
                </c:pt>
                <c:pt idx="910">
                  <c:v>32.25</c:v>
                </c:pt>
                <c:pt idx="911">
                  <c:v>23</c:v>
                </c:pt>
                <c:pt idx="912">
                  <c:v>22.125</c:v>
                </c:pt>
                <c:pt idx="913">
                  <c:v>22</c:v>
                </c:pt>
                <c:pt idx="914">
                  <c:v>35.875</c:v>
                </c:pt>
                <c:pt idx="915">
                  <c:v>41.25</c:v>
                </c:pt>
                <c:pt idx="916">
                  <c:v>31.75</c:v>
                </c:pt>
                <c:pt idx="917">
                  <c:v>17.75</c:v>
                </c:pt>
                <c:pt idx="918">
                  <c:v>12.75</c:v>
                </c:pt>
                <c:pt idx="919">
                  <c:v>15</c:v>
                </c:pt>
                <c:pt idx="920">
                  <c:v>20.5</c:v>
                </c:pt>
                <c:pt idx="921">
                  <c:v>30.75</c:v>
                </c:pt>
                <c:pt idx="922">
                  <c:v>35.25</c:v>
                </c:pt>
                <c:pt idx="923">
                  <c:v>14.25</c:v>
                </c:pt>
                <c:pt idx="924">
                  <c:v>18.25</c:v>
                </c:pt>
                <c:pt idx="925">
                  <c:v>18.5</c:v>
                </c:pt>
                <c:pt idx="926">
                  <c:v>19.25</c:v>
                </c:pt>
                <c:pt idx="927">
                  <c:v>26.5</c:v>
                </c:pt>
                <c:pt idx="928">
                  <c:v>44.5</c:v>
                </c:pt>
                <c:pt idx="929">
                  <c:v>47.5</c:v>
                </c:pt>
                <c:pt idx="930">
                  <c:v>17</c:v>
                </c:pt>
                <c:pt idx="931">
                  <c:v>0</c:v>
                </c:pt>
                <c:pt idx="932">
                  <c:v>15</c:v>
                </c:pt>
                <c:pt idx="933">
                  <c:v>9.5</c:v>
                </c:pt>
                <c:pt idx="934">
                  <c:v>16.25</c:v>
                </c:pt>
                <c:pt idx="935">
                  <c:v>29.75</c:v>
                </c:pt>
                <c:pt idx="936">
                  <c:v>40.25</c:v>
                </c:pt>
                <c:pt idx="937">
                  <c:v>17.25</c:v>
                </c:pt>
                <c:pt idx="938">
                  <c:v>15.5</c:v>
                </c:pt>
                <c:pt idx="939">
                  <c:v>24.125</c:v>
                </c:pt>
                <c:pt idx="940">
                  <c:v>12.375</c:v>
                </c:pt>
                <c:pt idx="941">
                  <c:v>20.5</c:v>
                </c:pt>
                <c:pt idx="942">
                  <c:v>49.5</c:v>
                </c:pt>
                <c:pt idx="943">
                  <c:v>41</c:v>
                </c:pt>
                <c:pt idx="944">
                  <c:v>10.75</c:v>
                </c:pt>
                <c:pt idx="945">
                  <c:v>18.75</c:v>
                </c:pt>
                <c:pt idx="946">
                  <c:v>25</c:v>
                </c:pt>
                <c:pt idx="947">
                  <c:v>20.75</c:v>
                </c:pt>
                <c:pt idx="948">
                  <c:v>31.25</c:v>
                </c:pt>
                <c:pt idx="949">
                  <c:v>33</c:v>
                </c:pt>
                <c:pt idx="950">
                  <c:v>31.25</c:v>
                </c:pt>
                <c:pt idx="951">
                  <c:v>8.75</c:v>
                </c:pt>
                <c:pt idx="952">
                  <c:v>17.125</c:v>
                </c:pt>
                <c:pt idx="953">
                  <c:v>26.875</c:v>
                </c:pt>
                <c:pt idx="954">
                  <c:v>7.5</c:v>
                </c:pt>
                <c:pt idx="955">
                  <c:v>14</c:v>
                </c:pt>
                <c:pt idx="956">
                  <c:v>23</c:v>
                </c:pt>
                <c:pt idx="957">
                  <c:v>35.5</c:v>
                </c:pt>
                <c:pt idx="958">
                  <c:v>31.125</c:v>
                </c:pt>
                <c:pt idx="959">
                  <c:v>21.875</c:v>
                </c:pt>
                <c:pt idx="960">
                  <c:v>23.5</c:v>
                </c:pt>
                <c:pt idx="961">
                  <c:v>10.25</c:v>
                </c:pt>
                <c:pt idx="962">
                  <c:v>21</c:v>
                </c:pt>
                <c:pt idx="963">
                  <c:v>25.75</c:v>
                </c:pt>
                <c:pt idx="964">
                  <c:v>38</c:v>
                </c:pt>
                <c:pt idx="965">
                  <c:v>14.5</c:v>
                </c:pt>
                <c:pt idx="966">
                  <c:v>19.5</c:v>
                </c:pt>
                <c:pt idx="967">
                  <c:v>20.5</c:v>
                </c:pt>
                <c:pt idx="968">
                  <c:v>19.25</c:v>
                </c:pt>
                <c:pt idx="969">
                  <c:v>18.25</c:v>
                </c:pt>
                <c:pt idx="970">
                  <c:v>39.25</c:v>
                </c:pt>
                <c:pt idx="971">
                  <c:v>32.25</c:v>
                </c:pt>
                <c:pt idx="972">
                  <c:v>23.5</c:v>
                </c:pt>
                <c:pt idx="973">
                  <c:v>16.375</c:v>
                </c:pt>
                <c:pt idx="974">
                  <c:v>17.25</c:v>
                </c:pt>
                <c:pt idx="975">
                  <c:v>17.375</c:v>
                </c:pt>
                <c:pt idx="976">
                  <c:v>28.5</c:v>
                </c:pt>
                <c:pt idx="977">
                  <c:v>37.5</c:v>
                </c:pt>
                <c:pt idx="978">
                  <c:v>40</c:v>
                </c:pt>
                <c:pt idx="979">
                  <c:v>12.75</c:v>
                </c:pt>
                <c:pt idx="980">
                  <c:v>14.75</c:v>
                </c:pt>
                <c:pt idx="981">
                  <c:v>27.5</c:v>
                </c:pt>
                <c:pt idx="982">
                  <c:v>20</c:v>
                </c:pt>
                <c:pt idx="983">
                  <c:v>29.8</c:v>
                </c:pt>
                <c:pt idx="984">
                  <c:v>41.2</c:v>
                </c:pt>
                <c:pt idx="985">
                  <c:v>37</c:v>
                </c:pt>
                <c:pt idx="986">
                  <c:v>11.25</c:v>
                </c:pt>
                <c:pt idx="987">
                  <c:v>14.375</c:v>
                </c:pt>
                <c:pt idx="988">
                  <c:v>19.375</c:v>
                </c:pt>
                <c:pt idx="989">
                  <c:v>20.5</c:v>
                </c:pt>
                <c:pt idx="990">
                  <c:v>30.5</c:v>
                </c:pt>
                <c:pt idx="991">
                  <c:v>37</c:v>
                </c:pt>
                <c:pt idx="992">
                  <c:v>37</c:v>
                </c:pt>
                <c:pt idx="993">
                  <c:v>7.25</c:v>
                </c:pt>
                <c:pt idx="994">
                  <c:v>10</c:v>
                </c:pt>
                <c:pt idx="995">
                  <c:v>15.75</c:v>
                </c:pt>
                <c:pt idx="996">
                  <c:v>16</c:v>
                </c:pt>
                <c:pt idx="997">
                  <c:v>49</c:v>
                </c:pt>
                <c:pt idx="998">
                  <c:v>24</c:v>
                </c:pt>
                <c:pt idx="999">
                  <c:v>30.25</c:v>
                </c:pt>
                <c:pt idx="1000">
                  <c:v>13.75</c:v>
                </c:pt>
                <c:pt idx="1001">
                  <c:v>14.25</c:v>
                </c:pt>
                <c:pt idx="1002">
                  <c:v>16.875</c:v>
                </c:pt>
                <c:pt idx="1003">
                  <c:v>20.125</c:v>
                </c:pt>
                <c:pt idx="1004">
                  <c:v>26.75</c:v>
                </c:pt>
                <c:pt idx="1005">
                  <c:v>33</c:v>
                </c:pt>
                <c:pt idx="1006">
                  <c:v>43</c:v>
                </c:pt>
                <c:pt idx="1007">
                  <c:v>13.75</c:v>
                </c:pt>
                <c:pt idx="1008">
                  <c:v>14.25</c:v>
                </c:pt>
                <c:pt idx="1009">
                  <c:v>19.625</c:v>
                </c:pt>
                <c:pt idx="1010">
                  <c:v>18.375</c:v>
                </c:pt>
                <c:pt idx="1011">
                  <c:v>28.5</c:v>
                </c:pt>
                <c:pt idx="1012">
                  <c:v>32</c:v>
                </c:pt>
                <c:pt idx="1013">
                  <c:v>31.5</c:v>
                </c:pt>
                <c:pt idx="1014">
                  <c:v>21</c:v>
                </c:pt>
                <c:pt idx="1015">
                  <c:v>22.75</c:v>
                </c:pt>
                <c:pt idx="1016">
                  <c:v>27.75</c:v>
                </c:pt>
                <c:pt idx="1017">
                  <c:v>23.5</c:v>
                </c:pt>
                <c:pt idx="1018">
                  <c:v>30.5</c:v>
                </c:pt>
                <c:pt idx="1019">
                  <c:v>46.5</c:v>
                </c:pt>
                <c:pt idx="1020">
                  <c:v>51</c:v>
                </c:pt>
                <c:pt idx="1021">
                  <c:v>42</c:v>
                </c:pt>
                <c:pt idx="1022">
                  <c:v>15.5</c:v>
                </c:pt>
                <c:pt idx="1023">
                  <c:v>20.25</c:v>
                </c:pt>
                <c:pt idx="1024">
                  <c:v>10.75</c:v>
                </c:pt>
                <c:pt idx="1025">
                  <c:v>25</c:v>
                </c:pt>
                <c:pt idx="1026">
                  <c:v>40.75</c:v>
                </c:pt>
                <c:pt idx="1027">
                  <c:v>36.25</c:v>
                </c:pt>
                <c:pt idx="1028">
                  <c:v>13.75</c:v>
                </c:pt>
                <c:pt idx="1029">
                  <c:v>10</c:v>
                </c:pt>
                <c:pt idx="1030">
                  <c:v>19.5</c:v>
                </c:pt>
                <c:pt idx="1031">
                  <c:v>14</c:v>
                </c:pt>
                <c:pt idx="1032">
                  <c:v>28.5</c:v>
                </c:pt>
                <c:pt idx="1033">
                  <c:v>40.5</c:v>
                </c:pt>
                <c:pt idx="1034">
                  <c:v>98.75</c:v>
                </c:pt>
                <c:pt idx="1035">
                  <c:v>47.125</c:v>
                </c:pt>
                <c:pt idx="1036">
                  <c:v>17.5</c:v>
                </c:pt>
                <c:pt idx="1037">
                  <c:v>21.875</c:v>
                </c:pt>
                <c:pt idx="1038">
                  <c:v>16</c:v>
                </c:pt>
                <c:pt idx="1039">
                  <c:v>23.75</c:v>
                </c:pt>
                <c:pt idx="1040">
                  <c:v>42.174999999999997</c:v>
                </c:pt>
                <c:pt idx="1041">
                  <c:v>47.325000000000003</c:v>
                </c:pt>
                <c:pt idx="1042">
                  <c:v>8.25</c:v>
                </c:pt>
                <c:pt idx="1043">
                  <c:v>12.5</c:v>
                </c:pt>
                <c:pt idx="1044">
                  <c:v>20</c:v>
                </c:pt>
                <c:pt idx="1045">
                  <c:v>20</c:v>
                </c:pt>
                <c:pt idx="1046">
                  <c:v>21</c:v>
                </c:pt>
                <c:pt idx="1047">
                  <c:v>38.25</c:v>
                </c:pt>
                <c:pt idx="1048">
                  <c:v>35.25</c:v>
                </c:pt>
                <c:pt idx="1049">
                  <c:v>32.5</c:v>
                </c:pt>
                <c:pt idx="1050">
                  <c:v>9.25</c:v>
                </c:pt>
                <c:pt idx="1051">
                  <c:v>14.75</c:v>
                </c:pt>
                <c:pt idx="1052">
                  <c:v>15</c:v>
                </c:pt>
                <c:pt idx="1053">
                  <c:v>24.25</c:v>
                </c:pt>
                <c:pt idx="1054">
                  <c:v>30.875</c:v>
                </c:pt>
                <c:pt idx="1055">
                  <c:v>35.875</c:v>
                </c:pt>
                <c:pt idx="1056">
                  <c:v>17.375</c:v>
                </c:pt>
                <c:pt idx="1057">
                  <c:v>17.875</c:v>
                </c:pt>
                <c:pt idx="1058">
                  <c:v>21</c:v>
                </c:pt>
                <c:pt idx="1059">
                  <c:v>24.75</c:v>
                </c:pt>
                <c:pt idx="1060">
                  <c:v>28.375</c:v>
                </c:pt>
                <c:pt idx="1061">
                  <c:v>47.125</c:v>
                </c:pt>
                <c:pt idx="1062">
                  <c:v>49.875</c:v>
                </c:pt>
                <c:pt idx="1063">
                  <c:v>15.5</c:v>
                </c:pt>
                <c:pt idx="1064">
                  <c:v>26.75</c:v>
                </c:pt>
                <c:pt idx="1065">
                  <c:v>33.375</c:v>
                </c:pt>
                <c:pt idx="1066">
                  <c:v>21.5</c:v>
                </c:pt>
                <c:pt idx="1067">
                  <c:v>30.5</c:v>
                </c:pt>
                <c:pt idx="1068">
                  <c:v>37</c:v>
                </c:pt>
                <c:pt idx="1069">
                  <c:v>39.5</c:v>
                </c:pt>
                <c:pt idx="1070">
                  <c:v>15.125</c:v>
                </c:pt>
                <c:pt idx="1071">
                  <c:v>36</c:v>
                </c:pt>
                <c:pt idx="1072">
                  <c:v>34.375</c:v>
                </c:pt>
                <c:pt idx="1073">
                  <c:v>15.5</c:v>
                </c:pt>
                <c:pt idx="1074">
                  <c:v>20</c:v>
                </c:pt>
                <c:pt idx="1075">
                  <c:v>40</c:v>
                </c:pt>
                <c:pt idx="1076">
                  <c:v>39.75</c:v>
                </c:pt>
                <c:pt idx="1077">
                  <c:v>16.75</c:v>
                </c:pt>
                <c:pt idx="1078">
                  <c:v>22</c:v>
                </c:pt>
                <c:pt idx="1079">
                  <c:v>28.625</c:v>
                </c:pt>
                <c:pt idx="1080">
                  <c:v>26.125</c:v>
                </c:pt>
                <c:pt idx="1081">
                  <c:v>34.25</c:v>
                </c:pt>
                <c:pt idx="1082">
                  <c:v>50</c:v>
                </c:pt>
                <c:pt idx="1083">
                  <c:v>48.25</c:v>
                </c:pt>
                <c:pt idx="1084">
                  <c:v>33.625</c:v>
                </c:pt>
                <c:pt idx="1085">
                  <c:v>38.375</c:v>
                </c:pt>
                <c:pt idx="1086">
                  <c:v>35.625</c:v>
                </c:pt>
                <c:pt idx="1087">
                  <c:v>39.75</c:v>
                </c:pt>
                <c:pt idx="1088">
                  <c:v>0</c:v>
                </c:pt>
                <c:pt idx="1089">
                  <c:v>48.625</c:v>
                </c:pt>
                <c:pt idx="1090">
                  <c:v>60</c:v>
                </c:pt>
                <c:pt idx="1091">
                  <c:v>30</c:v>
                </c:pt>
                <c:pt idx="1092">
                  <c:v>38.25</c:v>
                </c:pt>
                <c:pt idx="1093">
                  <c:v>45.375</c:v>
                </c:pt>
                <c:pt idx="1094">
                  <c:v>29.75</c:v>
                </c:pt>
                <c:pt idx="1095">
                  <c:v>0</c:v>
                </c:pt>
                <c:pt idx="1096">
                  <c:v>47.375</c:v>
                </c:pt>
                <c:pt idx="1097">
                  <c:v>53.875</c:v>
                </c:pt>
                <c:pt idx="1098">
                  <c:v>27.875</c:v>
                </c:pt>
                <c:pt idx="1099">
                  <c:v>31</c:v>
                </c:pt>
                <c:pt idx="1100">
                  <c:v>33.25</c:v>
                </c:pt>
                <c:pt idx="1101">
                  <c:v>22.375</c:v>
                </c:pt>
                <c:pt idx="1102">
                  <c:v>28</c:v>
                </c:pt>
                <c:pt idx="1103">
                  <c:v>31.975000000000001</c:v>
                </c:pt>
                <c:pt idx="1104">
                  <c:v>31.65</c:v>
                </c:pt>
                <c:pt idx="1105">
                  <c:v>32.75</c:v>
                </c:pt>
                <c:pt idx="1106">
                  <c:v>21.375</c:v>
                </c:pt>
                <c:pt idx="1107">
                  <c:v>27.125</c:v>
                </c:pt>
                <c:pt idx="1108">
                  <c:v>17.875</c:v>
                </c:pt>
                <c:pt idx="1109">
                  <c:v>21.875</c:v>
                </c:pt>
                <c:pt idx="1110">
                  <c:v>28.847999999999999</c:v>
                </c:pt>
                <c:pt idx="1111">
                  <c:v>28.277000000000001</c:v>
                </c:pt>
                <c:pt idx="1112">
                  <c:v>12.625</c:v>
                </c:pt>
                <c:pt idx="1113">
                  <c:v>15.625</c:v>
                </c:pt>
                <c:pt idx="1114">
                  <c:v>13.25</c:v>
                </c:pt>
                <c:pt idx="1115">
                  <c:v>16</c:v>
                </c:pt>
                <c:pt idx="1116">
                  <c:v>24</c:v>
                </c:pt>
                <c:pt idx="1117">
                  <c:v>41.375</c:v>
                </c:pt>
                <c:pt idx="1118">
                  <c:v>40.125</c:v>
                </c:pt>
                <c:pt idx="1119">
                  <c:v>6.875</c:v>
                </c:pt>
                <c:pt idx="1120">
                  <c:v>11.75</c:v>
                </c:pt>
                <c:pt idx="1121">
                  <c:v>14.375</c:v>
                </c:pt>
                <c:pt idx="1122">
                  <c:v>14.625</c:v>
                </c:pt>
                <c:pt idx="1123">
                  <c:v>20.75</c:v>
                </c:pt>
                <c:pt idx="1124">
                  <c:v>30</c:v>
                </c:pt>
                <c:pt idx="1125">
                  <c:v>35</c:v>
                </c:pt>
                <c:pt idx="1126">
                  <c:v>13.625</c:v>
                </c:pt>
                <c:pt idx="1127">
                  <c:v>7.375</c:v>
                </c:pt>
                <c:pt idx="1128">
                  <c:v>14.375</c:v>
                </c:pt>
                <c:pt idx="1129">
                  <c:v>14.125</c:v>
                </c:pt>
                <c:pt idx="1130">
                  <c:v>18.5</c:v>
                </c:pt>
                <c:pt idx="1131">
                  <c:v>35.5</c:v>
                </c:pt>
                <c:pt idx="1132">
                  <c:v>33</c:v>
                </c:pt>
                <c:pt idx="1133">
                  <c:v>8.75</c:v>
                </c:pt>
                <c:pt idx="1134">
                  <c:v>14.875</c:v>
                </c:pt>
                <c:pt idx="1135">
                  <c:v>13.375</c:v>
                </c:pt>
                <c:pt idx="1136">
                  <c:v>11</c:v>
                </c:pt>
                <c:pt idx="1137">
                  <c:v>24.125</c:v>
                </c:pt>
                <c:pt idx="1138">
                  <c:v>30.5</c:v>
                </c:pt>
                <c:pt idx="1139">
                  <c:v>40.5</c:v>
                </c:pt>
                <c:pt idx="1140">
                  <c:v>16.375</c:v>
                </c:pt>
                <c:pt idx="1141">
                  <c:v>9.5</c:v>
                </c:pt>
                <c:pt idx="1142">
                  <c:v>11.5</c:v>
                </c:pt>
                <c:pt idx="1143">
                  <c:v>16.5</c:v>
                </c:pt>
                <c:pt idx="1144">
                  <c:v>20.625</c:v>
                </c:pt>
                <c:pt idx="1145">
                  <c:v>29.125</c:v>
                </c:pt>
                <c:pt idx="1146">
                  <c:v>32.125</c:v>
                </c:pt>
                <c:pt idx="1147">
                  <c:v>11.5</c:v>
                </c:pt>
                <c:pt idx="1148">
                  <c:v>10.25</c:v>
                </c:pt>
                <c:pt idx="1149">
                  <c:v>11.25</c:v>
                </c:pt>
                <c:pt idx="1150">
                  <c:v>10.25</c:v>
                </c:pt>
                <c:pt idx="1151">
                  <c:v>22.875</c:v>
                </c:pt>
                <c:pt idx="1152">
                  <c:v>27.25</c:v>
                </c:pt>
                <c:pt idx="1153">
                  <c:v>36.75</c:v>
                </c:pt>
                <c:pt idx="1154">
                  <c:v>9.875</c:v>
                </c:pt>
                <c:pt idx="1155">
                  <c:v>10.375</c:v>
                </c:pt>
                <c:pt idx="1156">
                  <c:v>19.375</c:v>
                </c:pt>
                <c:pt idx="1157">
                  <c:v>20</c:v>
                </c:pt>
                <c:pt idx="1158">
                  <c:v>24.625</c:v>
                </c:pt>
                <c:pt idx="1159">
                  <c:v>37.375</c:v>
                </c:pt>
                <c:pt idx="1160">
                  <c:v>35.375</c:v>
                </c:pt>
                <c:pt idx="1161">
                  <c:v>15.875</c:v>
                </c:pt>
                <c:pt idx="1162">
                  <c:v>18.125</c:v>
                </c:pt>
                <c:pt idx="1163">
                  <c:v>18.5</c:v>
                </c:pt>
                <c:pt idx="1164">
                  <c:v>13.5</c:v>
                </c:pt>
                <c:pt idx="1165">
                  <c:v>25</c:v>
                </c:pt>
                <c:pt idx="1166">
                  <c:v>43.625</c:v>
                </c:pt>
                <c:pt idx="1167">
                  <c:v>38.125</c:v>
                </c:pt>
                <c:pt idx="1168">
                  <c:v>8.625</c:v>
                </c:pt>
                <c:pt idx="1169">
                  <c:v>10.75</c:v>
                </c:pt>
                <c:pt idx="1170">
                  <c:v>16.375</c:v>
                </c:pt>
                <c:pt idx="1171">
                  <c:v>12.5</c:v>
                </c:pt>
                <c:pt idx="1172">
                  <c:v>27.5</c:v>
                </c:pt>
                <c:pt idx="1173">
                  <c:v>30.75</c:v>
                </c:pt>
                <c:pt idx="1174">
                  <c:v>43</c:v>
                </c:pt>
                <c:pt idx="1175">
                  <c:v>29.625</c:v>
                </c:pt>
                <c:pt idx="1176">
                  <c:v>16.375</c:v>
                </c:pt>
                <c:pt idx="1177">
                  <c:v>12.5</c:v>
                </c:pt>
                <c:pt idx="1178">
                  <c:v>12.5</c:v>
                </c:pt>
                <c:pt idx="1179">
                  <c:v>20.25</c:v>
                </c:pt>
                <c:pt idx="1180">
                  <c:v>30.25</c:v>
                </c:pt>
                <c:pt idx="1181">
                  <c:v>33.5</c:v>
                </c:pt>
                <c:pt idx="1182">
                  <c:v>13.625</c:v>
                </c:pt>
                <c:pt idx="1183">
                  <c:v>11.5</c:v>
                </c:pt>
                <c:pt idx="1184">
                  <c:v>15.375</c:v>
                </c:pt>
                <c:pt idx="1185">
                  <c:v>14.125</c:v>
                </c:pt>
                <c:pt idx="1186">
                  <c:v>26.375</c:v>
                </c:pt>
                <c:pt idx="1187">
                  <c:v>32.25</c:v>
                </c:pt>
                <c:pt idx="1188">
                  <c:v>39</c:v>
                </c:pt>
                <c:pt idx="1189">
                  <c:v>12.5</c:v>
                </c:pt>
                <c:pt idx="1190">
                  <c:v>9.875</c:v>
                </c:pt>
                <c:pt idx="1191">
                  <c:v>13.25</c:v>
                </c:pt>
                <c:pt idx="1192">
                  <c:v>14.875</c:v>
                </c:pt>
                <c:pt idx="1193">
                  <c:v>23.25</c:v>
                </c:pt>
                <c:pt idx="1194">
                  <c:v>41.75</c:v>
                </c:pt>
                <c:pt idx="1195">
                  <c:v>44.5</c:v>
                </c:pt>
                <c:pt idx="1196">
                  <c:v>22.875</c:v>
                </c:pt>
                <c:pt idx="1197">
                  <c:v>37</c:v>
                </c:pt>
                <c:pt idx="1198">
                  <c:v>23.375</c:v>
                </c:pt>
                <c:pt idx="1199">
                  <c:v>35</c:v>
                </c:pt>
                <c:pt idx="1200">
                  <c:v>36.375</c:v>
                </c:pt>
                <c:pt idx="1201">
                  <c:v>30.125</c:v>
                </c:pt>
                <c:pt idx="1202">
                  <c:v>39</c:v>
                </c:pt>
                <c:pt idx="1203">
                  <c:v>12</c:v>
                </c:pt>
                <c:pt idx="1204">
                  <c:v>9.875</c:v>
                </c:pt>
                <c:pt idx="1205">
                  <c:v>16.375</c:v>
                </c:pt>
                <c:pt idx="1206">
                  <c:v>14.5</c:v>
                </c:pt>
                <c:pt idx="1207">
                  <c:v>24.75</c:v>
                </c:pt>
                <c:pt idx="1208">
                  <c:v>36.25</c:v>
                </c:pt>
                <c:pt idx="1209">
                  <c:v>45.5</c:v>
                </c:pt>
                <c:pt idx="1210">
                  <c:v>12.25</c:v>
                </c:pt>
                <c:pt idx="1211">
                  <c:v>10.375</c:v>
                </c:pt>
                <c:pt idx="1212">
                  <c:v>14.125</c:v>
                </c:pt>
                <c:pt idx="1213">
                  <c:v>13.75</c:v>
                </c:pt>
                <c:pt idx="1214">
                  <c:v>22</c:v>
                </c:pt>
                <c:pt idx="1215">
                  <c:v>54</c:v>
                </c:pt>
                <c:pt idx="1216">
                  <c:v>39.75</c:v>
                </c:pt>
                <c:pt idx="1217">
                  <c:v>12.75</c:v>
                </c:pt>
                <c:pt idx="1218">
                  <c:v>14.875</c:v>
                </c:pt>
                <c:pt idx="1219">
                  <c:v>23.125</c:v>
                </c:pt>
                <c:pt idx="1220">
                  <c:v>29.375</c:v>
                </c:pt>
                <c:pt idx="1221">
                  <c:v>26.875</c:v>
                </c:pt>
                <c:pt idx="1222">
                  <c:v>40.125</c:v>
                </c:pt>
                <c:pt idx="1223">
                  <c:v>43.875</c:v>
                </c:pt>
                <c:pt idx="1224">
                  <c:v>11.625</c:v>
                </c:pt>
                <c:pt idx="1225">
                  <c:v>12.125</c:v>
                </c:pt>
                <c:pt idx="1226">
                  <c:v>23.75</c:v>
                </c:pt>
                <c:pt idx="1227">
                  <c:v>18.25</c:v>
                </c:pt>
                <c:pt idx="1228">
                  <c:v>29.25</c:v>
                </c:pt>
                <c:pt idx="1229">
                  <c:v>34</c:v>
                </c:pt>
                <c:pt idx="1230">
                  <c:v>41.875</c:v>
                </c:pt>
                <c:pt idx="1231">
                  <c:v>10.375</c:v>
                </c:pt>
                <c:pt idx="1232">
                  <c:v>11.125</c:v>
                </c:pt>
                <c:pt idx="1233">
                  <c:v>21.625</c:v>
                </c:pt>
                <c:pt idx="1234">
                  <c:v>12.75</c:v>
                </c:pt>
                <c:pt idx="1235">
                  <c:v>27.75</c:v>
                </c:pt>
                <c:pt idx="1236">
                  <c:v>42.375</c:v>
                </c:pt>
                <c:pt idx="1237">
                  <c:v>55.25</c:v>
                </c:pt>
                <c:pt idx="1238">
                  <c:v>9.625</c:v>
                </c:pt>
                <c:pt idx="1239">
                  <c:v>13.25</c:v>
                </c:pt>
                <c:pt idx="1240">
                  <c:v>14.625</c:v>
                </c:pt>
                <c:pt idx="1241">
                  <c:v>20.625</c:v>
                </c:pt>
                <c:pt idx="1242">
                  <c:v>20.25</c:v>
                </c:pt>
                <c:pt idx="1243">
                  <c:v>46.375</c:v>
                </c:pt>
                <c:pt idx="1244">
                  <c:v>43</c:v>
                </c:pt>
                <c:pt idx="1245">
                  <c:v>35.125</c:v>
                </c:pt>
                <c:pt idx="1246">
                  <c:v>13.125</c:v>
                </c:pt>
                <c:pt idx="1247">
                  <c:v>14.375</c:v>
                </c:pt>
                <c:pt idx="1248">
                  <c:v>25.125</c:v>
                </c:pt>
                <c:pt idx="1249">
                  <c:v>35.5</c:v>
                </c:pt>
                <c:pt idx="1250">
                  <c:v>49.75</c:v>
                </c:pt>
                <c:pt idx="1251">
                  <c:v>42.875</c:v>
                </c:pt>
                <c:pt idx="1252">
                  <c:v>12.625</c:v>
                </c:pt>
                <c:pt idx="1253">
                  <c:v>8.375</c:v>
                </c:pt>
                <c:pt idx="1254">
                  <c:v>22.75</c:v>
                </c:pt>
                <c:pt idx="1255">
                  <c:v>12.625</c:v>
                </c:pt>
                <c:pt idx="1256">
                  <c:v>28</c:v>
                </c:pt>
                <c:pt idx="1257">
                  <c:v>46.375</c:v>
                </c:pt>
                <c:pt idx="1258">
                  <c:v>45.75</c:v>
                </c:pt>
                <c:pt idx="1259">
                  <c:v>13</c:v>
                </c:pt>
                <c:pt idx="1260">
                  <c:v>19.625</c:v>
                </c:pt>
                <c:pt idx="1261">
                  <c:v>31.75</c:v>
                </c:pt>
                <c:pt idx="1262">
                  <c:v>17.875</c:v>
                </c:pt>
                <c:pt idx="1263">
                  <c:v>35.75</c:v>
                </c:pt>
                <c:pt idx="1264">
                  <c:v>58.5</c:v>
                </c:pt>
                <c:pt idx="1265">
                  <c:v>35.875</c:v>
                </c:pt>
                <c:pt idx="1266">
                  <c:v>49.5</c:v>
                </c:pt>
                <c:pt idx="1267">
                  <c:v>15.75</c:v>
                </c:pt>
                <c:pt idx="1268">
                  <c:v>22.75</c:v>
                </c:pt>
                <c:pt idx="1269">
                  <c:v>22</c:v>
                </c:pt>
                <c:pt idx="1270">
                  <c:v>26.5</c:v>
                </c:pt>
                <c:pt idx="1271">
                  <c:v>36.5</c:v>
                </c:pt>
                <c:pt idx="1272">
                  <c:v>39.125</c:v>
                </c:pt>
                <c:pt idx="1273">
                  <c:v>36.375</c:v>
                </c:pt>
                <c:pt idx="1274">
                  <c:v>16.25</c:v>
                </c:pt>
                <c:pt idx="1275">
                  <c:v>34.625</c:v>
                </c:pt>
                <c:pt idx="1276">
                  <c:v>27.125</c:v>
                </c:pt>
                <c:pt idx="1277">
                  <c:v>33.75</c:v>
                </c:pt>
                <c:pt idx="1278">
                  <c:v>52.375</c:v>
                </c:pt>
                <c:pt idx="1279">
                  <c:v>40.5</c:v>
                </c:pt>
                <c:pt idx="1280">
                  <c:v>36.75</c:v>
                </c:pt>
                <c:pt idx="1281">
                  <c:v>12.875</c:v>
                </c:pt>
                <c:pt idx="1282">
                  <c:v>38.875</c:v>
                </c:pt>
                <c:pt idx="1283">
                  <c:v>30.5</c:v>
                </c:pt>
                <c:pt idx="1284">
                  <c:v>26.625</c:v>
                </c:pt>
                <c:pt idx="1285">
                  <c:v>47.375</c:v>
                </c:pt>
                <c:pt idx="1286">
                  <c:v>47.5</c:v>
                </c:pt>
                <c:pt idx="1287">
                  <c:v>14</c:v>
                </c:pt>
                <c:pt idx="1288">
                  <c:v>21.75</c:v>
                </c:pt>
                <c:pt idx="1289">
                  <c:v>34.75</c:v>
                </c:pt>
                <c:pt idx="1290">
                  <c:v>17.5</c:v>
                </c:pt>
                <c:pt idx="1291">
                  <c:v>33.25</c:v>
                </c:pt>
                <c:pt idx="1292">
                  <c:v>34.5</c:v>
                </c:pt>
                <c:pt idx="1293">
                  <c:v>46.625</c:v>
                </c:pt>
                <c:pt idx="1294">
                  <c:v>15</c:v>
                </c:pt>
                <c:pt idx="1295">
                  <c:v>23.625</c:v>
                </c:pt>
                <c:pt idx="1296">
                  <c:v>39.5</c:v>
                </c:pt>
                <c:pt idx="1297">
                  <c:v>11.875</c:v>
                </c:pt>
                <c:pt idx="1298">
                  <c:v>38.625</c:v>
                </c:pt>
                <c:pt idx="1299">
                  <c:v>36.25</c:v>
                </c:pt>
                <c:pt idx="1300">
                  <c:v>40.375</c:v>
                </c:pt>
                <c:pt idx="1301">
                  <c:v>16.625</c:v>
                </c:pt>
                <c:pt idx="1302">
                  <c:v>17.125</c:v>
                </c:pt>
                <c:pt idx="1303">
                  <c:v>24.75</c:v>
                </c:pt>
                <c:pt idx="1304">
                  <c:v>16.25</c:v>
                </c:pt>
                <c:pt idx="1305">
                  <c:v>29</c:v>
                </c:pt>
                <c:pt idx="1306">
                  <c:v>30.25</c:v>
                </c:pt>
                <c:pt idx="1307">
                  <c:v>47.25</c:v>
                </c:pt>
                <c:pt idx="1308">
                  <c:v>21.75</c:v>
                </c:pt>
                <c:pt idx="1309">
                  <c:v>15.25</c:v>
                </c:pt>
                <c:pt idx="1310">
                  <c:v>26.625</c:v>
                </c:pt>
                <c:pt idx="1311">
                  <c:v>16.125</c:v>
                </c:pt>
                <c:pt idx="1312">
                  <c:v>21.75</c:v>
                </c:pt>
                <c:pt idx="1313">
                  <c:v>37.625</c:v>
                </c:pt>
                <c:pt idx="1314">
                  <c:v>38.25</c:v>
                </c:pt>
                <c:pt idx="1315">
                  <c:v>15.875</c:v>
                </c:pt>
                <c:pt idx="1316">
                  <c:v>20.125</c:v>
                </c:pt>
                <c:pt idx="1317">
                  <c:v>23.625</c:v>
                </c:pt>
                <c:pt idx="1318">
                  <c:v>17.5</c:v>
                </c:pt>
                <c:pt idx="1319">
                  <c:v>30.5</c:v>
                </c:pt>
                <c:pt idx="1320">
                  <c:v>31.5</c:v>
                </c:pt>
                <c:pt idx="1321">
                  <c:v>39.75</c:v>
                </c:pt>
                <c:pt idx="1322">
                  <c:v>39.875</c:v>
                </c:pt>
                <c:pt idx="1323">
                  <c:v>14</c:v>
                </c:pt>
                <c:pt idx="1324">
                  <c:v>20.625</c:v>
                </c:pt>
                <c:pt idx="1325">
                  <c:v>21.875</c:v>
                </c:pt>
                <c:pt idx="1326">
                  <c:v>33.5</c:v>
                </c:pt>
                <c:pt idx="1327">
                  <c:v>46.125</c:v>
                </c:pt>
                <c:pt idx="1328">
                  <c:v>37.75</c:v>
                </c:pt>
                <c:pt idx="1329">
                  <c:v>13.375</c:v>
                </c:pt>
                <c:pt idx="1330">
                  <c:v>15.5</c:v>
                </c:pt>
                <c:pt idx="1331">
                  <c:v>17.125</c:v>
                </c:pt>
                <c:pt idx="1332">
                  <c:v>20.5</c:v>
                </c:pt>
                <c:pt idx="1333">
                  <c:v>39.625</c:v>
                </c:pt>
                <c:pt idx="1334">
                  <c:v>42</c:v>
                </c:pt>
                <c:pt idx="1335">
                  <c:v>36.875</c:v>
                </c:pt>
                <c:pt idx="1336">
                  <c:v>13.625</c:v>
                </c:pt>
                <c:pt idx="1337">
                  <c:v>13.375</c:v>
                </c:pt>
                <c:pt idx="1338">
                  <c:v>23.625</c:v>
                </c:pt>
                <c:pt idx="1339">
                  <c:v>21.875</c:v>
                </c:pt>
                <c:pt idx="1340">
                  <c:v>17.875</c:v>
                </c:pt>
                <c:pt idx="1341">
                  <c:v>42.5</c:v>
                </c:pt>
                <c:pt idx="1342">
                  <c:v>31.875</c:v>
                </c:pt>
                <c:pt idx="1343">
                  <c:v>10.5</c:v>
                </c:pt>
                <c:pt idx="1344">
                  <c:v>11</c:v>
                </c:pt>
                <c:pt idx="1345">
                  <c:v>22.5</c:v>
                </c:pt>
                <c:pt idx="1346">
                  <c:v>18.625</c:v>
                </c:pt>
                <c:pt idx="1347">
                  <c:v>23.375</c:v>
                </c:pt>
                <c:pt idx="1348">
                  <c:v>44.625</c:v>
                </c:pt>
                <c:pt idx="1349">
                  <c:v>48</c:v>
                </c:pt>
                <c:pt idx="1350">
                  <c:v>6.375</c:v>
                </c:pt>
                <c:pt idx="1351">
                  <c:v>31.125</c:v>
                </c:pt>
                <c:pt idx="1352">
                  <c:v>24.5</c:v>
                </c:pt>
                <c:pt idx="1353">
                  <c:v>15.5</c:v>
                </c:pt>
                <c:pt idx="1354">
                  <c:v>23.75</c:v>
                </c:pt>
                <c:pt idx="1355">
                  <c:v>48.625</c:v>
                </c:pt>
                <c:pt idx="1356">
                  <c:v>56.75</c:v>
                </c:pt>
                <c:pt idx="1357">
                  <c:v>11.125</c:v>
                </c:pt>
                <c:pt idx="1358">
                  <c:v>9.375</c:v>
                </c:pt>
                <c:pt idx="1359">
                  <c:v>12.625</c:v>
                </c:pt>
                <c:pt idx="1360">
                  <c:v>18.375</c:v>
                </c:pt>
                <c:pt idx="1361">
                  <c:v>28.125</c:v>
                </c:pt>
                <c:pt idx="1362">
                  <c:v>45.125</c:v>
                </c:pt>
                <c:pt idx="1363">
                  <c:v>39.625</c:v>
                </c:pt>
                <c:pt idx="1364">
                  <c:v>12</c:v>
                </c:pt>
                <c:pt idx="1365">
                  <c:v>21</c:v>
                </c:pt>
                <c:pt idx="1366">
                  <c:v>20.375</c:v>
                </c:pt>
                <c:pt idx="1367">
                  <c:v>16</c:v>
                </c:pt>
                <c:pt idx="1368">
                  <c:v>28.375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12.5</c:v>
                </c:pt>
                <c:pt idx="1401">
                  <c:v>17.25</c:v>
                </c:pt>
                <c:pt idx="1402">
                  <c:v>17.125</c:v>
                </c:pt>
                <c:pt idx="1403">
                  <c:v>26.25</c:v>
                </c:pt>
                <c:pt idx="1404">
                  <c:v>43.875</c:v>
                </c:pt>
                <c:pt idx="1405">
                  <c:v>41.5</c:v>
                </c:pt>
                <c:pt idx="1406">
                  <c:v>36.375</c:v>
                </c:pt>
                <c:pt idx="1407">
                  <c:v>10.125</c:v>
                </c:pt>
                <c:pt idx="1408">
                  <c:v>18.875</c:v>
                </c:pt>
                <c:pt idx="1409">
                  <c:v>17.25</c:v>
                </c:pt>
                <c:pt idx="1410">
                  <c:v>23.625</c:v>
                </c:pt>
                <c:pt idx="1411">
                  <c:v>46.75</c:v>
                </c:pt>
                <c:pt idx="1412">
                  <c:v>49.5</c:v>
                </c:pt>
                <c:pt idx="1413">
                  <c:v>45.125</c:v>
                </c:pt>
                <c:pt idx="1414">
                  <c:v>14.125</c:v>
                </c:pt>
                <c:pt idx="1415">
                  <c:v>21.75</c:v>
                </c:pt>
                <c:pt idx="1416">
                  <c:v>18.125</c:v>
                </c:pt>
                <c:pt idx="1417">
                  <c:v>27.5</c:v>
                </c:pt>
                <c:pt idx="1418">
                  <c:v>43.25</c:v>
                </c:pt>
                <c:pt idx="1419">
                  <c:v>51.875</c:v>
                </c:pt>
                <c:pt idx="1420">
                  <c:v>10.25</c:v>
                </c:pt>
                <c:pt idx="1421">
                  <c:v>14.875</c:v>
                </c:pt>
                <c:pt idx="1422">
                  <c:v>15.875</c:v>
                </c:pt>
                <c:pt idx="1423">
                  <c:v>13.875</c:v>
                </c:pt>
                <c:pt idx="1424">
                  <c:v>40.625</c:v>
                </c:pt>
                <c:pt idx="1425">
                  <c:v>40.125</c:v>
                </c:pt>
                <c:pt idx="1426">
                  <c:v>37.875</c:v>
                </c:pt>
                <c:pt idx="1427">
                  <c:v>6.75</c:v>
                </c:pt>
                <c:pt idx="1428">
                  <c:v>14.125</c:v>
                </c:pt>
                <c:pt idx="1429">
                  <c:v>18.125</c:v>
                </c:pt>
                <c:pt idx="1430">
                  <c:v>16.5</c:v>
                </c:pt>
                <c:pt idx="1431">
                  <c:v>18.5</c:v>
                </c:pt>
                <c:pt idx="1432">
                  <c:v>27.75</c:v>
                </c:pt>
                <c:pt idx="1433">
                  <c:v>25.5</c:v>
                </c:pt>
                <c:pt idx="1434">
                  <c:v>13.375</c:v>
                </c:pt>
                <c:pt idx="1435">
                  <c:v>15.625</c:v>
                </c:pt>
                <c:pt idx="1436">
                  <c:v>37.625</c:v>
                </c:pt>
                <c:pt idx="1437">
                  <c:v>48.125</c:v>
                </c:pt>
                <c:pt idx="1438">
                  <c:v>27.125</c:v>
                </c:pt>
                <c:pt idx="1439">
                  <c:v>65.125</c:v>
                </c:pt>
                <c:pt idx="1440">
                  <c:v>55.125</c:v>
                </c:pt>
                <c:pt idx="1441">
                  <c:v>13.625</c:v>
                </c:pt>
                <c:pt idx="1442">
                  <c:v>29</c:v>
                </c:pt>
                <c:pt idx="1443">
                  <c:v>26.75</c:v>
                </c:pt>
                <c:pt idx="1444">
                  <c:v>38.875</c:v>
                </c:pt>
                <c:pt idx="1445">
                  <c:v>33.375</c:v>
                </c:pt>
                <c:pt idx="1446">
                  <c:v>43.875</c:v>
                </c:pt>
                <c:pt idx="1447">
                  <c:v>62.75</c:v>
                </c:pt>
                <c:pt idx="1448">
                  <c:v>25.5</c:v>
                </c:pt>
                <c:pt idx="1449">
                  <c:v>37</c:v>
                </c:pt>
                <c:pt idx="1450">
                  <c:v>45.5</c:v>
                </c:pt>
                <c:pt idx="1451">
                  <c:v>47.625</c:v>
                </c:pt>
                <c:pt idx="1452">
                  <c:v>42.875</c:v>
                </c:pt>
                <c:pt idx="1453">
                  <c:v>17.75</c:v>
                </c:pt>
                <c:pt idx="1454">
                  <c:v>61.125</c:v>
                </c:pt>
                <c:pt idx="1455">
                  <c:v>51.75</c:v>
                </c:pt>
                <c:pt idx="1456">
                  <c:v>36.25</c:v>
                </c:pt>
                <c:pt idx="1457">
                  <c:v>62.5</c:v>
                </c:pt>
                <c:pt idx="1458">
                  <c:v>37.875</c:v>
                </c:pt>
                <c:pt idx="1459">
                  <c:v>39.75</c:v>
                </c:pt>
                <c:pt idx="1460">
                  <c:v>28.75</c:v>
                </c:pt>
                <c:pt idx="1461">
                  <c:v>65.625</c:v>
                </c:pt>
                <c:pt idx="1462">
                  <c:v>46.75</c:v>
                </c:pt>
                <c:pt idx="1463">
                  <c:v>48.625</c:v>
                </c:pt>
                <c:pt idx="1464">
                  <c:v>53.5</c:v>
                </c:pt>
                <c:pt idx="1465">
                  <c:v>41.375</c:v>
                </c:pt>
                <c:pt idx="1466">
                  <c:v>33.875</c:v>
                </c:pt>
                <c:pt idx="1467">
                  <c:v>44.125</c:v>
                </c:pt>
                <c:pt idx="1468">
                  <c:v>52.75</c:v>
                </c:pt>
                <c:pt idx="1469">
                  <c:v>38.125</c:v>
                </c:pt>
                <c:pt idx="1470">
                  <c:v>30.625</c:v>
                </c:pt>
                <c:pt idx="1471">
                  <c:v>41.75</c:v>
                </c:pt>
                <c:pt idx="1472">
                  <c:v>22.75</c:v>
                </c:pt>
                <c:pt idx="1473">
                  <c:v>29.625</c:v>
                </c:pt>
                <c:pt idx="1474">
                  <c:v>53.25</c:v>
                </c:pt>
                <c:pt idx="1475">
                  <c:v>41.625</c:v>
                </c:pt>
                <c:pt idx="1476">
                  <c:v>22.75</c:v>
                </c:pt>
                <c:pt idx="1477">
                  <c:v>30.625</c:v>
                </c:pt>
                <c:pt idx="1478">
                  <c:v>32.875</c:v>
                </c:pt>
                <c:pt idx="1479">
                  <c:v>21.25</c:v>
                </c:pt>
                <c:pt idx="1480">
                  <c:v>30</c:v>
                </c:pt>
                <c:pt idx="1481">
                  <c:v>53.125</c:v>
                </c:pt>
                <c:pt idx="1482">
                  <c:v>48.125</c:v>
                </c:pt>
                <c:pt idx="1483">
                  <c:v>12.625</c:v>
                </c:pt>
                <c:pt idx="1484">
                  <c:v>12.75</c:v>
                </c:pt>
                <c:pt idx="1485">
                  <c:v>18.625</c:v>
                </c:pt>
                <c:pt idx="1486">
                  <c:v>19.25</c:v>
                </c:pt>
                <c:pt idx="1487">
                  <c:v>27.375</c:v>
                </c:pt>
                <c:pt idx="1488">
                  <c:v>40.625</c:v>
                </c:pt>
                <c:pt idx="1489">
                  <c:v>45.875</c:v>
                </c:pt>
                <c:pt idx="1490">
                  <c:v>14.75</c:v>
                </c:pt>
                <c:pt idx="1491">
                  <c:v>16.125</c:v>
                </c:pt>
                <c:pt idx="1492">
                  <c:v>20.875</c:v>
                </c:pt>
                <c:pt idx="1493">
                  <c:v>15.875</c:v>
                </c:pt>
                <c:pt idx="1494">
                  <c:v>33</c:v>
                </c:pt>
                <c:pt idx="1495">
                  <c:v>39.875</c:v>
                </c:pt>
                <c:pt idx="1496">
                  <c:v>37.5</c:v>
                </c:pt>
                <c:pt idx="1497">
                  <c:v>11</c:v>
                </c:pt>
                <c:pt idx="1498">
                  <c:v>7.625</c:v>
                </c:pt>
                <c:pt idx="1499">
                  <c:v>19.375</c:v>
                </c:pt>
                <c:pt idx="1500">
                  <c:v>18.25</c:v>
                </c:pt>
                <c:pt idx="1501">
                  <c:v>25.875</c:v>
                </c:pt>
                <c:pt idx="1502">
                  <c:v>41.25</c:v>
                </c:pt>
                <c:pt idx="1503">
                  <c:v>28.125</c:v>
                </c:pt>
                <c:pt idx="1504">
                  <c:v>33.875</c:v>
                </c:pt>
                <c:pt idx="1505">
                  <c:v>14.875</c:v>
                </c:pt>
                <c:pt idx="1506">
                  <c:v>21.375</c:v>
                </c:pt>
                <c:pt idx="1507">
                  <c:v>19.75</c:v>
                </c:pt>
                <c:pt idx="1508">
                  <c:v>23.125</c:v>
                </c:pt>
                <c:pt idx="1509">
                  <c:v>34.875</c:v>
                </c:pt>
                <c:pt idx="1510">
                  <c:v>45</c:v>
                </c:pt>
                <c:pt idx="1511">
                  <c:v>11.875</c:v>
                </c:pt>
                <c:pt idx="1512">
                  <c:v>17.375</c:v>
                </c:pt>
                <c:pt idx="1513">
                  <c:v>23</c:v>
                </c:pt>
                <c:pt idx="1514">
                  <c:v>15</c:v>
                </c:pt>
                <c:pt idx="1515">
                  <c:v>20.875</c:v>
                </c:pt>
                <c:pt idx="1516">
                  <c:v>33.75</c:v>
                </c:pt>
                <c:pt idx="1517">
                  <c:v>38</c:v>
                </c:pt>
                <c:pt idx="1518">
                  <c:v>11.625</c:v>
                </c:pt>
                <c:pt idx="1519">
                  <c:v>10.375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39.875</c:v>
                </c:pt>
                <c:pt idx="1582">
                  <c:v>14.25</c:v>
                </c:pt>
                <c:pt idx="1583">
                  <c:v>19.5</c:v>
                </c:pt>
                <c:pt idx="1584">
                  <c:v>14.75</c:v>
                </c:pt>
                <c:pt idx="1585">
                  <c:v>18.375</c:v>
                </c:pt>
                <c:pt idx="1586">
                  <c:v>33.75</c:v>
                </c:pt>
                <c:pt idx="1587">
                  <c:v>38</c:v>
                </c:pt>
                <c:pt idx="1588">
                  <c:v>9.625</c:v>
                </c:pt>
                <c:pt idx="1589">
                  <c:v>9.625</c:v>
                </c:pt>
                <c:pt idx="1590">
                  <c:v>16.625</c:v>
                </c:pt>
                <c:pt idx="1591">
                  <c:v>18.5</c:v>
                </c:pt>
                <c:pt idx="1592">
                  <c:v>29</c:v>
                </c:pt>
                <c:pt idx="1593">
                  <c:v>44.625</c:v>
                </c:pt>
                <c:pt idx="1594">
                  <c:v>37.875</c:v>
                </c:pt>
                <c:pt idx="1595">
                  <c:v>19.25</c:v>
                </c:pt>
                <c:pt idx="1596">
                  <c:v>1.875</c:v>
                </c:pt>
                <c:pt idx="1597">
                  <c:v>24.125</c:v>
                </c:pt>
                <c:pt idx="1598">
                  <c:v>11.5</c:v>
                </c:pt>
                <c:pt idx="1599">
                  <c:v>22.25</c:v>
                </c:pt>
                <c:pt idx="1600">
                  <c:v>41.25</c:v>
                </c:pt>
                <c:pt idx="1601">
                  <c:v>40.625</c:v>
                </c:pt>
                <c:pt idx="1602">
                  <c:v>36.5</c:v>
                </c:pt>
                <c:pt idx="1603">
                  <c:v>6.75</c:v>
                </c:pt>
                <c:pt idx="1604">
                  <c:v>25.5</c:v>
                </c:pt>
                <c:pt idx="1605">
                  <c:v>17.75</c:v>
                </c:pt>
                <c:pt idx="1606">
                  <c:v>35.375</c:v>
                </c:pt>
                <c:pt idx="1607">
                  <c:v>47.875</c:v>
                </c:pt>
                <c:pt idx="1608">
                  <c:v>36.75</c:v>
                </c:pt>
                <c:pt idx="1609">
                  <c:v>10</c:v>
                </c:pt>
                <c:pt idx="1610">
                  <c:v>8.875</c:v>
                </c:pt>
                <c:pt idx="1611">
                  <c:v>23.875</c:v>
                </c:pt>
                <c:pt idx="1612">
                  <c:v>18.375</c:v>
                </c:pt>
                <c:pt idx="1613">
                  <c:v>31.25</c:v>
                </c:pt>
                <c:pt idx="1614">
                  <c:v>35.125</c:v>
                </c:pt>
                <c:pt idx="1615">
                  <c:v>50.375</c:v>
                </c:pt>
                <c:pt idx="1616">
                  <c:v>15.375</c:v>
                </c:pt>
                <c:pt idx="1617">
                  <c:v>15.375</c:v>
                </c:pt>
                <c:pt idx="1618">
                  <c:v>25</c:v>
                </c:pt>
                <c:pt idx="1619">
                  <c:v>12.75</c:v>
                </c:pt>
                <c:pt idx="1620">
                  <c:v>30.625</c:v>
                </c:pt>
                <c:pt idx="1621">
                  <c:v>34.125</c:v>
                </c:pt>
                <c:pt idx="1622">
                  <c:v>57.875</c:v>
                </c:pt>
                <c:pt idx="1623">
                  <c:v>31.875</c:v>
                </c:pt>
                <c:pt idx="1624">
                  <c:v>11.625</c:v>
                </c:pt>
                <c:pt idx="1625">
                  <c:v>26</c:v>
                </c:pt>
                <c:pt idx="1626">
                  <c:v>20.25</c:v>
                </c:pt>
                <c:pt idx="1627">
                  <c:v>25.25</c:v>
                </c:pt>
                <c:pt idx="1628">
                  <c:v>39.375</c:v>
                </c:pt>
                <c:pt idx="1629">
                  <c:v>48</c:v>
                </c:pt>
                <c:pt idx="1630">
                  <c:v>41.75</c:v>
                </c:pt>
                <c:pt idx="1631">
                  <c:v>19.375</c:v>
                </c:pt>
                <c:pt idx="1632">
                  <c:v>31.75</c:v>
                </c:pt>
                <c:pt idx="1633">
                  <c:v>21.625</c:v>
                </c:pt>
                <c:pt idx="1634">
                  <c:v>27</c:v>
                </c:pt>
                <c:pt idx="1635">
                  <c:v>51</c:v>
                </c:pt>
                <c:pt idx="1636">
                  <c:v>46.125</c:v>
                </c:pt>
                <c:pt idx="1637">
                  <c:v>21.375</c:v>
                </c:pt>
                <c:pt idx="1638">
                  <c:v>27.25</c:v>
                </c:pt>
                <c:pt idx="1639">
                  <c:v>27.75</c:v>
                </c:pt>
                <c:pt idx="1640">
                  <c:v>32.625</c:v>
                </c:pt>
                <c:pt idx="1641">
                  <c:v>27</c:v>
                </c:pt>
                <c:pt idx="1642">
                  <c:v>33.375</c:v>
                </c:pt>
                <c:pt idx="1643">
                  <c:v>44.125</c:v>
                </c:pt>
                <c:pt idx="1644">
                  <c:v>40.75</c:v>
                </c:pt>
                <c:pt idx="1645">
                  <c:v>21.5</c:v>
                </c:pt>
                <c:pt idx="1646">
                  <c:v>30.625</c:v>
                </c:pt>
                <c:pt idx="1647">
                  <c:v>23.875</c:v>
                </c:pt>
                <c:pt idx="1648">
                  <c:v>24.375</c:v>
                </c:pt>
                <c:pt idx="1649">
                  <c:v>46.125</c:v>
                </c:pt>
                <c:pt idx="1650">
                  <c:v>50.5</c:v>
                </c:pt>
                <c:pt idx="1651">
                  <c:v>17.5</c:v>
                </c:pt>
                <c:pt idx="1652">
                  <c:v>17.75</c:v>
                </c:pt>
                <c:pt idx="1653">
                  <c:v>34.375</c:v>
                </c:pt>
                <c:pt idx="1654">
                  <c:v>18.875</c:v>
                </c:pt>
                <c:pt idx="1655">
                  <c:v>23.125</c:v>
                </c:pt>
                <c:pt idx="1656">
                  <c:v>29.375</c:v>
                </c:pt>
                <c:pt idx="1657">
                  <c:v>41</c:v>
                </c:pt>
                <c:pt idx="1658">
                  <c:v>11.875</c:v>
                </c:pt>
                <c:pt idx="1659">
                  <c:v>15.125</c:v>
                </c:pt>
                <c:pt idx="1660">
                  <c:v>31</c:v>
                </c:pt>
                <c:pt idx="1661">
                  <c:v>57.25</c:v>
                </c:pt>
                <c:pt idx="1662">
                  <c:v>33.25</c:v>
                </c:pt>
                <c:pt idx="1663">
                  <c:v>46.5</c:v>
                </c:pt>
                <c:pt idx="1664">
                  <c:v>47</c:v>
                </c:pt>
                <c:pt idx="1665">
                  <c:v>12.375</c:v>
                </c:pt>
                <c:pt idx="1666">
                  <c:v>22.125</c:v>
                </c:pt>
                <c:pt idx="1667">
                  <c:v>34.375</c:v>
                </c:pt>
                <c:pt idx="1668">
                  <c:v>18.875</c:v>
                </c:pt>
                <c:pt idx="1669">
                  <c:v>20.25</c:v>
                </c:pt>
                <c:pt idx="1670">
                  <c:v>28.125</c:v>
                </c:pt>
                <c:pt idx="1671">
                  <c:v>44.125</c:v>
                </c:pt>
                <c:pt idx="1672">
                  <c:v>15.375</c:v>
                </c:pt>
                <c:pt idx="1673">
                  <c:v>7.25</c:v>
                </c:pt>
                <c:pt idx="1674">
                  <c:v>29.5</c:v>
                </c:pt>
                <c:pt idx="1675">
                  <c:v>21</c:v>
                </c:pt>
                <c:pt idx="1676">
                  <c:v>29.125</c:v>
                </c:pt>
                <c:pt idx="1677">
                  <c:v>36.625</c:v>
                </c:pt>
                <c:pt idx="1678">
                  <c:v>40.25</c:v>
                </c:pt>
                <c:pt idx="1679">
                  <c:v>38.5</c:v>
                </c:pt>
                <c:pt idx="1680">
                  <c:v>9.375</c:v>
                </c:pt>
                <c:pt idx="1681">
                  <c:v>28.25</c:v>
                </c:pt>
                <c:pt idx="1682">
                  <c:v>9.375</c:v>
                </c:pt>
                <c:pt idx="1683">
                  <c:v>20.125</c:v>
                </c:pt>
                <c:pt idx="1684">
                  <c:v>32.25</c:v>
                </c:pt>
                <c:pt idx="1685">
                  <c:v>34.5</c:v>
                </c:pt>
                <c:pt idx="1686">
                  <c:v>10.5</c:v>
                </c:pt>
                <c:pt idx="1687">
                  <c:v>7.75</c:v>
                </c:pt>
                <c:pt idx="1688">
                  <c:v>16.125</c:v>
                </c:pt>
                <c:pt idx="1689">
                  <c:v>15.875</c:v>
                </c:pt>
                <c:pt idx="1690">
                  <c:v>21.625</c:v>
                </c:pt>
                <c:pt idx="1691">
                  <c:v>46.5</c:v>
                </c:pt>
                <c:pt idx="1692">
                  <c:v>43.75</c:v>
                </c:pt>
                <c:pt idx="1693">
                  <c:v>27.625</c:v>
                </c:pt>
                <c:pt idx="1694">
                  <c:v>5.125</c:v>
                </c:pt>
                <c:pt idx="1695">
                  <c:v>19.625</c:v>
                </c:pt>
                <c:pt idx="1696">
                  <c:v>16.875</c:v>
                </c:pt>
                <c:pt idx="1697">
                  <c:v>21.75</c:v>
                </c:pt>
                <c:pt idx="1698">
                  <c:v>25.75</c:v>
                </c:pt>
                <c:pt idx="1699">
                  <c:v>34.75</c:v>
                </c:pt>
                <c:pt idx="1700">
                  <c:v>15.25</c:v>
                </c:pt>
                <c:pt idx="1701">
                  <c:v>8.25</c:v>
                </c:pt>
                <c:pt idx="1702">
                  <c:v>16.5</c:v>
                </c:pt>
                <c:pt idx="1703">
                  <c:v>16.125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19.375</c:v>
                </c:pt>
                <c:pt idx="1766">
                  <c:v>16.75</c:v>
                </c:pt>
                <c:pt idx="1767">
                  <c:v>25.375</c:v>
                </c:pt>
                <c:pt idx="1768">
                  <c:v>32.375</c:v>
                </c:pt>
                <c:pt idx="1769">
                  <c:v>37</c:v>
                </c:pt>
                <c:pt idx="1770">
                  <c:v>30.75</c:v>
                </c:pt>
                <c:pt idx="1771">
                  <c:v>8.375</c:v>
                </c:pt>
                <c:pt idx="1772">
                  <c:v>10</c:v>
                </c:pt>
                <c:pt idx="1773">
                  <c:v>11.375</c:v>
                </c:pt>
                <c:pt idx="1774">
                  <c:v>25.5</c:v>
                </c:pt>
                <c:pt idx="1775">
                  <c:v>35.375</c:v>
                </c:pt>
                <c:pt idx="1776">
                  <c:v>36.25</c:v>
                </c:pt>
                <c:pt idx="1777">
                  <c:v>33</c:v>
                </c:pt>
                <c:pt idx="1778">
                  <c:v>12</c:v>
                </c:pt>
                <c:pt idx="1779">
                  <c:v>16.25</c:v>
                </c:pt>
                <c:pt idx="1780">
                  <c:v>22.5</c:v>
                </c:pt>
                <c:pt idx="1781">
                  <c:v>19.75</c:v>
                </c:pt>
                <c:pt idx="1782">
                  <c:v>36.75</c:v>
                </c:pt>
                <c:pt idx="1783">
                  <c:v>36.875</c:v>
                </c:pt>
                <c:pt idx="1784">
                  <c:v>10.375</c:v>
                </c:pt>
                <c:pt idx="1785">
                  <c:v>19.125</c:v>
                </c:pt>
                <c:pt idx="1786">
                  <c:v>19.5</c:v>
                </c:pt>
                <c:pt idx="1787">
                  <c:v>19.875</c:v>
                </c:pt>
                <c:pt idx="1788">
                  <c:v>137.75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5-44DF-8554-C14C3D90397A}"/>
            </c:ext>
          </c:extLst>
        </c:ser>
        <c:ser>
          <c:idx val="1"/>
          <c:order val="1"/>
          <c:tx>
            <c:v>San Jose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Terraplaza!$J$1:$J$1826</c:f>
              <c:numCache>
                <c:formatCode>m/d/yyyy</c:formatCode>
                <c:ptCount val="182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  <c:pt idx="366">
                  <c:v>43832</c:v>
                </c:pt>
                <c:pt idx="367">
                  <c:v>43833</c:v>
                </c:pt>
                <c:pt idx="368">
                  <c:v>43834</c:v>
                </c:pt>
                <c:pt idx="369">
                  <c:v>43835</c:v>
                </c:pt>
                <c:pt idx="370">
                  <c:v>43836</c:v>
                </c:pt>
                <c:pt idx="371">
                  <c:v>43837</c:v>
                </c:pt>
                <c:pt idx="372">
                  <c:v>43838</c:v>
                </c:pt>
                <c:pt idx="373">
                  <c:v>43839</c:v>
                </c:pt>
                <c:pt idx="374">
                  <c:v>43840</c:v>
                </c:pt>
                <c:pt idx="375">
                  <c:v>43841</c:v>
                </c:pt>
                <c:pt idx="376">
                  <c:v>43842</c:v>
                </c:pt>
                <c:pt idx="377">
                  <c:v>43843</c:v>
                </c:pt>
                <c:pt idx="378">
                  <c:v>43844</c:v>
                </c:pt>
                <c:pt idx="379">
                  <c:v>43845</c:v>
                </c:pt>
                <c:pt idx="380">
                  <c:v>43846</c:v>
                </c:pt>
                <c:pt idx="381">
                  <c:v>43847</c:v>
                </c:pt>
                <c:pt idx="382">
                  <c:v>43848</c:v>
                </c:pt>
                <c:pt idx="383">
                  <c:v>43849</c:v>
                </c:pt>
                <c:pt idx="384">
                  <c:v>43850</c:v>
                </c:pt>
                <c:pt idx="385">
                  <c:v>43851</c:v>
                </c:pt>
                <c:pt idx="386">
                  <c:v>43852</c:v>
                </c:pt>
                <c:pt idx="387">
                  <c:v>43853</c:v>
                </c:pt>
                <c:pt idx="388">
                  <c:v>43854</c:v>
                </c:pt>
                <c:pt idx="389">
                  <c:v>43855</c:v>
                </c:pt>
                <c:pt idx="390">
                  <c:v>43856</c:v>
                </c:pt>
                <c:pt idx="391">
                  <c:v>43857</c:v>
                </c:pt>
                <c:pt idx="392">
                  <c:v>43858</c:v>
                </c:pt>
                <c:pt idx="393">
                  <c:v>43859</c:v>
                </c:pt>
                <c:pt idx="394">
                  <c:v>43860</c:v>
                </c:pt>
                <c:pt idx="395">
                  <c:v>43861</c:v>
                </c:pt>
                <c:pt idx="396">
                  <c:v>43862</c:v>
                </c:pt>
                <c:pt idx="397">
                  <c:v>43863</c:v>
                </c:pt>
                <c:pt idx="398">
                  <c:v>43864</c:v>
                </c:pt>
                <c:pt idx="399">
                  <c:v>43865</c:v>
                </c:pt>
                <c:pt idx="400">
                  <c:v>43866</c:v>
                </c:pt>
                <c:pt idx="401">
                  <c:v>43867</c:v>
                </c:pt>
                <c:pt idx="402">
                  <c:v>43868</c:v>
                </c:pt>
                <c:pt idx="403">
                  <c:v>43869</c:v>
                </c:pt>
                <c:pt idx="404">
                  <c:v>43870</c:v>
                </c:pt>
                <c:pt idx="405">
                  <c:v>43871</c:v>
                </c:pt>
                <c:pt idx="406">
                  <c:v>43872</c:v>
                </c:pt>
                <c:pt idx="407">
                  <c:v>43873</c:v>
                </c:pt>
                <c:pt idx="408">
                  <c:v>43874</c:v>
                </c:pt>
                <c:pt idx="409">
                  <c:v>43875</c:v>
                </c:pt>
                <c:pt idx="410">
                  <c:v>43876</c:v>
                </c:pt>
                <c:pt idx="411">
                  <c:v>43877</c:v>
                </c:pt>
                <c:pt idx="412">
                  <c:v>43878</c:v>
                </c:pt>
                <c:pt idx="413">
                  <c:v>43879</c:v>
                </c:pt>
                <c:pt idx="414">
                  <c:v>43880</c:v>
                </c:pt>
                <c:pt idx="415">
                  <c:v>43881</c:v>
                </c:pt>
                <c:pt idx="416">
                  <c:v>43882</c:v>
                </c:pt>
                <c:pt idx="417">
                  <c:v>43883</c:v>
                </c:pt>
                <c:pt idx="418">
                  <c:v>43884</c:v>
                </c:pt>
                <c:pt idx="419">
                  <c:v>43885</c:v>
                </c:pt>
                <c:pt idx="420">
                  <c:v>43886</c:v>
                </c:pt>
                <c:pt idx="421">
                  <c:v>43887</c:v>
                </c:pt>
                <c:pt idx="422">
                  <c:v>43888</c:v>
                </c:pt>
                <c:pt idx="423">
                  <c:v>43889</c:v>
                </c:pt>
                <c:pt idx="424">
                  <c:v>43890</c:v>
                </c:pt>
                <c:pt idx="425">
                  <c:v>43891</c:v>
                </c:pt>
                <c:pt idx="426">
                  <c:v>43892</c:v>
                </c:pt>
                <c:pt idx="427">
                  <c:v>43893</c:v>
                </c:pt>
                <c:pt idx="428">
                  <c:v>43894</c:v>
                </c:pt>
                <c:pt idx="429">
                  <c:v>43895</c:v>
                </c:pt>
                <c:pt idx="430">
                  <c:v>43896</c:v>
                </c:pt>
                <c:pt idx="431">
                  <c:v>43897</c:v>
                </c:pt>
                <c:pt idx="432">
                  <c:v>43898</c:v>
                </c:pt>
                <c:pt idx="433">
                  <c:v>43899</c:v>
                </c:pt>
                <c:pt idx="434">
                  <c:v>43900</c:v>
                </c:pt>
                <c:pt idx="435">
                  <c:v>43901</c:v>
                </c:pt>
                <c:pt idx="436">
                  <c:v>43902</c:v>
                </c:pt>
                <c:pt idx="437">
                  <c:v>43903</c:v>
                </c:pt>
                <c:pt idx="438">
                  <c:v>43904</c:v>
                </c:pt>
                <c:pt idx="439">
                  <c:v>43905</c:v>
                </c:pt>
                <c:pt idx="440">
                  <c:v>43906</c:v>
                </c:pt>
                <c:pt idx="441">
                  <c:v>43907</c:v>
                </c:pt>
                <c:pt idx="442">
                  <c:v>43908</c:v>
                </c:pt>
                <c:pt idx="443">
                  <c:v>43909</c:v>
                </c:pt>
                <c:pt idx="444">
                  <c:v>43910</c:v>
                </c:pt>
                <c:pt idx="445">
                  <c:v>43911</c:v>
                </c:pt>
                <c:pt idx="446">
                  <c:v>43912</c:v>
                </c:pt>
                <c:pt idx="447">
                  <c:v>43913</c:v>
                </c:pt>
                <c:pt idx="448">
                  <c:v>43914</c:v>
                </c:pt>
                <c:pt idx="449">
                  <c:v>43915</c:v>
                </c:pt>
                <c:pt idx="450">
                  <c:v>43916</c:v>
                </c:pt>
                <c:pt idx="451">
                  <c:v>43917</c:v>
                </c:pt>
                <c:pt idx="452">
                  <c:v>43918</c:v>
                </c:pt>
                <c:pt idx="453">
                  <c:v>43919</c:v>
                </c:pt>
                <c:pt idx="454">
                  <c:v>43920</c:v>
                </c:pt>
                <c:pt idx="455">
                  <c:v>43921</c:v>
                </c:pt>
                <c:pt idx="456">
                  <c:v>43922</c:v>
                </c:pt>
                <c:pt idx="457">
                  <c:v>43923</c:v>
                </c:pt>
                <c:pt idx="458">
                  <c:v>43924</c:v>
                </c:pt>
                <c:pt idx="459">
                  <c:v>43925</c:v>
                </c:pt>
                <c:pt idx="460">
                  <c:v>43926</c:v>
                </c:pt>
                <c:pt idx="461">
                  <c:v>43927</c:v>
                </c:pt>
                <c:pt idx="462">
                  <c:v>43928</c:v>
                </c:pt>
                <c:pt idx="463">
                  <c:v>43929</c:v>
                </c:pt>
                <c:pt idx="464">
                  <c:v>43930</c:v>
                </c:pt>
                <c:pt idx="465">
                  <c:v>43931</c:v>
                </c:pt>
                <c:pt idx="466">
                  <c:v>43932</c:v>
                </c:pt>
                <c:pt idx="467">
                  <c:v>43933</c:v>
                </c:pt>
                <c:pt idx="468">
                  <c:v>43934</c:v>
                </c:pt>
                <c:pt idx="469">
                  <c:v>43935</c:v>
                </c:pt>
                <c:pt idx="470">
                  <c:v>43936</c:v>
                </c:pt>
                <c:pt idx="471">
                  <c:v>43937</c:v>
                </c:pt>
                <c:pt idx="472">
                  <c:v>43938</c:v>
                </c:pt>
                <c:pt idx="473">
                  <c:v>43939</c:v>
                </c:pt>
                <c:pt idx="474">
                  <c:v>43940</c:v>
                </c:pt>
                <c:pt idx="475">
                  <c:v>43941</c:v>
                </c:pt>
                <c:pt idx="476">
                  <c:v>43942</c:v>
                </c:pt>
                <c:pt idx="477">
                  <c:v>43943</c:v>
                </c:pt>
                <c:pt idx="478">
                  <c:v>43944</c:v>
                </c:pt>
                <c:pt idx="479">
                  <c:v>43945</c:v>
                </c:pt>
                <c:pt idx="480">
                  <c:v>43946</c:v>
                </c:pt>
                <c:pt idx="481">
                  <c:v>43947</c:v>
                </c:pt>
                <c:pt idx="482">
                  <c:v>43948</c:v>
                </c:pt>
                <c:pt idx="483">
                  <c:v>43949</c:v>
                </c:pt>
                <c:pt idx="484">
                  <c:v>43950</c:v>
                </c:pt>
                <c:pt idx="485">
                  <c:v>43951</c:v>
                </c:pt>
                <c:pt idx="486">
                  <c:v>43952</c:v>
                </c:pt>
                <c:pt idx="487">
                  <c:v>43953</c:v>
                </c:pt>
                <c:pt idx="488">
                  <c:v>43954</c:v>
                </c:pt>
                <c:pt idx="489">
                  <c:v>43955</c:v>
                </c:pt>
                <c:pt idx="490">
                  <c:v>43956</c:v>
                </c:pt>
                <c:pt idx="491">
                  <c:v>43957</c:v>
                </c:pt>
                <c:pt idx="492">
                  <c:v>43958</c:v>
                </c:pt>
                <c:pt idx="493">
                  <c:v>43959</c:v>
                </c:pt>
                <c:pt idx="494">
                  <c:v>43960</c:v>
                </c:pt>
                <c:pt idx="495">
                  <c:v>43961</c:v>
                </c:pt>
                <c:pt idx="496">
                  <c:v>43962</c:v>
                </c:pt>
                <c:pt idx="497">
                  <c:v>43963</c:v>
                </c:pt>
                <c:pt idx="498">
                  <c:v>43964</c:v>
                </c:pt>
                <c:pt idx="499">
                  <c:v>43965</c:v>
                </c:pt>
                <c:pt idx="500">
                  <c:v>43966</c:v>
                </c:pt>
                <c:pt idx="501">
                  <c:v>43967</c:v>
                </c:pt>
                <c:pt idx="502">
                  <c:v>43968</c:v>
                </c:pt>
                <c:pt idx="503">
                  <c:v>43969</c:v>
                </c:pt>
                <c:pt idx="504">
                  <c:v>43970</c:v>
                </c:pt>
                <c:pt idx="505">
                  <c:v>43971</c:v>
                </c:pt>
                <c:pt idx="506">
                  <c:v>43972</c:v>
                </c:pt>
                <c:pt idx="507">
                  <c:v>43973</c:v>
                </c:pt>
                <c:pt idx="508">
                  <c:v>43974</c:v>
                </c:pt>
                <c:pt idx="509">
                  <c:v>43975</c:v>
                </c:pt>
                <c:pt idx="510">
                  <c:v>43976</c:v>
                </c:pt>
                <c:pt idx="511">
                  <c:v>43977</c:v>
                </c:pt>
                <c:pt idx="512">
                  <c:v>43978</c:v>
                </c:pt>
                <c:pt idx="513">
                  <c:v>43979</c:v>
                </c:pt>
                <c:pt idx="514">
                  <c:v>43980</c:v>
                </c:pt>
                <c:pt idx="515">
                  <c:v>43981</c:v>
                </c:pt>
                <c:pt idx="516">
                  <c:v>43982</c:v>
                </c:pt>
                <c:pt idx="517">
                  <c:v>43983</c:v>
                </c:pt>
                <c:pt idx="518">
                  <c:v>43984</c:v>
                </c:pt>
                <c:pt idx="519">
                  <c:v>43985</c:v>
                </c:pt>
                <c:pt idx="520">
                  <c:v>43986</c:v>
                </c:pt>
                <c:pt idx="521">
                  <c:v>43987</c:v>
                </c:pt>
                <c:pt idx="522">
                  <c:v>43988</c:v>
                </c:pt>
                <c:pt idx="523">
                  <c:v>43989</c:v>
                </c:pt>
                <c:pt idx="524">
                  <c:v>43990</c:v>
                </c:pt>
                <c:pt idx="525">
                  <c:v>43991</c:v>
                </c:pt>
                <c:pt idx="526">
                  <c:v>43992</c:v>
                </c:pt>
                <c:pt idx="527">
                  <c:v>43993</c:v>
                </c:pt>
                <c:pt idx="528">
                  <c:v>43994</c:v>
                </c:pt>
                <c:pt idx="529">
                  <c:v>43995</c:v>
                </c:pt>
                <c:pt idx="530">
                  <c:v>43996</c:v>
                </c:pt>
                <c:pt idx="531">
                  <c:v>43997</c:v>
                </c:pt>
                <c:pt idx="532">
                  <c:v>43998</c:v>
                </c:pt>
                <c:pt idx="533">
                  <c:v>43999</c:v>
                </c:pt>
                <c:pt idx="534">
                  <c:v>44000</c:v>
                </c:pt>
                <c:pt idx="535">
                  <c:v>44001</c:v>
                </c:pt>
                <c:pt idx="536">
                  <c:v>44002</c:v>
                </c:pt>
                <c:pt idx="537">
                  <c:v>44003</c:v>
                </c:pt>
                <c:pt idx="538">
                  <c:v>44004</c:v>
                </c:pt>
                <c:pt idx="539">
                  <c:v>44005</c:v>
                </c:pt>
                <c:pt idx="540">
                  <c:v>44006</c:v>
                </c:pt>
                <c:pt idx="541">
                  <c:v>44007</c:v>
                </c:pt>
                <c:pt idx="542">
                  <c:v>44008</c:v>
                </c:pt>
                <c:pt idx="543">
                  <c:v>44009</c:v>
                </c:pt>
                <c:pt idx="544">
                  <c:v>44010</c:v>
                </c:pt>
                <c:pt idx="545">
                  <c:v>44011</c:v>
                </c:pt>
                <c:pt idx="546">
                  <c:v>44012</c:v>
                </c:pt>
                <c:pt idx="547">
                  <c:v>44013</c:v>
                </c:pt>
                <c:pt idx="548">
                  <c:v>44014</c:v>
                </c:pt>
                <c:pt idx="549">
                  <c:v>44015</c:v>
                </c:pt>
                <c:pt idx="550">
                  <c:v>44016</c:v>
                </c:pt>
                <c:pt idx="551">
                  <c:v>44017</c:v>
                </c:pt>
                <c:pt idx="552">
                  <c:v>44018</c:v>
                </c:pt>
                <c:pt idx="553">
                  <c:v>44019</c:v>
                </c:pt>
                <c:pt idx="554">
                  <c:v>44020</c:v>
                </c:pt>
                <c:pt idx="555">
                  <c:v>44021</c:v>
                </c:pt>
                <c:pt idx="556">
                  <c:v>44022</c:v>
                </c:pt>
                <c:pt idx="557">
                  <c:v>44023</c:v>
                </c:pt>
                <c:pt idx="558">
                  <c:v>44024</c:v>
                </c:pt>
                <c:pt idx="559">
                  <c:v>44025</c:v>
                </c:pt>
                <c:pt idx="560">
                  <c:v>44026</c:v>
                </c:pt>
                <c:pt idx="561">
                  <c:v>44027</c:v>
                </c:pt>
                <c:pt idx="562">
                  <c:v>44028</c:v>
                </c:pt>
                <c:pt idx="563">
                  <c:v>44029</c:v>
                </c:pt>
                <c:pt idx="564">
                  <c:v>44030</c:v>
                </c:pt>
                <c:pt idx="565">
                  <c:v>44031</c:v>
                </c:pt>
                <c:pt idx="566">
                  <c:v>44032</c:v>
                </c:pt>
                <c:pt idx="567">
                  <c:v>44033</c:v>
                </c:pt>
                <c:pt idx="568">
                  <c:v>44034</c:v>
                </c:pt>
                <c:pt idx="569">
                  <c:v>44035</c:v>
                </c:pt>
                <c:pt idx="570">
                  <c:v>44036</c:v>
                </c:pt>
                <c:pt idx="571">
                  <c:v>44037</c:v>
                </c:pt>
                <c:pt idx="572">
                  <c:v>44038</c:v>
                </c:pt>
                <c:pt idx="573">
                  <c:v>44039</c:v>
                </c:pt>
                <c:pt idx="574">
                  <c:v>44040</c:v>
                </c:pt>
                <c:pt idx="575">
                  <c:v>44041</c:v>
                </c:pt>
                <c:pt idx="576">
                  <c:v>44042</c:v>
                </c:pt>
                <c:pt idx="577">
                  <c:v>44043</c:v>
                </c:pt>
                <c:pt idx="578">
                  <c:v>44044</c:v>
                </c:pt>
                <c:pt idx="579">
                  <c:v>44045</c:v>
                </c:pt>
                <c:pt idx="580">
                  <c:v>44046</c:v>
                </c:pt>
                <c:pt idx="581">
                  <c:v>44047</c:v>
                </c:pt>
                <c:pt idx="582">
                  <c:v>44048</c:v>
                </c:pt>
                <c:pt idx="583">
                  <c:v>44049</c:v>
                </c:pt>
                <c:pt idx="584">
                  <c:v>44050</c:v>
                </c:pt>
                <c:pt idx="585">
                  <c:v>44051</c:v>
                </c:pt>
                <c:pt idx="586">
                  <c:v>44052</c:v>
                </c:pt>
                <c:pt idx="587">
                  <c:v>44053</c:v>
                </c:pt>
                <c:pt idx="588">
                  <c:v>44054</c:v>
                </c:pt>
                <c:pt idx="589">
                  <c:v>44055</c:v>
                </c:pt>
                <c:pt idx="590">
                  <c:v>44056</c:v>
                </c:pt>
                <c:pt idx="591">
                  <c:v>44057</c:v>
                </c:pt>
                <c:pt idx="592">
                  <c:v>44058</c:v>
                </c:pt>
                <c:pt idx="593">
                  <c:v>44059</c:v>
                </c:pt>
                <c:pt idx="594">
                  <c:v>44060</c:v>
                </c:pt>
                <c:pt idx="595">
                  <c:v>44061</c:v>
                </c:pt>
                <c:pt idx="596">
                  <c:v>44062</c:v>
                </c:pt>
                <c:pt idx="597">
                  <c:v>44063</c:v>
                </c:pt>
                <c:pt idx="598">
                  <c:v>44064</c:v>
                </c:pt>
                <c:pt idx="599">
                  <c:v>44065</c:v>
                </c:pt>
                <c:pt idx="600">
                  <c:v>44066</c:v>
                </c:pt>
                <c:pt idx="601">
                  <c:v>44067</c:v>
                </c:pt>
                <c:pt idx="602">
                  <c:v>44068</c:v>
                </c:pt>
                <c:pt idx="603">
                  <c:v>44069</c:v>
                </c:pt>
                <c:pt idx="604">
                  <c:v>44070</c:v>
                </c:pt>
                <c:pt idx="605">
                  <c:v>44071</c:v>
                </c:pt>
                <c:pt idx="606">
                  <c:v>44072</c:v>
                </c:pt>
                <c:pt idx="607">
                  <c:v>44073</c:v>
                </c:pt>
                <c:pt idx="608">
                  <c:v>44074</c:v>
                </c:pt>
                <c:pt idx="609">
                  <c:v>44075</c:v>
                </c:pt>
                <c:pt idx="610">
                  <c:v>44076</c:v>
                </c:pt>
                <c:pt idx="611">
                  <c:v>44077</c:v>
                </c:pt>
                <c:pt idx="612">
                  <c:v>44078</c:v>
                </c:pt>
                <c:pt idx="613">
                  <c:v>44079</c:v>
                </c:pt>
                <c:pt idx="614">
                  <c:v>44080</c:v>
                </c:pt>
                <c:pt idx="615">
                  <c:v>44081</c:v>
                </c:pt>
                <c:pt idx="616">
                  <c:v>44082</c:v>
                </c:pt>
                <c:pt idx="617">
                  <c:v>44083</c:v>
                </c:pt>
                <c:pt idx="618">
                  <c:v>44084</c:v>
                </c:pt>
                <c:pt idx="619">
                  <c:v>44085</c:v>
                </c:pt>
                <c:pt idx="620">
                  <c:v>44086</c:v>
                </c:pt>
                <c:pt idx="621">
                  <c:v>44087</c:v>
                </c:pt>
                <c:pt idx="622">
                  <c:v>44088</c:v>
                </c:pt>
                <c:pt idx="623">
                  <c:v>44089</c:v>
                </c:pt>
                <c:pt idx="624">
                  <c:v>44090</c:v>
                </c:pt>
                <c:pt idx="625">
                  <c:v>44091</c:v>
                </c:pt>
                <c:pt idx="626">
                  <c:v>44092</c:v>
                </c:pt>
                <c:pt idx="627">
                  <c:v>44093</c:v>
                </c:pt>
                <c:pt idx="628">
                  <c:v>44094</c:v>
                </c:pt>
                <c:pt idx="629">
                  <c:v>44095</c:v>
                </c:pt>
                <c:pt idx="630">
                  <c:v>44096</c:v>
                </c:pt>
                <c:pt idx="631">
                  <c:v>44097</c:v>
                </c:pt>
                <c:pt idx="632">
                  <c:v>44098</c:v>
                </c:pt>
                <c:pt idx="633">
                  <c:v>44099</c:v>
                </c:pt>
                <c:pt idx="634">
                  <c:v>44100</c:v>
                </c:pt>
                <c:pt idx="635">
                  <c:v>44101</c:v>
                </c:pt>
                <c:pt idx="636">
                  <c:v>44102</c:v>
                </c:pt>
                <c:pt idx="637">
                  <c:v>44103</c:v>
                </c:pt>
                <c:pt idx="638">
                  <c:v>44104</c:v>
                </c:pt>
                <c:pt idx="639">
                  <c:v>44105</c:v>
                </c:pt>
                <c:pt idx="640">
                  <c:v>44106</c:v>
                </c:pt>
                <c:pt idx="641">
                  <c:v>44107</c:v>
                </c:pt>
                <c:pt idx="642">
                  <c:v>44108</c:v>
                </c:pt>
                <c:pt idx="643">
                  <c:v>44109</c:v>
                </c:pt>
                <c:pt idx="644">
                  <c:v>44110</c:v>
                </c:pt>
                <c:pt idx="645">
                  <c:v>44111</c:v>
                </c:pt>
                <c:pt idx="646">
                  <c:v>44112</c:v>
                </c:pt>
                <c:pt idx="647">
                  <c:v>44113</c:v>
                </c:pt>
                <c:pt idx="648">
                  <c:v>44114</c:v>
                </c:pt>
                <c:pt idx="649">
                  <c:v>44115</c:v>
                </c:pt>
                <c:pt idx="650">
                  <c:v>44116</c:v>
                </c:pt>
                <c:pt idx="651">
                  <c:v>44117</c:v>
                </c:pt>
                <c:pt idx="652">
                  <c:v>44118</c:v>
                </c:pt>
                <c:pt idx="653">
                  <c:v>44119</c:v>
                </c:pt>
                <c:pt idx="654">
                  <c:v>44120</c:v>
                </c:pt>
                <c:pt idx="655">
                  <c:v>44121</c:v>
                </c:pt>
                <c:pt idx="656">
                  <c:v>44122</c:v>
                </c:pt>
                <c:pt idx="657">
                  <c:v>44123</c:v>
                </c:pt>
                <c:pt idx="658">
                  <c:v>44124</c:v>
                </c:pt>
                <c:pt idx="659">
                  <c:v>44125</c:v>
                </c:pt>
                <c:pt idx="660">
                  <c:v>44126</c:v>
                </c:pt>
                <c:pt idx="661">
                  <c:v>44127</c:v>
                </c:pt>
                <c:pt idx="662">
                  <c:v>44128</c:v>
                </c:pt>
                <c:pt idx="663">
                  <c:v>44129</c:v>
                </c:pt>
                <c:pt idx="664">
                  <c:v>44130</c:v>
                </c:pt>
                <c:pt idx="665">
                  <c:v>44131</c:v>
                </c:pt>
                <c:pt idx="666">
                  <c:v>44132</c:v>
                </c:pt>
                <c:pt idx="667">
                  <c:v>44133</c:v>
                </c:pt>
                <c:pt idx="668">
                  <c:v>44134</c:v>
                </c:pt>
                <c:pt idx="669">
                  <c:v>44135</c:v>
                </c:pt>
                <c:pt idx="670">
                  <c:v>44136</c:v>
                </c:pt>
                <c:pt idx="671">
                  <c:v>44137</c:v>
                </c:pt>
                <c:pt idx="672">
                  <c:v>44138</c:v>
                </c:pt>
                <c:pt idx="673">
                  <c:v>44139</c:v>
                </c:pt>
                <c:pt idx="674">
                  <c:v>44140</c:v>
                </c:pt>
                <c:pt idx="675">
                  <c:v>44141</c:v>
                </c:pt>
                <c:pt idx="676">
                  <c:v>44142</c:v>
                </c:pt>
                <c:pt idx="677">
                  <c:v>44143</c:v>
                </c:pt>
                <c:pt idx="678">
                  <c:v>44144</c:v>
                </c:pt>
                <c:pt idx="679">
                  <c:v>44145</c:v>
                </c:pt>
                <c:pt idx="680">
                  <c:v>44146</c:v>
                </c:pt>
                <c:pt idx="681">
                  <c:v>44147</c:v>
                </c:pt>
                <c:pt idx="682">
                  <c:v>44148</c:v>
                </c:pt>
                <c:pt idx="683">
                  <c:v>44149</c:v>
                </c:pt>
                <c:pt idx="684">
                  <c:v>44150</c:v>
                </c:pt>
                <c:pt idx="685">
                  <c:v>44151</c:v>
                </c:pt>
                <c:pt idx="686">
                  <c:v>44152</c:v>
                </c:pt>
                <c:pt idx="687">
                  <c:v>44153</c:v>
                </c:pt>
                <c:pt idx="688">
                  <c:v>44154</c:v>
                </c:pt>
                <c:pt idx="689">
                  <c:v>44155</c:v>
                </c:pt>
                <c:pt idx="690">
                  <c:v>44156</c:v>
                </c:pt>
                <c:pt idx="691">
                  <c:v>44157</c:v>
                </c:pt>
                <c:pt idx="692">
                  <c:v>44158</c:v>
                </c:pt>
                <c:pt idx="693">
                  <c:v>44159</c:v>
                </c:pt>
                <c:pt idx="694">
                  <c:v>44160</c:v>
                </c:pt>
                <c:pt idx="695">
                  <c:v>44161</c:v>
                </c:pt>
                <c:pt idx="696">
                  <c:v>44162</c:v>
                </c:pt>
                <c:pt idx="697">
                  <c:v>44163</c:v>
                </c:pt>
                <c:pt idx="698">
                  <c:v>44164</c:v>
                </c:pt>
                <c:pt idx="699">
                  <c:v>44165</c:v>
                </c:pt>
                <c:pt idx="700">
                  <c:v>44166</c:v>
                </c:pt>
                <c:pt idx="701">
                  <c:v>44167</c:v>
                </c:pt>
                <c:pt idx="702">
                  <c:v>44168</c:v>
                </c:pt>
                <c:pt idx="703">
                  <c:v>44169</c:v>
                </c:pt>
                <c:pt idx="704">
                  <c:v>44170</c:v>
                </c:pt>
                <c:pt idx="705">
                  <c:v>44171</c:v>
                </c:pt>
                <c:pt idx="706">
                  <c:v>44172</c:v>
                </c:pt>
                <c:pt idx="707">
                  <c:v>44173</c:v>
                </c:pt>
                <c:pt idx="708">
                  <c:v>44174</c:v>
                </c:pt>
                <c:pt idx="709">
                  <c:v>44175</c:v>
                </c:pt>
                <c:pt idx="710">
                  <c:v>44176</c:v>
                </c:pt>
                <c:pt idx="711">
                  <c:v>44177</c:v>
                </c:pt>
                <c:pt idx="712">
                  <c:v>44178</c:v>
                </c:pt>
                <c:pt idx="713">
                  <c:v>44179</c:v>
                </c:pt>
                <c:pt idx="714">
                  <c:v>44180</c:v>
                </c:pt>
                <c:pt idx="715">
                  <c:v>44181</c:v>
                </c:pt>
                <c:pt idx="716">
                  <c:v>44182</c:v>
                </c:pt>
                <c:pt idx="717">
                  <c:v>44183</c:v>
                </c:pt>
                <c:pt idx="718">
                  <c:v>44184</c:v>
                </c:pt>
                <c:pt idx="719">
                  <c:v>44185</c:v>
                </c:pt>
                <c:pt idx="720">
                  <c:v>44186</c:v>
                </c:pt>
                <c:pt idx="721">
                  <c:v>44187</c:v>
                </c:pt>
                <c:pt idx="722">
                  <c:v>44188</c:v>
                </c:pt>
                <c:pt idx="723">
                  <c:v>44189</c:v>
                </c:pt>
                <c:pt idx="724">
                  <c:v>44190</c:v>
                </c:pt>
                <c:pt idx="725">
                  <c:v>44191</c:v>
                </c:pt>
                <c:pt idx="726">
                  <c:v>44192</c:v>
                </c:pt>
                <c:pt idx="727">
                  <c:v>44193</c:v>
                </c:pt>
                <c:pt idx="728">
                  <c:v>44194</c:v>
                </c:pt>
                <c:pt idx="729">
                  <c:v>44195</c:v>
                </c:pt>
                <c:pt idx="730">
                  <c:v>44196</c:v>
                </c:pt>
                <c:pt idx="731">
                  <c:v>44197</c:v>
                </c:pt>
                <c:pt idx="732">
                  <c:v>44198</c:v>
                </c:pt>
                <c:pt idx="733">
                  <c:v>44199</c:v>
                </c:pt>
                <c:pt idx="734">
                  <c:v>44200</c:v>
                </c:pt>
                <c:pt idx="735">
                  <c:v>44201</c:v>
                </c:pt>
                <c:pt idx="736">
                  <c:v>44202</c:v>
                </c:pt>
                <c:pt idx="737">
                  <c:v>44203</c:v>
                </c:pt>
                <c:pt idx="738">
                  <c:v>44204</c:v>
                </c:pt>
                <c:pt idx="739">
                  <c:v>44205</c:v>
                </c:pt>
                <c:pt idx="740">
                  <c:v>44206</c:v>
                </c:pt>
                <c:pt idx="741">
                  <c:v>44207</c:v>
                </c:pt>
                <c:pt idx="742">
                  <c:v>44208</c:v>
                </c:pt>
                <c:pt idx="743">
                  <c:v>44209</c:v>
                </c:pt>
                <c:pt idx="744">
                  <c:v>44210</c:v>
                </c:pt>
                <c:pt idx="745">
                  <c:v>44211</c:v>
                </c:pt>
                <c:pt idx="746">
                  <c:v>44212</c:v>
                </c:pt>
                <c:pt idx="747">
                  <c:v>44213</c:v>
                </c:pt>
                <c:pt idx="748">
                  <c:v>44214</c:v>
                </c:pt>
                <c:pt idx="749">
                  <c:v>44215</c:v>
                </c:pt>
                <c:pt idx="750">
                  <c:v>44216</c:v>
                </c:pt>
                <c:pt idx="751">
                  <c:v>44217</c:v>
                </c:pt>
                <c:pt idx="752">
                  <c:v>44218</c:v>
                </c:pt>
                <c:pt idx="753">
                  <c:v>44219</c:v>
                </c:pt>
                <c:pt idx="754">
                  <c:v>44220</c:v>
                </c:pt>
                <c:pt idx="755">
                  <c:v>44221</c:v>
                </c:pt>
                <c:pt idx="756">
                  <c:v>44222</c:v>
                </c:pt>
                <c:pt idx="757">
                  <c:v>44223</c:v>
                </c:pt>
                <c:pt idx="758">
                  <c:v>44224</c:v>
                </c:pt>
                <c:pt idx="759">
                  <c:v>44225</c:v>
                </c:pt>
                <c:pt idx="760">
                  <c:v>44226</c:v>
                </c:pt>
                <c:pt idx="761">
                  <c:v>44227</c:v>
                </c:pt>
                <c:pt idx="762">
                  <c:v>44228</c:v>
                </c:pt>
                <c:pt idx="763">
                  <c:v>44229</c:v>
                </c:pt>
                <c:pt idx="764">
                  <c:v>44230</c:v>
                </c:pt>
                <c:pt idx="765">
                  <c:v>44231</c:v>
                </c:pt>
                <c:pt idx="766">
                  <c:v>44232</c:v>
                </c:pt>
                <c:pt idx="767">
                  <c:v>44233</c:v>
                </c:pt>
                <c:pt idx="768">
                  <c:v>44234</c:v>
                </c:pt>
                <c:pt idx="769">
                  <c:v>44235</c:v>
                </c:pt>
                <c:pt idx="770">
                  <c:v>44236</c:v>
                </c:pt>
                <c:pt idx="771">
                  <c:v>44237</c:v>
                </c:pt>
                <c:pt idx="772">
                  <c:v>44238</c:v>
                </c:pt>
                <c:pt idx="773">
                  <c:v>44239</c:v>
                </c:pt>
                <c:pt idx="774">
                  <c:v>44240</c:v>
                </c:pt>
                <c:pt idx="775">
                  <c:v>44241</c:v>
                </c:pt>
                <c:pt idx="776">
                  <c:v>44242</c:v>
                </c:pt>
                <c:pt idx="777">
                  <c:v>44243</c:v>
                </c:pt>
                <c:pt idx="778">
                  <c:v>44244</c:v>
                </c:pt>
                <c:pt idx="779">
                  <c:v>44245</c:v>
                </c:pt>
                <c:pt idx="780">
                  <c:v>44246</c:v>
                </c:pt>
                <c:pt idx="781">
                  <c:v>44247</c:v>
                </c:pt>
                <c:pt idx="782">
                  <c:v>44248</c:v>
                </c:pt>
                <c:pt idx="783">
                  <c:v>44249</c:v>
                </c:pt>
                <c:pt idx="784">
                  <c:v>44250</c:v>
                </c:pt>
                <c:pt idx="785">
                  <c:v>44251</c:v>
                </c:pt>
                <c:pt idx="786">
                  <c:v>44252</c:v>
                </c:pt>
                <c:pt idx="787">
                  <c:v>44253</c:v>
                </c:pt>
                <c:pt idx="788">
                  <c:v>44254</c:v>
                </c:pt>
                <c:pt idx="789">
                  <c:v>44255</c:v>
                </c:pt>
                <c:pt idx="790">
                  <c:v>44256</c:v>
                </c:pt>
                <c:pt idx="791">
                  <c:v>44257</c:v>
                </c:pt>
                <c:pt idx="792">
                  <c:v>44258</c:v>
                </c:pt>
                <c:pt idx="793">
                  <c:v>44259</c:v>
                </c:pt>
                <c:pt idx="794">
                  <c:v>44260</c:v>
                </c:pt>
                <c:pt idx="795">
                  <c:v>44261</c:v>
                </c:pt>
                <c:pt idx="796">
                  <c:v>44262</c:v>
                </c:pt>
                <c:pt idx="797">
                  <c:v>44263</c:v>
                </c:pt>
                <c:pt idx="798">
                  <c:v>44264</c:v>
                </c:pt>
                <c:pt idx="799">
                  <c:v>44265</c:v>
                </c:pt>
                <c:pt idx="800">
                  <c:v>44266</c:v>
                </c:pt>
                <c:pt idx="801">
                  <c:v>44267</c:v>
                </c:pt>
                <c:pt idx="802">
                  <c:v>44268</c:v>
                </c:pt>
                <c:pt idx="803">
                  <c:v>44269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44275</c:v>
                </c:pt>
                <c:pt idx="810">
                  <c:v>44276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44282</c:v>
                </c:pt>
                <c:pt idx="817">
                  <c:v>44283</c:v>
                </c:pt>
                <c:pt idx="818">
                  <c:v>44284</c:v>
                </c:pt>
                <c:pt idx="819">
                  <c:v>44285</c:v>
                </c:pt>
                <c:pt idx="820">
                  <c:v>44286</c:v>
                </c:pt>
                <c:pt idx="821">
                  <c:v>44287</c:v>
                </c:pt>
                <c:pt idx="822">
                  <c:v>44288</c:v>
                </c:pt>
                <c:pt idx="823">
                  <c:v>44289</c:v>
                </c:pt>
                <c:pt idx="824">
                  <c:v>44290</c:v>
                </c:pt>
                <c:pt idx="825">
                  <c:v>44291</c:v>
                </c:pt>
                <c:pt idx="826">
                  <c:v>44292</c:v>
                </c:pt>
                <c:pt idx="827">
                  <c:v>44293</c:v>
                </c:pt>
                <c:pt idx="828">
                  <c:v>44294</c:v>
                </c:pt>
                <c:pt idx="829">
                  <c:v>44295</c:v>
                </c:pt>
                <c:pt idx="830">
                  <c:v>44296</c:v>
                </c:pt>
                <c:pt idx="831">
                  <c:v>44297</c:v>
                </c:pt>
                <c:pt idx="832">
                  <c:v>44298</c:v>
                </c:pt>
                <c:pt idx="833">
                  <c:v>44299</c:v>
                </c:pt>
                <c:pt idx="834">
                  <c:v>44300</c:v>
                </c:pt>
                <c:pt idx="835">
                  <c:v>44301</c:v>
                </c:pt>
                <c:pt idx="836">
                  <c:v>44302</c:v>
                </c:pt>
                <c:pt idx="837">
                  <c:v>44303</c:v>
                </c:pt>
                <c:pt idx="838">
                  <c:v>44304</c:v>
                </c:pt>
                <c:pt idx="839">
                  <c:v>44305</c:v>
                </c:pt>
                <c:pt idx="840">
                  <c:v>44306</c:v>
                </c:pt>
                <c:pt idx="841">
                  <c:v>44307</c:v>
                </c:pt>
                <c:pt idx="842">
                  <c:v>44308</c:v>
                </c:pt>
                <c:pt idx="843">
                  <c:v>44309</c:v>
                </c:pt>
                <c:pt idx="844">
                  <c:v>44310</c:v>
                </c:pt>
                <c:pt idx="845">
                  <c:v>44311</c:v>
                </c:pt>
                <c:pt idx="846">
                  <c:v>44312</c:v>
                </c:pt>
                <c:pt idx="847">
                  <c:v>44313</c:v>
                </c:pt>
                <c:pt idx="848">
                  <c:v>44314</c:v>
                </c:pt>
                <c:pt idx="849">
                  <c:v>44315</c:v>
                </c:pt>
                <c:pt idx="850">
                  <c:v>44316</c:v>
                </c:pt>
                <c:pt idx="851">
                  <c:v>44317</c:v>
                </c:pt>
                <c:pt idx="852">
                  <c:v>44318</c:v>
                </c:pt>
                <c:pt idx="853">
                  <c:v>44319</c:v>
                </c:pt>
                <c:pt idx="854">
                  <c:v>44320</c:v>
                </c:pt>
                <c:pt idx="855">
                  <c:v>44321</c:v>
                </c:pt>
                <c:pt idx="856">
                  <c:v>44322</c:v>
                </c:pt>
                <c:pt idx="857">
                  <c:v>44323</c:v>
                </c:pt>
                <c:pt idx="858">
                  <c:v>44324</c:v>
                </c:pt>
                <c:pt idx="859">
                  <c:v>44325</c:v>
                </c:pt>
                <c:pt idx="860">
                  <c:v>44326</c:v>
                </c:pt>
                <c:pt idx="861">
                  <c:v>44327</c:v>
                </c:pt>
                <c:pt idx="862">
                  <c:v>44328</c:v>
                </c:pt>
                <c:pt idx="863">
                  <c:v>44329</c:v>
                </c:pt>
                <c:pt idx="864">
                  <c:v>44330</c:v>
                </c:pt>
                <c:pt idx="865">
                  <c:v>44331</c:v>
                </c:pt>
                <c:pt idx="866">
                  <c:v>44332</c:v>
                </c:pt>
                <c:pt idx="867">
                  <c:v>44333</c:v>
                </c:pt>
                <c:pt idx="868">
                  <c:v>44334</c:v>
                </c:pt>
                <c:pt idx="869">
                  <c:v>44335</c:v>
                </c:pt>
                <c:pt idx="870">
                  <c:v>44336</c:v>
                </c:pt>
                <c:pt idx="871">
                  <c:v>44337</c:v>
                </c:pt>
                <c:pt idx="872">
                  <c:v>44338</c:v>
                </c:pt>
                <c:pt idx="873">
                  <c:v>44339</c:v>
                </c:pt>
                <c:pt idx="874">
                  <c:v>44340</c:v>
                </c:pt>
                <c:pt idx="875">
                  <c:v>44341</c:v>
                </c:pt>
                <c:pt idx="876">
                  <c:v>44342</c:v>
                </c:pt>
                <c:pt idx="877">
                  <c:v>44343</c:v>
                </c:pt>
                <c:pt idx="878">
                  <c:v>44344</c:v>
                </c:pt>
                <c:pt idx="879">
                  <c:v>44345</c:v>
                </c:pt>
                <c:pt idx="880">
                  <c:v>44346</c:v>
                </c:pt>
                <c:pt idx="881">
                  <c:v>44347</c:v>
                </c:pt>
                <c:pt idx="882">
                  <c:v>44348</c:v>
                </c:pt>
                <c:pt idx="883">
                  <c:v>44349</c:v>
                </c:pt>
                <c:pt idx="884">
                  <c:v>44350</c:v>
                </c:pt>
                <c:pt idx="885">
                  <c:v>44351</c:v>
                </c:pt>
                <c:pt idx="886">
                  <c:v>44352</c:v>
                </c:pt>
                <c:pt idx="887">
                  <c:v>44353</c:v>
                </c:pt>
                <c:pt idx="888">
                  <c:v>44354</c:v>
                </c:pt>
                <c:pt idx="889">
                  <c:v>44355</c:v>
                </c:pt>
                <c:pt idx="890">
                  <c:v>44356</c:v>
                </c:pt>
                <c:pt idx="891">
                  <c:v>44357</c:v>
                </c:pt>
                <c:pt idx="892">
                  <c:v>44358</c:v>
                </c:pt>
                <c:pt idx="893">
                  <c:v>44359</c:v>
                </c:pt>
                <c:pt idx="894">
                  <c:v>44360</c:v>
                </c:pt>
                <c:pt idx="895">
                  <c:v>44361</c:v>
                </c:pt>
                <c:pt idx="896">
                  <c:v>44362</c:v>
                </c:pt>
                <c:pt idx="897">
                  <c:v>44363</c:v>
                </c:pt>
                <c:pt idx="898">
                  <c:v>44364</c:v>
                </c:pt>
                <c:pt idx="899">
                  <c:v>44365</c:v>
                </c:pt>
                <c:pt idx="900">
                  <c:v>44366</c:v>
                </c:pt>
                <c:pt idx="901">
                  <c:v>44367</c:v>
                </c:pt>
                <c:pt idx="902">
                  <c:v>44368</c:v>
                </c:pt>
                <c:pt idx="903">
                  <c:v>44369</c:v>
                </c:pt>
                <c:pt idx="904">
                  <c:v>44370</c:v>
                </c:pt>
                <c:pt idx="905">
                  <c:v>44371</c:v>
                </c:pt>
                <c:pt idx="906">
                  <c:v>44372</c:v>
                </c:pt>
                <c:pt idx="907">
                  <c:v>44373</c:v>
                </c:pt>
                <c:pt idx="908">
                  <c:v>44374</c:v>
                </c:pt>
                <c:pt idx="909">
                  <c:v>44375</c:v>
                </c:pt>
                <c:pt idx="910">
                  <c:v>44376</c:v>
                </c:pt>
                <c:pt idx="911">
                  <c:v>44377</c:v>
                </c:pt>
                <c:pt idx="912">
                  <c:v>44378</c:v>
                </c:pt>
                <c:pt idx="913">
                  <c:v>44379</c:v>
                </c:pt>
                <c:pt idx="914">
                  <c:v>44380</c:v>
                </c:pt>
                <c:pt idx="915">
                  <c:v>44381</c:v>
                </c:pt>
                <c:pt idx="916">
                  <c:v>44382</c:v>
                </c:pt>
                <c:pt idx="917">
                  <c:v>44383</c:v>
                </c:pt>
                <c:pt idx="918">
                  <c:v>44384</c:v>
                </c:pt>
                <c:pt idx="919">
                  <c:v>44385</c:v>
                </c:pt>
                <c:pt idx="920">
                  <c:v>44386</c:v>
                </c:pt>
                <c:pt idx="921">
                  <c:v>44387</c:v>
                </c:pt>
                <c:pt idx="922">
                  <c:v>44388</c:v>
                </c:pt>
                <c:pt idx="923">
                  <c:v>44389</c:v>
                </c:pt>
                <c:pt idx="924">
                  <c:v>44390</c:v>
                </c:pt>
                <c:pt idx="925">
                  <c:v>44391</c:v>
                </c:pt>
                <c:pt idx="926">
                  <c:v>44392</c:v>
                </c:pt>
                <c:pt idx="927">
                  <c:v>44393</c:v>
                </c:pt>
                <c:pt idx="928">
                  <c:v>44394</c:v>
                </c:pt>
                <c:pt idx="929">
                  <c:v>44395</c:v>
                </c:pt>
                <c:pt idx="930">
                  <c:v>44396</c:v>
                </c:pt>
                <c:pt idx="931">
                  <c:v>44397</c:v>
                </c:pt>
                <c:pt idx="932">
                  <c:v>44398</c:v>
                </c:pt>
                <c:pt idx="933">
                  <c:v>44399</c:v>
                </c:pt>
                <c:pt idx="934">
                  <c:v>44400</c:v>
                </c:pt>
                <c:pt idx="935">
                  <c:v>44401</c:v>
                </c:pt>
                <c:pt idx="936">
                  <c:v>44402</c:v>
                </c:pt>
                <c:pt idx="937">
                  <c:v>44403</c:v>
                </c:pt>
                <c:pt idx="938">
                  <c:v>44404</c:v>
                </c:pt>
                <c:pt idx="939">
                  <c:v>44405</c:v>
                </c:pt>
                <c:pt idx="940">
                  <c:v>44406</c:v>
                </c:pt>
                <c:pt idx="941">
                  <c:v>44407</c:v>
                </c:pt>
                <c:pt idx="942">
                  <c:v>44408</c:v>
                </c:pt>
                <c:pt idx="943">
                  <c:v>44409</c:v>
                </c:pt>
                <c:pt idx="944">
                  <c:v>44410</c:v>
                </c:pt>
                <c:pt idx="945">
                  <c:v>44411</c:v>
                </c:pt>
                <c:pt idx="946">
                  <c:v>44412</c:v>
                </c:pt>
                <c:pt idx="947">
                  <c:v>44413</c:v>
                </c:pt>
                <c:pt idx="948">
                  <c:v>44414</c:v>
                </c:pt>
                <c:pt idx="949">
                  <c:v>44415</c:v>
                </c:pt>
                <c:pt idx="950">
                  <c:v>44416</c:v>
                </c:pt>
                <c:pt idx="951">
                  <c:v>44417</c:v>
                </c:pt>
                <c:pt idx="952">
                  <c:v>44418</c:v>
                </c:pt>
                <c:pt idx="953">
                  <c:v>44419</c:v>
                </c:pt>
                <c:pt idx="954">
                  <c:v>44420</c:v>
                </c:pt>
                <c:pt idx="955">
                  <c:v>44421</c:v>
                </c:pt>
                <c:pt idx="956">
                  <c:v>44422</c:v>
                </c:pt>
                <c:pt idx="957">
                  <c:v>44423</c:v>
                </c:pt>
                <c:pt idx="958">
                  <c:v>44424</c:v>
                </c:pt>
                <c:pt idx="959">
                  <c:v>44425</c:v>
                </c:pt>
                <c:pt idx="960">
                  <c:v>44426</c:v>
                </c:pt>
                <c:pt idx="961">
                  <c:v>44427</c:v>
                </c:pt>
                <c:pt idx="962">
                  <c:v>44428</c:v>
                </c:pt>
                <c:pt idx="963">
                  <c:v>44429</c:v>
                </c:pt>
                <c:pt idx="964">
                  <c:v>44430</c:v>
                </c:pt>
                <c:pt idx="965">
                  <c:v>44431</c:v>
                </c:pt>
                <c:pt idx="966">
                  <c:v>44432</c:v>
                </c:pt>
                <c:pt idx="967">
                  <c:v>44433</c:v>
                </c:pt>
                <c:pt idx="968">
                  <c:v>44434</c:v>
                </c:pt>
                <c:pt idx="969">
                  <c:v>44435</c:v>
                </c:pt>
                <c:pt idx="970">
                  <c:v>44436</c:v>
                </c:pt>
                <c:pt idx="971">
                  <c:v>44437</c:v>
                </c:pt>
                <c:pt idx="972">
                  <c:v>44438</c:v>
                </c:pt>
                <c:pt idx="973">
                  <c:v>44439</c:v>
                </c:pt>
                <c:pt idx="974">
                  <c:v>44440</c:v>
                </c:pt>
                <c:pt idx="975">
                  <c:v>44441</c:v>
                </c:pt>
                <c:pt idx="976">
                  <c:v>44442</c:v>
                </c:pt>
                <c:pt idx="977">
                  <c:v>44443</c:v>
                </c:pt>
                <c:pt idx="978">
                  <c:v>44444</c:v>
                </c:pt>
                <c:pt idx="979">
                  <c:v>44445</c:v>
                </c:pt>
                <c:pt idx="980">
                  <c:v>44446</c:v>
                </c:pt>
                <c:pt idx="981">
                  <c:v>44447</c:v>
                </c:pt>
                <c:pt idx="982">
                  <c:v>44448</c:v>
                </c:pt>
                <c:pt idx="983">
                  <c:v>44449</c:v>
                </c:pt>
                <c:pt idx="984">
                  <c:v>44450</c:v>
                </c:pt>
                <c:pt idx="985">
                  <c:v>44451</c:v>
                </c:pt>
                <c:pt idx="986">
                  <c:v>44452</c:v>
                </c:pt>
                <c:pt idx="987">
                  <c:v>44453</c:v>
                </c:pt>
                <c:pt idx="988">
                  <c:v>44454</c:v>
                </c:pt>
                <c:pt idx="989">
                  <c:v>44455</c:v>
                </c:pt>
                <c:pt idx="990">
                  <c:v>44456</c:v>
                </c:pt>
                <c:pt idx="991">
                  <c:v>44457</c:v>
                </c:pt>
                <c:pt idx="992">
                  <c:v>44458</c:v>
                </c:pt>
                <c:pt idx="993">
                  <c:v>44459</c:v>
                </c:pt>
                <c:pt idx="994">
                  <c:v>44460</c:v>
                </c:pt>
                <c:pt idx="995">
                  <c:v>44461</c:v>
                </c:pt>
                <c:pt idx="996">
                  <c:v>44462</c:v>
                </c:pt>
                <c:pt idx="997">
                  <c:v>44463</c:v>
                </c:pt>
                <c:pt idx="998">
                  <c:v>44464</c:v>
                </c:pt>
                <c:pt idx="999">
                  <c:v>44465</c:v>
                </c:pt>
                <c:pt idx="1000">
                  <c:v>44466</c:v>
                </c:pt>
                <c:pt idx="1001">
                  <c:v>44467</c:v>
                </c:pt>
                <c:pt idx="1002">
                  <c:v>44468</c:v>
                </c:pt>
                <c:pt idx="1003">
                  <c:v>44469</c:v>
                </c:pt>
                <c:pt idx="1004">
                  <c:v>44470</c:v>
                </c:pt>
                <c:pt idx="1005">
                  <c:v>44471</c:v>
                </c:pt>
                <c:pt idx="1006">
                  <c:v>44472</c:v>
                </c:pt>
                <c:pt idx="1007">
                  <c:v>44473</c:v>
                </c:pt>
                <c:pt idx="1008">
                  <c:v>44474</c:v>
                </c:pt>
                <c:pt idx="1009">
                  <c:v>44475</c:v>
                </c:pt>
                <c:pt idx="1010">
                  <c:v>44476</c:v>
                </c:pt>
                <c:pt idx="1011">
                  <c:v>44477</c:v>
                </c:pt>
                <c:pt idx="1012">
                  <c:v>44478</c:v>
                </c:pt>
                <c:pt idx="1013">
                  <c:v>44479</c:v>
                </c:pt>
                <c:pt idx="1014">
                  <c:v>44480</c:v>
                </c:pt>
                <c:pt idx="1015">
                  <c:v>44481</c:v>
                </c:pt>
                <c:pt idx="1016">
                  <c:v>44482</c:v>
                </c:pt>
                <c:pt idx="1017">
                  <c:v>44483</c:v>
                </c:pt>
                <c:pt idx="1018">
                  <c:v>44484</c:v>
                </c:pt>
                <c:pt idx="1019">
                  <c:v>44485</c:v>
                </c:pt>
                <c:pt idx="1020">
                  <c:v>44486</c:v>
                </c:pt>
                <c:pt idx="1021">
                  <c:v>44487</c:v>
                </c:pt>
                <c:pt idx="1022">
                  <c:v>44488</c:v>
                </c:pt>
                <c:pt idx="1023">
                  <c:v>44489</c:v>
                </c:pt>
                <c:pt idx="1024">
                  <c:v>44490</c:v>
                </c:pt>
                <c:pt idx="1025">
                  <c:v>44491</c:v>
                </c:pt>
                <c:pt idx="1026">
                  <c:v>44492</c:v>
                </c:pt>
                <c:pt idx="1027">
                  <c:v>44493</c:v>
                </c:pt>
                <c:pt idx="1028">
                  <c:v>44494</c:v>
                </c:pt>
                <c:pt idx="1029">
                  <c:v>44495</c:v>
                </c:pt>
                <c:pt idx="1030">
                  <c:v>44496</c:v>
                </c:pt>
                <c:pt idx="1031">
                  <c:v>44497</c:v>
                </c:pt>
                <c:pt idx="1032">
                  <c:v>44498</c:v>
                </c:pt>
                <c:pt idx="1033">
                  <c:v>44499</c:v>
                </c:pt>
                <c:pt idx="1034">
                  <c:v>44500</c:v>
                </c:pt>
                <c:pt idx="1035">
                  <c:v>44501</c:v>
                </c:pt>
                <c:pt idx="1036">
                  <c:v>44502</c:v>
                </c:pt>
                <c:pt idx="1037">
                  <c:v>44503</c:v>
                </c:pt>
                <c:pt idx="1038">
                  <c:v>44504</c:v>
                </c:pt>
                <c:pt idx="1039">
                  <c:v>44505</c:v>
                </c:pt>
                <c:pt idx="1040">
                  <c:v>44506</c:v>
                </c:pt>
                <c:pt idx="1041">
                  <c:v>44507</c:v>
                </c:pt>
                <c:pt idx="1042">
                  <c:v>44508</c:v>
                </c:pt>
                <c:pt idx="1043">
                  <c:v>44509</c:v>
                </c:pt>
                <c:pt idx="1044">
                  <c:v>44510</c:v>
                </c:pt>
                <c:pt idx="1045">
                  <c:v>44511</c:v>
                </c:pt>
                <c:pt idx="1046">
                  <c:v>44512</c:v>
                </c:pt>
                <c:pt idx="1047">
                  <c:v>44513</c:v>
                </c:pt>
                <c:pt idx="1048">
                  <c:v>44514</c:v>
                </c:pt>
                <c:pt idx="1049">
                  <c:v>44515</c:v>
                </c:pt>
                <c:pt idx="1050">
                  <c:v>44516</c:v>
                </c:pt>
                <c:pt idx="1051">
                  <c:v>44517</c:v>
                </c:pt>
                <c:pt idx="1052">
                  <c:v>44518</c:v>
                </c:pt>
                <c:pt idx="1053">
                  <c:v>44519</c:v>
                </c:pt>
                <c:pt idx="1054">
                  <c:v>44520</c:v>
                </c:pt>
                <c:pt idx="1055">
                  <c:v>44521</c:v>
                </c:pt>
                <c:pt idx="1056">
                  <c:v>44522</c:v>
                </c:pt>
                <c:pt idx="1057">
                  <c:v>44523</c:v>
                </c:pt>
                <c:pt idx="1058">
                  <c:v>44524</c:v>
                </c:pt>
                <c:pt idx="1059">
                  <c:v>44525</c:v>
                </c:pt>
                <c:pt idx="1060">
                  <c:v>44526</c:v>
                </c:pt>
                <c:pt idx="1061">
                  <c:v>44527</c:v>
                </c:pt>
                <c:pt idx="1062">
                  <c:v>44528</c:v>
                </c:pt>
                <c:pt idx="1063">
                  <c:v>44529</c:v>
                </c:pt>
                <c:pt idx="1064">
                  <c:v>44530</c:v>
                </c:pt>
                <c:pt idx="1065">
                  <c:v>44531</c:v>
                </c:pt>
                <c:pt idx="1066">
                  <c:v>44532</c:v>
                </c:pt>
                <c:pt idx="1067">
                  <c:v>44533</c:v>
                </c:pt>
                <c:pt idx="1068">
                  <c:v>44534</c:v>
                </c:pt>
                <c:pt idx="1069">
                  <c:v>44535</c:v>
                </c:pt>
                <c:pt idx="1070">
                  <c:v>44536</c:v>
                </c:pt>
                <c:pt idx="1071">
                  <c:v>44537</c:v>
                </c:pt>
                <c:pt idx="1072">
                  <c:v>44538</c:v>
                </c:pt>
                <c:pt idx="1073">
                  <c:v>44539</c:v>
                </c:pt>
                <c:pt idx="1074">
                  <c:v>44540</c:v>
                </c:pt>
                <c:pt idx="1075">
                  <c:v>44541</c:v>
                </c:pt>
                <c:pt idx="1076">
                  <c:v>44542</c:v>
                </c:pt>
                <c:pt idx="1077">
                  <c:v>44543</c:v>
                </c:pt>
                <c:pt idx="1078">
                  <c:v>44544</c:v>
                </c:pt>
                <c:pt idx="1079">
                  <c:v>44545</c:v>
                </c:pt>
                <c:pt idx="1080">
                  <c:v>44546</c:v>
                </c:pt>
                <c:pt idx="1081">
                  <c:v>44547</c:v>
                </c:pt>
                <c:pt idx="1082">
                  <c:v>44548</c:v>
                </c:pt>
                <c:pt idx="1083">
                  <c:v>44549</c:v>
                </c:pt>
                <c:pt idx="1084">
                  <c:v>44550</c:v>
                </c:pt>
                <c:pt idx="1085">
                  <c:v>44551</c:v>
                </c:pt>
                <c:pt idx="1086">
                  <c:v>44552</c:v>
                </c:pt>
                <c:pt idx="1087">
                  <c:v>44553</c:v>
                </c:pt>
                <c:pt idx="1088">
                  <c:v>44554</c:v>
                </c:pt>
                <c:pt idx="1089">
                  <c:v>44555</c:v>
                </c:pt>
                <c:pt idx="1090">
                  <c:v>44556</c:v>
                </c:pt>
                <c:pt idx="1091">
                  <c:v>44557</c:v>
                </c:pt>
                <c:pt idx="1092">
                  <c:v>44558</c:v>
                </c:pt>
                <c:pt idx="1093">
                  <c:v>44559</c:v>
                </c:pt>
                <c:pt idx="1094">
                  <c:v>44560</c:v>
                </c:pt>
                <c:pt idx="1095">
                  <c:v>44561</c:v>
                </c:pt>
                <c:pt idx="1096">
                  <c:v>44562</c:v>
                </c:pt>
                <c:pt idx="1097">
                  <c:v>44563</c:v>
                </c:pt>
                <c:pt idx="1098">
                  <c:v>44564</c:v>
                </c:pt>
                <c:pt idx="1099">
                  <c:v>44565</c:v>
                </c:pt>
                <c:pt idx="1100">
                  <c:v>44566</c:v>
                </c:pt>
                <c:pt idx="1101">
                  <c:v>44567</c:v>
                </c:pt>
                <c:pt idx="1102">
                  <c:v>44568</c:v>
                </c:pt>
                <c:pt idx="1103">
                  <c:v>44569</c:v>
                </c:pt>
                <c:pt idx="1104">
                  <c:v>44570</c:v>
                </c:pt>
                <c:pt idx="1105">
                  <c:v>44571</c:v>
                </c:pt>
                <c:pt idx="1106">
                  <c:v>44572</c:v>
                </c:pt>
                <c:pt idx="1107">
                  <c:v>44573</c:v>
                </c:pt>
                <c:pt idx="1108">
                  <c:v>44574</c:v>
                </c:pt>
                <c:pt idx="1109">
                  <c:v>44575</c:v>
                </c:pt>
                <c:pt idx="1110">
                  <c:v>44576</c:v>
                </c:pt>
                <c:pt idx="1111">
                  <c:v>44577</c:v>
                </c:pt>
                <c:pt idx="1112">
                  <c:v>44578</c:v>
                </c:pt>
                <c:pt idx="1113">
                  <c:v>44579</c:v>
                </c:pt>
                <c:pt idx="1114">
                  <c:v>44580</c:v>
                </c:pt>
                <c:pt idx="1115">
                  <c:v>44581</c:v>
                </c:pt>
                <c:pt idx="1116">
                  <c:v>44582</c:v>
                </c:pt>
                <c:pt idx="1117">
                  <c:v>44583</c:v>
                </c:pt>
                <c:pt idx="1118">
                  <c:v>44584</c:v>
                </c:pt>
                <c:pt idx="1119">
                  <c:v>44585</c:v>
                </c:pt>
                <c:pt idx="1120">
                  <c:v>44586</c:v>
                </c:pt>
                <c:pt idx="1121">
                  <c:v>44587</c:v>
                </c:pt>
                <c:pt idx="1122">
                  <c:v>44588</c:v>
                </c:pt>
                <c:pt idx="1123">
                  <c:v>44589</c:v>
                </c:pt>
                <c:pt idx="1124">
                  <c:v>44590</c:v>
                </c:pt>
                <c:pt idx="1125">
                  <c:v>44591</c:v>
                </c:pt>
                <c:pt idx="1126">
                  <c:v>44592</c:v>
                </c:pt>
                <c:pt idx="1127">
                  <c:v>44593</c:v>
                </c:pt>
                <c:pt idx="1128">
                  <c:v>44594</c:v>
                </c:pt>
                <c:pt idx="1129">
                  <c:v>44595</c:v>
                </c:pt>
                <c:pt idx="1130">
                  <c:v>44596</c:v>
                </c:pt>
                <c:pt idx="1131">
                  <c:v>44597</c:v>
                </c:pt>
                <c:pt idx="1132">
                  <c:v>44598</c:v>
                </c:pt>
                <c:pt idx="1133">
                  <c:v>44599</c:v>
                </c:pt>
                <c:pt idx="1134">
                  <c:v>44600</c:v>
                </c:pt>
                <c:pt idx="1135">
                  <c:v>44601</c:v>
                </c:pt>
                <c:pt idx="1136">
                  <c:v>44602</c:v>
                </c:pt>
                <c:pt idx="1137">
                  <c:v>44603</c:v>
                </c:pt>
                <c:pt idx="1138">
                  <c:v>44604</c:v>
                </c:pt>
                <c:pt idx="1139">
                  <c:v>44605</c:v>
                </c:pt>
                <c:pt idx="1140">
                  <c:v>44606</c:v>
                </c:pt>
                <c:pt idx="1141">
                  <c:v>44607</c:v>
                </c:pt>
                <c:pt idx="1142">
                  <c:v>44608</c:v>
                </c:pt>
                <c:pt idx="1143">
                  <c:v>44609</c:v>
                </c:pt>
                <c:pt idx="1144">
                  <c:v>44610</c:v>
                </c:pt>
                <c:pt idx="1145">
                  <c:v>44611</c:v>
                </c:pt>
                <c:pt idx="1146">
                  <c:v>44612</c:v>
                </c:pt>
                <c:pt idx="1147">
                  <c:v>44613</c:v>
                </c:pt>
                <c:pt idx="1148">
                  <c:v>44614</c:v>
                </c:pt>
                <c:pt idx="1149">
                  <c:v>44615</c:v>
                </c:pt>
                <c:pt idx="1150">
                  <c:v>44616</c:v>
                </c:pt>
                <c:pt idx="1151">
                  <c:v>44617</c:v>
                </c:pt>
                <c:pt idx="1152">
                  <c:v>44618</c:v>
                </c:pt>
                <c:pt idx="1153">
                  <c:v>44619</c:v>
                </c:pt>
                <c:pt idx="1154">
                  <c:v>44620</c:v>
                </c:pt>
                <c:pt idx="1155">
                  <c:v>44621</c:v>
                </c:pt>
                <c:pt idx="1156">
                  <c:v>44622</c:v>
                </c:pt>
                <c:pt idx="1157">
                  <c:v>44623</c:v>
                </c:pt>
                <c:pt idx="1158">
                  <c:v>44624</c:v>
                </c:pt>
                <c:pt idx="1159">
                  <c:v>44625</c:v>
                </c:pt>
                <c:pt idx="1160">
                  <c:v>44626</c:v>
                </c:pt>
                <c:pt idx="1161">
                  <c:v>44627</c:v>
                </c:pt>
                <c:pt idx="1162">
                  <c:v>44628</c:v>
                </c:pt>
                <c:pt idx="1163">
                  <c:v>44629</c:v>
                </c:pt>
                <c:pt idx="1164">
                  <c:v>44630</c:v>
                </c:pt>
                <c:pt idx="1165">
                  <c:v>44631</c:v>
                </c:pt>
                <c:pt idx="1166">
                  <c:v>44632</c:v>
                </c:pt>
                <c:pt idx="1167">
                  <c:v>44633</c:v>
                </c:pt>
                <c:pt idx="1168">
                  <c:v>44634</c:v>
                </c:pt>
                <c:pt idx="1169">
                  <c:v>44635</c:v>
                </c:pt>
                <c:pt idx="1170">
                  <c:v>44636</c:v>
                </c:pt>
                <c:pt idx="1171">
                  <c:v>44637</c:v>
                </c:pt>
                <c:pt idx="1172">
                  <c:v>44638</c:v>
                </c:pt>
                <c:pt idx="1173">
                  <c:v>44639</c:v>
                </c:pt>
                <c:pt idx="1174">
                  <c:v>44640</c:v>
                </c:pt>
                <c:pt idx="1175">
                  <c:v>44641</c:v>
                </c:pt>
                <c:pt idx="1176">
                  <c:v>44642</c:v>
                </c:pt>
                <c:pt idx="1177">
                  <c:v>44643</c:v>
                </c:pt>
                <c:pt idx="1178">
                  <c:v>44644</c:v>
                </c:pt>
                <c:pt idx="1179">
                  <c:v>44645</c:v>
                </c:pt>
                <c:pt idx="1180">
                  <c:v>44646</c:v>
                </c:pt>
                <c:pt idx="1181">
                  <c:v>44647</c:v>
                </c:pt>
                <c:pt idx="1182">
                  <c:v>44648</c:v>
                </c:pt>
                <c:pt idx="1183">
                  <c:v>44649</c:v>
                </c:pt>
                <c:pt idx="1184">
                  <c:v>44650</c:v>
                </c:pt>
                <c:pt idx="1185">
                  <c:v>44651</c:v>
                </c:pt>
                <c:pt idx="1186">
                  <c:v>44652</c:v>
                </c:pt>
                <c:pt idx="1187">
                  <c:v>44653</c:v>
                </c:pt>
                <c:pt idx="1188">
                  <c:v>44654</c:v>
                </c:pt>
                <c:pt idx="1189">
                  <c:v>44655</c:v>
                </c:pt>
                <c:pt idx="1190">
                  <c:v>44656</c:v>
                </c:pt>
                <c:pt idx="1191">
                  <c:v>44657</c:v>
                </c:pt>
                <c:pt idx="1192">
                  <c:v>44658</c:v>
                </c:pt>
                <c:pt idx="1193">
                  <c:v>44659</c:v>
                </c:pt>
                <c:pt idx="1194">
                  <c:v>44660</c:v>
                </c:pt>
                <c:pt idx="1195">
                  <c:v>44661</c:v>
                </c:pt>
                <c:pt idx="1196">
                  <c:v>44662</c:v>
                </c:pt>
                <c:pt idx="1197">
                  <c:v>44663</c:v>
                </c:pt>
                <c:pt idx="1198">
                  <c:v>44664</c:v>
                </c:pt>
                <c:pt idx="1199">
                  <c:v>44665</c:v>
                </c:pt>
                <c:pt idx="1200">
                  <c:v>44666</c:v>
                </c:pt>
                <c:pt idx="1201">
                  <c:v>44667</c:v>
                </c:pt>
                <c:pt idx="1202">
                  <c:v>44668</c:v>
                </c:pt>
                <c:pt idx="1203">
                  <c:v>44669</c:v>
                </c:pt>
                <c:pt idx="1204">
                  <c:v>44670</c:v>
                </c:pt>
                <c:pt idx="1205">
                  <c:v>44671</c:v>
                </c:pt>
                <c:pt idx="1206">
                  <c:v>44672</c:v>
                </c:pt>
                <c:pt idx="1207">
                  <c:v>44673</c:v>
                </c:pt>
                <c:pt idx="1208">
                  <c:v>44674</c:v>
                </c:pt>
                <c:pt idx="1209">
                  <c:v>44675</c:v>
                </c:pt>
                <c:pt idx="1210">
                  <c:v>44676</c:v>
                </c:pt>
                <c:pt idx="1211">
                  <c:v>44677</c:v>
                </c:pt>
                <c:pt idx="1212">
                  <c:v>44678</c:v>
                </c:pt>
                <c:pt idx="1213">
                  <c:v>44679</c:v>
                </c:pt>
                <c:pt idx="1214">
                  <c:v>44680</c:v>
                </c:pt>
                <c:pt idx="1215">
                  <c:v>44681</c:v>
                </c:pt>
                <c:pt idx="1216">
                  <c:v>44682</c:v>
                </c:pt>
                <c:pt idx="1217">
                  <c:v>44683</c:v>
                </c:pt>
                <c:pt idx="1218">
                  <c:v>44684</c:v>
                </c:pt>
                <c:pt idx="1219">
                  <c:v>44685</c:v>
                </c:pt>
                <c:pt idx="1220">
                  <c:v>44686</c:v>
                </c:pt>
                <c:pt idx="1221">
                  <c:v>44687</c:v>
                </c:pt>
                <c:pt idx="1222">
                  <c:v>44688</c:v>
                </c:pt>
                <c:pt idx="1223">
                  <c:v>44689</c:v>
                </c:pt>
                <c:pt idx="1224">
                  <c:v>44690</c:v>
                </c:pt>
                <c:pt idx="1225">
                  <c:v>44691</c:v>
                </c:pt>
                <c:pt idx="1226">
                  <c:v>44692</c:v>
                </c:pt>
                <c:pt idx="1227">
                  <c:v>44693</c:v>
                </c:pt>
                <c:pt idx="1228">
                  <c:v>44694</c:v>
                </c:pt>
                <c:pt idx="1229">
                  <c:v>44695</c:v>
                </c:pt>
                <c:pt idx="1230">
                  <c:v>44696</c:v>
                </c:pt>
                <c:pt idx="1231">
                  <c:v>44697</c:v>
                </c:pt>
                <c:pt idx="1232">
                  <c:v>44698</c:v>
                </c:pt>
                <c:pt idx="1233">
                  <c:v>44699</c:v>
                </c:pt>
                <c:pt idx="1234">
                  <c:v>44700</c:v>
                </c:pt>
                <c:pt idx="1235">
                  <c:v>44701</c:v>
                </c:pt>
                <c:pt idx="1236">
                  <c:v>44702</c:v>
                </c:pt>
                <c:pt idx="1237">
                  <c:v>44703</c:v>
                </c:pt>
                <c:pt idx="1238">
                  <c:v>44704</c:v>
                </c:pt>
                <c:pt idx="1239">
                  <c:v>44705</c:v>
                </c:pt>
                <c:pt idx="1240">
                  <c:v>44706</c:v>
                </c:pt>
                <c:pt idx="1241">
                  <c:v>44707</c:v>
                </c:pt>
                <c:pt idx="1242">
                  <c:v>44708</c:v>
                </c:pt>
                <c:pt idx="1243">
                  <c:v>44709</c:v>
                </c:pt>
                <c:pt idx="1244">
                  <c:v>44710</c:v>
                </c:pt>
                <c:pt idx="1245">
                  <c:v>44711</c:v>
                </c:pt>
                <c:pt idx="1246">
                  <c:v>44712</c:v>
                </c:pt>
                <c:pt idx="1247">
                  <c:v>44713</c:v>
                </c:pt>
                <c:pt idx="1248">
                  <c:v>44714</c:v>
                </c:pt>
                <c:pt idx="1249">
                  <c:v>44715</c:v>
                </c:pt>
                <c:pt idx="1250">
                  <c:v>44716</c:v>
                </c:pt>
                <c:pt idx="1251">
                  <c:v>44717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44723</c:v>
                </c:pt>
                <c:pt idx="1258">
                  <c:v>44724</c:v>
                </c:pt>
                <c:pt idx="1259">
                  <c:v>44725</c:v>
                </c:pt>
                <c:pt idx="1260">
                  <c:v>44726</c:v>
                </c:pt>
                <c:pt idx="1261">
                  <c:v>44727</c:v>
                </c:pt>
                <c:pt idx="1262">
                  <c:v>44728</c:v>
                </c:pt>
                <c:pt idx="1263">
                  <c:v>44729</c:v>
                </c:pt>
                <c:pt idx="1264">
                  <c:v>44730</c:v>
                </c:pt>
                <c:pt idx="1265">
                  <c:v>44731</c:v>
                </c:pt>
                <c:pt idx="1266">
                  <c:v>44732</c:v>
                </c:pt>
                <c:pt idx="1267">
                  <c:v>44733</c:v>
                </c:pt>
                <c:pt idx="1268">
                  <c:v>44734</c:v>
                </c:pt>
                <c:pt idx="1269">
                  <c:v>44735</c:v>
                </c:pt>
                <c:pt idx="1270">
                  <c:v>44736</c:v>
                </c:pt>
                <c:pt idx="1271">
                  <c:v>44737</c:v>
                </c:pt>
                <c:pt idx="1272">
                  <c:v>44738</c:v>
                </c:pt>
                <c:pt idx="1273">
                  <c:v>44739</c:v>
                </c:pt>
                <c:pt idx="1274">
                  <c:v>44740</c:v>
                </c:pt>
                <c:pt idx="1275">
                  <c:v>44741</c:v>
                </c:pt>
                <c:pt idx="1276">
                  <c:v>44742</c:v>
                </c:pt>
                <c:pt idx="1277">
                  <c:v>44743</c:v>
                </c:pt>
                <c:pt idx="1278">
                  <c:v>44744</c:v>
                </c:pt>
                <c:pt idx="1279">
                  <c:v>44745</c:v>
                </c:pt>
                <c:pt idx="1280">
                  <c:v>44746</c:v>
                </c:pt>
                <c:pt idx="1281">
                  <c:v>44747</c:v>
                </c:pt>
                <c:pt idx="1282">
                  <c:v>44748</c:v>
                </c:pt>
                <c:pt idx="1283">
                  <c:v>44749</c:v>
                </c:pt>
                <c:pt idx="1284">
                  <c:v>44750</c:v>
                </c:pt>
                <c:pt idx="1285">
                  <c:v>44751</c:v>
                </c:pt>
                <c:pt idx="1286">
                  <c:v>44752</c:v>
                </c:pt>
                <c:pt idx="1287">
                  <c:v>44753</c:v>
                </c:pt>
                <c:pt idx="1288">
                  <c:v>44754</c:v>
                </c:pt>
                <c:pt idx="1289">
                  <c:v>44755</c:v>
                </c:pt>
                <c:pt idx="1290">
                  <c:v>44756</c:v>
                </c:pt>
                <c:pt idx="1291">
                  <c:v>44757</c:v>
                </c:pt>
                <c:pt idx="1292">
                  <c:v>44758</c:v>
                </c:pt>
                <c:pt idx="1293">
                  <c:v>44759</c:v>
                </c:pt>
                <c:pt idx="1294">
                  <c:v>44760</c:v>
                </c:pt>
                <c:pt idx="1295">
                  <c:v>44761</c:v>
                </c:pt>
                <c:pt idx="1296">
                  <c:v>44762</c:v>
                </c:pt>
                <c:pt idx="1297">
                  <c:v>44763</c:v>
                </c:pt>
                <c:pt idx="1298">
                  <c:v>44764</c:v>
                </c:pt>
                <c:pt idx="1299">
                  <c:v>44765</c:v>
                </c:pt>
                <c:pt idx="1300">
                  <c:v>44766</c:v>
                </c:pt>
                <c:pt idx="1301">
                  <c:v>44767</c:v>
                </c:pt>
                <c:pt idx="1302">
                  <c:v>44768</c:v>
                </c:pt>
                <c:pt idx="1303">
                  <c:v>44769</c:v>
                </c:pt>
                <c:pt idx="1304">
                  <c:v>44770</c:v>
                </c:pt>
                <c:pt idx="1305">
                  <c:v>44771</c:v>
                </c:pt>
                <c:pt idx="1306">
                  <c:v>44772</c:v>
                </c:pt>
                <c:pt idx="1307">
                  <c:v>44773</c:v>
                </c:pt>
                <c:pt idx="1308">
                  <c:v>44774</c:v>
                </c:pt>
                <c:pt idx="1309">
                  <c:v>44775</c:v>
                </c:pt>
                <c:pt idx="1310">
                  <c:v>44776</c:v>
                </c:pt>
                <c:pt idx="1311">
                  <c:v>44777</c:v>
                </c:pt>
                <c:pt idx="1312">
                  <c:v>44778</c:v>
                </c:pt>
                <c:pt idx="1313">
                  <c:v>44779</c:v>
                </c:pt>
                <c:pt idx="1314">
                  <c:v>44780</c:v>
                </c:pt>
                <c:pt idx="1315">
                  <c:v>44781</c:v>
                </c:pt>
                <c:pt idx="1316">
                  <c:v>44782</c:v>
                </c:pt>
                <c:pt idx="1317">
                  <c:v>44783</c:v>
                </c:pt>
                <c:pt idx="1318">
                  <c:v>44784</c:v>
                </c:pt>
                <c:pt idx="1319">
                  <c:v>44785</c:v>
                </c:pt>
                <c:pt idx="1320">
                  <c:v>44786</c:v>
                </c:pt>
                <c:pt idx="1321">
                  <c:v>44787</c:v>
                </c:pt>
                <c:pt idx="1322">
                  <c:v>44788</c:v>
                </c:pt>
                <c:pt idx="1323">
                  <c:v>44789</c:v>
                </c:pt>
                <c:pt idx="1324">
                  <c:v>44790</c:v>
                </c:pt>
                <c:pt idx="1325">
                  <c:v>44791</c:v>
                </c:pt>
                <c:pt idx="1326">
                  <c:v>44792</c:v>
                </c:pt>
                <c:pt idx="1327">
                  <c:v>44793</c:v>
                </c:pt>
                <c:pt idx="1328">
                  <c:v>44794</c:v>
                </c:pt>
                <c:pt idx="1329">
                  <c:v>44795</c:v>
                </c:pt>
                <c:pt idx="1330">
                  <c:v>44796</c:v>
                </c:pt>
                <c:pt idx="1331">
                  <c:v>44797</c:v>
                </c:pt>
                <c:pt idx="1332">
                  <c:v>44798</c:v>
                </c:pt>
                <c:pt idx="1333">
                  <c:v>44799</c:v>
                </c:pt>
                <c:pt idx="1334">
                  <c:v>44800</c:v>
                </c:pt>
                <c:pt idx="1335">
                  <c:v>44801</c:v>
                </c:pt>
                <c:pt idx="1336">
                  <c:v>44802</c:v>
                </c:pt>
                <c:pt idx="1337">
                  <c:v>44803</c:v>
                </c:pt>
                <c:pt idx="1338">
                  <c:v>44804</c:v>
                </c:pt>
                <c:pt idx="1339">
                  <c:v>44805</c:v>
                </c:pt>
                <c:pt idx="1340">
                  <c:v>44806</c:v>
                </c:pt>
                <c:pt idx="1341">
                  <c:v>44807</c:v>
                </c:pt>
                <c:pt idx="1342">
                  <c:v>44808</c:v>
                </c:pt>
                <c:pt idx="1343">
                  <c:v>44809</c:v>
                </c:pt>
                <c:pt idx="1344">
                  <c:v>44810</c:v>
                </c:pt>
                <c:pt idx="1345">
                  <c:v>44811</c:v>
                </c:pt>
                <c:pt idx="1346">
                  <c:v>44812</c:v>
                </c:pt>
                <c:pt idx="1347">
                  <c:v>44813</c:v>
                </c:pt>
                <c:pt idx="1348">
                  <c:v>44814</c:v>
                </c:pt>
                <c:pt idx="1349">
                  <c:v>44815</c:v>
                </c:pt>
                <c:pt idx="1350">
                  <c:v>44816</c:v>
                </c:pt>
                <c:pt idx="1351">
                  <c:v>44817</c:v>
                </c:pt>
                <c:pt idx="1352">
                  <c:v>44818</c:v>
                </c:pt>
                <c:pt idx="1353">
                  <c:v>44819</c:v>
                </c:pt>
                <c:pt idx="1354">
                  <c:v>44820</c:v>
                </c:pt>
                <c:pt idx="1355">
                  <c:v>44821</c:v>
                </c:pt>
                <c:pt idx="1356">
                  <c:v>44822</c:v>
                </c:pt>
                <c:pt idx="1357">
                  <c:v>44823</c:v>
                </c:pt>
                <c:pt idx="1358">
                  <c:v>44824</c:v>
                </c:pt>
                <c:pt idx="1359">
                  <c:v>44825</c:v>
                </c:pt>
                <c:pt idx="1360">
                  <c:v>44826</c:v>
                </c:pt>
                <c:pt idx="1361">
                  <c:v>44827</c:v>
                </c:pt>
                <c:pt idx="1362">
                  <c:v>44828</c:v>
                </c:pt>
                <c:pt idx="1363">
                  <c:v>44829</c:v>
                </c:pt>
                <c:pt idx="1364">
                  <c:v>44830</c:v>
                </c:pt>
                <c:pt idx="1365">
                  <c:v>44831</c:v>
                </c:pt>
                <c:pt idx="1366">
                  <c:v>44832</c:v>
                </c:pt>
                <c:pt idx="1367">
                  <c:v>44833</c:v>
                </c:pt>
                <c:pt idx="1368">
                  <c:v>44834</c:v>
                </c:pt>
                <c:pt idx="1369">
                  <c:v>44835</c:v>
                </c:pt>
                <c:pt idx="1370">
                  <c:v>44836</c:v>
                </c:pt>
                <c:pt idx="1371">
                  <c:v>44837</c:v>
                </c:pt>
                <c:pt idx="1372">
                  <c:v>44838</c:v>
                </c:pt>
                <c:pt idx="1373">
                  <c:v>44839</c:v>
                </c:pt>
                <c:pt idx="1374">
                  <c:v>44840</c:v>
                </c:pt>
                <c:pt idx="1375">
                  <c:v>44841</c:v>
                </c:pt>
                <c:pt idx="1376">
                  <c:v>44842</c:v>
                </c:pt>
                <c:pt idx="1377">
                  <c:v>44843</c:v>
                </c:pt>
                <c:pt idx="1378">
                  <c:v>44844</c:v>
                </c:pt>
                <c:pt idx="1379">
                  <c:v>44845</c:v>
                </c:pt>
                <c:pt idx="1380">
                  <c:v>44846</c:v>
                </c:pt>
                <c:pt idx="1381">
                  <c:v>44847</c:v>
                </c:pt>
                <c:pt idx="1382">
                  <c:v>44848</c:v>
                </c:pt>
                <c:pt idx="1383">
                  <c:v>44849</c:v>
                </c:pt>
                <c:pt idx="1384">
                  <c:v>44850</c:v>
                </c:pt>
                <c:pt idx="1385">
                  <c:v>44851</c:v>
                </c:pt>
                <c:pt idx="1386">
                  <c:v>44852</c:v>
                </c:pt>
                <c:pt idx="1387">
                  <c:v>44853</c:v>
                </c:pt>
                <c:pt idx="1388">
                  <c:v>44854</c:v>
                </c:pt>
                <c:pt idx="1389">
                  <c:v>44855</c:v>
                </c:pt>
                <c:pt idx="1390">
                  <c:v>44856</c:v>
                </c:pt>
                <c:pt idx="1391">
                  <c:v>44857</c:v>
                </c:pt>
                <c:pt idx="1392">
                  <c:v>44858</c:v>
                </c:pt>
                <c:pt idx="1393">
                  <c:v>44859</c:v>
                </c:pt>
                <c:pt idx="1394">
                  <c:v>44860</c:v>
                </c:pt>
                <c:pt idx="1395">
                  <c:v>44861</c:v>
                </c:pt>
                <c:pt idx="1396">
                  <c:v>44862</c:v>
                </c:pt>
                <c:pt idx="1397">
                  <c:v>44863</c:v>
                </c:pt>
                <c:pt idx="1398">
                  <c:v>44864</c:v>
                </c:pt>
                <c:pt idx="1399">
                  <c:v>44865</c:v>
                </c:pt>
                <c:pt idx="1400">
                  <c:v>44866</c:v>
                </c:pt>
                <c:pt idx="1401">
                  <c:v>44867</c:v>
                </c:pt>
                <c:pt idx="1402">
                  <c:v>44868</c:v>
                </c:pt>
                <c:pt idx="1403">
                  <c:v>44869</c:v>
                </c:pt>
                <c:pt idx="1404">
                  <c:v>44870</c:v>
                </c:pt>
                <c:pt idx="1405">
                  <c:v>44871</c:v>
                </c:pt>
                <c:pt idx="1406">
                  <c:v>44872</c:v>
                </c:pt>
                <c:pt idx="1407">
                  <c:v>44873</c:v>
                </c:pt>
                <c:pt idx="1408">
                  <c:v>44874</c:v>
                </c:pt>
                <c:pt idx="1409">
                  <c:v>44875</c:v>
                </c:pt>
                <c:pt idx="1410">
                  <c:v>44876</c:v>
                </c:pt>
                <c:pt idx="1411">
                  <c:v>44877</c:v>
                </c:pt>
                <c:pt idx="1412">
                  <c:v>44878</c:v>
                </c:pt>
                <c:pt idx="1413">
                  <c:v>44879</c:v>
                </c:pt>
                <c:pt idx="1414">
                  <c:v>44880</c:v>
                </c:pt>
                <c:pt idx="1415">
                  <c:v>44881</c:v>
                </c:pt>
                <c:pt idx="1416">
                  <c:v>44882</c:v>
                </c:pt>
                <c:pt idx="1417">
                  <c:v>44883</c:v>
                </c:pt>
                <c:pt idx="1418">
                  <c:v>44884</c:v>
                </c:pt>
                <c:pt idx="1419">
                  <c:v>44885</c:v>
                </c:pt>
                <c:pt idx="1420">
                  <c:v>44886</c:v>
                </c:pt>
                <c:pt idx="1421">
                  <c:v>44887</c:v>
                </c:pt>
                <c:pt idx="1422">
                  <c:v>44888</c:v>
                </c:pt>
                <c:pt idx="1423">
                  <c:v>44889</c:v>
                </c:pt>
                <c:pt idx="1424">
                  <c:v>44890</c:v>
                </c:pt>
                <c:pt idx="1425">
                  <c:v>44891</c:v>
                </c:pt>
                <c:pt idx="1426">
                  <c:v>44892</c:v>
                </c:pt>
                <c:pt idx="1427">
                  <c:v>44893</c:v>
                </c:pt>
                <c:pt idx="1428">
                  <c:v>44894</c:v>
                </c:pt>
                <c:pt idx="1429">
                  <c:v>44895</c:v>
                </c:pt>
                <c:pt idx="1430">
                  <c:v>44896</c:v>
                </c:pt>
                <c:pt idx="1431">
                  <c:v>44897</c:v>
                </c:pt>
                <c:pt idx="1432">
                  <c:v>44898</c:v>
                </c:pt>
                <c:pt idx="1433">
                  <c:v>44899</c:v>
                </c:pt>
                <c:pt idx="1434">
                  <c:v>44900</c:v>
                </c:pt>
                <c:pt idx="1435">
                  <c:v>44901</c:v>
                </c:pt>
                <c:pt idx="1436">
                  <c:v>44902</c:v>
                </c:pt>
                <c:pt idx="1437">
                  <c:v>44903</c:v>
                </c:pt>
                <c:pt idx="1438">
                  <c:v>44904</c:v>
                </c:pt>
                <c:pt idx="1439">
                  <c:v>44905</c:v>
                </c:pt>
                <c:pt idx="1440">
                  <c:v>44906</c:v>
                </c:pt>
                <c:pt idx="1441">
                  <c:v>44907</c:v>
                </c:pt>
                <c:pt idx="1442">
                  <c:v>44908</c:v>
                </c:pt>
                <c:pt idx="1443">
                  <c:v>44909</c:v>
                </c:pt>
                <c:pt idx="1444">
                  <c:v>44910</c:v>
                </c:pt>
                <c:pt idx="1445">
                  <c:v>44911</c:v>
                </c:pt>
                <c:pt idx="1446">
                  <c:v>44912</c:v>
                </c:pt>
                <c:pt idx="1447">
                  <c:v>44913</c:v>
                </c:pt>
                <c:pt idx="1448">
                  <c:v>44914</c:v>
                </c:pt>
                <c:pt idx="1449">
                  <c:v>44915</c:v>
                </c:pt>
                <c:pt idx="1450">
                  <c:v>44916</c:v>
                </c:pt>
                <c:pt idx="1451">
                  <c:v>44917</c:v>
                </c:pt>
                <c:pt idx="1452">
                  <c:v>44918</c:v>
                </c:pt>
                <c:pt idx="1453">
                  <c:v>44919</c:v>
                </c:pt>
                <c:pt idx="1454">
                  <c:v>44920</c:v>
                </c:pt>
                <c:pt idx="1455">
                  <c:v>44921</c:v>
                </c:pt>
                <c:pt idx="1456">
                  <c:v>44922</c:v>
                </c:pt>
                <c:pt idx="1457">
                  <c:v>44923</c:v>
                </c:pt>
                <c:pt idx="1458">
                  <c:v>44924</c:v>
                </c:pt>
                <c:pt idx="1459">
                  <c:v>44925</c:v>
                </c:pt>
                <c:pt idx="1460">
                  <c:v>44926</c:v>
                </c:pt>
                <c:pt idx="1461">
                  <c:v>44927</c:v>
                </c:pt>
                <c:pt idx="1462">
                  <c:v>44928</c:v>
                </c:pt>
                <c:pt idx="1463">
                  <c:v>44929</c:v>
                </c:pt>
                <c:pt idx="1464">
                  <c:v>44930</c:v>
                </c:pt>
                <c:pt idx="1465">
                  <c:v>44931</c:v>
                </c:pt>
                <c:pt idx="1466">
                  <c:v>44932</c:v>
                </c:pt>
                <c:pt idx="1467">
                  <c:v>44933</c:v>
                </c:pt>
                <c:pt idx="1468">
                  <c:v>44934</c:v>
                </c:pt>
                <c:pt idx="1469">
                  <c:v>44935</c:v>
                </c:pt>
                <c:pt idx="1470">
                  <c:v>44936</c:v>
                </c:pt>
                <c:pt idx="1471">
                  <c:v>44937</c:v>
                </c:pt>
                <c:pt idx="1472">
                  <c:v>44938</c:v>
                </c:pt>
                <c:pt idx="1473">
                  <c:v>44939</c:v>
                </c:pt>
                <c:pt idx="1474">
                  <c:v>44940</c:v>
                </c:pt>
                <c:pt idx="1475">
                  <c:v>44941</c:v>
                </c:pt>
                <c:pt idx="1476">
                  <c:v>44942</c:v>
                </c:pt>
                <c:pt idx="1477">
                  <c:v>44943</c:v>
                </c:pt>
                <c:pt idx="1478">
                  <c:v>44944</c:v>
                </c:pt>
                <c:pt idx="1479">
                  <c:v>44945</c:v>
                </c:pt>
                <c:pt idx="1480">
                  <c:v>44946</c:v>
                </c:pt>
                <c:pt idx="1481">
                  <c:v>44947</c:v>
                </c:pt>
                <c:pt idx="1482">
                  <c:v>44948</c:v>
                </c:pt>
                <c:pt idx="1483">
                  <c:v>44949</c:v>
                </c:pt>
                <c:pt idx="1484">
                  <c:v>44950</c:v>
                </c:pt>
                <c:pt idx="1485">
                  <c:v>44951</c:v>
                </c:pt>
                <c:pt idx="1486">
                  <c:v>44952</c:v>
                </c:pt>
                <c:pt idx="1487">
                  <c:v>44953</c:v>
                </c:pt>
                <c:pt idx="1488">
                  <c:v>44954</c:v>
                </c:pt>
                <c:pt idx="1489">
                  <c:v>44955</c:v>
                </c:pt>
                <c:pt idx="1490">
                  <c:v>44956</c:v>
                </c:pt>
                <c:pt idx="1491">
                  <c:v>44957</c:v>
                </c:pt>
                <c:pt idx="1492">
                  <c:v>44958</c:v>
                </c:pt>
                <c:pt idx="1493">
                  <c:v>44959</c:v>
                </c:pt>
                <c:pt idx="1494">
                  <c:v>44960</c:v>
                </c:pt>
                <c:pt idx="1495">
                  <c:v>44961</c:v>
                </c:pt>
                <c:pt idx="1496">
                  <c:v>44962</c:v>
                </c:pt>
                <c:pt idx="1497">
                  <c:v>44963</c:v>
                </c:pt>
                <c:pt idx="1498">
                  <c:v>44964</c:v>
                </c:pt>
                <c:pt idx="1499">
                  <c:v>44965</c:v>
                </c:pt>
                <c:pt idx="1500">
                  <c:v>44966</c:v>
                </c:pt>
                <c:pt idx="1501">
                  <c:v>44967</c:v>
                </c:pt>
                <c:pt idx="1502">
                  <c:v>44968</c:v>
                </c:pt>
                <c:pt idx="1503">
                  <c:v>44969</c:v>
                </c:pt>
                <c:pt idx="1504">
                  <c:v>44970</c:v>
                </c:pt>
                <c:pt idx="1505">
                  <c:v>44971</c:v>
                </c:pt>
                <c:pt idx="1506">
                  <c:v>44972</c:v>
                </c:pt>
                <c:pt idx="1507">
                  <c:v>44973</c:v>
                </c:pt>
                <c:pt idx="1508">
                  <c:v>44974</c:v>
                </c:pt>
                <c:pt idx="1509">
                  <c:v>44975</c:v>
                </c:pt>
                <c:pt idx="1510">
                  <c:v>44976</c:v>
                </c:pt>
                <c:pt idx="1511">
                  <c:v>44977</c:v>
                </c:pt>
                <c:pt idx="1512">
                  <c:v>44978</c:v>
                </c:pt>
                <c:pt idx="1513">
                  <c:v>44979</c:v>
                </c:pt>
                <c:pt idx="1514">
                  <c:v>44980</c:v>
                </c:pt>
                <c:pt idx="1515">
                  <c:v>44981</c:v>
                </c:pt>
                <c:pt idx="1516">
                  <c:v>44982</c:v>
                </c:pt>
                <c:pt idx="1517">
                  <c:v>44983</c:v>
                </c:pt>
                <c:pt idx="1518">
                  <c:v>44984</c:v>
                </c:pt>
                <c:pt idx="1519">
                  <c:v>44985</c:v>
                </c:pt>
                <c:pt idx="1520">
                  <c:v>44986</c:v>
                </c:pt>
                <c:pt idx="1521">
                  <c:v>44987</c:v>
                </c:pt>
                <c:pt idx="1522">
                  <c:v>44988</c:v>
                </c:pt>
                <c:pt idx="1523">
                  <c:v>44989</c:v>
                </c:pt>
                <c:pt idx="1524">
                  <c:v>44990</c:v>
                </c:pt>
                <c:pt idx="1525">
                  <c:v>44991</c:v>
                </c:pt>
                <c:pt idx="1526">
                  <c:v>44992</c:v>
                </c:pt>
                <c:pt idx="1527">
                  <c:v>44993</c:v>
                </c:pt>
                <c:pt idx="1528">
                  <c:v>44994</c:v>
                </c:pt>
                <c:pt idx="1529">
                  <c:v>44995</c:v>
                </c:pt>
                <c:pt idx="1530">
                  <c:v>44996</c:v>
                </c:pt>
                <c:pt idx="1531">
                  <c:v>44997</c:v>
                </c:pt>
                <c:pt idx="1532">
                  <c:v>44998</c:v>
                </c:pt>
                <c:pt idx="1533">
                  <c:v>44999</c:v>
                </c:pt>
                <c:pt idx="1534">
                  <c:v>45000</c:v>
                </c:pt>
                <c:pt idx="1535">
                  <c:v>45001</c:v>
                </c:pt>
                <c:pt idx="1536">
                  <c:v>45002</c:v>
                </c:pt>
                <c:pt idx="1537">
                  <c:v>45003</c:v>
                </c:pt>
                <c:pt idx="1538">
                  <c:v>45004</c:v>
                </c:pt>
                <c:pt idx="1539">
                  <c:v>45005</c:v>
                </c:pt>
                <c:pt idx="1540">
                  <c:v>45006</c:v>
                </c:pt>
                <c:pt idx="1541">
                  <c:v>45007</c:v>
                </c:pt>
                <c:pt idx="1542">
                  <c:v>45008</c:v>
                </c:pt>
                <c:pt idx="1543">
                  <c:v>45009</c:v>
                </c:pt>
                <c:pt idx="1544">
                  <c:v>45010</c:v>
                </c:pt>
                <c:pt idx="1545">
                  <c:v>45011</c:v>
                </c:pt>
                <c:pt idx="1546">
                  <c:v>45012</c:v>
                </c:pt>
                <c:pt idx="1547">
                  <c:v>45013</c:v>
                </c:pt>
                <c:pt idx="1548">
                  <c:v>45014</c:v>
                </c:pt>
                <c:pt idx="1549">
                  <c:v>45015</c:v>
                </c:pt>
                <c:pt idx="1550">
                  <c:v>45016</c:v>
                </c:pt>
                <c:pt idx="1551">
                  <c:v>45017</c:v>
                </c:pt>
                <c:pt idx="1552">
                  <c:v>45018</c:v>
                </c:pt>
                <c:pt idx="1553">
                  <c:v>45019</c:v>
                </c:pt>
                <c:pt idx="1554">
                  <c:v>45020</c:v>
                </c:pt>
                <c:pt idx="1555">
                  <c:v>45021</c:v>
                </c:pt>
                <c:pt idx="1556">
                  <c:v>45022</c:v>
                </c:pt>
                <c:pt idx="1557">
                  <c:v>45023</c:v>
                </c:pt>
                <c:pt idx="1558">
                  <c:v>45024</c:v>
                </c:pt>
                <c:pt idx="1559">
                  <c:v>45025</c:v>
                </c:pt>
                <c:pt idx="1560">
                  <c:v>45026</c:v>
                </c:pt>
                <c:pt idx="1561">
                  <c:v>45027</c:v>
                </c:pt>
                <c:pt idx="1562">
                  <c:v>45028</c:v>
                </c:pt>
                <c:pt idx="1563">
                  <c:v>45029</c:v>
                </c:pt>
                <c:pt idx="1564">
                  <c:v>45030</c:v>
                </c:pt>
                <c:pt idx="1565">
                  <c:v>45031</c:v>
                </c:pt>
                <c:pt idx="1566">
                  <c:v>45032</c:v>
                </c:pt>
                <c:pt idx="1567">
                  <c:v>45033</c:v>
                </c:pt>
                <c:pt idx="1568">
                  <c:v>45034</c:v>
                </c:pt>
                <c:pt idx="1569">
                  <c:v>45035</c:v>
                </c:pt>
                <c:pt idx="1570">
                  <c:v>45036</c:v>
                </c:pt>
                <c:pt idx="1571">
                  <c:v>45037</c:v>
                </c:pt>
                <c:pt idx="1572">
                  <c:v>45038</c:v>
                </c:pt>
                <c:pt idx="1573">
                  <c:v>45039</c:v>
                </c:pt>
                <c:pt idx="1574">
                  <c:v>45040</c:v>
                </c:pt>
                <c:pt idx="1575">
                  <c:v>45041</c:v>
                </c:pt>
                <c:pt idx="1576">
                  <c:v>45042</c:v>
                </c:pt>
                <c:pt idx="1577">
                  <c:v>45043</c:v>
                </c:pt>
                <c:pt idx="1578">
                  <c:v>45044</c:v>
                </c:pt>
                <c:pt idx="1579">
                  <c:v>45045</c:v>
                </c:pt>
                <c:pt idx="1580">
                  <c:v>45046</c:v>
                </c:pt>
                <c:pt idx="1581">
                  <c:v>45047</c:v>
                </c:pt>
                <c:pt idx="1582">
                  <c:v>45048</c:v>
                </c:pt>
                <c:pt idx="1583">
                  <c:v>45049</c:v>
                </c:pt>
                <c:pt idx="1584">
                  <c:v>45050</c:v>
                </c:pt>
                <c:pt idx="1585">
                  <c:v>45051</c:v>
                </c:pt>
                <c:pt idx="1586">
                  <c:v>45052</c:v>
                </c:pt>
                <c:pt idx="1587">
                  <c:v>45053</c:v>
                </c:pt>
                <c:pt idx="1588">
                  <c:v>45054</c:v>
                </c:pt>
                <c:pt idx="1589">
                  <c:v>45055</c:v>
                </c:pt>
                <c:pt idx="1590">
                  <c:v>45056</c:v>
                </c:pt>
                <c:pt idx="1591">
                  <c:v>45057</c:v>
                </c:pt>
                <c:pt idx="1592">
                  <c:v>45058</c:v>
                </c:pt>
                <c:pt idx="1593">
                  <c:v>45059</c:v>
                </c:pt>
                <c:pt idx="1594">
                  <c:v>45060</c:v>
                </c:pt>
                <c:pt idx="1595">
                  <c:v>45061</c:v>
                </c:pt>
                <c:pt idx="1596">
                  <c:v>45062</c:v>
                </c:pt>
                <c:pt idx="1597">
                  <c:v>45063</c:v>
                </c:pt>
                <c:pt idx="1598">
                  <c:v>45064</c:v>
                </c:pt>
                <c:pt idx="1599">
                  <c:v>45065</c:v>
                </c:pt>
                <c:pt idx="1600">
                  <c:v>45066</c:v>
                </c:pt>
                <c:pt idx="1601">
                  <c:v>45067</c:v>
                </c:pt>
                <c:pt idx="1602">
                  <c:v>45068</c:v>
                </c:pt>
                <c:pt idx="1603">
                  <c:v>45069</c:v>
                </c:pt>
                <c:pt idx="1604">
                  <c:v>45070</c:v>
                </c:pt>
                <c:pt idx="1605">
                  <c:v>45071</c:v>
                </c:pt>
                <c:pt idx="1606">
                  <c:v>45072</c:v>
                </c:pt>
                <c:pt idx="1607">
                  <c:v>45073</c:v>
                </c:pt>
                <c:pt idx="1608">
                  <c:v>45074</c:v>
                </c:pt>
                <c:pt idx="1609">
                  <c:v>45075</c:v>
                </c:pt>
                <c:pt idx="1610">
                  <c:v>45076</c:v>
                </c:pt>
                <c:pt idx="1611">
                  <c:v>45077</c:v>
                </c:pt>
                <c:pt idx="1612">
                  <c:v>45078</c:v>
                </c:pt>
                <c:pt idx="1613">
                  <c:v>45079</c:v>
                </c:pt>
                <c:pt idx="1614">
                  <c:v>45080</c:v>
                </c:pt>
                <c:pt idx="1615">
                  <c:v>45081</c:v>
                </c:pt>
                <c:pt idx="1616">
                  <c:v>45082</c:v>
                </c:pt>
                <c:pt idx="1617">
                  <c:v>45083</c:v>
                </c:pt>
                <c:pt idx="1618">
                  <c:v>45084</c:v>
                </c:pt>
                <c:pt idx="1619">
                  <c:v>45085</c:v>
                </c:pt>
                <c:pt idx="1620">
                  <c:v>45086</c:v>
                </c:pt>
                <c:pt idx="1621">
                  <c:v>45087</c:v>
                </c:pt>
                <c:pt idx="1622">
                  <c:v>45088</c:v>
                </c:pt>
                <c:pt idx="1623">
                  <c:v>45089</c:v>
                </c:pt>
                <c:pt idx="1624">
                  <c:v>45090</c:v>
                </c:pt>
                <c:pt idx="1625">
                  <c:v>45091</c:v>
                </c:pt>
                <c:pt idx="1626">
                  <c:v>45092</c:v>
                </c:pt>
                <c:pt idx="1627">
                  <c:v>45093</c:v>
                </c:pt>
                <c:pt idx="1628">
                  <c:v>45094</c:v>
                </c:pt>
                <c:pt idx="1629">
                  <c:v>45095</c:v>
                </c:pt>
                <c:pt idx="1630">
                  <c:v>45096</c:v>
                </c:pt>
                <c:pt idx="1631">
                  <c:v>45097</c:v>
                </c:pt>
                <c:pt idx="1632">
                  <c:v>45098</c:v>
                </c:pt>
                <c:pt idx="1633">
                  <c:v>45099</c:v>
                </c:pt>
                <c:pt idx="1634">
                  <c:v>45100</c:v>
                </c:pt>
                <c:pt idx="1635">
                  <c:v>45101</c:v>
                </c:pt>
                <c:pt idx="1636">
                  <c:v>45102</c:v>
                </c:pt>
                <c:pt idx="1637">
                  <c:v>45103</c:v>
                </c:pt>
                <c:pt idx="1638">
                  <c:v>45104</c:v>
                </c:pt>
                <c:pt idx="1639">
                  <c:v>45105</c:v>
                </c:pt>
                <c:pt idx="1640">
                  <c:v>45106</c:v>
                </c:pt>
                <c:pt idx="1641">
                  <c:v>45107</c:v>
                </c:pt>
                <c:pt idx="1642">
                  <c:v>45108</c:v>
                </c:pt>
                <c:pt idx="1643">
                  <c:v>45109</c:v>
                </c:pt>
                <c:pt idx="1644">
                  <c:v>45110</c:v>
                </c:pt>
                <c:pt idx="1645">
                  <c:v>45111</c:v>
                </c:pt>
                <c:pt idx="1646">
                  <c:v>45112</c:v>
                </c:pt>
                <c:pt idx="1647">
                  <c:v>45113</c:v>
                </c:pt>
                <c:pt idx="1648">
                  <c:v>45114</c:v>
                </c:pt>
                <c:pt idx="1649">
                  <c:v>45115</c:v>
                </c:pt>
                <c:pt idx="1650">
                  <c:v>45116</c:v>
                </c:pt>
                <c:pt idx="1651">
                  <c:v>45117</c:v>
                </c:pt>
                <c:pt idx="1652">
                  <c:v>45118</c:v>
                </c:pt>
                <c:pt idx="1653">
                  <c:v>45119</c:v>
                </c:pt>
                <c:pt idx="1654">
                  <c:v>45120</c:v>
                </c:pt>
                <c:pt idx="1655">
                  <c:v>45121</c:v>
                </c:pt>
                <c:pt idx="1656">
                  <c:v>45122</c:v>
                </c:pt>
                <c:pt idx="1657">
                  <c:v>45123</c:v>
                </c:pt>
                <c:pt idx="1658">
                  <c:v>45124</c:v>
                </c:pt>
                <c:pt idx="1659">
                  <c:v>45125</c:v>
                </c:pt>
                <c:pt idx="1660">
                  <c:v>45126</c:v>
                </c:pt>
                <c:pt idx="1661">
                  <c:v>45127</c:v>
                </c:pt>
                <c:pt idx="1662">
                  <c:v>45128</c:v>
                </c:pt>
                <c:pt idx="1663">
                  <c:v>45129</c:v>
                </c:pt>
                <c:pt idx="1664">
                  <c:v>45130</c:v>
                </c:pt>
                <c:pt idx="1665">
                  <c:v>45131</c:v>
                </c:pt>
                <c:pt idx="1666">
                  <c:v>45132</c:v>
                </c:pt>
                <c:pt idx="1667">
                  <c:v>45133</c:v>
                </c:pt>
                <c:pt idx="1668">
                  <c:v>45134</c:v>
                </c:pt>
                <c:pt idx="1669">
                  <c:v>45135</c:v>
                </c:pt>
                <c:pt idx="1670">
                  <c:v>45136</c:v>
                </c:pt>
                <c:pt idx="1671">
                  <c:v>45137</c:v>
                </c:pt>
                <c:pt idx="1672">
                  <c:v>45138</c:v>
                </c:pt>
                <c:pt idx="1673">
                  <c:v>45139</c:v>
                </c:pt>
                <c:pt idx="1674">
                  <c:v>45140</c:v>
                </c:pt>
                <c:pt idx="1675">
                  <c:v>45141</c:v>
                </c:pt>
                <c:pt idx="1676">
                  <c:v>45142</c:v>
                </c:pt>
                <c:pt idx="1677">
                  <c:v>45143</c:v>
                </c:pt>
                <c:pt idx="1678">
                  <c:v>45144</c:v>
                </c:pt>
                <c:pt idx="1679">
                  <c:v>45145</c:v>
                </c:pt>
                <c:pt idx="1680">
                  <c:v>45146</c:v>
                </c:pt>
                <c:pt idx="1681">
                  <c:v>45147</c:v>
                </c:pt>
                <c:pt idx="1682">
                  <c:v>45148</c:v>
                </c:pt>
                <c:pt idx="1683">
                  <c:v>45149</c:v>
                </c:pt>
                <c:pt idx="1684">
                  <c:v>45150</c:v>
                </c:pt>
                <c:pt idx="1685">
                  <c:v>45151</c:v>
                </c:pt>
                <c:pt idx="1686">
                  <c:v>45152</c:v>
                </c:pt>
                <c:pt idx="1687">
                  <c:v>45153</c:v>
                </c:pt>
                <c:pt idx="1688">
                  <c:v>45154</c:v>
                </c:pt>
                <c:pt idx="1689">
                  <c:v>45155</c:v>
                </c:pt>
                <c:pt idx="1690">
                  <c:v>45156</c:v>
                </c:pt>
                <c:pt idx="1691">
                  <c:v>45157</c:v>
                </c:pt>
                <c:pt idx="1692">
                  <c:v>45158</c:v>
                </c:pt>
                <c:pt idx="1693">
                  <c:v>45159</c:v>
                </c:pt>
                <c:pt idx="1694">
                  <c:v>45160</c:v>
                </c:pt>
                <c:pt idx="1695">
                  <c:v>45161</c:v>
                </c:pt>
                <c:pt idx="1696">
                  <c:v>45162</c:v>
                </c:pt>
                <c:pt idx="1697">
                  <c:v>45163</c:v>
                </c:pt>
                <c:pt idx="1698">
                  <c:v>45164</c:v>
                </c:pt>
                <c:pt idx="1699">
                  <c:v>45165</c:v>
                </c:pt>
                <c:pt idx="1700">
                  <c:v>45166</c:v>
                </c:pt>
                <c:pt idx="1701">
                  <c:v>45167</c:v>
                </c:pt>
                <c:pt idx="1702">
                  <c:v>45168</c:v>
                </c:pt>
                <c:pt idx="1703">
                  <c:v>45169</c:v>
                </c:pt>
                <c:pt idx="1704">
                  <c:v>45170</c:v>
                </c:pt>
                <c:pt idx="1705">
                  <c:v>45171</c:v>
                </c:pt>
                <c:pt idx="1706">
                  <c:v>45172</c:v>
                </c:pt>
                <c:pt idx="1707">
                  <c:v>45173</c:v>
                </c:pt>
                <c:pt idx="1708">
                  <c:v>45174</c:v>
                </c:pt>
                <c:pt idx="1709">
                  <c:v>45175</c:v>
                </c:pt>
                <c:pt idx="1710">
                  <c:v>45176</c:v>
                </c:pt>
                <c:pt idx="1711">
                  <c:v>45177</c:v>
                </c:pt>
                <c:pt idx="1712">
                  <c:v>45178</c:v>
                </c:pt>
                <c:pt idx="1713">
                  <c:v>45179</c:v>
                </c:pt>
                <c:pt idx="1714">
                  <c:v>45180</c:v>
                </c:pt>
                <c:pt idx="1715">
                  <c:v>45181</c:v>
                </c:pt>
                <c:pt idx="1716">
                  <c:v>45182</c:v>
                </c:pt>
                <c:pt idx="1717">
                  <c:v>45183</c:v>
                </c:pt>
                <c:pt idx="1718">
                  <c:v>45184</c:v>
                </c:pt>
                <c:pt idx="1719">
                  <c:v>45185</c:v>
                </c:pt>
                <c:pt idx="1720">
                  <c:v>45186</c:v>
                </c:pt>
                <c:pt idx="1721">
                  <c:v>45187</c:v>
                </c:pt>
                <c:pt idx="1722">
                  <c:v>45188</c:v>
                </c:pt>
                <c:pt idx="1723">
                  <c:v>45189</c:v>
                </c:pt>
                <c:pt idx="1724">
                  <c:v>45190</c:v>
                </c:pt>
                <c:pt idx="1725">
                  <c:v>45191</c:v>
                </c:pt>
                <c:pt idx="1726">
                  <c:v>45192</c:v>
                </c:pt>
                <c:pt idx="1727">
                  <c:v>45193</c:v>
                </c:pt>
                <c:pt idx="1728">
                  <c:v>45194</c:v>
                </c:pt>
                <c:pt idx="1729">
                  <c:v>45195</c:v>
                </c:pt>
                <c:pt idx="1730">
                  <c:v>45196</c:v>
                </c:pt>
                <c:pt idx="1731">
                  <c:v>45197</c:v>
                </c:pt>
                <c:pt idx="1732">
                  <c:v>45198</c:v>
                </c:pt>
                <c:pt idx="1733">
                  <c:v>45199</c:v>
                </c:pt>
                <c:pt idx="1734">
                  <c:v>45200</c:v>
                </c:pt>
                <c:pt idx="1735">
                  <c:v>45201</c:v>
                </c:pt>
                <c:pt idx="1736">
                  <c:v>45202</c:v>
                </c:pt>
                <c:pt idx="1737">
                  <c:v>45203</c:v>
                </c:pt>
                <c:pt idx="1738">
                  <c:v>45204</c:v>
                </c:pt>
                <c:pt idx="1739">
                  <c:v>45205</c:v>
                </c:pt>
                <c:pt idx="1740">
                  <c:v>45206</c:v>
                </c:pt>
                <c:pt idx="1741">
                  <c:v>45207</c:v>
                </c:pt>
                <c:pt idx="1742">
                  <c:v>45208</c:v>
                </c:pt>
                <c:pt idx="1743">
                  <c:v>45209</c:v>
                </c:pt>
                <c:pt idx="1744">
                  <c:v>45210</c:v>
                </c:pt>
                <c:pt idx="1745">
                  <c:v>45211</c:v>
                </c:pt>
                <c:pt idx="1746">
                  <c:v>45212</c:v>
                </c:pt>
                <c:pt idx="1747">
                  <c:v>45213</c:v>
                </c:pt>
                <c:pt idx="1748">
                  <c:v>45214</c:v>
                </c:pt>
                <c:pt idx="1749">
                  <c:v>45215</c:v>
                </c:pt>
                <c:pt idx="1750">
                  <c:v>45216</c:v>
                </c:pt>
                <c:pt idx="1751">
                  <c:v>45217</c:v>
                </c:pt>
                <c:pt idx="1752">
                  <c:v>45218</c:v>
                </c:pt>
                <c:pt idx="1753">
                  <c:v>45219</c:v>
                </c:pt>
                <c:pt idx="1754">
                  <c:v>45220</c:v>
                </c:pt>
                <c:pt idx="1755">
                  <c:v>45221</c:v>
                </c:pt>
                <c:pt idx="1756">
                  <c:v>45222</c:v>
                </c:pt>
                <c:pt idx="1757">
                  <c:v>45223</c:v>
                </c:pt>
                <c:pt idx="1758">
                  <c:v>45224</c:v>
                </c:pt>
                <c:pt idx="1759">
                  <c:v>45225</c:v>
                </c:pt>
                <c:pt idx="1760">
                  <c:v>45226</c:v>
                </c:pt>
                <c:pt idx="1761">
                  <c:v>45227</c:v>
                </c:pt>
                <c:pt idx="1762">
                  <c:v>45228</c:v>
                </c:pt>
                <c:pt idx="1763">
                  <c:v>45229</c:v>
                </c:pt>
                <c:pt idx="1764">
                  <c:v>45230</c:v>
                </c:pt>
                <c:pt idx="1765">
                  <c:v>45231</c:v>
                </c:pt>
                <c:pt idx="1766">
                  <c:v>45232</c:v>
                </c:pt>
                <c:pt idx="1767">
                  <c:v>45233</c:v>
                </c:pt>
                <c:pt idx="1768">
                  <c:v>45234</c:v>
                </c:pt>
                <c:pt idx="1769">
                  <c:v>45235</c:v>
                </c:pt>
                <c:pt idx="1770">
                  <c:v>45236</c:v>
                </c:pt>
                <c:pt idx="1771">
                  <c:v>45237</c:v>
                </c:pt>
                <c:pt idx="1772">
                  <c:v>45238</c:v>
                </c:pt>
                <c:pt idx="1773">
                  <c:v>45239</c:v>
                </c:pt>
                <c:pt idx="1774">
                  <c:v>45240</c:v>
                </c:pt>
                <c:pt idx="1775">
                  <c:v>45241</c:v>
                </c:pt>
                <c:pt idx="1776">
                  <c:v>45242</c:v>
                </c:pt>
                <c:pt idx="1777">
                  <c:v>45243</c:v>
                </c:pt>
                <c:pt idx="1778">
                  <c:v>45244</c:v>
                </c:pt>
                <c:pt idx="1779">
                  <c:v>45245</c:v>
                </c:pt>
                <c:pt idx="1780">
                  <c:v>45246</c:v>
                </c:pt>
                <c:pt idx="1781">
                  <c:v>45247</c:v>
                </c:pt>
                <c:pt idx="1782">
                  <c:v>45248</c:v>
                </c:pt>
                <c:pt idx="1783">
                  <c:v>45249</c:v>
                </c:pt>
                <c:pt idx="1784">
                  <c:v>45250</c:v>
                </c:pt>
                <c:pt idx="1785">
                  <c:v>45251</c:v>
                </c:pt>
                <c:pt idx="1786">
                  <c:v>45252</c:v>
                </c:pt>
                <c:pt idx="1787">
                  <c:v>45253</c:v>
                </c:pt>
                <c:pt idx="1788">
                  <c:v>45254</c:v>
                </c:pt>
                <c:pt idx="1789">
                  <c:v>45255</c:v>
                </c:pt>
                <c:pt idx="1790">
                  <c:v>45256</c:v>
                </c:pt>
                <c:pt idx="1791">
                  <c:v>45257</c:v>
                </c:pt>
                <c:pt idx="1792">
                  <c:v>45258</c:v>
                </c:pt>
                <c:pt idx="1793">
                  <c:v>45259</c:v>
                </c:pt>
                <c:pt idx="1794">
                  <c:v>45260</c:v>
                </c:pt>
                <c:pt idx="1795">
                  <c:v>45261</c:v>
                </c:pt>
                <c:pt idx="1796">
                  <c:v>45262</c:v>
                </c:pt>
                <c:pt idx="1797">
                  <c:v>45263</c:v>
                </c:pt>
                <c:pt idx="1798">
                  <c:v>45264</c:v>
                </c:pt>
                <c:pt idx="1799">
                  <c:v>45265</c:v>
                </c:pt>
                <c:pt idx="1800">
                  <c:v>45266</c:v>
                </c:pt>
                <c:pt idx="1801">
                  <c:v>45267</c:v>
                </c:pt>
                <c:pt idx="1802">
                  <c:v>45268</c:v>
                </c:pt>
                <c:pt idx="1803">
                  <c:v>45269</c:v>
                </c:pt>
                <c:pt idx="1804">
                  <c:v>45270</c:v>
                </c:pt>
                <c:pt idx="1805">
                  <c:v>45271</c:v>
                </c:pt>
                <c:pt idx="1806">
                  <c:v>45272</c:v>
                </c:pt>
                <c:pt idx="1807">
                  <c:v>45273</c:v>
                </c:pt>
                <c:pt idx="1808">
                  <c:v>45274</c:v>
                </c:pt>
                <c:pt idx="1809">
                  <c:v>45275</c:v>
                </c:pt>
                <c:pt idx="1810">
                  <c:v>45276</c:v>
                </c:pt>
                <c:pt idx="1811">
                  <c:v>45277</c:v>
                </c:pt>
                <c:pt idx="1812">
                  <c:v>45278</c:v>
                </c:pt>
                <c:pt idx="1813">
                  <c:v>45279</c:v>
                </c:pt>
                <c:pt idx="1814">
                  <c:v>45280</c:v>
                </c:pt>
                <c:pt idx="1815">
                  <c:v>45281</c:v>
                </c:pt>
                <c:pt idx="1816">
                  <c:v>45282</c:v>
                </c:pt>
                <c:pt idx="1817">
                  <c:v>45283</c:v>
                </c:pt>
                <c:pt idx="1818">
                  <c:v>45284</c:v>
                </c:pt>
                <c:pt idx="1819">
                  <c:v>45285</c:v>
                </c:pt>
                <c:pt idx="1820">
                  <c:v>45286</c:v>
                </c:pt>
                <c:pt idx="1821">
                  <c:v>45287</c:v>
                </c:pt>
                <c:pt idx="1822">
                  <c:v>45288</c:v>
                </c:pt>
                <c:pt idx="1823">
                  <c:v>45289</c:v>
                </c:pt>
                <c:pt idx="1824">
                  <c:v>45290</c:v>
                </c:pt>
                <c:pt idx="1825">
                  <c:v>45291</c:v>
                </c:pt>
              </c:numCache>
            </c:numRef>
          </c:cat>
          <c:val>
            <c:numRef>
              <c:f>'San José'!$K$1:$K$1827</c:f>
              <c:numCache>
                <c:formatCode>_(* #,##0.00_);_(* \(#,##0.00\);_(* "-"??_);_(@_)</c:formatCode>
                <c:ptCount val="18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46</c:v>
                </c:pt>
                <c:pt idx="822">
                  <c:v>50</c:v>
                </c:pt>
                <c:pt idx="823">
                  <c:v>51</c:v>
                </c:pt>
                <c:pt idx="824">
                  <c:v>48</c:v>
                </c:pt>
                <c:pt idx="825">
                  <c:v>17.5</c:v>
                </c:pt>
                <c:pt idx="826">
                  <c:v>24</c:v>
                </c:pt>
                <c:pt idx="827">
                  <c:v>17.5</c:v>
                </c:pt>
                <c:pt idx="828">
                  <c:v>13.875</c:v>
                </c:pt>
                <c:pt idx="829">
                  <c:v>25.125</c:v>
                </c:pt>
                <c:pt idx="830">
                  <c:v>44</c:v>
                </c:pt>
                <c:pt idx="831">
                  <c:v>32.5</c:v>
                </c:pt>
                <c:pt idx="832">
                  <c:v>13.25</c:v>
                </c:pt>
                <c:pt idx="833">
                  <c:v>17.25</c:v>
                </c:pt>
                <c:pt idx="834">
                  <c:v>16.5</c:v>
                </c:pt>
                <c:pt idx="835">
                  <c:v>20</c:v>
                </c:pt>
                <c:pt idx="836">
                  <c:v>19.5</c:v>
                </c:pt>
                <c:pt idx="837">
                  <c:v>39</c:v>
                </c:pt>
                <c:pt idx="838">
                  <c:v>36.5</c:v>
                </c:pt>
                <c:pt idx="839">
                  <c:v>9.5</c:v>
                </c:pt>
                <c:pt idx="840">
                  <c:v>17.600000000000001</c:v>
                </c:pt>
                <c:pt idx="841">
                  <c:v>10.9</c:v>
                </c:pt>
                <c:pt idx="842">
                  <c:v>24.5</c:v>
                </c:pt>
                <c:pt idx="843">
                  <c:v>19</c:v>
                </c:pt>
                <c:pt idx="844">
                  <c:v>34</c:v>
                </c:pt>
                <c:pt idx="845">
                  <c:v>34</c:v>
                </c:pt>
                <c:pt idx="846">
                  <c:v>8</c:v>
                </c:pt>
                <c:pt idx="847">
                  <c:v>16.5</c:v>
                </c:pt>
                <c:pt idx="848">
                  <c:v>1.5</c:v>
                </c:pt>
                <c:pt idx="849">
                  <c:v>6.25</c:v>
                </c:pt>
                <c:pt idx="850">
                  <c:v>15.25</c:v>
                </c:pt>
                <c:pt idx="851">
                  <c:v>22.875</c:v>
                </c:pt>
                <c:pt idx="852">
                  <c:v>31.75</c:v>
                </c:pt>
                <c:pt idx="853">
                  <c:v>0</c:v>
                </c:pt>
                <c:pt idx="854">
                  <c:v>21.375</c:v>
                </c:pt>
                <c:pt idx="855">
                  <c:v>14.625</c:v>
                </c:pt>
                <c:pt idx="856">
                  <c:v>19.875</c:v>
                </c:pt>
                <c:pt idx="857">
                  <c:v>14.5</c:v>
                </c:pt>
                <c:pt idx="858">
                  <c:v>32.5</c:v>
                </c:pt>
                <c:pt idx="859">
                  <c:v>62.5</c:v>
                </c:pt>
                <c:pt idx="860">
                  <c:v>24.5</c:v>
                </c:pt>
                <c:pt idx="861">
                  <c:v>23</c:v>
                </c:pt>
                <c:pt idx="862">
                  <c:v>19.375</c:v>
                </c:pt>
                <c:pt idx="863">
                  <c:v>22.625</c:v>
                </c:pt>
                <c:pt idx="864">
                  <c:v>28.5</c:v>
                </c:pt>
                <c:pt idx="865">
                  <c:v>37</c:v>
                </c:pt>
                <c:pt idx="866">
                  <c:v>42</c:v>
                </c:pt>
                <c:pt idx="867">
                  <c:v>28.5</c:v>
                </c:pt>
                <c:pt idx="868">
                  <c:v>21</c:v>
                </c:pt>
                <c:pt idx="869">
                  <c:v>0</c:v>
                </c:pt>
                <c:pt idx="870">
                  <c:v>16.625</c:v>
                </c:pt>
                <c:pt idx="871">
                  <c:v>20.625</c:v>
                </c:pt>
                <c:pt idx="872">
                  <c:v>25.75</c:v>
                </c:pt>
                <c:pt idx="873">
                  <c:v>24</c:v>
                </c:pt>
                <c:pt idx="874">
                  <c:v>15.75</c:v>
                </c:pt>
                <c:pt idx="875">
                  <c:v>14.25</c:v>
                </c:pt>
                <c:pt idx="876">
                  <c:v>11.25</c:v>
                </c:pt>
                <c:pt idx="877">
                  <c:v>16.5</c:v>
                </c:pt>
                <c:pt idx="878">
                  <c:v>16.25</c:v>
                </c:pt>
                <c:pt idx="879">
                  <c:v>31</c:v>
                </c:pt>
                <c:pt idx="880">
                  <c:v>34.875</c:v>
                </c:pt>
                <c:pt idx="881">
                  <c:v>12.125</c:v>
                </c:pt>
                <c:pt idx="882">
                  <c:v>20</c:v>
                </c:pt>
                <c:pt idx="883">
                  <c:v>21</c:v>
                </c:pt>
                <c:pt idx="884">
                  <c:v>17.5</c:v>
                </c:pt>
                <c:pt idx="885">
                  <c:v>21.625</c:v>
                </c:pt>
                <c:pt idx="886">
                  <c:v>29.875</c:v>
                </c:pt>
                <c:pt idx="887">
                  <c:v>30</c:v>
                </c:pt>
                <c:pt idx="888">
                  <c:v>23.5</c:v>
                </c:pt>
                <c:pt idx="889">
                  <c:v>19.75</c:v>
                </c:pt>
                <c:pt idx="890">
                  <c:v>11.875</c:v>
                </c:pt>
                <c:pt idx="891">
                  <c:v>20.125</c:v>
                </c:pt>
                <c:pt idx="892">
                  <c:v>15.75</c:v>
                </c:pt>
                <c:pt idx="893">
                  <c:v>24.375</c:v>
                </c:pt>
                <c:pt idx="894">
                  <c:v>28.875</c:v>
                </c:pt>
                <c:pt idx="895">
                  <c:v>15.5</c:v>
                </c:pt>
                <c:pt idx="896">
                  <c:v>17.625</c:v>
                </c:pt>
                <c:pt idx="897">
                  <c:v>15.75</c:v>
                </c:pt>
                <c:pt idx="898">
                  <c:v>15</c:v>
                </c:pt>
                <c:pt idx="899">
                  <c:v>15.5</c:v>
                </c:pt>
                <c:pt idx="900">
                  <c:v>30.625</c:v>
                </c:pt>
                <c:pt idx="901">
                  <c:v>29.25</c:v>
                </c:pt>
                <c:pt idx="902">
                  <c:v>15.75</c:v>
                </c:pt>
                <c:pt idx="903">
                  <c:v>10.375</c:v>
                </c:pt>
                <c:pt idx="904">
                  <c:v>14</c:v>
                </c:pt>
                <c:pt idx="905">
                  <c:v>21.375</c:v>
                </c:pt>
                <c:pt idx="906">
                  <c:v>25.625</c:v>
                </c:pt>
                <c:pt idx="907">
                  <c:v>25.625</c:v>
                </c:pt>
                <c:pt idx="908">
                  <c:v>26</c:v>
                </c:pt>
                <c:pt idx="909">
                  <c:v>19.25</c:v>
                </c:pt>
                <c:pt idx="910">
                  <c:v>19.375</c:v>
                </c:pt>
                <c:pt idx="911">
                  <c:v>18.125</c:v>
                </c:pt>
                <c:pt idx="912">
                  <c:v>14.875</c:v>
                </c:pt>
                <c:pt idx="913">
                  <c:v>18.625</c:v>
                </c:pt>
                <c:pt idx="914">
                  <c:v>25</c:v>
                </c:pt>
                <c:pt idx="915">
                  <c:v>25.5</c:v>
                </c:pt>
                <c:pt idx="916">
                  <c:v>20</c:v>
                </c:pt>
                <c:pt idx="917">
                  <c:v>15.5</c:v>
                </c:pt>
                <c:pt idx="918">
                  <c:v>12.375</c:v>
                </c:pt>
                <c:pt idx="919">
                  <c:v>8.25</c:v>
                </c:pt>
                <c:pt idx="920">
                  <c:v>17.875</c:v>
                </c:pt>
                <c:pt idx="921">
                  <c:v>24.5</c:v>
                </c:pt>
                <c:pt idx="922">
                  <c:v>25.5</c:v>
                </c:pt>
                <c:pt idx="923">
                  <c:v>12</c:v>
                </c:pt>
                <c:pt idx="924">
                  <c:v>14.5</c:v>
                </c:pt>
                <c:pt idx="925">
                  <c:v>16.5</c:v>
                </c:pt>
                <c:pt idx="926">
                  <c:v>13.5</c:v>
                </c:pt>
                <c:pt idx="927">
                  <c:v>16.25</c:v>
                </c:pt>
                <c:pt idx="928">
                  <c:v>16.75</c:v>
                </c:pt>
                <c:pt idx="929">
                  <c:v>24</c:v>
                </c:pt>
                <c:pt idx="930">
                  <c:v>12</c:v>
                </c:pt>
                <c:pt idx="931">
                  <c:v>15</c:v>
                </c:pt>
                <c:pt idx="932">
                  <c:v>16.75</c:v>
                </c:pt>
                <c:pt idx="933">
                  <c:v>10.5</c:v>
                </c:pt>
                <c:pt idx="934">
                  <c:v>16.75</c:v>
                </c:pt>
                <c:pt idx="935">
                  <c:v>26</c:v>
                </c:pt>
                <c:pt idx="936">
                  <c:v>23.5</c:v>
                </c:pt>
                <c:pt idx="937">
                  <c:v>12.75</c:v>
                </c:pt>
                <c:pt idx="938">
                  <c:v>9.25</c:v>
                </c:pt>
                <c:pt idx="939">
                  <c:v>12</c:v>
                </c:pt>
                <c:pt idx="940">
                  <c:v>15</c:v>
                </c:pt>
                <c:pt idx="941">
                  <c:v>17.5</c:v>
                </c:pt>
                <c:pt idx="942">
                  <c:v>29.5</c:v>
                </c:pt>
                <c:pt idx="943">
                  <c:v>16.75</c:v>
                </c:pt>
                <c:pt idx="944">
                  <c:v>13</c:v>
                </c:pt>
                <c:pt idx="945">
                  <c:v>20.625</c:v>
                </c:pt>
                <c:pt idx="946">
                  <c:v>12.25</c:v>
                </c:pt>
                <c:pt idx="947">
                  <c:v>14</c:v>
                </c:pt>
                <c:pt idx="948">
                  <c:v>11.375</c:v>
                </c:pt>
                <c:pt idx="949">
                  <c:v>22</c:v>
                </c:pt>
                <c:pt idx="950">
                  <c:v>23.25</c:v>
                </c:pt>
                <c:pt idx="951">
                  <c:v>14.75</c:v>
                </c:pt>
                <c:pt idx="952">
                  <c:v>12.975</c:v>
                </c:pt>
                <c:pt idx="953">
                  <c:v>11.275</c:v>
                </c:pt>
                <c:pt idx="954">
                  <c:v>11</c:v>
                </c:pt>
                <c:pt idx="955">
                  <c:v>15.25</c:v>
                </c:pt>
                <c:pt idx="956">
                  <c:v>22.75</c:v>
                </c:pt>
                <c:pt idx="957">
                  <c:v>18.25</c:v>
                </c:pt>
                <c:pt idx="958">
                  <c:v>21.75</c:v>
                </c:pt>
                <c:pt idx="959">
                  <c:v>10.625</c:v>
                </c:pt>
                <c:pt idx="960">
                  <c:v>9.5</c:v>
                </c:pt>
                <c:pt idx="961">
                  <c:v>13.125</c:v>
                </c:pt>
                <c:pt idx="962">
                  <c:v>18.125</c:v>
                </c:pt>
                <c:pt idx="963">
                  <c:v>24.125</c:v>
                </c:pt>
                <c:pt idx="964">
                  <c:v>24.25</c:v>
                </c:pt>
                <c:pt idx="965">
                  <c:v>11.25</c:v>
                </c:pt>
                <c:pt idx="966">
                  <c:v>7.75</c:v>
                </c:pt>
                <c:pt idx="967">
                  <c:v>11.5</c:v>
                </c:pt>
                <c:pt idx="968">
                  <c:v>9</c:v>
                </c:pt>
                <c:pt idx="969">
                  <c:v>16.5</c:v>
                </c:pt>
                <c:pt idx="970">
                  <c:v>21.125</c:v>
                </c:pt>
                <c:pt idx="971">
                  <c:v>22.125</c:v>
                </c:pt>
                <c:pt idx="972">
                  <c:v>11.25</c:v>
                </c:pt>
                <c:pt idx="973">
                  <c:v>6.5</c:v>
                </c:pt>
                <c:pt idx="974">
                  <c:v>11</c:v>
                </c:pt>
                <c:pt idx="975">
                  <c:v>17</c:v>
                </c:pt>
                <c:pt idx="976">
                  <c:v>25.5</c:v>
                </c:pt>
                <c:pt idx="977">
                  <c:v>25.625</c:v>
                </c:pt>
                <c:pt idx="978">
                  <c:v>29.875</c:v>
                </c:pt>
                <c:pt idx="979">
                  <c:v>8.5</c:v>
                </c:pt>
                <c:pt idx="980">
                  <c:v>10.75</c:v>
                </c:pt>
                <c:pt idx="981">
                  <c:v>8.25</c:v>
                </c:pt>
                <c:pt idx="982">
                  <c:v>6.375</c:v>
                </c:pt>
                <c:pt idx="983">
                  <c:v>13.5</c:v>
                </c:pt>
                <c:pt idx="984">
                  <c:v>25.875</c:v>
                </c:pt>
                <c:pt idx="985">
                  <c:v>22.75</c:v>
                </c:pt>
                <c:pt idx="986">
                  <c:v>10.375</c:v>
                </c:pt>
                <c:pt idx="987">
                  <c:v>13.625</c:v>
                </c:pt>
                <c:pt idx="988">
                  <c:v>11.75</c:v>
                </c:pt>
                <c:pt idx="989">
                  <c:v>9</c:v>
                </c:pt>
                <c:pt idx="990">
                  <c:v>16.25</c:v>
                </c:pt>
                <c:pt idx="991">
                  <c:v>30.5</c:v>
                </c:pt>
                <c:pt idx="992">
                  <c:v>25.5</c:v>
                </c:pt>
                <c:pt idx="993">
                  <c:v>8.625</c:v>
                </c:pt>
                <c:pt idx="994">
                  <c:v>10.375</c:v>
                </c:pt>
                <c:pt idx="995">
                  <c:v>6.25</c:v>
                </c:pt>
                <c:pt idx="996">
                  <c:v>6.75</c:v>
                </c:pt>
                <c:pt idx="997">
                  <c:v>13</c:v>
                </c:pt>
                <c:pt idx="998">
                  <c:v>23.5</c:v>
                </c:pt>
                <c:pt idx="999">
                  <c:v>18.25</c:v>
                </c:pt>
                <c:pt idx="1000">
                  <c:v>8</c:v>
                </c:pt>
                <c:pt idx="1001">
                  <c:v>9.5</c:v>
                </c:pt>
                <c:pt idx="1002">
                  <c:v>11</c:v>
                </c:pt>
                <c:pt idx="1003">
                  <c:v>8.375</c:v>
                </c:pt>
                <c:pt idx="1004">
                  <c:v>18.375</c:v>
                </c:pt>
                <c:pt idx="1005">
                  <c:v>25</c:v>
                </c:pt>
                <c:pt idx="1006">
                  <c:v>26.25</c:v>
                </c:pt>
                <c:pt idx="1007">
                  <c:v>9.75</c:v>
                </c:pt>
                <c:pt idx="1008">
                  <c:v>10</c:v>
                </c:pt>
                <c:pt idx="1009">
                  <c:v>11</c:v>
                </c:pt>
                <c:pt idx="1010">
                  <c:v>8</c:v>
                </c:pt>
                <c:pt idx="1011">
                  <c:v>12.125</c:v>
                </c:pt>
                <c:pt idx="1012">
                  <c:v>26.375</c:v>
                </c:pt>
                <c:pt idx="1013">
                  <c:v>25.5</c:v>
                </c:pt>
                <c:pt idx="1014">
                  <c:v>16.25</c:v>
                </c:pt>
                <c:pt idx="1015">
                  <c:v>8.875</c:v>
                </c:pt>
                <c:pt idx="1016">
                  <c:v>10.125</c:v>
                </c:pt>
                <c:pt idx="1017">
                  <c:v>8.25</c:v>
                </c:pt>
                <c:pt idx="1018">
                  <c:v>13.75</c:v>
                </c:pt>
                <c:pt idx="1019">
                  <c:v>25.25</c:v>
                </c:pt>
                <c:pt idx="1020">
                  <c:v>27.5</c:v>
                </c:pt>
                <c:pt idx="1021">
                  <c:v>21.375</c:v>
                </c:pt>
                <c:pt idx="1022">
                  <c:v>8.125</c:v>
                </c:pt>
                <c:pt idx="1023">
                  <c:v>11</c:v>
                </c:pt>
                <c:pt idx="1024">
                  <c:v>13.5</c:v>
                </c:pt>
                <c:pt idx="1025">
                  <c:v>12.5</c:v>
                </c:pt>
                <c:pt idx="1026">
                  <c:v>27.5</c:v>
                </c:pt>
                <c:pt idx="1027">
                  <c:v>30.5</c:v>
                </c:pt>
                <c:pt idx="1028">
                  <c:v>7.5</c:v>
                </c:pt>
                <c:pt idx="1029">
                  <c:v>12</c:v>
                </c:pt>
                <c:pt idx="1030">
                  <c:v>10.25</c:v>
                </c:pt>
                <c:pt idx="1031">
                  <c:v>14</c:v>
                </c:pt>
                <c:pt idx="1032">
                  <c:v>33.25</c:v>
                </c:pt>
                <c:pt idx="1033">
                  <c:v>13.5</c:v>
                </c:pt>
                <c:pt idx="1034">
                  <c:v>45</c:v>
                </c:pt>
                <c:pt idx="1035">
                  <c:v>17.5</c:v>
                </c:pt>
                <c:pt idx="1036">
                  <c:v>7.75</c:v>
                </c:pt>
                <c:pt idx="1037">
                  <c:v>9.75</c:v>
                </c:pt>
                <c:pt idx="1038">
                  <c:v>6.625</c:v>
                </c:pt>
                <c:pt idx="1039">
                  <c:v>19.5</c:v>
                </c:pt>
                <c:pt idx="1040">
                  <c:v>24.625</c:v>
                </c:pt>
                <c:pt idx="1041">
                  <c:v>18.25</c:v>
                </c:pt>
                <c:pt idx="1042">
                  <c:v>11</c:v>
                </c:pt>
                <c:pt idx="1043">
                  <c:v>9.25</c:v>
                </c:pt>
                <c:pt idx="1044">
                  <c:v>12.75</c:v>
                </c:pt>
                <c:pt idx="1045">
                  <c:v>11.375</c:v>
                </c:pt>
                <c:pt idx="1046">
                  <c:v>5.25</c:v>
                </c:pt>
                <c:pt idx="1047">
                  <c:v>16.75</c:v>
                </c:pt>
                <c:pt idx="1048">
                  <c:v>23.875</c:v>
                </c:pt>
                <c:pt idx="1049">
                  <c:v>12.25</c:v>
                </c:pt>
                <c:pt idx="1050">
                  <c:v>13.75</c:v>
                </c:pt>
                <c:pt idx="1051">
                  <c:v>10.38</c:v>
                </c:pt>
                <c:pt idx="1052">
                  <c:v>4.4950000000000001</c:v>
                </c:pt>
                <c:pt idx="1053">
                  <c:v>13.75</c:v>
                </c:pt>
                <c:pt idx="1054">
                  <c:v>23.375</c:v>
                </c:pt>
                <c:pt idx="1055">
                  <c:v>18.75</c:v>
                </c:pt>
                <c:pt idx="1056">
                  <c:v>5.7</c:v>
                </c:pt>
                <c:pt idx="1057">
                  <c:v>9.5500000000000007</c:v>
                </c:pt>
                <c:pt idx="1058">
                  <c:v>11.375</c:v>
                </c:pt>
                <c:pt idx="1059">
                  <c:v>10.5</c:v>
                </c:pt>
                <c:pt idx="1060">
                  <c:v>12.625</c:v>
                </c:pt>
                <c:pt idx="1061">
                  <c:v>25</c:v>
                </c:pt>
                <c:pt idx="1062">
                  <c:v>21.875</c:v>
                </c:pt>
                <c:pt idx="1063">
                  <c:v>10.125</c:v>
                </c:pt>
                <c:pt idx="1064">
                  <c:v>9</c:v>
                </c:pt>
                <c:pt idx="1065">
                  <c:v>14.5</c:v>
                </c:pt>
                <c:pt idx="1066">
                  <c:v>9.5</c:v>
                </c:pt>
                <c:pt idx="1067">
                  <c:v>15.25</c:v>
                </c:pt>
                <c:pt idx="1068">
                  <c:v>22.5</c:v>
                </c:pt>
                <c:pt idx="1069">
                  <c:v>24.75</c:v>
                </c:pt>
                <c:pt idx="1070">
                  <c:v>6.75</c:v>
                </c:pt>
                <c:pt idx="1071">
                  <c:v>24.75</c:v>
                </c:pt>
                <c:pt idx="1072">
                  <c:v>16.875</c:v>
                </c:pt>
                <c:pt idx="1073">
                  <c:v>5.375</c:v>
                </c:pt>
                <c:pt idx="1074">
                  <c:v>8</c:v>
                </c:pt>
                <c:pt idx="1075">
                  <c:v>18.25</c:v>
                </c:pt>
                <c:pt idx="1076">
                  <c:v>17.875</c:v>
                </c:pt>
                <c:pt idx="1077">
                  <c:v>10.375</c:v>
                </c:pt>
                <c:pt idx="1078">
                  <c:v>11</c:v>
                </c:pt>
                <c:pt idx="1079">
                  <c:v>8.75</c:v>
                </c:pt>
                <c:pt idx="1080">
                  <c:v>10.75</c:v>
                </c:pt>
                <c:pt idx="1081">
                  <c:v>12</c:v>
                </c:pt>
                <c:pt idx="1082">
                  <c:v>27</c:v>
                </c:pt>
                <c:pt idx="1083">
                  <c:v>16.5</c:v>
                </c:pt>
                <c:pt idx="1084">
                  <c:v>22.75</c:v>
                </c:pt>
                <c:pt idx="1085">
                  <c:v>20.75</c:v>
                </c:pt>
                <c:pt idx="1086">
                  <c:v>13.125</c:v>
                </c:pt>
                <c:pt idx="1087">
                  <c:v>15.5</c:v>
                </c:pt>
                <c:pt idx="1088">
                  <c:v>0</c:v>
                </c:pt>
                <c:pt idx="1089">
                  <c:v>26.375</c:v>
                </c:pt>
                <c:pt idx="1090">
                  <c:v>22.5</c:v>
                </c:pt>
                <c:pt idx="1091">
                  <c:v>11.5</c:v>
                </c:pt>
                <c:pt idx="1092">
                  <c:v>14</c:v>
                </c:pt>
                <c:pt idx="1093">
                  <c:v>8.125</c:v>
                </c:pt>
                <c:pt idx="1094">
                  <c:v>20.625</c:v>
                </c:pt>
                <c:pt idx="1095">
                  <c:v>43.875</c:v>
                </c:pt>
                <c:pt idx="1096">
                  <c:v>41.25</c:v>
                </c:pt>
                <c:pt idx="1097">
                  <c:v>30</c:v>
                </c:pt>
                <c:pt idx="1098">
                  <c:v>15.75</c:v>
                </c:pt>
                <c:pt idx="1099">
                  <c:v>16.75</c:v>
                </c:pt>
                <c:pt idx="1100">
                  <c:v>18.625</c:v>
                </c:pt>
                <c:pt idx="1101">
                  <c:v>11.875</c:v>
                </c:pt>
                <c:pt idx="1102">
                  <c:v>25.625</c:v>
                </c:pt>
                <c:pt idx="1103">
                  <c:v>12.25</c:v>
                </c:pt>
                <c:pt idx="1104">
                  <c:v>14.5</c:v>
                </c:pt>
                <c:pt idx="1105">
                  <c:v>16.25</c:v>
                </c:pt>
                <c:pt idx="1106">
                  <c:v>8.875</c:v>
                </c:pt>
                <c:pt idx="1107">
                  <c:v>15.375</c:v>
                </c:pt>
                <c:pt idx="1108">
                  <c:v>9.75</c:v>
                </c:pt>
                <c:pt idx="1109">
                  <c:v>12.375</c:v>
                </c:pt>
                <c:pt idx="1110">
                  <c:v>19.375</c:v>
                </c:pt>
                <c:pt idx="1111">
                  <c:v>20.125</c:v>
                </c:pt>
                <c:pt idx="1112">
                  <c:v>9</c:v>
                </c:pt>
                <c:pt idx="1113">
                  <c:v>11</c:v>
                </c:pt>
                <c:pt idx="1114">
                  <c:v>11.75</c:v>
                </c:pt>
                <c:pt idx="1115">
                  <c:v>10.725</c:v>
                </c:pt>
                <c:pt idx="1116">
                  <c:v>13.025</c:v>
                </c:pt>
                <c:pt idx="1117">
                  <c:v>14.875</c:v>
                </c:pt>
                <c:pt idx="1118">
                  <c:v>24.625</c:v>
                </c:pt>
                <c:pt idx="1119">
                  <c:v>7</c:v>
                </c:pt>
                <c:pt idx="1120">
                  <c:v>14</c:v>
                </c:pt>
                <c:pt idx="1121">
                  <c:v>7.625</c:v>
                </c:pt>
                <c:pt idx="1122">
                  <c:v>6.125</c:v>
                </c:pt>
                <c:pt idx="1123">
                  <c:v>13.75</c:v>
                </c:pt>
                <c:pt idx="1124">
                  <c:v>21.75</c:v>
                </c:pt>
                <c:pt idx="1125">
                  <c:v>17.875</c:v>
                </c:pt>
                <c:pt idx="1126">
                  <c:v>13.625</c:v>
                </c:pt>
                <c:pt idx="1127">
                  <c:v>7.875</c:v>
                </c:pt>
                <c:pt idx="1128">
                  <c:v>8.875</c:v>
                </c:pt>
                <c:pt idx="1129">
                  <c:v>8.25</c:v>
                </c:pt>
                <c:pt idx="1130">
                  <c:v>9</c:v>
                </c:pt>
                <c:pt idx="1131">
                  <c:v>15.625</c:v>
                </c:pt>
                <c:pt idx="1132">
                  <c:v>16.125</c:v>
                </c:pt>
                <c:pt idx="1133">
                  <c:v>10</c:v>
                </c:pt>
                <c:pt idx="1134">
                  <c:v>13</c:v>
                </c:pt>
                <c:pt idx="1135">
                  <c:v>12.75</c:v>
                </c:pt>
                <c:pt idx="1136">
                  <c:v>6.25</c:v>
                </c:pt>
                <c:pt idx="1137">
                  <c:v>12</c:v>
                </c:pt>
                <c:pt idx="1138">
                  <c:v>23.25</c:v>
                </c:pt>
                <c:pt idx="1139">
                  <c:v>18.125</c:v>
                </c:pt>
                <c:pt idx="1140">
                  <c:v>9.625</c:v>
                </c:pt>
                <c:pt idx="1141">
                  <c:v>14.125</c:v>
                </c:pt>
                <c:pt idx="1142">
                  <c:v>10.375</c:v>
                </c:pt>
                <c:pt idx="1143">
                  <c:v>7.5</c:v>
                </c:pt>
                <c:pt idx="1144">
                  <c:v>8.25</c:v>
                </c:pt>
                <c:pt idx="1145">
                  <c:v>23.125</c:v>
                </c:pt>
                <c:pt idx="1146">
                  <c:v>14.625</c:v>
                </c:pt>
                <c:pt idx="1147">
                  <c:v>6.625</c:v>
                </c:pt>
                <c:pt idx="1148">
                  <c:v>5.25</c:v>
                </c:pt>
                <c:pt idx="1149">
                  <c:v>6.875</c:v>
                </c:pt>
                <c:pt idx="1150">
                  <c:v>8.625</c:v>
                </c:pt>
                <c:pt idx="1151">
                  <c:v>7.875</c:v>
                </c:pt>
                <c:pt idx="1152">
                  <c:v>21.75</c:v>
                </c:pt>
                <c:pt idx="1153">
                  <c:v>13.625</c:v>
                </c:pt>
                <c:pt idx="1154">
                  <c:v>7.375</c:v>
                </c:pt>
                <c:pt idx="1155">
                  <c:v>9.625</c:v>
                </c:pt>
                <c:pt idx="1156">
                  <c:v>10</c:v>
                </c:pt>
                <c:pt idx="1157">
                  <c:v>11.375</c:v>
                </c:pt>
                <c:pt idx="1158">
                  <c:v>13.25</c:v>
                </c:pt>
                <c:pt idx="1159">
                  <c:v>19.625</c:v>
                </c:pt>
                <c:pt idx="1160">
                  <c:v>20.375</c:v>
                </c:pt>
                <c:pt idx="1161">
                  <c:v>10</c:v>
                </c:pt>
                <c:pt idx="1162">
                  <c:v>22.75</c:v>
                </c:pt>
                <c:pt idx="1163">
                  <c:v>9.5</c:v>
                </c:pt>
                <c:pt idx="1164">
                  <c:v>12.125</c:v>
                </c:pt>
                <c:pt idx="1165">
                  <c:v>18.125</c:v>
                </c:pt>
                <c:pt idx="1166">
                  <c:v>24.625</c:v>
                </c:pt>
                <c:pt idx="1167">
                  <c:v>16.625</c:v>
                </c:pt>
                <c:pt idx="1168">
                  <c:v>4.75</c:v>
                </c:pt>
                <c:pt idx="1169">
                  <c:v>11.25</c:v>
                </c:pt>
                <c:pt idx="1170">
                  <c:v>6.375</c:v>
                </c:pt>
                <c:pt idx="1171">
                  <c:v>6.375</c:v>
                </c:pt>
                <c:pt idx="1172">
                  <c:v>10.875</c:v>
                </c:pt>
                <c:pt idx="1173">
                  <c:v>13.375</c:v>
                </c:pt>
                <c:pt idx="1174">
                  <c:v>10.25</c:v>
                </c:pt>
                <c:pt idx="1175">
                  <c:v>11.625</c:v>
                </c:pt>
                <c:pt idx="1176">
                  <c:v>4.125</c:v>
                </c:pt>
                <c:pt idx="1177">
                  <c:v>6.375</c:v>
                </c:pt>
                <c:pt idx="1178">
                  <c:v>9.75</c:v>
                </c:pt>
                <c:pt idx="1179">
                  <c:v>6</c:v>
                </c:pt>
                <c:pt idx="1180">
                  <c:v>14.625</c:v>
                </c:pt>
                <c:pt idx="1181">
                  <c:v>16.375</c:v>
                </c:pt>
                <c:pt idx="1182">
                  <c:v>9.875</c:v>
                </c:pt>
                <c:pt idx="1183">
                  <c:v>7.875</c:v>
                </c:pt>
                <c:pt idx="1184">
                  <c:v>10.375</c:v>
                </c:pt>
                <c:pt idx="1185">
                  <c:v>7.75</c:v>
                </c:pt>
                <c:pt idx="1186">
                  <c:v>10.25</c:v>
                </c:pt>
                <c:pt idx="1187">
                  <c:v>12.625</c:v>
                </c:pt>
                <c:pt idx="1188">
                  <c:v>30.125</c:v>
                </c:pt>
                <c:pt idx="1189">
                  <c:v>4.5</c:v>
                </c:pt>
                <c:pt idx="1190">
                  <c:v>7.5</c:v>
                </c:pt>
                <c:pt idx="1191">
                  <c:v>7.9749999999999996</c:v>
                </c:pt>
                <c:pt idx="1192">
                  <c:v>6.7750000000000004</c:v>
                </c:pt>
                <c:pt idx="1193">
                  <c:v>10.5</c:v>
                </c:pt>
                <c:pt idx="1194">
                  <c:v>12.5</c:v>
                </c:pt>
                <c:pt idx="1195">
                  <c:v>16</c:v>
                </c:pt>
                <c:pt idx="1196">
                  <c:v>10.875</c:v>
                </c:pt>
                <c:pt idx="1197">
                  <c:v>8.625</c:v>
                </c:pt>
                <c:pt idx="1198">
                  <c:v>13.125</c:v>
                </c:pt>
                <c:pt idx="1199">
                  <c:v>17.25</c:v>
                </c:pt>
                <c:pt idx="1200">
                  <c:v>18.625</c:v>
                </c:pt>
                <c:pt idx="1201">
                  <c:v>9.25</c:v>
                </c:pt>
                <c:pt idx="1202">
                  <c:v>16.5</c:v>
                </c:pt>
                <c:pt idx="1203">
                  <c:v>6.625</c:v>
                </c:pt>
                <c:pt idx="1204">
                  <c:v>9.125</c:v>
                </c:pt>
                <c:pt idx="1205">
                  <c:v>3.625</c:v>
                </c:pt>
                <c:pt idx="1206">
                  <c:v>6.625</c:v>
                </c:pt>
                <c:pt idx="1207">
                  <c:v>14.5</c:v>
                </c:pt>
                <c:pt idx="1208">
                  <c:v>8.875</c:v>
                </c:pt>
                <c:pt idx="1209">
                  <c:v>18.125</c:v>
                </c:pt>
                <c:pt idx="1210">
                  <c:v>6.5</c:v>
                </c:pt>
                <c:pt idx="1211">
                  <c:v>8.9749999999999996</c:v>
                </c:pt>
                <c:pt idx="1212">
                  <c:v>7.0250000000000004</c:v>
                </c:pt>
                <c:pt idx="1213">
                  <c:v>6.125</c:v>
                </c:pt>
                <c:pt idx="1214">
                  <c:v>8.75</c:v>
                </c:pt>
                <c:pt idx="1215">
                  <c:v>21.125</c:v>
                </c:pt>
                <c:pt idx="1216">
                  <c:v>26.25</c:v>
                </c:pt>
                <c:pt idx="1217">
                  <c:v>11.125</c:v>
                </c:pt>
                <c:pt idx="1218">
                  <c:v>7</c:v>
                </c:pt>
                <c:pt idx="1219">
                  <c:v>7.625</c:v>
                </c:pt>
                <c:pt idx="1220">
                  <c:v>7.375</c:v>
                </c:pt>
                <c:pt idx="1221">
                  <c:v>7.625</c:v>
                </c:pt>
                <c:pt idx="1222">
                  <c:v>15</c:v>
                </c:pt>
                <c:pt idx="1223">
                  <c:v>27.5</c:v>
                </c:pt>
                <c:pt idx="1224">
                  <c:v>6.875</c:v>
                </c:pt>
                <c:pt idx="1225">
                  <c:v>7.25</c:v>
                </c:pt>
                <c:pt idx="1226">
                  <c:v>4.875</c:v>
                </c:pt>
                <c:pt idx="1227">
                  <c:v>6.75</c:v>
                </c:pt>
                <c:pt idx="1228">
                  <c:v>14.25</c:v>
                </c:pt>
                <c:pt idx="1229">
                  <c:v>17.75</c:v>
                </c:pt>
                <c:pt idx="1230">
                  <c:v>13.875</c:v>
                </c:pt>
                <c:pt idx="1231">
                  <c:v>6.25</c:v>
                </c:pt>
                <c:pt idx="1232">
                  <c:v>8.5</c:v>
                </c:pt>
                <c:pt idx="1233">
                  <c:v>8.125</c:v>
                </c:pt>
                <c:pt idx="1234">
                  <c:v>6.75</c:v>
                </c:pt>
                <c:pt idx="1235">
                  <c:v>8.25</c:v>
                </c:pt>
                <c:pt idx="1236">
                  <c:v>16.625</c:v>
                </c:pt>
                <c:pt idx="1237">
                  <c:v>18.625</c:v>
                </c:pt>
                <c:pt idx="1238">
                  <c:v>3.5</c:v>
                </c:pt>
                <c:pt idx="1239">
                  <c:v>5.625</c:v>
                </c:pt>
                <c:pt idx="1240">
                  <c:v>6.25</c:v>
                </c:pt>
                <c:pt idx="1241">
                  <c:v>9.75</c:v>
                </c:pt>
                <c:pt idx="1242">
                  <c:v>10.375</c:v>
                </c:pt>
                <c:pt idx="1243">
                  <c:v>10.375</c:v>
                </c:pt>
                <c:pt idx="1244">
                  <c:v>18.875</c:v>
                </c:pt>
                <c:pt idx="1245">
                  <c:v>#N/A</c:v>
                </c:pt>
                <c:pt idx="1246">
                  <c:v>#N/A</c:v>
                </c:pt>
                <c:pt idx="1247">
                  <c:v>7.375</c:v>
                </c:pt>
                <c:pt idx="1248">
                  <c:v>8</c:v>
                </c:pt>
                <c:pt idx="1249">
                  <c:v>12.125</c:v>
                </c:pt>
                <c:pt idx="1250">
                  <c:v>10.875</c:v>
                </c:pt>
                <c:pt idx="1251">
                  <c:v>11.875</c:v>
                </c:pt>
                <c:pt idx="1252">
                  <c:v>7.5</c:v>
                </c:pt>
                <c:pt idx="1253">
                  <c:v>6.875</c:v>
                </c:pt>
                <c:pt idx="1254">
                  <c:v>10.25</c:v>
                </c:pt>
                <c:pt idx="1255">
                  <c:v>7</c:v>
                </c:pt>
                <c:pt idx="1256">
                  <c:v>9.25</c:v>
                </c:pt>
                <c:pt idx="1257">
                  <c:v>11.125</c:v>
                </c:pt>
                <c:pt idx="1258">
                  <c:v>12.5</c:v>
                </c:pt>
                <c:pt idx="1259">
                  <c:v>5.25</c:v>
                </c:pt>
                <c:pt idx="1260">
                  <c:v>7.875</c:v>
                </c:pt>
                <c:pt idx="1261">
                  <c:v>6.75</c:v>
                </c:pt>
                <c:pt idx="1262">
                  <c:v>8.125</c:v>
                </c:pt>
                <c:pt idx="1263">
                  <c:v>10</c:v>
                </c:pt>
                <c:pt idx="1264">
                  <c:v>15</c:v>
                </c:pt>
                <c:pt idx="1265">
                  <c:v>18.875</c:v>
                </c:pt>
                <c:pt idx="1266">
                  <c:v>13.875</c:v>
                </c:pt>
                <c:pt idx="1267">
                  <c:v>7.75</c:v>
                </c:pt>
                <c:pt idx="1268">
                  <c:v>8.25</c:v>
                </c:pt>
                <c:pt idx="1269">
                  <c:v>7.5</c:v>
                </c:pt>
                <c:pt idx="1270">
                  <c:v>7.625</c:v>
                </c:pt>
                <c:pt idx="1271">
                  <c:v>17</c:v>
                </c:pt>
                <c:pt idx="1272">
                  <c:v>23.75</c:v>
                </c:pt>
                <c:pt idx="1273">
                  <c:v>12.125</c:v>
                </c:pt>
                <c:pt idx="1274">
                  <c:v>7.5</c:v>
                </c:pt>
                <c:pt idx="1275">
                  <c:v>9</c:v>
                </c:pt>
                <c:pt idx="1276">
                  <c:v>#N/A</c:v>
                </c:pt>
                <c:pt idx="1277">
                  <c:v>14.5</c:v>
                </c:pt>
                <c:pt idx="1278">
                  <c:v>12</c:v>
                </c:pt>
                <c:pt idx="1279">
                  <c:v>17</c:v>
                </c:pt>
                <c:pt idx="1280">
                  <c:v>13.25</c:v>
                </c:pt>
                <c:pt idx="1281">
                  <c:v>10.125</c:v>
                </c:pt>
                <c:pt idx="1282">
                  <c:v>10.125</c:v>
                </c:pt>
                <c:pt idx="1283">
                  <c:v>8.375</c:v>
                </c:pt>
                <c:pt idx="1284">
                  <c:v>9.25</c:v>
                </c:pt>
                <c:pt idx="1285">
                  <c:v>11.75</c:v>
                </c:pt>
                <c:pt idx="1286">
                  <c:v>16.75</c:v>
                </c:pt>
                <c:pt idx="1287">
                  <c:v>6.375</c:v>
                </c:pt>
                <c:pt idx="1288">
                  <c:v>6.25</c:v>
                </c:pt>
                <c:pt idx="1289">
                  <c:v>9</c:v>
                </c:pt>
                <c:pt idx="1290">
                  <c:v>6</c:v>
                </c:pt>
                <c:pt idx="1291">
                  <c:v>11.5</c:v>
                </c:pt>
                <c:pt idx="1292">
                  <c:v>14.75</c:v>
                </c:pt>
                <c:pt idx="1293">
                  <c:v>17.25</c:v>
                </c:pt>
                <c:pt idx="1294">
                  <c:v>7.25</c:v>
                </c:pt>
                <c:pt idx="1295">
                  <c:v>5.875</c:v>
                </c:pt>
                <c:pt idx="1296">
                  <c:v>8.375</c:v>
                </c:pt>
                <c:pt idx="1297">
                  <c:v>6.5</c:v>
                </c:pt>
                <c:pt idx="1298">
                  <c:v>13.375</c:v>
                </c:pt>
                <c:pt idx="1299">
                  <c:v>17.875</c:v>
                </c:pt>
                <c:pt idx="1300">
                  <c:v>15.75</c:v>
                </c:pt>
                <c:pt idx="1301">
                  <c:v>9.125</c:v>
                </c:pt>
                <c:pt idx="1302">
                  <c:v>9.625</c:v>
                </c:pt>
                <c:pt idx="1303">
                  <c:v>9.125</c:v>
                </c:pt>
                <c:pt idx="1304">
                  <c:v>10.875</c:v>
                </c:pt>
                <c:pt idx="1305">
                  <c:v>9.625</c:v>
                </c:pt>
                <c:pt idx="1306">
                  <c:v>17.375</c:v>
                </c:pt>
                <c:pt idx="1307">
                  <c:v>16</c:v>
                </c:pt>
                <c:pt idx="1308">
                  <c:v>6.5</c:v>
                </c:pt>
                <c:pt idx="1309">
                  <c:v>9.25</c:v>
                </c:pt>
                <c:pt idx="1310">
                  <c:v>9.25</c:v>
                </c:pt>
                <c:pt idx="1311">
                  <c:v>8.125</c:v>
                </c:pt>
                <c:pt idx="1312">
                  <c:v>9.375</c:v>
                </c:pt>
                <c:pt idx="1313">
                  <c:v>20</c:v>
                </c:pt>
                <c:pt idx="1314">
                  <c:v>17.25</c:v>
                </c:pt>
                <c:pt idx="1315">
                  <c:v>3.75</c:v>
                </c:pt>
                <c:pt idx="1316">
                  <c:v>12.375</c:v>
                </c:pt>
                <c:pt idx="1317">
                  <c:v>7.125</c:v>
                </c:pt>
                <c:pt idx="1318">
                  <c:v>7.5</c:v>
                </c:pt>
                <c:pt idx="1319">
                  <c:v>11.875</c:v>
                </c:pt>
                <c:pt idx="1320">
                  <c:v>11.625</c:v>
                </c:pt>
                <c:pt idx="1321">
                  <c:v>21.875</c:v>
                </c:pt>
                <c:pt idx="1322">
                  <c:v>14</c:v>
                </c:pt>
                <c:pt idx="1323">
                  <c:v>8.75</c:v>
                </c:pt>
                <c:pt idx="1324">
                  <c:v>3</c:v>
                </c:pt>
                <c:pt idx="1325">
                  <c:v>6.375</c:v>
                </c:pt>
                <c:pt idx="1326">
                  <c:v>8.625</c:v>
                </c:pt>
                <c:pt idx="1327">
                  <c:v>18.875</c:v>
                </c:pt>
                <c:pt idx="1328">
                  <c:v>12</c:v>
                </c:pt>
                <c:pt idx="1329">
                  <c:v>7.875</c:v>
                </c:pt>
                <c:pt idx="1330">
                  <c:v>7.125</c:v>
                </c:pt>
                <c:pt idx="1331">
                  <c:v>4.25</c:v>
                </c:pt>
                <c:pt idx="1332">
                  <c:v>7.125</c:v>
                </c:pt>
                <c:pt idx="1333">
                  <c:v>6.125</c:v>
                </c:pt>
                <c:pt idx="1334">
                  <c:v>12</c:v>
                </c:pt>
                <c:pt idx="1335">
                  <c:v>10.125</c:v>
                </c:pt>
                <c:pt idx="1336">
                  <c:v>6</c:v>
                </c:pt>
                <c:pt idx="1337">
                  <c:v>#N/A</c:v>
                </c:pt>
                <c:pt idx="1338">
                  <c:v>#N/A</c:v>
                </c:pt>
                <c:pt idx="1339">
                  <c:v>6.875</c:v>
                </c:pt>
                <c:pt idx="1340">
                  <c:v>12.875</c:v>
                </c:pt>
                <c:pt idx="1341">
                  <c:v>14.125</c:v>
                </c:pt>
                <c:pt idx="1342">
                  <c:v>19</c:v>
                </c:pt>
                <c:pt idx="1343">
                  <c:v>4.875</c:v>
                </c:pt>
                <c:pt idx="1344">
                  <c:v>9.125</c:v>
                </c:pt>
                <c:pt idx="1345">
                  <c:v>7.375</c:v>
                </c:pt>
                <c:pt idx="1346">
                  <c:v>8.125</c:v>
                </c:pt>
                <c:pt idx="1347">
                  <c:v>10.875</c:v>
                </c:pt>
                <c:pt idx="1348">
                  <c:v>11.875</c:v>
                </c:pt>
                <c:pt idx="1349">
                  <c:v>13.75</c:v>
                </c:pt>
                <c:pt idx="1350">
                  <c:v>6</c:v>
                </c:pt>
                <c:pt idx="1351">
                  <c:v>10.875</c:v>
                </c:pt>
                <c:pt idx="1352">
                  <c:v>6</c:v>
                </c:pt>
                <c:pt idx="1353">
                  <c:v>6.25</c:v>
                </c:pt>
                <c:pt idx="1354">
                  <c:v>6.625</c:v>
                </c:pt>
                <c:pt idx="1355">
                  <c:v>22</c:v>
                </c:pt>
                <c:pt idx="1356">
                  <c:v>14.75</c:v>
                </c:pt>
                <c:pt idx="1357">
                  <c:v>4.5</c:v>
                </c:pt>
                <c:pt idx="1358">
                  <c:v>7.625</c:v>
                </c:pt>
                <c:pt idx="1359">
                  <c:v>8.5</c:v>
                </c:pt>
                <c:pt idx="1360">
                  <c:v>4.375</c:v>
                </c:pt>
                <c:pt idx="1361">
                  <c:v>8.125</c:v>
                </c:pt>
                <c:pt idx="1362">
                  <c:v>12.5</c:v>
                </c:pt>
                <c:pt idx="1363">
                  <c:v>11.75</c:v>
                </c:pt>
                <c:pt idx="1364">
                  <c:v>8</c:v>
                </c:pt>
                <c:pt idx="1365">
                  <c:v>7.875</c:v>
                </c:pt>
                <c:pt idx="1366">
                  <c:v>4.5</c:v>
                </c:pt>
                <c:pt idx="1367">
                  <c:v>6.125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6.25</c:v>
                </c:pt>
                <c:pt idx="1401">
                  <c:v>7.75</c:v>
                </c:pt>
                <c:pt idx="1402">
                  <c:v>6.625</c:v>
                </c:pt>
                <c:pt idx="1403">
                  <c:v>10</c:v>
                </c:pt>
                <c:pt idx="1404">
                  <c:v>15.375</c:v>
                </c:pt>
                <c:pt idx="1405">
                  <c:v>12.125</c:v>
                </c:pt>
                <c:pt idx="1406">
                  <c:v>14.75</c:v>
                </c:pt>
                <c:pt idx="1407">
                  <c:v>12.125</c:v>
                </c:pt>
                <c:pt idx="1408">
                  <c:v>4.375</c:v>
                </c:pt>
                <c:pt idx="1409">
                  <c:v>6.875</c:v>
                </c:pt>
                <c:pt idx="1410">
                  <c:v>8.25</c:v>
                </c:pt>
                <c:pt idx="1411">
                  <c:v>10.125</c:v>
                </c:pt>
                <c:pt idx="1412">
                  <c:v>10.25</c:v>
                </c:pt>
                <c:pt idx="1413">
                  <c:v>10.25</c:v>
                </c:pt>
                <c:pt idx="1414">
                  <c:v>6.375</c:v>
                </c:pt>
                <c:pt idx="1415">
                  <c:v>3</c:v>
                </c:pt>
                <c:pt idx="1416">
                  <c:v>5.75</c:v>
                </c:pt>
                <c:pt idx="1417">
                  <c:v>10.5</c:v>
                </c:pt>
                <c:pt idx="1418">
                  <c:v>14.125</c:v>
                </c:pt>
                <c:pt idx="1419">
                  <c:v>13.375</c:v>
                </c:pt>
                <c:pt idx="1420">
                  <c:v>3.75</c:v>
                </c:pt>
                <c:pt idx="1421">
                  <c:v>4.5</c:v>
                </c:pt>
                <c:pt idx="1422">
                  <c:v>6.25</c:v>
                </c:pt>
                <c:pt idx="1423">
                  <c:v>8.25</c:v>
                </c:pt>
                <c:pt idx="1424">
                  <c:v>8.25</c:v>
                </c:pt>
                <c:pt idx="1425">
                  <c:v>12.375</c:v>
                </c:pt>
                <c:pt idx="1426">
                  <c:v>13.125</c:v>
                </c:pt>
                <c:pt idx="1427">
                  <c:v>6</c:v>
                </c:pt>
                <c:pt idx="1428">
                  <c:v>3.625</c:v>
                </c:pt>
                <c:pt idx="1429">
                  <c:v>#N/A</c:v>
                </c:pt>
                <c:pt idx="1430">
                  <c:v>10.25</c:v>
                </c:pt>
                <c:pt idx="1431">
                  <c:v>30.875</c:v>
                </c:pt>
                <c:pt idx="1432">
                  <c:v>10.5</c:v>
                </c:pt>
                <c:pt idx="1433">
                  <c:v>10.875</c:v>
                </c:pt>
                <c:pt idx="1434">
                  <c:v>6.375</c:v>
                </c:pt>
                <c:pt idx="1435">
                  <c:v>7.875</c:v>
                </c:pt>
                <c:pt idx="1436">
                  <c:v>19.375</c:v>
                </c:pt>
                <c:pt idx="1437">
                  <c:v>12.25</c:v>
                </c:pt>
                <c:pt idx="1438">
                  <c:v>10.375</c:v>
                </c:pt>
                <c:pt idx="1439">
                  <c:v>10.125</c:v>
                </c:pt>
                <c:pt idx="1440">
                  <c:v>7.625</c:v>
                </c:pt>
                <c:pt idx="1441">
                  <c:v>7</c:v>
                </c:pt>
                <c:pt idx="1442">
                  <c:v>9.375</c:v>
                </c:pt>
                <c:pt idx="1443">
                  <c:v>6.5</c:v>
                </c:pt>
                <c:pt idx="1444">
                  <c:v>7.5</c:v>
                </c:pt>
                <c:pt idx="1445">
                  <c:v>13.375</c:v>
                </c:pt>
                <c:pt idx="1446">
                  <c:v>9.25</c:v>
                </c:pt>
                <c:pt idx="1447">
                  <c:v>9.625</c:v>
                </c:pt>
                <c:pt idx="1448">
                  <c:v>5.625</c:v>
                </c:pt>
                <c:pt idx="1449">
                  <c:v>5.875</c:v>
                </c:pt>
                <c:pt idx="1450">
                  <c:v>8.625</c:v>
                </c:pt>
                <c:pt idx="1451">
                  <c:v>11.875</c:v>
                </c:pt>
                <c:pt idx="1452">
                  <c:v>11</c:v>
                </c:pt>
                <c:pt idx="1453">
                  <c:v>13</c:v>
                </c:pt>
                <c:pt idx="1454">
                  <c:v>20</c:v>
                </c:pt>
                <c:pt idx="1455">
                  <c:v>6.75</c:v>
                </c:pt>
                <c:pt idx="1456">
                  <c:v>7.75</c:v>
                </c:pt>
                <c:pt idx="1457">
                  <c:v>11</c:v>
                </c:pt>
                <c:pt idx="1458">
                  <c:v>10.625</c:v>
                </c:pt>
                <c:pt idx="1459">
                  <c:v>13.125</c:v>
                </c:pt>
                <c:pt idx="1460">
                  <c:v>17.375</c:v>
                </c:pt>
                <c:pt idx="1461">
                  <c:v>21</c:v>
                </c:pt>
                <c:pt idx="1462">
                  <c:v>8.875</c:v>
                </c:pt>
                <c:pt idx="1463">
                  <c:v>12.5</c:v>
                </c:pt>
                <c:pt idx="1464">
                  <c:v>14.5</c:v>
                </c:pt>
                <c:pt idx="1465">
                  <c:v>12.375</c:v>
                </c:pt>
                <c:pt idx="1466">
                  <c:v>13.375</c:v>
                </c:pt>
                <c:pt idx="1467">
                  <c:v>22.25</c:v>
                </c:pt>
                <c:pt idx="1468">
                  <c:v>15.75</c:v>
                </c:pt>
                <c:pt idx="1469">
                  <c:v>18.875</c:v>
                </c:pt>
                <c:pt idx="1470">
                  <c:v>6</c:v>
                </c:pt>
                <c:pt idx="1471">
                  <c:v>14.25</c:v>
                </c:pt>
                <c:pt idx="1472">
                  <c:v>8.625</c:v>
                </c:pt>
                <c:pt idx="1473">
                  <c:v>10.25</c:v>
                </c:pt>
                <c:pt idx="1474">
                  <c:v>8.75</c:v>
                </c:pt>
                <c:pt idx="1475">
                  <c:v>16.875</c:v>
                </c:pt>
                <c:pt idx="1476">
                  <c:v>5.75</c:v>
                </c:pt>
                <c:pt idx="1477">
                  <c:v>10.625</c:v>
                </c:pt>
                <c:pt idx="1478">
                  <c:v>9.375</c:v>
                </c:pt>
                <c:pt idx="1479">
                  <c:v>8.75</c:v>
                </c:pt>
                <c:pt idx="1480">
                  <c:v>8.25</c:v>
                </c:pt>
                <c:pt idx="1481">
                  <c:v>11.5</c:v>
                </c:pt>
                <c:pt idx="1482">
                  <c:v>15.875</c:v>
                </c:pt>
                <c:pt idx="1483">
                  <c:v>3.125</c:v>
                </c:pt>
                <c:pt idx="1484">
                  <c:v>7.875</c:v>
                </c:pt>
                <c:pt idx="1485">
                  <c:v>5.25</c:v>
                </c:pt>
                <c:pt idx="1486">
                  <c:v>6.375</c:v>
                </c:pt>
                <c:pt idx="1487">
                  <c:v>8.625</c:v>
                </c:pt>
                <c:pt idx="1488">
                  <c:v>12.125</c:v>
                </c:pt>
                <c:pt idx="1489">
                  <c:v>8.875</c:v>
                </c:pt>
                <c:pt idx="1490">
                  <c:v>8.75</c:v>
                </c:pt>
                <c:pt idx="1491">
                  <c:v>8.5</c:v>
                </c:pt>
                <c:pt idx="1492">
                  <c:v>7.125</c:v>
                </c:pt>
                <c:pt idx="1493">
                  <c:v>13.25</c:v>
                </c:pt>
                <c:pt idx="1494">
                  <c:v>11</c:v>
                </c:pt>
                <c:pt idx="1495">
                  <c:v>19.75</c:v>
                </c:pt>
                <c:pt idx="1496">
                  <c:v>9.125</c:v>
                </c:pt>
                <c:pt idx="1497">
                  <c:v>9.75</c:v>
                </c:pt>
                <c:pt idx="1498">
                  <c:v>6.375</c:v>
                </c:pt>
                <c:pt idx="1499">
                  <c:v>8.625</c:v>
                </c:pt>
                <c:pt idx="1500">
                  <c:v>3.25</c:v>
                </c:pt>
                <c:pt idx="1501">
                  <c:v>13.5</c:v>
                </c:pt>
                <c:pt idx="1502">
                  <c:v>17.5</c:v>
                </c:pt>
                <c:pt idx="1503">
                  <c:v>11.5</c:v>
                </c:pt>
                <c:pt idx="1504">
                  <c:v>10.75</c:v>
                </c:pt>
                <c:pt idx="1505">
                  <c:v>5.375</c:v>
                </c:pt>
                <c:pt idx="1506">
                  <c:v>7.75</c:v>
                </c:pt>
                <c:pt idx="1507">
                  <c:v>12.5</c:v>
                </c:pt>
                <c:pt idx="1508">
                  <c:v>4.875</c:v>
                </c:pt>
                <c:pt idx="1509">
                  <c:v>17</c:v>
                </c:pt>
                <c:pt idx="1510">
                  <c:v>14</c:v>
                </c:pt>
                <c:pt idx="1511">
                  <c:v>11.875</c:v>
                </c:pt>
                <c:pt idx="1512">
                  <c:v>10</c:v>
                </c:pt>
                <c:pt idx="1513">
                  <c:v>8</c:v>
                </c:pt>
                <c:pt idx="1514">
                  <c:v>6</c:v>
                </c:pt>
                <c:pt idx="1515">
                  <c:v>9.375</c:v>
                </c:pt>
                <c:pt idx="1516">
                  <c:v>13.25</c:v>
                </c:pt>
                <c:pt idx="1517">
                  <c:v>11.375</c:v>
                </c:pt>
                <c:pt idx="1518">
                  <c:v>5.125</c:v>
                </c:pt>
                <c:pt idx="1519">
                  <c:v>8.25</c:v>
                </c:pt>
                <c:pt idx="1520">
                  <c:v>8</c:v>
                </c:pt>
                <c:pt idx="1521">
                  <c:v>2.5</c:v>
                </c:pt>
                <c:pt idx="1522">
                  <c:v>9.625</c:v>
                </c:pt>
                <c:pt idx="1523">
                  <c:v>13.375</c:v>
                </c:pt>
                <c:pt idx="1524">
                  <c:v>11.625</c:v>
                </c:pt>
                <c:pt idx="1525">
                  <c:v>4.25</c:v>
                </c:pt>
                <c:pt idx="1526">
                  <c:v>6.5</c:v>
                </c:pt>
                <c:pt idx="1527">
                  <c:v>16.75</c:v>
                </c:pt>
                <c:pt idx="1528">
                  <c:v>6.125</c:v>
                </c:pt>
                <c:pt idx="1529">
                  <c:v>6.625</c:v>
                </c:pt>
                <c:pt idx="1530">
                  <c:v>18.5</c:v>
                </c:pt>
                <c:pt idx="1531">
                  <c:v>15.125</c:v>
                </c:pt>
                <c:pt idx="1532">
                  <c:v>5.125</c:v>
                </c:pt>
                <c:pt idx="1533">
                  <c:v>6.75</c:v>
                </c:pt>
                <c:pt idx="1534">
                  <c:v>5.5</c:v>
                </c:pt>
                <c:pt idx="1535">
                  <c:v>6.625</c:v>
                </c:pt>
                <c:pt idx="1536">
                  <c:v>4.375</c:v>
                </c:pt>
                <c:pt idx="1537">
                  <c:v>12.5</c:v>
                </c:pt>
                <c:pt idx="1538">
                  <c:v>16.375</c:v>
                </c:pt>
                <c:pt idx="1539">
                  <c:v>14.875</c:v>
                </c:pt>
                <c:pt idx="1540">
                  <c:v>13.5</c:v>
                </c:pt>
                <c:pt idx="1541">
                  <c:v>8.625</c:v>
                </c:pt>
                <c:pt idx="1542">
                  <c:v>8.75</c:v>
                </c:pt>
                <c:pt idx="1543">
                  <c:v>4.75</c:v>
                </c:pt>
                <c:pt idx="1544">
                  <c:v>13.25</c:v>
                </c:pt>
                <c:pt idx="1545">
                  <c:v>10.125</c:v>
                </c:pt>
                <c:pt idx="1546">
                  <c:v>7.5</c:v>
                </c:pt>
                <c:pt idx="1547">
                  <c:v>9.375</c:v>
                </c:pt>
                <c:pt idx="1548">
                  <c:v>3.625</c:v>
                </c:pt>
                <c:pt idx="1549">
                  <c:v>16.25</c:v>
                </c:pt>
                <c:pt idx="1550">
                  <c:v>7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10.875</c:v>
                </c:pt>
                <c:pt idx="1582">
                  <c:v>7.375</c:v>
                </c:pt>
                <c:pt idx="1583">
                  <c:v>3.625</c:v>
                </c:pt>
                <c:pt idx="1584">
                  <c:v>3.25</c:v>
                </c:pt>
                <c:pt idx="1585">
                  <c:v>8.25</c:v>
                </c:pt>
                <c:pt idx="1586">
                  <c:v>15.625</c:v>
                </c:pt>
                <c:pt idx="1587">
                  <c:v>14.125</c:v>
                </c:pt>
                <c:pt idx="1588">
                  <c:v>4.875</c:v>
                </c:pt>
                <c:pt idx="1589">
                  <c:v>1.875</c:v>
                </c:pt>
                <c:pt idx="1590">
                  <c:v>4.5</c:v>
                </c:pt>
                <c:pt idx="1591">
                  <c:v>9.25</c:v>
                </c:pt>
                <c:pt idx="1592">
                  <c:v>12.25</c:v>
                </c:pt>
                <c:pt idx="1593">
                  <c:v>10.375</c:v>
                </c:pt>
                <c:pt idx="1594">
                  <c:v>14.25</c:v>
                </c:pt>
                <c:pt idx="1595">
                  <c:v>6.625</c:v>
                </c:pt>
                <c:pt idx="1596">
                  <c:v>3.625</c:v>
                </c:pt>
                <c:pt idx="1597">
                  <c:v>6.25</c:v>
                </c:pt>
                <c:pt idx="1598">
                  <c:v>6.875</c:v>
                </c:pt>
                <c:pt idx="1599">
                  <c:v>14</c:v>
                </c:pt>
                <c:pt idx="1600">
                  <c:v>15</c:v>
                </c:pt>
                <c:pt idx="1601">
                  <c:v>8.375</c:v>
                </c:pt>
                <c:pt idx="1602">
                  <c:v>15</c:v>
                </c:pt>
                <c:pt idx="1603">
                  <c:v>2.625</c:v>
                </c:pt>
                <c:pt idx="1604">
                  <c:v>5</c:v>
                </c:pt>
                <c:pt idx="1605">
                  <c:v>8.375</c:v>
                </c:pt>
                <c:pt idx="1606">
                  <c:v>9.875</c:v>
                </c:pt>
                <c:pt idx="1607">
                  <c:v>12.75</c:v>
                </c:pt>
                <c:pt idx="1608">
                  <c:v>10.25</c:v>
                </c:pt>
                <c:pt idx="1609">
                  <c:v>7.875</c:v>
                </c:pt>
                <c:pt idx="1610">
                  <c:v>4.125</c:v>
                </c:pt>
                <c:pt idx="1611">
                  <c:v>13.875</c:v>
                </c:pt>
                <c:pt idx="1612">
                  <c:v>9.375</c:v>
                </c:pt>
                <c:pt idx="1613">
                  <c:v>9.75</c:v>
                </c:pt>
                <c:pt idx="1614">
                  <c:v>13.625</c:v>
                </c:pt>
                <c:pt idx="1615">
                  <c:v>12.125</c:v>
                </c:pt>
                <c:pt idx="1616">
                  <c:v>6.125</c:v>
                </c:pt>
                <c:pt idx="1617">
                  <c:v>4.375</c:v>
                </c:pt>
                <c:pt idx="1618">
                  <c:v>10.25</c:v>
                </c:pt>
                <c:pt idx="1619">
                  <c:v>9.625</c:v>
                </c:pt>
                <c:pt idx="1620">
                  <c:v>9.25</c:v>
                </c:pt>
                <c:pt idx="1621">
                  <c:v>12.75</c:v>
                </c:pt>
                <c:pt idx="1622">
                  <c:v>16.375</c:v>
                </c:pt>
                <c:pt idx="1623">
                  <c:v>8.25</c:v>
                </c:pt>
                <c:pt idx="1624">
                  <c:v>6</c:v>
                </c:pt>
                <c:pt idx="1625">
                  <c:v>5.25</c:v>
                </c:pt>
                <c:pt idx="1626">
                  <c:v>7.625</c:v>
                </c:pt>
                <c:pt idx="1627">
                  <c:v>11</c:v>
                </c:pt>
                <c:pt idx="1628">
                  <c:v>15.375</c:v>
                </c:pt>
                <c:pt idx="1629">
                  <c:v>16</c:v>
                </c:pt>
                <c:pt idx="1630">
                  <c:v>12.125</c:v>
                </c:pt>
                <c:pt idx="1631">
                  <c:v>7.25</c:v>
                </c:pt>
                <c:pt idx="1632">
                  <c:v>6</c:v>
                </c:pt>
                <c:pt idx="1633">
                  <c:v>9.375</c:v>
                </c:pt>
                <c:pt idx="1634">
                  <c:v>9.875</c:v>
                </c:pt>
                <c:pt idx="1635">
                  <c:v>10.75</c:v>
                </c:pt>
                <c:pt idx="1636">
                  <c:v>14.25</c:v>
                </c:pt>
                <c:pt idx="1637">
                  <c:v>5.875</c:v>
                </c:pt>
                <c:pt idx="1638">
                  <c:v>6.25</c:v>
                </c:pt>
                <c:pt idx="1639">
                  <c:v>3.25</c:v>
                </c:pt>
                <c:pt idx="1640">
                  <c:v>13</c:v>
                </c:pt>
                <c:pt idx="1641">
                  <c:v>10.125</c:v>
                </c:pt>
                <c:pt idx="1642">
                  <c:v>42.25</c:v>
                </c:pt>
                <c:pt idx="1643">
                  <c:v>13.875</c:v>
                </c:pt>
                <c:pt idx="1644">
                  <c:v>14.75</c:v>
                </c:pt>
                <c:pt idx="1645">
                  <c:v>11.5</c:v>
                </c:pt>
                <c:pt idx="1646">
                  <c:v>6.875</c:v>
                </c:pt>
                <c:pt idx="1647">
                  <c:v>13.125</c:v>
                </c:pt>
                <c:pt idx="1648">
                  <c:v>10.875</c:v>
                </c:pt>
                <c:pt idx="1649">
                  <c:v>17.625</c:v>
                </c:pt>
                <c:pt idx="1650">
                  <c:v>11.125</c:v>
                </c:pt>
                <c:pt idx="1651">
                  <c:v>7.625</c:v>
                </c:pt>
                <c:pt idx="1652">
                  <c:v>9.75</c:v>
                </c:pt>
                <c:pt idx="1653">
                  <c:v>5.625</c:v>
                </c:pt>
                <c:pt idx="1654">
                  <c:v>7.125</c:v>
                </c:pt>
                <c:pt idx="1655">
                  <c:v>10.25</c:v>
                </c:pt>
                <c:pt idx="1656">
                  <c:v>16.875</c:v>
                </c:pt>
                <c:pt idx="1657">
                  <c:v>17.875</c:v>
                </c:pt>
                <c:pt idx="1658">
                  <c:v>5.125</c:v>
                </c:pt>
                <c:pt idx="1659">
                  <c:v>6.25</c:v>
                </c:pt>
                <c:pt idx="1660">
                  <c:v>8.25</c:v>
                </c:pt>
                <c:pt idx="1661">
                  <c:v>7.125</c:v>
                </c:pt>
                <c:pt idx="1662">
                  <c:v>7.375</c:v>
                </c:pt>
                <c:pt idx="1663">
                  <c:v>13.5</c:v>
                </c:pt>
                <c:pt idx="1664">
                  <c:v>12.375</c:v>
                </c:pt>
                <c:pt idx="1665">
                  <c:v>6.25</c:v>
                </c:pt>
                <c:pt idx="1666">
                  <c:v>9.375</c:v>
                </c:pt>
                <c:pt idx="1667">
                  <c:v>5.875</c:v>
                </c:pt>
                <c:pt idx="1668">
                  <c:v>6.75</c:v>
                </c:pt>
                <c:pt idx="1669">
                  <c:v>8.25</c:v>
                </c:pt>
                <c:pt idx="1670">
                  <c:v>14.75</c:v>
                </c:pt>
                <c:pt idx="1671">
                  <c:v>18.375</c:v>
                </c:pt>
                <c:pt idx="1672">
                  <c:v>3</c:v>
                </c:pt>
                <c:pt idx="1673">
                  <c:v>11.5</c:v>
                </c:pt>
                <c:pt idx="1674">
                  <c:v>8.375</c:v>
                </c:pt>
                <c:pt idx="1675">
                  <c:v>4.75</c:v>
                </c:pt>
                <c:pt idx="1676">
                  <c:v>11.375</c:v>
                </c:pt>
                <c:pt idx="1677">
                  <c:v>11.75</c:v>
                </c:pt>
                <c:pt idx="1678">
                  <c:v>16.125</c:v>
                </c:pt>
                <c:pt idx="1679">
                  <c:v>18.25</c:v>
                </c:pt>
                <c:pt idx="1680">
                  <c:v>6.25</c:v>
                </c:pt>
                <c:pt idx="1681">
                  <c:v>6.375</c:v>
                </c:pt>
                <c:pt idx="1682">
                  <c:v>8.75</c:v>
                </c:pt>
                <c:pt idx="1683">
                  <c:v>8.25</c:v>
                </c:pt>
                <c:pt idx="1684">
                  <c:v>14.75</c:v>
                </c:pt>
                <c:pt idx="1685">
                  <c:v>11.375</c:v>
                </c:pt>
                <c:pt idx="1686">
                  <c:v>5.625</c:v>
                </c:pt>
                <c:pt idx="1687">
                  <c:v>2.75</c:v>
                </c:pt>
                <c:pt idx="1688">
                  <c:v>4.5</c:v>
                </c:pt>
                <c:pt idx="1689">
                  <c:v>10</c:v>
                </c:pt>
                <c:pt idx="1690">
                  <c:v>8.375</c:v>
                </c:pt>
                <c:pt idx="1691">
                  <c:v>8.125</c:v>
                </c:pt>
                <c:pt idx="1692">
                  <c:v>13.5</c:v>
                </c:pt>
                <c:pt idx="1693">
                  <c:v>9.5</c:v>
                </c:pt>
                <c:pt idx="1694">
                  <c:v>4</c:v>
                </c:pt>
                <c:pt idx="1695">
                  <c:v>7.125</c:v>
                </c:pt>
                <c:pt idx="1696">
                  <c:v>7.625</c:v>
                </c:pt>
                <c:pt idx="1697">
                  <c:v>11.5</c:v>
                </c:pt>
                <c:pt idx="1698">
                  <c:v>12.375</c:v>
                </c:pt>
                <c:pt idx="1699">
                  <c:v>15.75</c:v>
                </c:pt>
                <c:pt idx="1700">
                  <c:v>2.5</c:v>
                </c:pt>
                <c:pt idx="1701">
                  <c:v>7.25</c:v>
                </c:pt>
                <c:pt idx="1702">
                  <c:v>6.875</c:v>
                </c:pt>
                <c:pt idx="1703">
                  <c:v>10.25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5-44DF-8554-C14C3D90397A}"/>
            </c:ext>
          </c:extLst>
        </c:ser>
        <c:ser>
          <c:idx val="2"/>
          <c:order val="2"/>
          <c:tx>
            <c:v>Torres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Torres!$K$1:$K$1826</c:f>
              <c:numCache>
                <c:formatCode>General</c:formatCode>
                <c:ptCount val="1826"/>
                <c:pt idx="0">
                  <c:v>103.5</c:v>
                </c:pt>
                <c:pt idx="1">
                  <c:v>79.5</c:v>
                </c:pt>
                <c:pt idx="2">
                  <c:v>89</c:v>
                </c:pt>
                <c:pt idx="3">
                  <c:v>67.5</c:v>
                </c:pt>
                <c:pt idx="4">
                  <c:v>88.5</c:v>
                </c:pt>
                <c:pt idx="5">
                  <c:v>72</c:v>
                </c:pt>
                <c:pt idx="6">
                  <c:v>87</c:v>
                </c:pt>
                <c:pt idx="7">
                  <c:v>60</c:v>
                </c:pt>
                <c:pt idx="8">
                  <c:v>62</c:v>
                </c:pt>
                <c:pt idx="9">
                  <c:v>60</c:v>
                </c:pt>
                <c:pt idx="10">
                  <c:v>72.5</c:v>
                </c:pt>
                <c:pt idx="11">
                  <c:v>72.5</c:v>
                </c:pt>
                <c:pt idx="12">
                  <c:v>83.5</c:v>
                </c:pt>
                <c:pt idx="13">
                  <c:v>58</c:v>
                </c:pt>
                <c:pt idx="14">
                  <c:v>59</c:v>
                </c:pt>
                <c:pt idx="15">
                  <c:v>62</c:v>
                </c:pt>
                <c:pt idx="16">
                  <c:v>44.5</c:v>
                </c:pt>
                <c:pt idx="17">
                  <c:v>0</c:v>
                </c:pt>
                <c:pt idx="18">
                  <c:v>100.25</c:v>
                </c:pt>
                <c:pt idx="19">
                  <c:v>84.25</c:v>
                </c:pt>
                <c:pt idx="20">
                  <c:v>57</c:v>
                </c:pt>
                <c:pt idx="21">
                  <c:v>45.5</c:v>
                </c:pt>
                <c:pt idx="22">
                  <c:v>50</c:v>
                </c:pt>
                <c:pt idx="23">
                  <c:v>42.5</c:v>
                </c:pt>
                <c:pt idx="24">
                  <c:v>62.75</c:v>
                </c:pt>
                <c:pt idx="25">
                  <c:v>72.75</c:v>
                </c:pt>
                <c:pt idx="26">
                  <c:v>70</c:v>
                </c:pt>
                <c:pt idx="27">
                  <c:v>34</c:v>
                </c:pt>
                <c:pt idx="28">
                  <c:v>43</c:v>
                </c:pt>
                <c:pt idx="29">
                  <c:v>47.625</c:v>
                </c:pt>
                <c:pt idx="30">
                  <c:v>68.875</c:v>
                </c:pt>
                <c:pt idx="31">
                  <c:v>83</c:v>
                </c:pt>
                <c:pt idx="32">
                  <c:v>77</c:v>
                </c:pt>
                <c:pt idx="33">
                  <c:v>101.5</c:v>
                </c:pt>
                <c:pt idx="34">
                  <c:v>46.75</c:v>
                </c:pt>
                <c:pt idx="35">
                  <c:v>38.25</c:v>
                </c:pt>
                <c:pt idx="36">
                  <c:v>42.75</c:v>
                </c:pt>
                <c:pt idx="37">
                  <c:v>38.25</c:v>
                </c:pt>
                <c:pt idx="38">
                  <c:v>70</c:v>
                </c:pt>
                <c:pt idx="39">
                  <c:v>87</c:v>
                </c:pt>
                <c:pt idx="40">
                  <c:v>78</c:v>
                </c:pt>
                <c:pt idx="41">
                  <c:v>34.25</c:v>
                </c:pt>
                <c:pt idx="42">
                  <c:v>44.5</c:v>
                </c:pt>
                <c:pt idx="43">
                  <c:v>46.25</c:v>
                </c:pt>
                <c:pt idx="44">
                  <c:v>54</c:v>
                </c:pt>
                <c:pt idx="45">
                  <c:v>61.5</c:v>
                </c:pt>
                <c:pt idx="46">
                  <c:v>94.5</c:v>
                </c:pt>
                <c:pt idx="47">
                  <c:v>83</c:v>
                </c:pt>
                <c:pt idx="48">
                  <c:v>38</c:v>
                </c:pt>
                <c:pt idx="49">
                  <c:v>34</c:v>
                </c:pt>
                <c:pt idx="50">
                  <c:v>53</c:v>
                </c:pt>
                <c:pt idx="51">
                  <c:v>50</c:v>
                </c:pt>
                <c:pt idx="52">
                  <c:v>60.5</c:v>
                </c:pt>
                <c:pt idx="53">
                  <c:v>79.5</c:v>
                </c:pt>
                <c:pt idx="54">
                  <c:v>74</c:v>
                </c:pt>
                <c:pt idx="55">
                  <c:v>44.25</c:v>
                </c:pt>
                <c:pt idx="56">
                  <c:v>42.25</c:v>
                </c:pt>
                <c:pt idx="57">
                  <c:v>50.5</c:v>
                </c:pt>
                <c:pt idx="58">
                  <c:v>51.5</c:v>
                </c:pt>
                <c:pt idx="59">
                  <c:v>73.625</c:v>
                </c:pt>
                <c:pt idx="60">
                  <c:v>74.875</c:v>
                </c:pt>
                <c:pt idx="61">
                  <c:v>66.5</c:v>
                </c:pt>
                <c:pt idx="62">
                  <c:v>40</c:v>
                </c:pt>
                <c:pt idx="63">
                  <c:v>37.5</c:v>
                </c:pt>
                <c:pt idx="64">
                  <c:v>39</c:v>
                </c:pt>
                <c:pt idx="65">
                  <c:v>47</c:v>
                </c:pt>
                <c:pt idx="66">
                  <c:v>99</c:v>
                </c:pt>
                <c:pt idx="67">
                  <c:v>79.5</c:v>
                </c:pt>
                <c:pt idx="68">
                  <c:v>70.5</c:v>
                </c:pt>
                <c:pt idx="69">
                  <c:v>39.25</c:v>
                </c:pt>
                <c:pt idx="70">
                  <c:v>42.25</c:v>
                </c:pt>
                <c:pt idx="71">
                  <c:v>33.5</c:v>
                </c:pt>
                <c:pt idx="72">
                  <c:v>38</c:v>
                </c:pt>
                <c:pt idx="73">
                  <c:v>67.5</c:v>
                </c:pt>
                <c:pt idx="74">
                  <c:v>66</c:v>
                </c:pt>
                <c:pt idx="75">
                  <c:v>75.5</c:v>
                </c:pt>
                <c:pt idx="76">
                  <c:v>28</c:v>
                </c:pt>
                <c:pt idx="77">
                  <c:v>36</c:v>
                </c:pt>
                <c:pt idx="78">
                  <c:v>40</c:v>
                </c:pt>
                <c:pt idx="79">
                  <c:v>43.25</c:v>
                </c:pt>
                <c:pt idx="80">
                  <c:v>56.75</c:v>
                </c:pt>
                <c:pt idx="81">
                  <c:v>76</c:v>
                </c:pt>
                <c:pt idx="82">
                  <c:v>86</c:v>
                </c:pt>
                <c:pt idx="83">
                  <c:v>75.5</c:v>
                </c:pt>
                <c:pt idx="84">
                  <c:v>37</c:v>
                </c:pt>
                <c:pt idx="85">
                  <c:v>39</c:v>
                </c:pt>
                <c:pt idx="86">
                  <c:v>41</c:v>
                </c:pt>
                <c:pt idx="87">
                  <c:v>61.5</c:v>
                </c:pt>
                <c:pt idx="88">
                  <c:v>84</c:v>
                </c:pt>
                <c:pt idx="89">
                  <c:v>91.5</c:v>
                </c:pt>
                <c:pt idx="90">
                  <c:v>29.25</c:v>
                </c:pt>
                <c:pt idx="91">
                  <c:v>41.75</c:v>
                </c:pt>
                <c:pt idx="92">
                  <c:v>49</c:v>
                </c:pt>
                <c:pt idx="93">
                  <c:v>56.5</c:v>
                </c:pt>
                <c:pt idx="94">
                  <c:v>67</c:v>
                </c:pt>
                <c:pt idx="95">
                  <c:v>81</c:v>
                </c:pt>
                <c:pt idx="96">
                  <c:v>75</c:v>
                </c:pt>
                <c:pt idx="97">
                  <c:v>33.25</c:v>
                </c:pt>
                <c:pt idx="98">
                  <c:v>41.5</c:v>
                </c:pt>
                <c:pt idx="99">
                  <c:v>39.25</c:v>
                </c:pt>
                <c:pt idx="100">
                  <c:v>44</c:v>
                </c:pt>
                <c:pt idx="101">
                  <c:v>53</c:v>
                </c:pt>
                <c:pt idx="102">
                  <c:v>90.25</c:v>
                </c:pt>
                <c:pt idx="103">
                  <c:v>63.75</c:v>
                </c:pt>
                <c:pt idx="104">
                  <c:v>55.25</c:v>
                </c:pt>
                <c:pt idx="105">
                  <c:v>69.25</c:v>
                </c:pt>
                <c:pt idx="106">
                  <c:v>71</c:v>
                </c:pt>
                <c:pt idx="107">
                  <c:v>74.5</c:v>
                </c:pt>
                <c:pt idx="108">
                  <c:v>94</c:v>
                </c:pt>
                <c:pt idx="109">
                  <c:v>88.5</c:v>
                </c:pt>
                <c:pt idx="110">
                  <c:v>71.5</c:v>
                </c:pt>
                <c:pt idx="111">
                  <c:v>39.75</c:v>
                </c:pt>
                <c:pt idx="112">
                  <c:v>32.25</c:v>
                </c:pt>
                <c:pt idx="113">
                  <c:v>33.5</c:v>
                </c:pt>
                <c:pt idx="114">
                  <c:v>44.5</c:v>
                </c:pt>
                <c:pt idx="115">
                  <c:v>63</c:v>
                </c:pt>
                <c:pt idx="116">
                  <c:v>73.75</c:v>
                </c:pt>
                <c:pt idx="117">
                  <c:v>65.25</c:v>
                </c:pt>
                <c:pt idx="118">
                  <c:v>38.25</c:v>
                </c:pt>
                <c:pt idx="119">
                  <c:v>73</c:v>
                </c:pt>
                <c:pt idx="120">
                  <c:v>74.75</c:v>
                </c:pt>
                <c:pt idx="121">
                  <c:v>37</c:v>
                </c:pt>
                <c:pt idx="122">
                  <c:v>61</c:v>
                </c:pt>
                <c:pt idx="123">
                  <c:v>76</c:v>
                </c:pt>
                <c:pt idx="124">
                  <c:v>66</c:v>
                </c:pt>
                <c:pt idx="125">
                  <c:v>33</c:v>
                </c:pt>
                <c:pt idx="126">
                  <c:v>33</c:v>
                </c:pt>
                <c:pt idx="127">
                  <c:v>55.5</c:v>
                </c:pt>
                <c:pt idx="128">
                  <c:v>38</c:v>
                </c:pt>
                <c:pt idx="129">
                  <c:v>79.5</c:v>
                </c:pt>
                <c:pt idx="130">
                  <c:v>80</c:v>
                </c:pt>
                <c:pt idx="131">
                  <c:v>72</c:v>
                </c:pt>
                <c:pt idx="132">
                  <c:v>41</c:v>
                </c:pt>
                <c:pt idx="133">
                  <c:v>47.5</c:v>
                </c:pt>
                <c:pt idx="134">
                  <c:v>49</c:v>
                </c:pt>
                <c:pt idx="135">
                  <c:v>45.5</c:v>
                </c:pt>
                <c:pt idx="136">
                  <c:v>65</c:v>
                </c:pt>
                <c:pt idx="137">
                  <c:v>73</c:v>
                </c:pt>
                <c:pt idx="138">
                  <c:v>85</c:v>
                </c:pt>
                <c:pt idx="139">
                  <c:v>36</c:v>
                </c:pt>
                <c:pt idx="140">
                  <c:v>40</c:v>
                </c:pt>
                <c:pt idx="141">
                  <c:v>34.5</c:v>
                </c:pt>
                <c:pt idx="142">
                  <c:v>35.5</c:v>
                </c:pt>
                <c:pt idx="143">
                  <c:v>65</c:v>
                </c:pt>
                <c:pt idx="144">
                  <c:v>73</c:v>
                </c:pt>
                <c:pt idx="145">
                  <c:v>63.5</c:v>
                </c:pt>
                <c:pt idx="146">
                  <c:v>31</c:v>
                </c:pt>
                <c:pt idx="147">
                  <c:v>42</c:v>
                </c:pt>
                <c:pt idx="148">
                  <c:v>31.5</c:v>
                </c:pt>
                <c:pt idx="149">
                  <c:v>40.75</c:v>
                </c:pt>
                <c:pt idx="150">
                  <c:v>64.5</c:v>
                </c:pt>
                <c:pt idx="151">
                  <c:v>80</c:v>
                </c:pt>
                <c:pt idx="152">
                  <c:v>97.75</c:v>
                </c:pt>
                <c:pt idx="153">
                  <c:v>67.25</c:v>
                </c:pt>
                <c:pt idx="154">
                  <c:v>43.25</c:v>
                </c:pt>
                <c:pt idx="155">
                  <c:v>40.5</c:v>
                </c:pt>
                <c:pt idx="156">
                  <c:v>37.5</c:v>
                </c:pt>
                <c:pt idx="157">
                  <c:v>55</c:v>
                </c:pt>
                <c:pt idx="158">
                  <c:v>70.75</c:v>
                </c:pt>
                <c:pt idx="159">
                  <c:v>71.875</c:v>
                </c:pt>
                <c:pt idx="160">
                  <c:v>41.125</c:v>
                </c:pt>
                <c:pt idx="161">
                  <c:v>30.75</c:v>
                </c:pt>
                <c:pt idx="162">
                  <c:v>39.75</c:v>
                </c:pt>
                <c:pt idx="163">
                  <c:v>53.25</c:v>
                </c:pt>
                <c:pt idx="164">
                  <c:v>71.5</c:v>
                </c:pt>
                <c:pt idx="165">
                  <c:v>99.75</c:v>
                </c:pt>
                <c:pt idx="166">
                  <c:v>73.75</c:v>
                </c:pt>
                <c:pt idx="167">
                  <c:v>42</c:v>
                </c:pt>
                <c:pt idx="168">
                  <c:v>45.95</c:v>
                </c:pt>
                <c:pt idx="169">
                  <c:v>59.55</c:v>
                </c:pt>
                <c:pt idx="170">
                  <c:v>48</c:v>
                </c:pt>
                <c:pt idx="171">
                  <c:v>62.5</c:v>
                </c:pt>
                <c:pt idx="172">
                  <c:v>76.25</c:v>
                </c:pt>
                <c:pt idx="173">
                  <c:v>82.25</c:v>
                </c:pt>
                <c:pt idx="174">
                  <c:v>68.5</c:v>
                </c:pt>
                <c:pt idx="175">
                  <c:v>51</c:v>
                </c:pt>
                <c:pt idx="176">
                  <c:v>65</c:v>
                </c:pt>
                <c:pt idx="177">
                  <c:v>50.5</c:v>
                </c:pt>
                <c:pt idx="178">
                  <c:v>80</c:v>
                </c:pt>
                <c:pt idx="179">
                  <c:v>63</c:v>
                </c:pt>
                <c:pt idx="180">
                  <c:v>77.5</c:v>
                </c:pt>
                <c:pt idx="181">
                  <c:v>81</c:v>
                </c:pt>
                <c:pt idx="182">
                  <c:v>69</c:v>
                </c:pt>
                <c:pt idx="183">
                  <c:v>60</c:v>
                </c:pt>
                <c:pt idx="184">
                  <c:v>57</c:v>
                </c:pt>
                <c:pt idx="185">
                  <c:v>69</c:v>
                </c:pt>
                <c:pt idx="186">
                  <c:v>83</c:v>
                </c:pt>
                <c:pt idx="187">
                  <c:v>80</c:v>
                </c:pt>
                <c:pt idx="188">
                  <c:v>44.75</c:v>
                </c:pt>
                <c:pt idx="189">
                  <c:v>41.25</c:v>
                </c:pt>
                <c:pt idx="190">
                  <c:v>50</c:v>
                </c:pt>
                <c:pt idx="191">
                  <c:v>54</c:v>
                </c:pt>
                <c:pt idx="192">
                  <c:v>66.25</c:v>
                </c:pt>
                <c:pt idx="193">
                  <c:v>78.25</c:v>
                </c:pt>
                <c:pt idx="194">
                  <c:v>69.5</c:v>
                </c:pt>
                <c:pt idx="195">
                  <c:v>39</c:v>
                </c:pt>
                <c:pt idx="196">
                  <c:v>44</c:v>
                </c:pt>
                <c:pt idx="197">
                  <c:v>43</c:v>
                </c:pt>
                <c:pt idx="198">
                  <c:v>35.5</c:v>
                </c:pt>
                <c:pt idx="199">
                  <c:v>60</c:v>
                </c:pt>
                <c:pt idx="200">
                  <c:v>75.5</c:v>
                </c:pt>
                <c:pt idx="201">
                  <c:v>67.5</c:v>
                </c:pt>
                <c:pt idx="202">
                  <c:v>39.5</c:v>
                </c:pt>
                <c:pt idx="203">
                  <c:v>36</c:v>
                </c:pt>
                <c:pt idx="204">
                  <c:v>46</c:v>
                </c:pt>
                <c:pt idx="205">
                  <c:v>50</c:v>
                </c:pt>
                <c:pt idx="206">
                  <c:v>69</c:v>
                </c:pt>
                <c:pt idx="207">
                  <c:v>85.125</c:v>
                </c:pt>
                <c:pt idx="208">
                  <c:v>91.875</c:v>
                </c:pt>
                <c:pt idx="209">
                  <c:v>38</c:v>
                </c:pt>
                <c:pt idx="210">
                  <c:v>43</c:v>
                </c:pt>
                <c:pt idx="211">
                  <c:v>42</c:v>
                </c:pt>
                <c:pt idx="212">
                  <c:v>42.5</c:v>
                </c:pt>
                <c:pt idx="213">
                  <c:v>62.5</c:v>
                </c:pt>
                <c:pt idx="214">
                  <c:v>72</c:v>
                </c:pt>
                <c:pt idx="215">
                  <c:v>69</c:v>
                </c:pt>
                <c:pt idx="216">
                  <c:v>39.5</c:v>
                </c:pt>
                <c:pt idx="217">
                  <c:v>52</c:v>
                </c:pt>
                <c:pt idx="218">
                  <c:v>64.5</c:v>
                </c:pt>
                <c:pt idx="219">
                  <c:v>49.5</c:v>
                </c:pt>
                <c:pt idx="220">
                  <c:v>60.5</c:v>
                </c:pt>
                <c:pt idx="221">
                  <c:v>67</c:v>
                </c:pt>
                <c:pt idx="222">
                  <c:v>69</c:v>
                </c:pt>
                <c:pt idx="223">
                  <c:v>30</c:v>
                </c:pt>
                <c:pt idx="224">
                  <c:v>43</c:v>
                </c:pt>
                <c:pt idx="225">
                  <c:v>39.5</c:v>
                </c:pt>
                <c:pt idx="226">
                  <c:v>38.5</c:v>
                </c:pt>
                <c:pt idx="227">
                  <c:v>59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37</c:v>
                </c:pt>
                <c:pt idx="232">
                  <c:v>36</c:v>
                </c:pt>
                <c:pt idx="233">
                  <c:v>27</c:v>
                </c:pt>
                <c:pt idx="234">
                  <c:v>57</c:v>
                </c:pt>
                <c:pt idx="235">
                  <c:v>61</c:v>
                </c:pt>
                <c:pt idx="236">
                  <c:v>63.5</c:v>
                </c:pt>
                <c:pt idx="237">
                  <c:v>32.5</c:v>
                </c:pt>
                <c:pt idx="238">
                  <c:v>34</c:v>
                </c:pt>
                <c:pt idx="239">
                  <c:v>32</c:v>
                </c:pt>
                <c:pt idx="240">
                  <c:v>36</c:v>
                </c:pt>
                <c:pt idx="241">
                  <c:v>57.5</c:v>
                </c:pt>
                <c:pt idx="242">
                  <c:v>66.5</c:v>
                </c:pt>
                <c:pt idx="243">
                  <c:v>60.5</c:v>
                </c:pt>
                <c:pt idx="244">
                  <c:v>32.5</c:v>
                </c:pt>
                <c:pt idx="245">
                  <c:v>31.125</c:v>
                </c:pt>
                <c:pt idx="246">
                  <c:v>30.5</c:v>
                </c:pt>
                <c:pt idx="247">
                  <c:v>37.875</c:v>
                </c:pt>
                <c:pt idx="248">
                  <c:v>52</c:v>
                </c:pt>
                <c:pt idx="249">
                  <c:v>60.5</c:v>
                </c:pt>
                <c:pt idx="250">
                  <c:v>59.5</c:v>
                </c:pt>
                <c:pt idx="251">
                  <c:v>24.625</c:v>
                </c:pt>
                <c:pt idx="252">
                  <c:v>34.875</c:v>
                </c:pt>
                <c:pt idx="253">
                  <c:v>30.5</c:v>
                </c:pt>
                <c:pt idx="254">
                  <c:v>35</c:v>
                </c:pt>
                <c:pt idx="255">
                  <c:v>58.5</c:v>
                </c:pt>
                <c:pt idx="256">
                  <c:v>73</c:v>
                </c:pt>
                <c:pt idx="257">
                  <c:v>69</c:v>
                </c:pt>
                <c:pt idx="258">
                  <c:v>27</c:v>
                </c:pt>
                <c:pt idx="259">
                  <c:v>32</c:v>
                </c:pt>
                <c:pt idx="260">
                  <c:v>42</c:v>
                </c:pt>
                <c:pt idx="261">
                  <c:v>37</c:v>
                </c:pt>
                <c:pt idx="262">
                  <c:v>52</c:v>
                </c:pt>
                <c:pt idx="263">
                  <c:v>83</c:v>
                </c:pt>
                <c:pt idx="264">
                  <c:v>64</c:v>
                </c:pt>
                <c:pt idx="265">
                  <c:v>38</c:v>
                </c:pt>
                <c:pt idx="266">
                  <c:v>39</c:v>
                </c:pt>
                <c:pt idx="267">
                  <c:v>37</c:v>
                </c:pt>
                <c:pt idx="268">
                  <c:v>38</c:v>
                </c:pt>
                <c:pt idx="269">
                  <c:v>55</c:v>
                </c:pt>
                <c:pt idx="270">
                  <c:v>75</c:v>
                </c:pt>
                <c:pt idx="271">
                  <c:v>72</c:v>
                </c:pt>
                <c:pt idx="272">
                  <c:v>46.5</c:v>
                </c:pt>
                <c:pt idx="273">
                  <c:v>111.5</c:v>
                </c:pt>
                <c:pt idx="274">
                  <c:v>35</c:v>
                </c:pt>
                <c:pt idx="275">
                  <c:v>47.5</c:v>
                </c:pt>
                <c:pt idx="276">
                  <c:v>60</c:v>
                </c:pt>
                <c:pt idx="277">
                  <c:v>81</c:v>
                </c:pt>
                <c:pt idx="278">
                  <c:v>78</c:v>
                </c:pt>
                <c:pt idx="279">
                  <c:v>42</c:v>
                </c:pt>
                <c:pt idx="280">
                  <c:v>66</c:v>
                </c:pt>
                <c:pt idx="281">
                  <c:v>61.5</c:v>
                </c:pt>
                <c:pt idx="282">
                  <c:v>47</c:v>
                </c:pt>
                <c:pt idx="283">
                  <c:v>70</c:v>
                </c:pt>
                <c:pt idx="284">
                  <c:v>78.5</c:v>
                </c:pt>
                <c:pt idx="285">
                  <c:v>79</c:v>
                </c:pt>
                <c:pt idx="286">
                  <c:v>59</c:v>
                </c:pt>
                <c:pt idx="287">
                  <c:v>32</c:v>
                </c:pt>
                <c:pt idx="288">
                  <c:v>40</c:v>
                </c:pt>
                <c:pt idx="289">
                  <c:v>33</c:v>
                </c:pt>
                <c:pt idx="290">
                  <c:v>54.25</c:v>
                </c:pt>
                <c:pt idx="291">
                  <c:v>69.5</c:v>
                </c:pt>
                <c:pt idx="292">
                  <c:v>61.75</c:v>
                </c:pt>
                <c:pt idx="293">
                  <c:v>32</c:v>
                </c:pt>
                <c:pt idx="294">
                  <c:v>28.5</c:v>
                </c:pt>
                <c:pt idx="295">
                  <c:v>40</c:v>
                </c:pt>
                <c:pt idx="296">
                  <c:v>47</c:v>
                </c:pt>
                <c:pt idx="297">
                  <c:v>52</c:v>
                </c:pt>
                <c:pt idx="298">
                  <c:v>85</c:v>
                </c:pt>
                <c:pt idx="299">
                  <c:v>73.5</c:v>
                </c:pt>
                <c:pt idx="300">
                  <c:v>40</c:v>
                </c:pt>
                <c:pt idx="301">
                  <c:v>34</c:v>
                </c:pt>
                <c:pt idx="302">
                  <c:v>45</c:v>
                </c:pt>
                <c:pt idx="303">
                  <c:v>144</c:v>
                </c:pt>
                <c:pt idx="304">
                  <c:v>46</c:v>
                </c:pt>
                <c:pt idx="305">
                  <c:v>85</c:v>
                </c:pt>
                <c:pt idx="306">
                  <c:v>78</c:v>
                </c:pt>
                <c:pt idx="307">
                  <c:v>59</c:v>
                </c:pt>
                <c:pt idx="308">
                  <c:v>41</c:v>
                </c:pt>
                <c:pt idx="309">
                  <c:v>44</c:v>
                </c:pt>
                <c:pt idx="310">
                  <c:v>43.5</c:v>
                </c:pt>
                <c:pt idx="311">
                  <c:v>63</c:v>
                </c:pt>
                <c:pt idx="312">
                  <c:v>64</c:v>
                </c:pt>
                <c:pt idx="313">
                  <c:v>84</c:v>
                </c:pt>
                <c:pt idx="314">
                  <c:v>60</c:v>
                </c:pt>
                <c:pt idx="315">
                  <c:v>42.5</c:v>
                </c:pt>
                <c:pt idx="316">
                  <c:v>43.5</c:v>
                </c:pt>
                <c:pt idx="317">
                  <c:v>41</c:v>
                </c:pt>
                <c:pt idx="318">
                  <c:v>59</c:v>
                </c:pt>
                <c:pt idx="319">
                  <c:v>75</c:v>
                </c:pt>
                <c:pt idx="320">
                  <c:v>70</c:v>
                </c:pt>
                <c:pt idx="321">
                  <c:v>36</c:v>
                </c:pt>
                <c:pt idx="322">
                  <c:v>37.5</c:v>
                </c:pt>
                <c:pt idx="323">
                  <c:v>41.125</c:v>
                </c:pt>
                <c:pt idx="324">
                  <c:v>35.375</c:v>
                </c:pt>
                <c:pt idx="325">
                  <c:v>59</c:v>
                </c:pt>
                <c:pt idx="326">
                  <c:v>73</c:v>
                </c:pt>
                <c:pt idx="327">
                  <c:v>68.5</c:v>
                </c:pt>
                <c:pt idx="328">
                  <c:v>45</c:v>
                </c:pt>
                <c:pt idx="329">
                  <c:v>51.5</c:v>
                </c:pt>
                <c:pt idx="330">
                  <c:v>44</c:v>
                </c:pt>
                <c:pt idx="331">
                  <c:v>49</c:v>
                </c:pt>
                <c:pt idx="332">
                  <c:v>101.5</c:v>
                </c:pt>
                <c:pt idx="333">
                  <c:v>92</c:v>
                </c:pt>
                <c:pt idx="334">
                  <c:v>88</c:v>
                </c:pt>
                <c:pt idx="335">
                  <c:v>61</c:v>
                </c:pt>
                <c:pt idx="336">
                  <c:v>54.5</c:v>
                </c:pt>
                <c:pt idx="337">
                  <c:v>54.125</c:v>
                </c:pt>
                <c:pt idx="338">
                  <c:v>69</c:v>
                </c:pt>
                <c:pt idx="339">
                  <c:v>62.875</c:v>
                </c:pt>
                <c:pt idx="340">
                  <c:v>96</c:v>
                </c:pt>
                <c:pt idx="341">
                  <c:v>78.5</c:v>
                </c:pt>
                <c:pt idx="342">
                  <c:v>50</c:v>
                </c:pt>
                <c:pt idx="343">
                  <c:v>51.5</c:v>
                </c:pt>
                <c:pt idx="344">
                  <c:v>57</c:v>
                </c:pt>
                <c:pt idx="345">
                  <c:v>68</c:v>
                </c:pt>
                <c:pt idx="346">
                  <c:v>59</c:v>
                </c:pt>
                <c:pt idx="347">
                  <c:v>87</c:v>
                </c:pt>
                <c:pt idx="348">
                  <c:v>93</c:v>
                </c:pt>
                <c:pt idx="349">
                  <c:v>60</c:v>
                </c:pt>
                <c:pt idx="350">
                  <c:v>65</c:v>
                </c:pt>
                <c:pt idx="351">
                  <c:v>70</c:v>
                </c:pt>
                <c:pt idx="352">
                  <c:v>76</c:v>
                </c:pt>
                <c:pt idx="353">
                  <c:v>94</c:v>
                </c:pt>
                <c:pt idx="354">
                  <c:v>85</c:v>
                </c:pt>
                <c:pt idx="355">
                  <c:v>110</c:v>
                </c:pt>
                <c:pt idx="356">
                  <c:v>88</c:v>
                </c:pt>
                <c:pt idx="357">
                  <c:v>47</c:v>
                </c:pt>
                <c:pt idx="358">
                  <c:v>92</c:v>
                </c:pt>
                <c:pt idx="359">
                  <c:v>60</c:v>
                </c:pt>
                <c:pt idx="360">
                  <c:v>75.5</c:v>
                </c:pt>
                <c:pt idx="361">
                  <c:v>80.5</c:v>
                </c:pt>
                <c:pt idx="362">
                  <c:v>64</c:v>
                </c:pt>
                <c:pt idx="363">
                  <c:v>70</c:v>
                </c:pt>
                <c:pt idx="364">
                  <c:v>224</c:v>
                </c:pt>
                <c:pt idx="365">
                  <c:v>84</c:v>
                </c:pt>
                <c:pt idx="366">
                  <c:v>74</c:v>
                </c:pt>
                <c:pt idx="367">
                  <c:v>71</c:v>
                </c:pt>
                <c:pt idx="368">
                  <c:v>77</c:v>
                </c:pt>
                <c:pt idx="369">
                  <c:v>72</c:v>
                </c:pt>
                <c:pt idx="370">
                  <c:v>81</c:v>
                </c:pt>
                <c:pt idx="371">
                  <c:v>76</c:v>
                </c:pt>
                <c:pt idx="372">
                  <c:v>62</c:v>
                </c:pt>
                <c:pt idx="373">
                  <c:v>49</c:v>
                </c:pt>
                <c:pt idx="374">
                  <c:v>51</c:v>
                </c:pt>
                <c:pt idx="375">
                  <c:v>79</c:v>
                </c:pt>
                <c:pt idx="376">
                  <c:v>67</c:v>
                </c:pt>
                <c:pt idx="377">
                  <c:v>42.5</c:v>
                </c:pt>
                <c:pt idx="378">
                  <c:v>48.5</c:v>
                </c:pt>
                <c:pt idx="379">
                  <c:v>43</c:v>
                </c:pt>
                <c:pt idx="380">
                  <c:v>45</c:v>
                </c:pt>
                <c:pt idx="381">
                  <c:v>57</c:v>
                </c:pt>
                <c:pt idx="382">
                  <c:v>72</c:v>
                </c:pt>
                <c:pt idx="383">
                  <c:v>64</c:v>
                </c:pt>
                <c:pt idx="384">
                  <c:v>39</c:v>
                </c:pt>
                <c:pt idx="385">
                  <c:v>49</c:v>
                </c:pt>
                <c:pt idx="386">
                  <c:v>47</c:v>
                </c:pt>
                <c:pt idx="387">
                  <c:v>33</c:v>
                </c:pt>
                <c:pt idx="388">
                  <c:v>58</c:v>
                </c:pt>
                <c:pt idx="389">
                  <c:v>67</c:v>
                </c:pt>
                <c:pt idx="390">
                  <c:v>73</c:v>
                </c:pt>
                <c:pt idx="391">
                  <c:v>41.5</c:v>
                </c:pt>
                <c:pt idx="392">
                  <c:v>39.5</c:v>
                </c:pt>
                <c:pt idx="393">
                  <c:v>40</c:v>
                </c:pt>
                <c:pt idx="394">
                  <c:v>35.5</c:v>
                </c:pt>
                <c:pt idx="395">
                  <c:v>56</c:v>
                </c:pt>
                <c:pt idx="396">
                  <c:v>86.5</c:v>
                </c:pt>
                <c:pt idx="397">
                  <c:v>78</c:v>
                </c:pt>
                <c:pt idx="398">
                  <c:v>38.5</c:v>
                </c:pt>
                <c:pt idx="399">
                  <c:v>36.5</c:v>
                </c:pt>
                <c:pt idx="400">
                  <c:v>43</c:v>
                </c:pt>
                <c:pt idx="401">
                  <c:v>37.5</c:v>
                </c:pt>
                <c:pt idx="402">
                  <c:v>52</c:v>
                </c:pt>
                <c:pt idx="403">
                  <c:v>70</c:v>
                </c:pt>
                <c:pt idx="404">
                  <c:v>75.5</c:v>
                </c:pt>
                <c:pt idx="405">
                  <c:v>30</c:v>
                </c:pt>
                <c:pt idx="406">
                  <c:v>38.5</c:v>
                </c:pt>
                <c:pt idx="407">
                  <c:v>35.5</c:v>
                </c:pt>
                <c:pt idx="408">
                  <c:v>34.5</c:v>
                </c:pt>
                <c:pt idx="409">
                  <c:v>46</c:v>
                </c:pt>
                <c:pt idx="410">
                  <c:v>70.5</c:v>
                </c:pt>
                <c:pt idx="411">
                  <c:v>70</c:v>
                </c:pt>
                <c:pt idx="412">
                  <c:v>18.5</c:v>
                </c:pt>
                <c:pt idx="413">
                  <c:v>34.5</c:v>
                </c:pt>
                <c:pt idx="414">
                  <c:v>35</c:v>
                </c:pt>
                <c:pt idx="415">
                  <c:v>35</c:v>
                </c:pt>
                <c:pt idx="416">
                  <c:v>50</c:v>
                </c:pt>
                <c:pt idx="417">
                  <c:v>62</c:v>
                </c:pt>
                <c:pt idx="418">
                  <c:v>81</c:v>
                </c:pt>
                <c:pt idx="419">
                  <c:v>24</c:v>
                </c:pt>
                <c:pt idx="420">
                  <c:v>44.5</c:v>
                </c:pt>
                <c:pt idx="421">
                  <c:v>31</c:v>
                </c:pt>
                <c:pt idx="422">
                  <c:v>45.5</c:v>
                </c:pt>
                <c:pt idx="423">
                  <c:v>55</c:v>
                </c:pt>
                <c:pt idx="424">
                  <c:v>65</c:v>
                </c:pt>
                <c:pt idx="425">
                  <c:v>70</c:v>
                </c:pt>
                <c:pt idx="426">
                  <c:v>29</c:v>
                </c:pt>
                <c:pt idx="427">
                  <c:v>28</c:v>
                </c:pt>
                <c:pt idx="428">
                  <c:v>35.5</c:v>
                </c:pt>
                <c:pt idx="429">
                  <c:v>35</c:v>
                </c:pt>
                <c:pt idx="430">
                  <c:v>56</c:v>
                </c:pt>
                <c:pt idx="431">
                  <c:v>74</c:v>
                </c:pt>
                <c:pt idx="432">
                  <c:v>69.5</c:v>
                </c:pt>
                <c:pt idx="433">
                  <c:v>36</c:v>
                </c:pt>
                <c:pt idx="434">
                  <c:v>30</c:v>
                </c:pt>
                <c:pt idx="435">
                  <c:v>35.5</c:v>
                </c:pt>
                <c:pt idx="436">
                  <c:v>29</c:v>
                </c:pt>
                <c:pt idx="437">
                  <c:v>48.5</c:v>
                </c:pt>
                <c:pt idx="438">
                  <c:v>67</c:v>
                </c:pt>
                <c:pt idx="439">
                  <c:v>52</c:v>
                </c:pt>
                <c:pt idx="440">
                  <c:v>28</c:v>
                </c:pt>
                <c:pt idx="441">
                  <c:v>27</c:v>
                </c:pt>
                <c:pt idx="442">
                  <c:v>22.5</c:v>
                </c:pt>
                <c:pt idx="443">
                  <c:v>25</c:v>
                </c:pt>
                <c:pt idx="444">
                  <c:v>25.5</c:v>
                </c:pt>
                <c:pt idx="445">
                  <c:v>24</c:v>
                </c:pt>
                <c:pt idx="446">
                  <c:v>31.5</c:v>
                </c:pt>
                <c:pt idx="447">
                  <c:v>31</c:v>
                </c:pt>
                <c:pt idx="448">
                  <c:v>29</c:v>
                </c:pt>
                <c:pt idx="449">
                  <c:v>35.5</c:v>
                </c:pt>
                <c:pt idx="450">
                  <c:v>25</c:v>
                </c:pt>
                <c:pt idx="451">
                  <c:v>49.5</c:v>
                </c:pt>
                <c:pt idx="452">
                  <c:v>60.5</c:v>
                </c:pt>
                <c:pt idx="453">
                  <c:v>51.25</c:v>
                </c:pt>
                <c:pt idx="454">
                  <c:v>39.75</c:v>
                </c:pt>
                <c:pt idx="455">
                  <c:v>33.5</c:v>
                </c:pt>
                <c:pt idx="456">
                  <c:v>42.5</c:v>
                </c:pt>
                <c:pt idx="457">
                  <c:v>38.5</c:v>
                </c:pt>
                <c:pt idx="458">
                  <c:v>38.5</c:v>
                </c:pt>
                <c:pt idx="459">
                  <c:v>42</c:v>
                </c:pt>
                <c:pt idx="460">
                  <c:v>49</c:v>
                </c:pt>
                <c:pt idx="461">
                  <c:v>29</c:v>
                </c:pt>
                <c:pt idx="462">
                  <c:v>23</c:v>
                </c:pt>
                <c:pt idx="463">
                  <c:v>28.5</c:v>
                </c:pt>
                <c:pt idx="464">
                  <c:v>28.5</c:v>
                </c:pt>
                <c:pt idx="465">
                  <c:v>23.5</c:v>
                </c:pt>
                <c:pt idx="466">
                  <c:v>31</c:v>
                </c:pt>
                <c:pt idx="467">
                  <c:v>33.5</c:v>
                </c:pt>
                <c:pt idx="468">
                  <c:v>15</c:v>
                </c:pt>
                <c:pt idx="469">
                  <c:v>13.125</c:v>
                </c:pt>
                <c:pt idx="470">
                  <c:v>9.875</c:v>
                </c:pt>
                <c:pt idx="471">
                  <c:v>18.25</c:v>
                </c:pt>
                <c:pt idx="472">
                  <c:v>30.75</c:v>
                </c:pt>
                <c:pt idx="473">
                  <c:v>36</c:v>
                </c:pt>
                <c:pt idx="474">
                  <c:v>36.625</c:v>
                </c:pt>
                <c:pt idx="475">
                  <c:v>14</c:v>
                </c:pt>
                <c:pt idx="476">
                  <c:v>18.375</c:v>
                </c:pt>
                <c:pt idx="477">
                  <c:v>27</c:v>
                </c:pt>
                <c:pt idx="478">
                  <c:v>17.5</c:v>
                </c:pt>
                <c:pt idx="479">
                  <c:v>31</c:v>
                </c:pt>
                <c:pt idx="480">
                  <c:v>50</c:v>
                </c:pt>
                <c:pt idx="481">
                  <c:v>42.424999999999997</c:v>
                </c:pt>
                <c:pt idx="482">
                  <c:v>18.95</c:v>
                </c:pt>
                <c:pt idx="483">
                  <c:v>21</c:v>
                </c:pt>
                <c:pt idx="484">
                  <c:v>23.625</c:v>
                </c:pt>
                <c:pt idx="485">
                  <c:v>39.475000000000001</c:v>
                </c:pt>
                <c:pt idx="486">
                  <c:v>31.524999999999999</c:v>
                </c:pt>
                <c:pt idx="487">
                  <c:v>45.5</c:v>
                </c:pt>
                <c:pt idx="488">
                  <c:v>33</c:v>
                </c:pt>
                <c:pt idx="489">
                  <c:v>18.5</c:v>
                </c:pt>
                <c:pt idx="490">
                  <c:v>14</c:v>
                </c:pt>
                <c:pt idx="491">
                  <c:v>17.5</c:v>
                </c:pt>
                <c:pt idx="492">
                  <c:v>23.5</c:v>
                </c:pt>
                <c:pt idx="493">
                  <c:v>30</c:v>
                </c:pt>
                <c:pt idx="494">
                  <c:v>38.5</c:v>
                </c:pt>
                <c:pt idx="495">
                  <c:v>62.375</c:v>
                </c:pt>
                <c:pt idx="496">
                  <c:v>24.625</c:v>
                </c:pt>
                <c:pt idx="497">
                  <c:v>29.5</c:v>
                </c:pt>
                <c:pt idx="498">
                  <c:v>15</c:v>
                </c:pt>
                <c:pt idx="499">
                  <c:v>26.375</c:v>
                </c:pt>
                <c:pt idx="500">
                  <c:v>37.875</c:v>
                </c:pt>
                <c:pt idx="501">
                  <c:v>46</c:v>
                </c:pt>
                <c:pt idx="502">
                  <c:v>52.75</c:v>
                </c:pt>
                <c:pt idx="503">
                  <c:v>17.5</c:v>
                </c:pt>
                <c:pt idx="504">
                  <c:v>18.25</c:v>
                </c:pt>
                <c:pt idx="505">
                  <c:v>24.5</c:v>
                </c:pt>
                <c:pt idx="506">
                  <c:v>28</c:v>
                </c:pt>
                <c:pt idx="507">
                  <c:v>32.25</c:v>
                </c:pt>
                <c:pt idx="508">
                  <c:v>37</c:v>
                </c:pt>
                <c:pt idx="509">
                  <c:v>41</c:v>
                </c:pt>
                <c:pt idx="510">
                  <c:v>44</c:v>
                </c:pt>
                <c:pt idx="511">
                  <c:v>16.125</c:v>
                </c:pt>
                <c:pt idx="512">
                  <c:v>29.375</c:v>
                </c:pt>
                <c:pt idx="513">
                  <c:v>29.5</c:v>
                </c:pt>
                <c:pt idx="514">
                  <c:v>45</c:v>
                </c:pt>
                <c:pt idx="515">
                  <c:v>46</c:v>
                </c:pt>
                <c:pt idx="516">
                  <c:v>45</c:v>
                </c:pt>
                <c:pt idx="517">
                  <c:v>27.5</c:v>
                </c:pt>
                <c:pt idx="518">
                  <c:v>26.125</c:v>
                </c:pt>
                <c:pt idx="519">
                  <c:v>28.875</c:v>
                </c:pt>
                <c:pt idx="520">
                  <c:v>19.5</c:v>
                </c:pt>
                <c:pt idx="521">
                  <c:v>45</c:v>
                </c:pt>
                <c:pt idx="522">
                  <c:v>45</c:v>
                </c:pt>
                <c:pt idx="523">
                  <c:v>35</c:v>
                </c:pt>
                <c:pt idx="524">
                  <c:v>31.25</c:v>
                </c:pt>
                <c:pt idx="525">
                  <c:v>21</c:v>
                </c:pt>
                <c:pt idx="526">
                  <c:v>29</c:v>
                </c:pt>
                <c:pt idx="527">
                  <c:v>37.75</c:v>
                </c:pt>
                <c:pt idx="528">
                  <c:v>58.5</c:v>
                </c:pt>
                <c:pt idx="529">
                  <c:v>36.5</c:v>
                </c:pt>
                <c:pt idx="530">
                  <c:v>34.5</c:v>
                </c:pt>
                <c:pt idx="531">
                  <c:v>34.5</c:v>
                </c:pt>
                <c:pt idx="532">
                  <c:v>36</c:v>
                </c:pt>
                <c:pt idx="533">
                  <c:v>30</c:v>
                </c:pt>
                <c:pt idx="534">
                  <c:v>29</c:v>
                </c:pt>
                <c:pt idx="535">
                  <c:v>45</c:v>
                </c:pt>
                <c:pt idx="536">
                  <c:v>47</c:v>
                </c:pt>
                <c:pt idx="537">
                  <c:v>27</c:v>
                </c:pt>
                <c:pt idx="538">
                  <c:v>38.5</c:v>
                </c:pt>
                <c:pt idx="539">
                  <c:v>26.5</c:v>
                </c:pt>
                <c:pt idx="540">
                  <c:v>20.5</c:v>
                </c:pt>
                <c:pt idx="541">
                  <c:v>35</c:v>
                </c:pt>
                <c:pt idx="542">
                  <c:v>58</c:v>
                </c:pt>
                <c:pt idx="543">
                  <c:v>58</c:v>
                </c:pt>
                <c:pt idx="544">
                  <c:v>37.5</c:v>
                </c:pt>
                <c:pt idx="545">
                  <c:v>40.5</c:v>
                </c:pt>
                <c:pt idx="546">
                  <c:v>37.5</c:v>
                </c:pt>
                <c:pt idx="547">
                  <c:v>31.125</c:v>
                </c:pt>
                <c:pt idx="548">
                  <c:v>44.875</c:v>
                </c:pt>
                <c:pt idx="549">
                  <c:v>58</c:v>
                </c:pt>
                <c:pt idx="550">
                  <c:v>58</c:v>
                </c:pt>
                <c:pt idx="551">
                  <c:v>31</c:v>
                </c:pt>
                <c:pt idx="552">
                  <c:v>28</c:v>
                </c:pt>
                <c:pt idx="553">
                  <c:v>22</c:v>
                </c:pt>
                <c:pt idx="554">
                  <c:v>30</c:v>
                </c:pt>
                <c:pt idx="555">
                  <c:v>34</c:v>
                </c:pt>
                <c:pt idx="556">
                  <c:v>46.5</c:v>
                </c:pt>
                <c:pt idx="557">
                  <c:v>44.5</c:v>
                </c:pt>
                <c:pt idx="558">
                  <c:v>38</c:v>
                </c:pt>
                <c:pt idx="559">
                  <c:v>21.25</c:v>
                </c:pt>
                <c:pt idx="560">
                  <c:v>25.25</c:v>
                </c:pt>
                <c:pt idx="561">
                  <c:v>34.5</c:v>
                </c:pt>
                <c:pt idx="562">
                  <c:v>20</c:v>
                </c:pt>
                <c:pt idx="563">
                  <c:v>34</c:v>
                </c:pt>
                <c:pt idx="564">
                  <c:v>39</c:v>
                </c:pt>
                <c:pt idx="565">
                  <c:v>37</c:v>
                </c:pt>
                <c:pt idx="566">
                  <c:v>46</c:v>
                </c:pt>
                <c:pt idx="567">
                  <c:v>29</c:v>
                </c:pt>
                <c:pt idx="568">
                  <c:v>24</c:v>
                </c:pt>
                <c:pt idx="569">
                  <c:v>35.5</c:v>
                </c:pt>
                <c:pt idx="570">
                  <c:v>43</c:v>
                </c:pt>
                <c:pt idx="571">
                  <c:v>48</c:v>
                </c:pt>
                <c:pt idx="572">
                  <c:v>46.5</c:v>
                </c:pt>
                <c:pt idx="573">
                  <c:v>26.5</c:v>
                </c:pt>
                <c:pt idx="574">
                  <c:v>27.5</c:v>
                </c:pt>
                <c:pt idx="575">
                  <c:v>24</c:v>
                </c:pt>
                <c:pt idx="576">
                  <c:v>31</c:v>
                </c:pt>
                <c:pt idx="577">
                  <c:v>41</c:v>
                </c:pt>
                <c:pt idx="578">
                  <c:v>56</c:v>
                </c:pt>
                <c:pt idx="579">
                  <c:v>40</c:v>
                </c:pt>
                <c:pt idx="580">
                  <c:v>23</c:v>
                </c:pt>
                <c:pt idx="581">
                  <c:v>23</c:v>
                </c:pt>
                <c:pt idx="582">
                  <c:v>27.5</c:v>
                </c:pt>
                <c:pt idx="583">
                  <c:v>34</c:v>
                </c:pt>
                <c:pt idx="584">
                  <c:v>52.5</c:v>
                </c:pt>
                <c:pt idx="585">
                  <c:v>51.5</c:v>
                </c:pt>
                <c:pt idx="586">
                  <c:v>47</c:v>
                </c:pt>
                <c:pt idx="587">
                  <c:v>29.25</c:v>
                </c:pt>
                <c:pt idx="588">
                  <c:v>24.25</c:v>
                </c:pt>
                <c:pt idx="589">
                  <c:v>25</c:v>
                </c:pt>
                <c:pt idx="590">
                  <c:v>28.5</c:v>
                </c:pt>
                <c:pt idx="591">
                  <c:v>45.5</c:v>
                </c:pt>
                <c:pt idx="592">
                  <c:v>46.5</c:v>
                </c:pt>
                <c:pt idx="593">
                  <c:v>40.5</c:v>
                </c:pt>
                <c:pt idx="594">
                  <c:v>40</c:v>
                </c:pt>
                <c:pt idx="595">
                  <c:v>28.5</c:v>
                </c:pt>
                <c:pt idx="596">
                  <c:v>19.5</c:v>
                </c:pt>
                <c:pt idx="597">
                  <c:v>32</c:v>
                </c:pt>
                <c:pt idx="598">
                  <c:v>38.5</c:v>
                </c:pt>
                <c:pt idx="599">
                  <c:v>54.5</c:v>
                </c:pt>
                <c:pt idx="600">
                  <c:v>47</c:v>
                </c:pt>
                <c:pt idx="601">
                  <c:v>23</c:v>
                </c:pt>
                <c:pt idx="602">
                  <c:v>28</c:v>
                </c:pt>
                <c:pt idx="603">
                  <c:v>34</c:v>
                </c:pt>
                <c:pt idx="604">
                  <c:v>42</c:v>
                </c:pt>
                <c:pt idx="605">
                  <c:v>52.5</c:v>
                </c:pt>
                <c:pt idx="606">
                  <c:v>53.5</c:v>
                </c:pt>
                <c:pt idx="607">
                  <c:v>37</c:v>
                </c:pt>
                <c:pt idx="608">
                  <c:v>35.5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41.5</c:v>
                </c:pt>
                <c:pt idx="640">
                  <c:v>53</c:v>
                </c:pt>
                <c:pt idx="641">
                  <c:v>61</c:v>
                </c:pt>
                <c:pt idx="642">
                  <c:v>79</c:v>
                </c:pt>
                <c:pt idx="643">
                  <c:v>37</c:v>
                </c:pt>
                <c:pt idx="644">
                  <c:v>43</c:v>
                </c:pt>
                <c:pt idx="645">
                  <c:v>55.5</c:v>
                </c:pt>
                <c:pt idx="646">
                  <c:v>46</c:v>
                </c:pt>
                <c:pt idx="647">
                  <c:v>63</c:v>
                </c:pt>
                <c:pt idx="648">
                  <c:v>76</c:v>
                </c:pt>
                <c:pt idx="649">
                  <c:v>64.5</c:v>
                </c:pt>
                <c:pt idx="650">
                  <c:v>50</c:v>
                </c:pt>
                <c:pt idx="651">
                  <c:v>36.5</c:v>
                </c:pt>
                <c:pt idx="652">
                  <c:v>32</c:v>
                </c:pt>
                <c:pt idx="653">
                  <c:v>40</c:v>
                </c:pt>
                <c:pt idx="654">
                  <c:v>44</c:v>
                </c:pt>
                <c:pt idx="655">
                  <c:v>63.5</c:v>
                </c:pt>
                <c:pt idx="656">
                  <c:v>54.5</c:v>
                </c:pt>
                <c:pt idx="657">
                  <c:v>31</c:v>
                </c:pt>
                <c:pt idx="658">
                  <c:v>27.5</c:v>
                </c:pt>
                <c:pt idx="659">
                  <c:v>35.5</c:v>
                </c:pt>
                <c:pt idx="660">
                  <c:v>39</c:v>
                </c:pt>
                <c:pt idx="661">
                  <c:v>33</c:v>
                </c:pt>
                <c:pt idx="662">
                  <c:v>65.5</c:v>
                </c:pt>
                <c:pt idx="663">
                  <c:v>62</c:v>
                </c:pt>
                <c:pt idx="664">
                  <c:v>28</c:v>
                </c:pt>
                <c:pt idx="665">
                  <c:v>30</c:v>
                </c:pt>
                <c:pt idx="666">
                  <c:v>38</c:v>
                </c:pt>
                <c:pt idx="667">
                  <c:v>44</c:v>
                </c:pt>
                <c:pt idx="668">
                  <c:v>56.5</c:v>
                </c:pt>
                <c:pt idx="669">
                  <c:v>95</c:v>
                </c:pt>
                <c:pt idx="670">
                  <c:v>67</c:v>
                </c:pt>
                <c:pt idx="671">
                  <c:v>55.5</c:v>
                </c:pt>
                <c:pt idx="672">
                  <c:v>29</c:v>
                </c:pt>
                <c:pt idx="673">
                  <c:v>28</c:v>
                </c:pt>
                <c:pt idx="674">
                  <c:v>26</c:v>
                </c:pt>
                <c:pt idx="675">
                  <c:v>45</c:v>
                </c:pt>
                <c:pt idx="676">
                  <c:v>63</c:v>
                </c:pt>
                <c:pt idx="677">
                  <c:v>55</c:v>
                </c:pt>
                <c:pt idx="678">
                  <c:v>33.5</c:v>
                </c:pt>
                <c:pt idx="679">
                  <c:v>27.5</c:v>
                </c:pt>
                <c:pt idx="680">
                  <c:v>29.5</c:v>
                </c:pt>
                <c:pt idx="681">
                  <c:v>41.5</c:v>
                </c:pt>
                <c:pt idx="682">
                  <c:v>57</c:v>
                </c:pt>
                <c:pt idx="683">
                  <c:v>56</c:v>
                </c:pt>
                <c:pt idx="684">
                  <c:v>58</c:v>
                </c:pt>
                <c:pt idx="685">
                  <c:v>46.5</c:v>
                </c:pt>
                <c:pt idx="686">
                  <c:v>28.75</c:v>
                </c:pt>
                <c:pt idx="687">
                  <c:v>33.75</c:v>
                </c:pt>
                <c:pt idx="688">
                  <c:v>45</c:v>
                </c:pt>
                <c:pt idx="689">
                  <c:v>38</c:v>
                </c:pt>
                <c:pt idx="690">
                  <c:v>46</c:v>
                </c:pt>
                <c:pt idx="691">
                  <c:v>65</c:v>
                </c:pt>
                <c:pt idx="692">
                  <c:v>29.5</c:v>
                </c:pt>
                <c:pt idx="693">
                  <c:v>31</c:v>
                </c:pt>
                <c:pt idx="694">
                  <c:v>28.5</c:v>
                </c:pt>
                <c:pt idx="695">
                  <c:v>41</c:v>
                </c:pt>
                <c:pt idx="696">
                  <c:v>45</c:v>
                </c:pt>
                <c:pt idx="697">
                  <c:v>77</c:v>
                </c:pt>
                <c:pt idx="698">
                  <c:v>67</c:v>
                </c:pt>
                <c:pt idx="699">
                  <c:v>27</c:v>
                </c:pt>
                <c:pt idx="700">
                  <c:v>33</c:v>
                </c:pt>
                <c:pt idx="701">
                  <c:v>36</c:v>
                </c:pt>
                <c:pt idx="702">
                  <c:v>40</c:v>
                </c:pt>
                <c:pt idx="703">
                  <c:v>67</c:v>
                </c:pt>
                <c:pt idx="704">
                  <c:v>44</c:v>
                </c:pt>
                <c:pt idx="705">
                  <c:v>44</c:v>
                </c:pt>
                <c:pt idx="706">
                  <c:v>95</c:v>
                </c:pt>
                <c:pt idx="707">
                  <c:v>54</c:v>
                </c:pt>
                <c:pt idx="708">
                  <c:v>27</c:v>
                </c:pt>
                <c:pt idx="709">
                  <c:v>45</c:v>
                </c:pt>
                <c:pt idx="710">
                  <c:v>39</c:v>
                </c:pt>
                <c:pt idx="711">
                  <c:v>65</c:v>
                </c:pt>
                <c:pt idx="712">
                  <c:v>68</c:v>
                </c:pt>
                <c:pt idx="713">
                  <c:v>28</c:v>
                </c:pt>
                <c:pt idx="714">
                  <c:v>54</c:v>
                </c:pt>
                <c:pt idx="715">
                  <c:v>40</c:v>
                </c:pt>
                <c:pt idx="716">
                  <c:v>48</c:v>
                </c:pt>
                <c:pt idx="717">
                  <c:v>52.5</c:v>
                </c:pt>
                <c:pt idx="718">
                  <c:v>73.5</c:v>
                </c:pt>
                <c:pt idx="719">
                  <c:v>61</c:v>
                </c:pt>
                <c:pt idx="720">
                  <c:v>52.5</c:v>
                </c:pt>
                <c:pt idx="721">
                  <c:v>64.5</c:v>
                </c:pt>
                <c:pt idx="722">
                  <c:v>63</c:v>
                </c:pt>
                <c:pt idx="723">
                  <c:v>#N/A</c:v>
                </c:pt>
                <c:pt idx="724">
                  <c:v>69</c:v>
                </c:pt>
                <c:pt idx="725">
                  <c:v>75</c:v>
                </c:pt>
                <c:pt idx="726">
                  <c:v>57</c:v>
                </c:pt>
                <c:pt idx="727">
                  <c:v>35.5</c:v>
                </c:pt>
                <c:pt idx="728">
                  <c:v>52.5</c:v>
                </c:pt>
                <c:pt idx="729">
                  <c:v>67</c:v>
                </c:pt>
                <c:pt idx="730">
                  <c:v>#N/A</c:v>
                </c:pt>
                <c:pt idx="731">
                  <c:v>81.5</c:v>
                </c:pt>
                <c:pt idx="732">
                  <c:v>72.5</c:v>
                </c:pt>
                <c:pt idx="733">
                  <c:v>59</c:v>
                </c:pt>
                <c:pt idx="734">
                  <c:v>46</c:v>
                </c:pt>
                <c:pt idx="735">
                  <c:v>32</c:v>
                </c:pt>
                <c:pt idx="736">
                  <c:v>24</c:v>
                </c:pt>
                <c:pt idx="737">
                  <c:v>51</c:v>
                </c:pt>
                <c:pt idx="738">
                  <c:v>27</c:v>
                </c:pt>
                <c:pt idx="739">
                  <c:v>40.5</c:v>
                </c:pt>
                <c:pt idx="740">
                  <c:v>35.5</c:v>
                </c:pt>
                <c:pt idx="741">
                  <c:v>36</c:v>
                </c:pt>
                <c:pt idx="742">
                  <c:v>34</c:v>
                </c:pt>
                <c:pt idx="743">
                  <c:v>27</c:v>
                </c:pt>
                <c:pt idx="744">
                  <c:v>27</c:v>
                </c:pt>
                <c:pt idx="745">
                  <c:v>37.5</c:v>
                </c:pt>
                <c:pt idx="746">
                  <c:v>7</c:v>
                </c:pt>
                <c:pt idx="747">
                  <c:v>26.5</c:v>
                </c:pt>
                <c:pt idx="748">
                  <c:v>27.25</c:v>
                </c:pt>
                <c:pt idx="749">
                  <c:v>28.25</c:v>
                </c:pt>
                <c:pt idx="750">
                  <c:v>19</c:v>
                </c:pt>
                <c:pt idx="751">
                  <c:v>17.5</c:v>
                </c:pt>
                <c:pt idx="752">
                  <c:v>29.5</c:v>
                </c:pt>
                <c:pt idx="753">
                  <c:v>24.5</c:v>
                </c:pt>
                <c:pt idx="754">
                  <c:v>23.5</c:v>
                </c:pt>
                <c:pt idx="755">
                  <c:v>27.5</c:v>
                </c:pt>
                <c:pt idx="756">
                  <c:v>24</c:v>
                </c:pt>
                <c:pt idx="757">
                  <c:v>30</c:v>
                </c:pt>
                <c:pt idx="758">
                  <c:v>28.25</c:v>
                </c:pt>
                <c:pt idx="759">
                  <c:v>38.5</c:v>
                </c:pt>
                <c:pt idx="760">
                  <c:v>43.25</c:v>
                </c:pt>
                <c:pt idx="761">
                  <c:v>36</c:v>
                </c:pt>
                <c:pt idx="762">
                  <c:v>16</c:v>
                </c:pt>
                <c:pt idx="763">
                  <c:v>39.5</c:v>
                </c:pt>
                <c:pt idx="764">
                  <c:v>24.5</c:v>
                </c:pt>
                <c:pt idx="765">
                  <c:v>25</c:v>
                </c:pt>
                <c:pt idx="766">
                  <c:v>31.125</c:v>
                </c:pt>
                <c:pt idx="767">
                  <c:v>56.875</c:v>
                </c:pt>
                <c:pt idx="768">
                  <c:v>40.5</c:v>
                </c:pt>
                <c:pt idx="769">
                  <c:v>21.5</c:v>
                </c:pt>
                <c:pt idx="770">
                  <c:v>24.5</c:v>
                </c:pt>
                <c:pt idx="771">
                  <c:v>25</c:v>
                </c:pt>
                <c:pt idx="772">
                  <c:v>25</c:v>
                </c:pt>
                <c:pt idx="773">
                  <c:v>38</c:v>
                </c:pt>
                <c:pt idx="774">
                  <c:v>54.5</c:v>
                </c:pt>
                <c:pt idx="775">
                  <c:v>48</c:v>
                </c:pt>
                <c:pt idx="776">
                  <c:v>24.5</c:v>
                </c:pt>
                <c:pt idx="777">
                  <c:v>20.5</c:v>
                </c:pt>
                <c:pt idx="778">
                  <c:v>29</c:v>
                </c:pt>
                <c:pt idx="779">
                  <c:v>28.75</c:v>
                </c:pt>
                <c:pt idx="780">
                  <c:v>38.75</c:v>
                </c:pt>
                <c:pt idx="781">
                  <c:v>58.5</c:v>
                </c:pt>
                <c:pt idx="782">
                  <c:v>55</c:v>
                </c:pt>
                <c:pt idx="783">
                  <c:v>20</c:v>
                </c:pt>
                <c:pt idx="784">
                  <c:v>28</c:v>
                </c:pt>
                <c:pt idx="785">
                  <c:v>30</c:v>
                </c:pt>
                <c:pt idx="786">
                  <c:v>33.5</c:v>
                </c:pt>
                <c:pt idx="787">
                  <c:v>45</c:v>
                </c:pt>
                <c:pt idx="788">
                  <c:v>64.5</c:v>
                </c:pt>
                <c:pt idx="789">
                  <c:v>63</c:v>
                </c:pt>
                <c:pt idx="790">
                  <c:v>18.5</c:v>
                </c:pt>
                <c:pt idx="791">
                  <c:v>27.5</c:v>
                </c:pt>
                <c:pt idx="792">
                  <c:v>25</c:v>
                </c:pt>
                <c:pt idx="793">
                  <c:v>35.5</c:v>
                </c:pt>
                <c:pt idx="794">
                  <c:v>47</c:v>
                </c:pt>
                <c:pt idx="795">
                  <c:v>53.5</c:v>
                </c:pt>
                <c:pt idx="796">
                  <c:v>63</c:v>
                </c:pt>
                <c:pt idx="797">
                  <c:v>44</c:v>
                </c:pt>
                <c:pt idx="798">
                  <c:v>17</c:v>
                </c:pt>
                <c:pt idx="799">
                  <c:v>24</c:v>
                </c:pt>
                <c:pt idx="800">
                  <c:v>32.5</c:v>
                </c:pt>
                <c:pt idx="801">
                  <c:v>47.5</c:v>
                </c:pt>
                <c:pt idx="802">
                  <c:v>45</c:v>
                </c:pt>
                <c:pt idx="803">
                  <c:v>54</c:v>
                </c:pt>
                <c:pt idx="804">
                  <c:v>33</c:v>
                </c:pt>
                <c:pt idx="805">
                  <c:v>29.5</c:v>
                </c:pt>
                <c:pt idx="806">
                  <c:v>33</c:v>
                </c:pt>
                <c:pt idx="807">
                  <c:v>24.5</c:v>
                </c:pt>
                <c:pt idx="808">
                  <c:v>32</c:v>
                </c:pt>
                <c:pt idx="809">
                  <c:v>63</c:v>
                </c:pt>
                <c:pt idx="810">
                  <c:v>54.5</c:v>
                </c:pt>
                <c:pt idx="811">
                  <c:v>41</c:v>
                </c:pt>
                <c:pt idx="812">
                  <c:v>32.5</c:v>
                </c:pt>
                <c:pt idx="813">
                  <c:v>32</c:v>
                </c:pt>
                <c:pt idx="814">
                  <c:v>27.25</c:v>
                </c:pt>
                <c:pt idx="815">
                  <c:v>47.25</c:v>
                </c:pt>
                <c:pt idx="816">
                  <c:v>65</c:v>
                </c:pt>
                <c:pt idx="817">
                  <c:v>49</c:v>
                </c:pt>
                <c:pt idx="818">
                  <c:v>36.5</c:v>
                </c:pt>
                <c:pt idx="819">
                  <c:v>39</c:v>
                </c:pt>
                <c:pt idx="820">
                  <c:v>71.5</c:v>
                </c:pt>
                <c:pt idx="821">
                  <c:v>52.5</c:v>
                </c:pt>
                <c:pt idx="822">
                  <c:v>66</c:v>
                </c:pt>
                <c:pt idx="823">
                  <c:v>62</c:v>
                </c:pt>
                <c:pt idx="824">
                  <c:v>62</c:v>
                </c:pt>
                <c:pt idx="825">
                  <c:v>25</c:v>
                </c:pt>
                <c:pt idx="826">
                  <c:v>33</c:v>
                </c:pt>
                <c:pt idx="827">
                  <c:v>32</c:v>
                </c:pt>
                <c:pt idx="828">
                  <c:v>36.5</c:v>
                </c:pt>
                <c:pt idx="829">
                  <c:v>48.5</c:v>
                </c:pt>
                <c:pt idx="830">
                  <c:v>61</c:v>
                </c:pt>
                <c:pt idx="831">
                  <c:v>57</c:v>
                </c:pt>
                <c:pt idx="832">
                  <c:v>32.5</c:v>
                </c:pt>
                <c:pt idx="833">
                  <c:v>27.5</c:v>
                </c:pt>
                <c:pt idx="834">
                  <c:v>23.5</c:v>
                </c:pt>
                <c:pt idx="835">
                  <c:v>36</c:v>
                </c:pt>
                <c:pt idx="836">
                  <c:v>50.5</c:v>
                </c:pt>
                <c:pt idx="837">
                  <c:v>53.5</c:v>
                </c:pt>
                <c:pt idx="838">
                  <c:v>60.5</c:v>
                </c:pt>
                <c:pt idx="839">
                  <c:v>24</c:v>
                </c:pt>
                <c:pt idx="840">
                  <c:v>29.5</c:v>
                </c:pt>
                <c:pt idx="841">
                  <c:v>23.5</c:v>
                </c:pt>
                <c:pt idx="842">
                  <c:v>28.625</c:v>
                </c:pt>
                <c:pt idx="843">
                  <c:v>38.375</c:v>
                </c:pt>
                <c:pt idx="844">
                  <c:v>70</c:v>
                </c:pt>
                <c:pt idx="845">
                  <c:v>51</c:v>
                </c:pt>
                <c:pt idx="846">
                  <c:v>24</c:v>
                </c:pt>
                <c:pt idx="847">
                  <c:v>23</c:v>
                </c:pt>
                <c:pt idx="848">
                  <c:v>6</c:v>
                </c:pt>
                <c:pt idx="849">
                  <c:v>16.5</c:v>
                </c:pt>
                <c:pt idx="850">
                  <c:v>35.5</c:v>
                </c:pt>
                <c:pt idx="851">
                  <c:v>48.625</c:v>
                </c:pt>
                <c:pt idx="852">
                  <c:v>37</c:v>
                </c:pt>
                <c:pt idx="853">
                  <c:v>0</c:v>
                </c:pt>
                <c:pt idx="854">
                  <c:v>19.375</c:v>
                </c:pt>
                <c:pt idx="855">
                  <c:v>60</c:v>
                </c:pt>
                <c:pt idx="856">
                  <c:v>46</c:v>
                </c:pt>
                <c:pt idx="857">
                  <c:v>52.875</c:v>
                </c:pt>
                <c:pt idx="858">
                  <c:v>146.125</c:v>
                </c:pt>
                <c:pt idx="859">
                  <c:v>71.125</c:v>
                </c:pt>
                <c:pt idx="860">
                  <c:v>36.875</c:v>
                </c:pt>
                <c:pt idx="861">
                  <c:v>38</c:v>
                </c:pt>
                <c:pt idx="862">
                  <c:v>42</c:v>
                </c:pt>
                <c:pt idx="863">
                  <c:v>41.5</c:v>
                </c:pt>
                <c:pt idx="864">
                  <c:v>43.5</c:v>
                </c:pt>
                <c:pt idx="865">
                  <c:v>44.5</c:v>
                </c:pt>
                <c:pt idx="866">
                  <c:v>55.5</c:v>
                </c:pt>
                <c:pt idx="867">
                  <c:v>30.625</c:v>
                </c:pt>
                <c:pt idx="868">
                  <c:v>28.875</c:v>
                </c:pt>
                <c:pt idx="869">
                  <c:v>0</c:v>
                </c:pt>
                <c:pt idx="870">
                  <c:v>38</c:v>
                </c:pt>
                <c:pt idx="871">
                  <c:v>35.5</c:v>
                </c:pt>
                <c:pt idx="872">
                  <c:v>47.5</c:v>
                </c:pt>
                <c:pt idx="873">
                  <c:v>42.5</c:v>
                </c:pt>
                <c:pt idx="874">
                  <c:v>32.5</c:v>
                </c:pt>
                <c:pt idx="875">
                  <c:v>21.5</c:v>
                </c:pt>
                <c:pt idx="876">
                  <c:v>24</c:v>
                </c:pt>
                <c:pt idx="877">
                  <c:v>25.5</c:v>
                </c:pt>
                <c:pt idx="878">
                  <c:v>19.5</c:v>
                </c:pt>
                <c:pt idx="879">
                  <c:v>56</c:v>
                </c:pt>
                <c:pt idx="880">
                  <c:v>45</c:v>
                </c:pt>
                <c:pt idx="881">
                  <c:v>27</c:v>
                </c:pt>
                <c:pt idx="882">
                  <c:v>31.5</c:v>
                </c:pt>
                <c:pt idx="883">
                  <c:v>24</c:v>
                </c:pt>
                <c:pt idx="884">
                  <c:v>42</c:v>
                </c:pt>
                <c:pt idx="885">
                  <c:v>45.5</c:v>
                </c:pt>
                <c:pt idx="886">
                  <c:v>59</c:v>
                </c:pt>
                <c:pt idx="887">
                  <c:v>63.5</c:v>
                </c:pt>
                <c:pt idx="888">
                  <c:v>59.75</c:v>
                </c:pt>
                <c:pt idx="889">
                  <c:v>44.75</c:v>
                </c:pt>
                <c:pt idx="890">
                  <c:v>34</c:v>
                </c:pt>
                <c:pt idx="891">
                  <c:v>32.25</c:v>
                </c:pt>
                <c:pt idx="892">
                  <c:v>44.875</c:v>
                </c:pt>
                <c:pt idx="893">
                  <c:v>44.875</c:v>
                </c:pt>
                <c:pt idx="894">
                  <c:v>43</c:v>
                </c:pt>
                <c:pt idx="895">
                  <c:v>47</c:v>
                </c:pt>
                <c:pt idx="896">
                  <c:v>38</c:v>
                </c:pt>
                <c:pt idx="897">
                  <c:v>43</c:v>
                </c:pt>
                <c:pt idx="898">
                  <c:v>49</c:v>
                </c:pt>
                <c:pt idx="899">
                  <c:v>46</c:v>
                </c:pt>
                <c:pt idx="900">
                  <c:v>58</c:v>
                </c:pt>
                <c:pt idx="901">
                  <c:v>52.875</c:v>
                </c:pt>
                <c:pt idx="902">
                  <c:v>29.125</c:v>
                </c:pt>
                <c:pt idx="903">
                  <c:v>38.25</c:v>
                </c:pt>
                <c:pt idx="904">
                  <c:v>24</c:v>
                </c:pt>
                <c:pt idx="905">
                  <c:v>37.75</c:v>
                </c:pt>
                <c:pt idx="906">
                  <c:v>49</c:v>
                </c:pt>
                <c:pt idx="907">
                  <c:v>57</c:v>
                </c:pt>
                <c:pt idx="908">
                  <c:v>57</c:v>
                </c:pt>
                <c:pt idx="909">
                  <c:v>31.5</c:v>
                </c:pt>
                <c:pt idx="910">
                  <c:v>35.5</c:v>
                </c:pt>
                <c:pt idx="911">
                  <c:v>48</c:v>
                </c:pt>
                <c:pt idx="912">
                  <c:v>43</c:v>
                </c:pt>
                <c:pt idx="913">
                  <c:v>39</c:v>
                </c:pt>
                <c:pt idx="914">
                  <c:v>54</c:v>
                </c:pt>
                <c:pt idx="915">
                  <c:v>56</c:v>
                </c:pt>
                <c:pt idx="916">
                  <c:v>50</c:v>
                </c:pt>
                <c:pt idx="917">
                  <c:v>40.125</c:v>
                </c:pt>
                <c:pt idx="918">
                  <c:v>31.875</c:v>
                </c:pt>
                <c:pt idx="919">
                  <c:v>32</c:v>
                </c:pt>
                <c:pt idx="920">
                  <c:v>51</c:v>
                </c:pt>
                <c:pt idx="921">
                  <c:v>54</c:v>
                </c:pt>
                <c:pt idx="922">
                  <c:v>54</c:v>
                </c:pt>
                <c:pt idx="923">
                  <c:v>32</c:v>
                </c:pt>
                <c:pt idx="924">
                  <c:v>35</c:v>
                </c:pt>
                <c:pt idx="925">
                  <c:v>30</c:v>
                </c:pt>
                <c:pt idx="926">
                  <c:v>42</c:v>
                </c:pt>
                <c:pt idx="927">
                  <c:v>38</c:v>
                </c:pt>
                <c:pt idx="928">
                  <c:v>69.5</c:v>
                </c:pt>
                <c:pt idx="929">
                  <c:v>63.5</c:v>
                </c:pt>
                <c:pt idx="930">
                  <c:v>27</c:v>
                </c:pt>
                <c:pt idx="931">
                  <c:v>44</c:v>
                </c:pt>
                <c:pt idx="932">
                  <c:v>29</c:v>
                </c:pt>
                <c:pt idx="933">
                  <c:v>39</c:v>
                </c:pt>
                <c:pt idx="934">
                  <c:v>30</c:v>
                </c:pt>
                <c:pt idx="935">
                  <c:v>53.375</c:v>
                </c:pt>
                <c:pt idx="936">
                  <c:v>58.625</c:v>
                </c:pt>
                <c:pt idx="937">
                  <c:v>36</c:v>
                </c:pt>
                <c:pt idx="938">
                  <c:v>31</c:v>
                </c:pt>
                <c:pt idx="939">
                  <c:v>45</c:v>
                </c:pt>
                <c:pt idx="940">
                  <c:v>34</c:v>
                </c:pt>
                <c:pt idx="941">
                  <c:v>41</c:v>
                </c:pt>
                <c:pt idx="942">
                  <c:v>48</c:v>
                </c:pt>
                <c:pt idx="943">
                  <c:v>45</c:v>
                </c:pt>
                <c:pt idx="944">
                  <c:v>30.5</c:v>
                </c:pt>
                <c:pt idx="945">
                  <c:v>34.5</c:v>
                </c:pt>
                <c:pt idx="946">
                  <c:v>26</c:v>
                </c:pt>
                <c:pt idx="947">
                  <c:v>35</c:v>
                </c:pt>
                <c:pt idx="948">
                  <c:v>38</c:v>
                </c:pt>
                <c:pt idx="949">
                  <c:v>46</c:v>
                </c:pt>
                <c:pt idx="950">
                  <c:v>50</c:v>
                </c:pt>
                <c:pt idx="951">
                  <c:v>28</c:v>
                </c:pt>
                <c:pt idx="952">
                  <c:v>38</c:v>
                </c:pt>
                <c:pt idx="953">
                  <c:v>35</c:v>
                </c:pt>
                <c:pt idx="954">
                  <c:v>26</c:v>
                </c:pt>
                <c:pt idx="955">
                  <c:v>41</c:v>
                </c:pt>
                <c:pt idx="956">
                  <c:v>44</c:v>
                </c:pt>
                <c:pt idx="957">
                  <c:v>56</c:v>
                </c:pt>
                <c:pt idx="958">
                  <c:v>44</c:v>
                </c:pt>
                <c:pt idx="959">
                  <c:v>35</c:v>
                </c:pt>
                <c:pt idx="960">
                  <c:v>30</c:v>
                </c:pt>
                <c:pt idx="961">
                  <c:v>30.75</c:v>
                </c:pt>
                <c:pt idx="962">
                  <c:v>25.25</c:v>
                </c:pt>
                <c:pt idx="963">
                  <c:v>39</c:v>
                </c:pt>
                <c:pt idx="964">
                  <c:v>50</c:v>
                </c:pt>
                <c:pt idx="965">
                  <c:v>27.5</c:v>
                </c:pt>
                <c:pt idx="966">
                  <c:v>25.5</c:v>
                </c:pt>
                <c:pt idx="967">
                  <c:v>32</c:v>
                </c:pt>
                <c:pt idx="968">
                  <c:v>31.5</c:v>
                </c:pt>
                <c:pt idx="969">
                  <c:v>44.5</c:v>
                </c:pt>
                <c:pt idx="970">
                  <c:v>58.25</c:v>
                </c:pt>
                <c:pt idx="971">
                  <c:v>54.75</c:v>
                </c:pt>
                <c:pt idx="972">
                  <c:v>27</c:v>
                </c:pt>
                <c:pt idx="973">
                  <c:v>32.5</c:v>
                </c:pt>
                <c:pt idx="974">
                  <c:v>40.5</c:v>
                </c:pt>
                <c:pt idx="975">
                  <c:v>44</c:v>
                </c:pt>
                <c:pt idx="976">
                  <c:v>60.375</c:v>
                </c:pt>
                <c:pt idx="977">
                  <c:v>54.125</c:v>
                </c:pt>
                <c:pt idx="978">
                  <c:v>54.5</c:v>
                </c:pt>
                <c:pt idx="979">
                  <c:v>32.200000000000003</c:v>
                </c:pt>
                <c:pt idx="980">
                  <c:v>31.8</c:v>
                </c:pt>
                <c:pt idx="981">
                  <c:v>29</c:v>
                </c:pt>
                <c:pt idx="982">
                  <c:v>30.75</c:v>
                </c:pt>
                <c:pt idx="983">
                  <c:v>47.25</c:v>
                </c:pt>
                <c:pt idx="984">
                  <c:v>56.625</c:v>
                </c:pt>
                <c:pt idx="985">
                  <c:v>45.625</c:v>
                </c:pt>
                <c:pt idx="986">
                  <c:v>30.25</c:v>
                </c:pt>
                <c:pt idx="987">
                  <c:v>30.5</c:v>
                </c:pt>
                <c:pt idx="988">
                  <c:v>31</c:v>
                </c:pt>
                <c:pt idx="989">
                  <c:v>29</c:v>
                </c:pt>
                <c:pt idx="990">
                  <c:v>50.125</c:v>
                </c:pt>
                <c:pt idx="991">
                  <c:v>69.5</c:v>
                </c:pt>
                <c:pt idx="992">
                  <c:v>50.625</c:v>
                </c:pt>
                <c:pt idx="993">
                  <c:v>32.375</c:v>
                </c:pt>
                <c:pt idx="994">
                  <c:v>26.125</c:v>
                </c:pt>
                <c:pt idx="995">
                  <c:v>31.75</c:v>
                </c:pt>
                <c:pt idx="996">
                  <c:v>36</c:v>
                </c:pt>
                <c:pt idx="997">
                  <c:v>36</c:v>
                </c:pt>
                <c:pt idx="998">
                  <c:v>56.875</c:v>
                </c:pt>
                <c:pt idx="999">
                  <c:v>56.125</c:v>
                </c:pt>
                <c:pt idx="1000">
                  <c:v>25.25</c:v>
                </c:pt>
                <c:pt idx="1001">
                  <c:v>31</c:v>
                </c:pt>
                <c:pt idx="1002">
                  <c:v>34.25</c:v>
                </c:pt>
                <c:pt idx="1003">
                  <c:v>43.625</c:v>
                </c:pt>
                <c:pt idx="1004">
                  <c:v>41.125</c:v>
                </c:pt>
                <c:pt idx="1005">
                  <c:v>66.75</c:v>
                </c:pt>
                <c:pt idx="1006">
                  <c:v>64.25</c:v>
                </c:pt>
                <c:pt idx="1007">
                  <c:v>25.875</c:v>
                </c:pt>
                <c:pt idx="1008">
                  <c:v>36.5</c:v>
                </c:pt>
                <c:pt idx="1009">
                  <c:v>32.125</c:v>
                </c:pt>
                <c:pt idx="1010">
                  <c:v>40.25</c:v>
                </c:pt>
                <c:pt idx="1011">
                  <c:v>49</c:v>
                </c:pt>
                <c:pt idx="1012">
                  <c:v>56</c:v>
                </c:pt>
                <c:pt idx="1013">
                  <c:v>50.25</c:v>
                </c:pt>
                <c:pt idx="1014">
                  <c:v>33</c:v>
                </c:pt>
                <c:pt idx="1015">
                  <c:v>41.5</c:v>
                </c:pt>
                <c:pt idx="1016">
                  <c:v>36</c:v>
                </c:pt>
                <c:pt idx="1017">
                  <c:v>45.5</c:v>
                </c:pt>
                <c:pt idx="1018">
                  <c:v>57.25</c:v>
                </c:pt>
                <c:pt idx="1019">
                  <c:v>57.5</c:v>
                </c:pt>
                <c:pt idx="1020">
                  <c:v>64.375</c:v>
                </c:pt>
                <c:pt idx="1021">
                  <c:v>43.5</c:v>
                </c:pt>
                <c:pt idx="1022">
                  <c:v>31.625</c:v>
                </c:pt>
                <c:pt idx="1023">
                  <c:v>26.75</c:v>
                </c:pt>
                <c:pt idx="1024">
                  <c:v>36.625</c:v>
                </c:pt>
                <c:pt idx="1025">
                  <c:v>52.625</c:v>
                </c:pt>
                <c:pt idx="1026">
                  <c:v>51.5</c:v>
                </c:pt>
                <c:pt idx="1027">
                  <c:v>52.25</c:v>
                </c:pt>
                <c:pt idx="1028">
                  <c:v>28.5</c:v>
                </c:pt>
                <c:pt idx="1029">
                  <c:v>22.875</c:v>
                </c:pt>
                <c:pt idx="1030">
                  <c:v>30.625</c:v>
                </c:pt>
                <c:pt idx="1031">
                  <c:v>47.75</c:v>
                </c:pt>
                <c:pt idx="1032">
                  <c:v>51.5</c:v>
                </c:pt>
                <c:pt idx="1033">
                  <c:v>53.375</c:v>
                </c:pt>
                <c:pt idx="1034">
                  <c:v>128.625</c:v>
                </c:pt>
                <c:pt idx="1035">
                  <c:v>51.5</c:v>
                </c:pt>
                <c:pt idx="1036">
                  <c:v>29.5</c:v>
                </c:pt>
                <c:pt idx="1037">
                  <c:v>35.25</c:v>
                </c:pt>
                <c:pt idx="1038">
                  <c:v>33.75</c:v>
                </c:pt>
                <c:pt idx="1039">
                  <c:v>45.5</c:v>
                </c:pt>
                <c:pt idx="1040">
                  <c:v>49.375</c:v>
                </c:pt>
                <c:pt idx="1041">
                  <c:v>57</c:v>
                </c:pt>
                <c:pt idx="1042">
                  <c:v>23.875</c:v>
                </c:pt>
                <c:pt idx="1043">
                  <c:v>33.5</c:v>
                </c:pt>
                <c:pt idx="1044">
                  <c:v>29.75</c:v>
                </c:pt>
                <c:pt idx="1045">
                  <c:v>35.5</c:v>
                </c:pt>
                <c:pt idx="1046">
                  <c:v>30.25</c:v>
                </c:pt>
                <c:pt idx="1047">
                  <c:v>58.75</c:v>
                </c:pt>
                <c:pt idx="1048">
                  <c:v>60.5</c:v>
                </c:pt>
                <c:pt idx="1049">
                  <c:v>57.5</c:v>
                </c:pt>
                <c:pt idx="1050">
                  <c:v>41</c:v>
                </c:pt>
                <c:pt idx="1051">
                  <c:v>31</c:v>
                </c:pt>
                <c:pt idx="1052">
                  <c:v>24.875</c:v>
                </c:pt>
                <c:pt idx="1053">
                  <c:v>52.625</c:v>
                </c:pt>
                <c:pt idx="1054">
                  <c:v>57.25</c:v>
                </c:pt>
                <c:pt idx="1055">
                  <c:v>51.5</c:v>
                </c:pt>
                <c:pt idx="1056">
                  <c:v>25.25</c:v>
                </c:pt>
                <c:pt idx="1057">
                  <c:v>30.75</c:v>
                </c:pt>
                <c:pt idx="1058">
                  <c:v>43.5</c:v>
                </c:pt>
                <c:pt idx="1059">
                  <c:v>37</c:v>
                </c:pt>
                <c:pt idx="1060">
                  <c:v>51.75</c:v>
                </c:pt>
                <c:pt idx="1061">
                  <c:v>60</c:v>
                </c:pt>
                <c:pt idx="1062">
                  <c:v>66</c:v>
                </c:pt>
                <c:pt idx="1063">
                  <c:v>34.5</c:v>
                </c:pt>
                <c:pt idx="1064">
                  <c:v>40</c:v>
                </c:pt>
                <c:pt idx="1065">
                  <c:v>50.5</c:v>
                </c:pt>
                <c:pt idx="1066">
                  <c:v>46</c:v>
                </c:pt>
                <c:pt idx="1067">
                  <c:v>70.5</c:v>
                </c:pt>
                <c:pt idx="1068">
                  <c:v>56.5</c:v>
                </c:pt>
                <c:pt idx="1069">
                  <c:v>58.875</c:v>
                </c:pt>
                <c:pt idx="1070">
                  <c:v>35.625</c:v>
                </c:pt>
                <c:pt idx="1071">
                  <c:v>64.5</c:v>
                </c:pt>
                <c:pt idx="1072">
                  <c:v>64</c:v>
                </c:pt>
                <c:pt idx="1073">
                  <c:v>42.75</c:v>
                </c:pt>
                <c:pt idx="1074">
                  <c:v>51</c:v>
                </c:pt>
                <c:pt idx="1075">
                  <c:v>62.25</c:v>
                </c:pt>
                <c:pt idx="1076">
                  <c:v>44.5</c:v>
                </c:pt>
                <c:pt idx="1077">
                  <c:v>37</c:v>
                </c:pt>
                <c:pt idx="1078">
                  <c:v>41</c:v>
                </c:pt>
                <c:pt idx="1079">
                  <c:v>52.5</c:v>
                </c:pt>
                <c:pt idx="1080">
                  <c:v>48</c:v>
                </c:pt>
                <c:pt idx="1081">
                  <c:v>50.625</c:v>
                </c:pt>
                <c:pt idx="1082">
                  <c:v>55.875</c:v>
                </c:pt>
                <c:pt idx="1083">
                  <c:v>78</c:v>
                </c:pt>
                <c:pt idx="1084">
                  <c:v>49</c:v>
                </c:pt>
                <c:pt idx="1085">
                  <c:v>58.125</c:v>
                </c:pt>
                <c:pt idx="1086">
                  <c:v>58.125</c:v>
                </c:pt>
                <c:pt idx="1087">
                  <c:v>54</c:v>
                </c:pt>
                <c:pt idx="1088">
                  <c:v>0</c:v>
                </c:pt>
                <c:pt idx="1089">
                  <c:v>80.25</c:v>
                </c:pt>
                <c:pt idx="1090">
                  <c:v>79</c:v>
                </c:pt>
                <c:pt idx="1091">
                  <c:v>36.375</c:v>
                </c:pt>
                <c:pt idx="1092">
                  <c:v>40.625</c:v>
                </c:pt>
                <c:pt idx="1093">
                  <c:v>44</c:v>
                </c:pt>
                <c:pt idx="1094">
                  <c:v>52</c:v>
                </c:pt>
                <c:pt idx="1095">
                  <c:v>0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34.75</c:v>
                </c:pt>
                <c:pt idx="1128">
                  <c:v>21.625</c:v>
                </c:pt>
                <c:pt idx="1129">
                  <c:v>21.875</c:v>
                </c:pt>
                <c:pt idx="1130">
                  <c:v>40.375</c:v>
                </c:pt>
                <c:pt idx="1131">
                  <c:v>39.5</c:v>
                </c:pt>
                <c:pt idx="1132">
                  <c:v>52.125</c:v>
                </c:pt>
                <c:pt idx="1133">
                  <c:v>22</c:v>
                </c:pt>
                <c:pt idx="1134">
                  <c:v>21.625</c:v>
                </c:pt>
                <c:pt idx="1135">
                  <c:v>30.75</c:v>
                </c:pt>
                <c:pt idx="1136">
                  <c:v>24.75</c:v>
                </c:pt>
                <c:pt idx="1137">
                  <c:v>46.375</c:v>
                </c:pt>
                <c:pt idx="1138">
                  <c:v>56.75</c:v>
                </c:pt>
                <c:pt idx="1139">
                  <c:v>34.75</c:v>
                </c:pt>
                <c:pt idx="1140">
                  <c:v>36.25</c:v>
                </c:pt>
                <c:pt idx="1141">
                  <c:v>27.375</c:v>
                </c:pt>
                <c:pt idx="1142">
                  <c:v>31.375</c:v>
                </c:pt>
                <c:pt idx="1143">
                  <c:v>18.75</c:v>
                </c:pt>
                <c:pt idx="1144">
                  <c:v>32.75</c:v>
                </c:pt>
                <c:pt idx="1145">
                  <c:v>38.75</c:v>
                </c:pt>
                <c:pt idx="1146">
                  <c:v>34.375</c:v>
                </c:pt>
                <c:pt idx="1147">
                  <c:v>16.875</c:v>
                </c:pt>
                <c:pt idx="1148">
                  <c:v>18.75</c:v>
                </c:pt>
                <c:pt idx="1149">
                  <c:v>23.25</c:v>
                </c:pt>
                <c:pt idx="1150">
                  <c:v>16.375</c:v>
                </c:pt>
                <c:pt idx="1151">
                  <c:v>47.625</c:v>
                </c:pt>
                <c:pt idx="1152">
                  <c:v>49</c:v>
                </c:pt>
                <c:pt idx="1153">
                  <c:v>59.5</c:v>
                </c:pt>
                <c:pt idx="1154">
                  <c:v>31.75</c:v>
                </c:pt>
                <c:pt idx="1155">
                  <c:v>21.125</c:v>
                </c:pt>
                <c:pt idx="1156">
                  <c:v>20.625</c:v>
                </c:pt>
                <c:pt idx="1157">
                  <c:v>22.875</c:v>
                </c:pt>
                <c:pt idx="1158">
                  <c:v>39</c:v>
                </c:pt>
                <c:pt idx="1159">
                  <c:v>50.125</c:v>
                </c:pt>
                <c:pt idx="1160">
                  <c:v>46.5</c:v>
                </c:pt>
                <c:pt idx="1161">
                  <c:v>21.75</c:v>
                </c:pt>
                <c:pt idx="1162">
                  <c:v>55.75</c:v>
                </c:pt>
                <c:pt idx="1163">
                  <c:v>26.875</c:v>
                </c:pt>
                <c:pt idx="1164">
                  <c:v>30.625</c:v>
                </c:pt>
                <c:pt idx="1165">
                  <c:v>66</c:v>
                </c:pt>
                <c:pt idx="1166">
                  <c:v>59.25</c:v>
                </c:pt>
                <c:pt idx="1167">
                  <c:v>52.25</c:v>
                </c:pt>
                <c:pt idx="1168">
                  <c:v>15</c:v>
                </c:pt>
                <c:pt idx="1169">
                  <c:v>30.375</c:v>
                </c:pt>
                <c:pt idx="1170">
                  <c:v>33</c:v>
                </c:pt>
                <c:pt idx="1171">
                  <c:v>26.625</c:v>
                </c:pt>
                <c:pt idx="1172">
                  <c:v>38.25</c:v>
                </c:pt>
                <c:pt idx="1173">
                  <c:v>48.75</c:v>
                </c:pt>
                <c:pt idx="1174">
                  <c:v>64.5</c:v>
                </c:pt>
                <c:pt idx="1175">
                  <c:v>46.5</c:v>
                </c:pt>
                <c:pt idx="1176">
                  <c:v>12.125</c:v>
                </c:pt>
                <c:pt idx="1177">
                  <c:v>24.75</c:v>
                </c:pt>
                <c:pt idx="1178">
                  <c:v>14.875</c:v>
                </c:pt>
                <c:pt idx="1179">
                  <c:v>30.5</c:v>
                </c:pt>
                <c:pt idx="1180">
                  <c:v>55.5</c:v>
                </c:pt>
                <c:pt idx="1181">
                  <c:v>50.125</c:v>
                </c:pt>
                <c:pt idx="1182">
                  <c:v>20.125</c:v>
                </c:pt>
                <c:pt idx="1183">
                  <c:v>29.25</c:v>
                </c:pt>
                <c:pt idx="1184">
                  <c:v>27.25</c:v>
                </c:pt>
                <c:pt idx="1185">
                  <c:v>22.5</c:v>
                </c:pt>
                <c:pt idx="1186">
                  <c:v>38.5</c:v>
                </c:pt>
                <c:pt idx="1187">
                  <c:v>51.375</c:v>
                </c:pt>
                <c:pt idx="1188">
                  <c:v>63.125</c:v>
                </c:pt>
                <c:pt idx="1189">
                  <c:v>22.25</c:v>
                </c:pt>
                <c:pt idx="1190">
                  <c:v>23.375</c:v>
                </c:pt>
                <c:pt idx="1191">
                  <c:v>27</c:v>
                </c:pt>
                <c:pt idx="1192">
                  <c:v>22.5</c:v>
                </c:pt>
                <c:pt idx="1193">
                  <c:v>33</c:v>
                </c:pt>
                <c:pt idx="1194">
                  <c:v>58.875</c:v>
                </c:pt>
                <c:pt idx="1195">
                  <c:v>70</c:v>
                </c:pt>
                <c:pt idx="1196">
                  <c:v>28.25</c:v>
                </c:pt>
                <c:pt idx="1197">
                  <c:v>26.5</c:v>
                </c:pt>
                <c:pt idx="1198">
                  <c:v>42.25</c:v>
                </c:pt>
                <c:pt idx="1199">
                  <c:v>50.875</c:v>
                </c:pt>
                <c:pt idx="1200">
                  <c:v>52.375</c:v>
                </c:pt>
                <c:pt idx="1201">
                  <c:v>43.125</c:v>
                </c:pt>
                <c:pt idx="1202">
                  <c:v>48.125</c:v>
                </c:pt>
                <c:pt idx="1203">
                  <c:v>23</c:v>
                </c:pt>
                <c:pt idx="1204">
                  <c:v>15</c:v>
                </c:pt>
                <c:pt idx="1205">
                  <c:v>19.75</c:v>
                </c:pt>
                <c:pt idx="1206">
                  <c:v>16.375</c:v>
                </c:pt>
                <c:pt idx="1207">
                  <c:v>28.375</c:v>
                </c:pt>
                <c:pt idx="1208">
                  <c:v>46.5</c:v>
                </c:pt>
                <c:pt idx="1209">
                  <c:v>43.375</c:v>
                </c:pt>
                <c:pt idx="1210">
                  <c:v>21</c:v>
                </c:pt>
                <c:pt idx="1211">
                  <c:v>27.125</c:v>
                </c:pt>
                <c:pt idx="1212">
                  <c:v>19.875</c:v>
                </c:pt>
                <c:pt idx="1213">
                  <c:v>25</c:v>
                </c:pt>
                <c:pt idx="1214">
                  <c:v>36.875</c:v>
                </c:pt>
                <c:pt idx="1215">
                  <c:v>67.25</c:v>
                </c:pt>
                <c:pt idx="1216">
                  <c:v>49.25</c:v>
                </c:pt>
                <c:pt idx="1217">
                  <c:v>24.625</c:v>
                </c:pt>
                <c:pt idx="1218">
                  <c:v>26.125</c:v>
                </c:pt>
                <c:pt idx="1219">
                  <c:v>29.25</c:v>
                </c:pt>
                <c:pt idx="1220">
                  <c:v>30.5</c:v>
                </c:pt>
                <c:pt idx="1221">
                  <c:v>36.25</c:v>
                </c:pt>
                <c:pt idx="1222">
                  <c:v>80.5</c:v>
                </c:pt>
                <c:pt idx="1223">
                  <c:v>52.875</c:v>
                </c:pt>
                <c:pt idx="1224">
                  <c:v>29.625</c:v>
                </c:pt>
                <c:pt idx="1225">
                  <c:v>24.25</c:v>
                </c:pt>
                <c:pt idx="1226">
                  <c:v>33.75</c:v>
                </c:pt>
                <c:pt idx="1227">
                  <c:v>22</c:v>
                </c:pt>
                <c:pt idx="1228">
                  <c:v>51</c:v>
                </c:pt>
                <c:pt idx="1229">
                  <c:v>51.125</c:v>
                </c:pt>
                <c:pt idx="1230">
                  <c:v>37.375</c:v>
                </c:pt>
                <c:pt idx="1231">
                  <c:v>27.5</c:v>
                </c:pt>
                <c:pt idx="1232">
                  <c:v>25.25</c:v>
                </c:pt>
                <c:pt idx="1233">
                  <c:v>23.75</c:v>
                </c:pt>
                <c:pt idx="1234">
                  <c:v>25.75</c:v>
                </c:pt>
                <c:pt idx="1235">
                  <c:v>33.375</c:v>
                </c:pt>
                <c:pt idx="1236">
                  <c:v>47.125</c:v>
                </c:pt>
                <c:pt idx="1237">
                  <c:v>41.5</c:v>
                </c:pt>
                <c:pt idx="1238">
                  <c:v>25.5</c:v>
                </c:pt>
                <c:pt idx="1239">
                  <c:v>26.625</c:v>
                </c:pt>
                <c:pt idx="1240">
                  <c:v>24.75</c:v>
                </c:pt>
                <c:pt idx="1241">
                  <c:v>27.875</c:v>
                </c:pt>
                <c:pt idx="1242">
                  <c:v>49.125</c:v>
                </c:pt>
                <c:pt idx="1243">
                  <c:v>56.375</c:v>
                </c:pt>
                <c:pt idx="1244">
                  <c:v>68.75</c:v>
                </c:pt>
                <c:pt idx="1245">
                  <c:v>46.375</c:v>
                </c:pt>
                <c:pt idx="1246">
                  <c:v>31.75</c:v>
                </c:pt>
                <c:pt idx="1247">
                  <c:v>28.875</c:v>
                </c:pt>
                <c:pt idx="1248">
                  <c:v>29.5</c:v>
                </c:pt>
                <c:pt idx="1249">
                  <c:v>39.875</c:v>
                </c:pt>
                <c:pt idx="1250">
                  <c:v>52.875</c:v>
                </c:pt>
                <c:pt idx="1251">
                  <c:v>45.625</c:v>
                </c:pt>
                <c:pt idx="1252">
                  <c:v>26.875</c:v>
                </c:pt>
                <c:pt idx="1253">
                  <c:v>30.375</c:v>
                </c:pt>
                <c:pt idx="1254">
                  <c:v>19.625</c:v>
                </c:pt>
                <c:pt idx="1255">
                  <c:v>21.375</c:v>
                </c:pt>
                <c:pt idx="1256">
                  <c:v>40.5</c:v>
                </c:pt>
                <c:pt idx="1257">
                  <c:v>38.625</c:v>
                </c:pt>
                <c:pt idx="1258">
                  <c:v>44.5</c:v>
                </c:pt>
                <c:pt idx="1259">
                  <c:v>16</c:v>
                </c:pt>
                <c:pt idx="1260">
                  <c:v>22.75</c:v>
                </c:pt>
                <c:pt idx="1261">
                  <c:v>32.625</c:v>
                </c:pt>
                <c:pt idx="1262">
                  <c:v>31.125</c:v>
                </c:pt>
                <c:pt idx="1263">
                  <c:v>63.375</c:v>
                </c:pt>
                <c:pt idx="1264">
                  <c:v>53.375</c:v>
                </c:pt>
                <c:pt idx="1265">
                  <c:v>52.625</c:v>
                </c:pt>
                <c:pt idx="1266">
                  <c:v>61.75</c:v>
                </c:pt>
                <c:pt idx="1267">
                  <c:v>34.875</c:v>
                </c:pt>
                <c:pt idx="1268">
                  <c:v>26.5</c:v>
                </c:pt>
                <c:pt idx="1269">
                  <c:v>33.25</c:v>
                </c:pt>
                <c:pt idx="1270">
                  <c:v>60.25</c:v>
                </c:pt>
                <c:pt idx="1271">
                  <c:v>65.5</c:v>
                </c:pt>
                <c:pt idx="1272">
                  <c:v>57.5</c:v>
                </c:pt>
                <c:pt idx="1273">
                  <c:v>60.5</c:v>
                </c:pt>
                <c:pt idx="1274">
                  <c:v>23.875</c:v>
                </c:pt>
                <c:pt idx="1275">
                  <c:v>40.75</c:v>
                </c:pt>
                <c:pt idx="1276">
                  <c:v>46.875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28</c:v>
                </c:pt>
                <c:pt idx="1309">
                  <c:v>30.875</c:v>
                </c:pt>
                <c:pt idx="1310">
                  <c:v>39.625</c:v>
                </c:pt>
                <c:pt idx="1311">
                  <c:v>28.875</c:v>
                </c:pt>
                <c:pt idx="1312">
                  <c:v>54</c:v>
                </c:pt>
                <c:pt idx="1313">
                  <c:v>64.75</c:v>
                </c:pt>
                <c:pt idx="1314">
                  <c:v>57.375</c:v>
                </c:pt>
                <c:pt idx="1315">
                  <c:v>21.875</c:v>
                </c:pt>
                <c:pt idx="1316">
                  <c:v>29.75</c:v>
                </c:pt>
                <c:pt idx="1317">
                  <c:v>29.875</c:v>
                </c:pt>
                <c:pt idx="1318">
                  <c:v>23.5</c:v>
                </c:pt>
                <c:pt idx="1319">
                  <c:v>31.5</c:v>
                </c:pt>
                <c:pt idx="1320">
                  <c:v>56.375</c:v>
                </c:pt>
                <c:pt idx="1321">
                  <c:v>51.125</c:v>
                </c:pt>
                <c:pt idx="1322">
                  <c:v>49.125</c:v>
                </c:pt>
                <c:pt idx="1323">
                  <c:v>27.625</c:v>
                </c:pt>
                <c:pt idx="1324">
                  <c:v>27.875</c:v>
                </c:pt>
                <c:pt idx="1325">
                  <c:v>36.5</c:v>
                </c:pt>
                <c:pt idx="1326">
                  <c:v>34.375</c:v>
                </c:pt>
                <c:pt idx="1327">
                  <c:v>43.75</c:v>
                </c:pt>
                <c:pt idx="1328">
                  <c:v>52.375</c:v>
                </c:pt>
                <c:pt idx="1329">
                  <c:v>27.5</c:v>
                </c:pt>
                <c:pt idx="1330">
                  <c:v>25.75</c:v>
                </c:pt>
                <c:pt idx="1331">
                  <c:v>29</c:v>
                </c:pt>
                <c:pt idx="1332">
                  <c:v>30.25</c:v>
                </c:pt>
                <c:pt idx="1333">
                  <c:v>45.25</c:v>
                </c:pt>
                <c:pt idx="1334">
                  <c:v>56</c:v>
                </c:pt>
                <c:pt idx="1335">
                  <c:v>40.75</c:v>
                </c:pt>
                <c:pt idx="1336">
                  <c:v>35.875</c:v>
                </c:pt>
                <c:pt idx="1337">
                  <c:v>25.125</c:v>
                </c:pt>
                <c:pt idx="1338">
                  <c:v>31.25</c:v>
                </c:pt>
                <c:pt idx="1339">
                  <c:v>21.125</c:v>
                </c:pt>
                <c:pt idx="1340">
                  <c:v>22.375</c:v>
                </c:pt>
                <c:pt idx="1341">
                  <c:v>37.875</c:v>
                </c:pt>
                <c:pt idx="1342">
                  <c:v>29.375</c:v>
                </c:pt>
                <c:pt idx="1343">
                  <c:v>18.5</c:v>
                </c:pt>
                <c:pt idx="1344">
                  <c:v>34.5</c:v>
                </c:pt>
                <c:pt idx="1345">
                  <c:v>16</c:v>
                </c:pt>
                <c:pt idx="1346">
                  <c:v>22.5</c:v>
                </c:pt>
                <c:pt idx="1347">
                  <c:v>34.375</c:v>
                </c:pt>
                <c:pt idx="1348">
                  <c:v>45.875</c:v>
                </c:pt>
                <c:pt idx="1349">
                  <c:v>50.375</c:v>
                </c:pt>
                <c:pt idx="1350">
                  <c:v>20.625</c:v>
                </c:pt>
                <c:pt idx="1351">
                  <c:v>0</c:v>
                </c:pt>
                <c:pt idx="1352">
                  <c:v>0</c:v>
                </c:pt>
                <c:pt idx="1353">
                  <c:v>17.5</c:v>
                </c:pt>
                <c:pt idx="1354">
                  <c:v>39</c:v>
                </c:pt>
                <c:pt idx="1355">
                  <c:v>43.625</c:v>
                </c:pt>
                <c:pt idx="1356">
                  <c:v>39</c:v>
                </c:pt>
                <c:pt idx="1357">
                  <c:v>6.75</c:v>
                </c:pt>
                <c:pt idx="1358">
                  <c:v>16.125</c:v>
                </c:pt>
                <c:pt idx="1359">
                  <c:v>22.25</c:v>
                </c:pt>
                <c:pt idx="1360">
                  <c:v>19.125</c:v>
                </c:pt>
                <c:pt idx="1361">
                  <c:v>26.125</c:v>
                </c:pt>
                <c:pt idx="1362">
                  <c:v>46.5</c:v>
                </c:pt>
                <c:pt idx="1363">
                  <c:v>41.625</c:v>
                </c:pt>
                <c:pt idx="1364">
                  <c:v>16.625</c:v>
                </c:pt>
                <c:pt idx="1365">
                  <c:v>16.5</c:v>
                </c:pt>
                <c:pt idx="1366">
                  <c:v>12.625</c:v>
                </c:pt>
                <c:pt idx="1367">
                  <c:v>25.25</c:v>
                </c:pt>
                <c:pt idx="1368">
                  <c:v>32.5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27.75</c:v>
                </c:pt>
                <c:pt idx="1431">
                  <c:v>25.875</c:v>
                </c:pt>
                <c:pt idx="1432">
                  <c:v>46</c:v>
                </c:pt>
                <c:pt idx="1433">
                  <c:v>44.75</c:v>
                </c:pt>
                <c:pt idx="1434">
                  <c:v>24</c:v>
                </c:pt>
                <c:pt idx="1435">
                  <c:v>24.375</c:v>
                </c:pt>
                <c:pt idx="1436">
                  <c:v>57</c:v>
                </c:pt>
                <c:pt idx="1437">
                  <c:v>38.375</c:v>
                </c:pt>
                <c:pt idx="1438">
                  <c:v>38.25</c:v>
                </c:pt>
                <c:pt idx="1439">
                  <c:v>41.375</c:v>
                </c:pt>
                <c:pt idx="1440">
                  <c:v>53.625</c:v>
                </c:pt>
                <c:pt idx="1441">
                  <c:v>14.625</c:v>
                </c:pt>
                <c:pt idx="1442">
                  <c:v>26.125</c:v>
                </c:pt>
                <c:pt idx="1443">
                  <c:v>45.375</c:v>
                </c:pt>
                <c:pt idx="1444">
                  <c:v>41.5</c:v>
                </c:pt>
                <c:pt idx="1445">
                  <c:v>41.25</c:v>
                </c:pt>
                <c:pt idx="1446">
                  <c:v>45.25</c:v>
                </c:pt>
                <c:pt idx="1447">
                  <c:v>58.25</c:v>
                </c:pt>
                <c:pt idx="1448">
                  <c:v>36.5</c:v>
                </c:pt>
                <c:pt idx="1449">
                  <c:v>39.625</c:v>
                </c:pt>
                <c:pt idx="1450">
                  <c:v>29.75</c:v>
                </c:pt>
                <c:pt idx="1451">
                  <c:v>35.5</c:v>
                </c:pt>
                <c:pt idx="1452">
                  <c:v>48.625</c:v>
                </c:pt>
                <c:pt idx="1453">
                  <c:v>31.25</c:v>
                </c:pt>
                <c:pt idx="1454">
                  <c:v>65.125</c:v>
                </c:pt>
                <c:pt idx="1455">
                  <c:v>43.75</c:v>
                </c:pt>
                <c:pt idx="1456">
                  <c:v>46.75</c:v>
                </c:pt>
                <c:pt idx="1457">
                  <c:v>38.75</c:v>
                </c:pt>
                <c:pt idx="1458">
                  <c:v>37</c:v>
                </c:pt>
                <c:pt idx="1459">
                  <c:v>53.125</c:v>
                </c:pt>
                <c:pt idx="1460">
                  <c:v>39.25</c:v>
                </c:pt>
                <c:pt idx="1461">
                  <c:v>59</c:v>
                </c:pt>
                <c:pt idx="1462">
                  <c:v>34.125</c:v>
                </c:pt>
                <c:pt idx="1463">
                  <c:v>33</c:v>
                </c:pt>
                <c:pt idx="1464">
                  <c:v>41.75</c:v>
                </c:pt>
                <c:pt idx="1465">
                  <c:v>25.875</c:v>
                </c:pt>
                <c:pt idx="1466">
                  <c:v>26.375</c:v>
                </c:pt>
                <c:pt idx="1467">
                  <c:v>52</c:v>
                </c:pt>
                <c:pt idx="1468">
                  <c:v>50.625</c:v>
                </c:pt>
                <c:pt idx="1469">
                  <c:v>46.375</c:v>
                </c:pt>
                <c:pt idx="1470">
                  <c:v>18.875</c:v>
                </c:pt>
                <c:pt idx="1471">
                  <c:v>28.625</c:v>
                </c:pt>
                <c:pt idx="1472">
                  <c:v>23.5</c:v>
                </c:pt>
                <c:pt idx="1473">
                  <c:v>32.625</c:v>
                </c:pt>
                <c:pt idx="1474">
                  <c:v>46</c:v>
                </c:pt>
                <c:pt idx="1475">
                  <c:v>38.5</c:v>
                </c:pt>
                <c:pt idx="1476">
                  <c:v>25.25</c:v>
                </c:pt>
                <c:pt idx="1477">
                  <c:v>22</c:v>
                </c:pt>
                <c:pt idx="1478">
                  <c:v>23.375</c:v>
                </c:pt>
                <c:pt idx="1479">
                  <c:v>26.5</c:v>
                </c:pt>
                <c:pt idx="1480">
                  <c:v>25.125</c:v>
                </c:pt>
                <c:pt idx="1481">
                  <c:v>34.75</c:v>
                </c:pt>
                <c:pt idx="1482">
                  <c:v>39.625</c:v>
                </c:pt>
                <c:pt idx="1483">
                  <c:v>16.125</c:v>
                </c:pt>
                <c:pt idx="1484">
                  <c:v>24.125</c:v>
                </c:pt>
                <c:pt idx="1485">
                  <c:v>14.25</c:v>
                </c:pt>
                <c:pt idx="1486">
                  <c:v>26</c:v>
                </c:pt>
                <c:pt idx="1487">
                  <c:v>31.5</c:v>
                </c:pt>
                <c:pt idx="1488">
                  <c:v>40.75</c:v>
                </c:pt>
                <c:pt idx="1489">
                  <c:v>28.375</c:v>
                </c:pt>
                <c:pt idx="1490">
                  <c:v>20.375</c:v>
                </c:pt>
                <c:pt idx="1491">
                  <c:v>17.25</c:v>
                </c:pt>
                <c:pt idx="1492">
                  <c:v>29</c:v>
                </c:pt>
                <c:pt idx="1493">
                  <c:v>22</c:v>
                </c:pt>
                <c:pt idx="1494">
                  <c:v>26.5</c:v>
                </c:pt>
                <c:pt idx="1495">
                  <c:v>48.125</c:v>
                </c:pt>
                <c:pt idx="1496">
                  <c:v>31.5</c:v>
                </c:pt>
                <c:pt idx="1497">
                  <c:v>19.375</c:v>
                </c:pt>
                <c:pt idx="1498">
                  <c:v>10.375</c:v>
                </c:pt>
                <c:pt idx="1499">
                  <c:v>17.75</c:v>
                </c:pt>
                <c:pt idx="1500">
                  <c:v>16.875</c:v>
                </c:pt>
                <c:pt idx="1501">
                  <c:v>37</c:v>
                </c:pt>
                <c:pt idx="1502">
                  <c:v>29.625</c:v>
                </c:pt>
                <c:pt idx="1503">
                  <c:v>31.125</c:v>
                </c:pt>
                <c:pt idx="1504">
                  <c:v>20.125</c:v>
                </c:pt>
                <c:pt idx="1505">
                  <c:v>21</c:v>
                </c:pt>
                <c:pt idx="1506">
                  <c:v>15.125</c:v>
                </c:pt>
                <c:pt idx="1507">
                  <c:v>17.25</c:v>
                </c:pt>
                <c:pt idx="1508">
                  <c:v>27.75</c:v>
                </c:pt>
                <c:pt idx="1509">
                  <c:v>40.75</c:v>
                </c:pt>
                <c:pt idx="1510">
                  <c:v>27</c:v>
                </c:pt>
                <c:pt idx="1511">
                  <c:v>13.125</c:v>
                </c:pt>
                <c:pt idx="1512">
                  <c:v>12.5</c:v>
                </c:pt>
                <c:pt idx="1513">
                  <c:v>11.125</c:v>
                </c:pt>
                <c:pt idx="1514">
                  <c:v>18.375</c:v>
                </c:pt>
                <c:pt idx="1515">
                  <c:v>25.625</c:v>
                </c:pt>
                <c:pt idx="1516">
                  <c:v>35.25</c:v>
                </c:pt>
                <c:pt idx="1517">
                  <c:v>25.875</c:v>
                </c:pt>
                <c:pt idx="1518">
                  <c:v>13.75</c:v>
                </c:pt>
                <c:pt idx="1519">
                  <c:v>22.625</c:v>
                </c:pt>
                <c:pt idx="1520">
                  <c:v>21.625</c:v>
                </c:pt>
                <c:pt idx="1521">
                  <c:v>17.875</c:v>
                </c:pt>
                <c:pt idx="1522">
                  <c:v>29.875</c:v>
                </c:pt>
                <c:pt idx="1523">
                  <c:v>33.625</c:v>
                </c:pt>
                <c:pt idx="1524">
                  <c:v>50.625</c:v>
                </c:pt>
                <c:pt idx="1525">
                  <c:v>11</c:v>
                </c:pt>
                <c:pt idx="1526">
                  <c:v>11.625</c:v>
                </c:pt>
                <c:pt idx="1527">
                  <c:v>23.5</c:v>
                </c:pt>
                <c:pt idx="1528">
                  <c:v>15.875</c:v>
                </c:pt>
                <c:pt idx="1529">
                  <c:v>25.875</c:v>
                </c:pt>
                <c:pt idx="1530">
                  <c:v>38.875</c:v>
                </c:pt>
                <c:pt idx="1531">
                  <c:v>34.75</c:v>
                </c:pt>
                <c:pt idx="1532">
                  <c:v>14.125</c:v>
                </c:pt>
                <c:pt idx="1533">
                  <c:v>15.375</c:v>
                </c:pt>
                <c:pt idx="1534">
                  <c:v>22.875</c:v>
                </c:pt>
                <c:pt idx="1535">
                  <c:v>11</c:v>
                </c:pt>
                <c:pt idx="1536">
                  <c:v>26.5</c:v>
                </c:pt>
                <c:pt idx="1537">
                  <c:v>37.125</c:v>
                </c:pt>
                <c:pt idx="1538">
                  <c:v>34</c:v>
                </c:pt>
                <c:pt idx="1539">
                  <c:v>26.5</c:v>
                </c:pt>
                <c:pt idx="1540">
                  <c:v>8.5</c:v>
                </c:pt>
                <c:pt idx="1541">
                  <c:v>9</c:v>
                </c:pt>
                <c:pt idx="1542">
                  <c:v>12.5</c:v>
                </c:pt>
                <c:pt idx="1543">
                  <c:v>25.625</c:v>
                </c:pt>
                <c:pt idx="1544">
                  <c:v>42.75</c:v>
                </c:pt>
                <c:pt idx="1545">
                  <c:v>30.25</c:v>
                </c:pt>
                <c:pt idx="1546">
                  <c:v>16.375</c:v>
                </c:pt>
                <c:pt idx="1547">
                  <c:v>14</c:v>
                </c:pt>
                <c:pt idx="1548">
                  <c:v>13</c:v>
                </c:pt>
                <c:pt idx="1549">
                  <c:v>21.375</c:v>
                </c:pt>
                <c:pt idx="1550">
                  <c:v>35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39.625</c:v>
                </c:pt>
                <c:pt idx="1582">
                  <c:v>23</c:v>
                </c:pt>
                <c:pt idx="1583">
                  <c:v>19.5</c:v>
                </c:pt>
                <c:pt idx="1584">
                  <c:v>21.75</c:v>
                </c:pt>
                <c:pt idx="1585">
                  <c:v>28.5</c:v>
                </c:pt>
                <c:pt idx="1586">
                  <c:v>41.25</c:v>
                </c:pt>
                <c:pt idx="1587">
                  <c:v>32</c:v>
                </c:pt>
                <c:pt idx="1588">
                  <c:v>14.875</c:v>
                </c:pt>
                <c:pt idx="1589">
                  <c:v>4.375</c:v>
                </c:pt>
                <c:pt idx="1590">
                  <c:v>16</c:v>
                </c:pt>
                <c:pt idx="1591">
                  <c:v>14.5</c:v>
                </c:pt>
                <c:pt idx="1592">
                  <c:v>40.875</c:v>
                </c:pt>
                <c:pt idx="1593">
                  <c:v>42</c:v>
                </c:pt>
                <c:pt idx="1594">
                  <c:v>39.625</c:v>
                </c:pt>
                <c:pt idx="1595">
                  <c:v>21.875</c:v>
                </c:pt>
                <c:pt idx="1596">
                  <c:v>6.25</c:v>
                </c:pt>
                <c:pt idx="1597">
                  <c:v>20.875</c:v>
                </c:pt>
                <c:pt idx="1598">
                  <c:v>29.625</c:v>
                </c:pt>
                <c:pt idx="1599">
                  <c:v>21.125</c:v>
                </c:pt>
                <c:pt idx="1600">
                  <c:v>42.75</c:v>
                </c:pt>
                <c:pt idx="1601">
                  <c:v>47.75</c:v>
                </c:pt>
                <c:pt idx="1602">
                  <c:v>26</c:v>
                </c:pt>
                <c:pt idx="1603">
                  <c:v>6.25</c:v>
                </c:pt>
                <c:pt idx="1604">
                  <c:v>25.625</c:v>
                </c:pt>
                <c:pt idx="1605">
                  <c:v>26.75</c:v>
                </c:pt>
                <c:pt idx="1606">
                  <c:v>38.25</c:v>
                </c:pt>
                <c:pt idx="1607">
                  <c:v>41.25</c:v>
                </c:pt>
                <c:pt idx="1608">
                  <c:v>40.875</c:v>
                </c:pt>
                <c:pt idx="1609">
                  <c:v>20.75</c:v>
                </c:pt>
                <c:pt idx="1610">
                  <c:v>7</c:v>
                </c:pt>
                <c:pt idx="1611">
                  <c:v>21.125</c:v>
                </c:pt>
                <c:pt idx="1612">
                  <c:v>26.875</c:v>
                </c:pt>
                <c:pt idx="1613">
                  <c:v>32.625</c:v>
                </c:pt>
                <c:pt idx="1614">
                  <c:v>51.375</c:v>
                </c:pt>
                <c:pt idx="1615">
                  <c:v>42.375</c:v>
                </c:pt>
                <c:pt idx="1616">
                  <c:v>15.75</c:v>
                </c:pt>
                <c:pt idx="1617">
                  <c:v>22.875</c:v>
                </c:pt>
                <c:pt idx="1618">
                  <c:v>24.375</c:v>
                </c:pt>
                <c:pt idx="1619">
                  <c:v>28.25</c:v>
                </c:pt>
                <c:pt idx="1620">
                  <c:v>34.625</c:v>
                </c:pt>
                <c:pt idx="1621">
                  <c:v>40.375</c:v>
                </c:pt>
                <c:pt idx="1622">
                  <c:v>43.375</c:v>
                </c:pt>
                <c:pt idx="1623">
                  <c:v>28.875</c:v>
                </c:pt>
                <c:pt idx="1624">
                  <c:v>23.75</c:v>
                </c:pt>
                <c:pt idx="1625">
                  <c:v>24.375</c:v>
                </c:pt>
                <c:pt idx="1626">
                  <c:v>32.125</c:v>
                </c:pt>
                <c:pt idx="1627">
                  <c:v>34.875</c:v>
                </c:pt>
                <c:pt idx="1628">
                  <c:v>44</c:v>
                </c:pt>
                <c:pt idx="1629">
                  <c:v>33.875</c:v>
                </c:pt>
                <c:pt idx="1630">
                  <c:v>33.625</c:v>
                </c:pt>
                <c:pt idx="1631">
                  <c:v>19.125</c:v>
                </c:pt>
                <c:pt idx="1632">
                  <c:v>24.375</c:v>
                </c:pt>
                <c:pt idx="1633">
                  <c:v>24.5</c:v>
                </c:pt>
                <c:pt idx="1634">
                  <c:v>36</c:v>
                </c:pt>
                <c:pt idx="1635">
                  <c:v>44.5</c:v>
                </c:pt>
                <c:pt idx="1636">
                  <c:v>31.125</c:v>
                </c:pt>
                <c:pt idx="1637">
                  <c:v>16.625</c:v>
                </c:pt>
                <c:pt idx="1638">
                  <c:v>20.25</c:v>
                </c:pt>
                <c:pt idx="1639">
                  <c:v>26.375</c:v>
                </c:pt>
                <c:pt idx="1640">
                  <c:v>42</c:v>
                </c:pt>
                <c:pt idx="1641">
                  <c:v>47.625</c:v>
                </c:pt>
                <c:pt idx="1642">
                  <c:v>16.25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24.375</c:v>
                </c:pt>
                <c:pt idx="1674">
                  <c:v>30.125</c:v>
                </c:pt>
                <c:pt idx="1675">
                  <c:v>16.75</c:v>
                </c:pt>
                <c:pt idx="1676">
                  <c:v>44</c:v>
                </c:pt>
                <c:pt idx="1677">
                  <c:v>46.125</c:v>
                </c:pt>
                <c:pt idx="1678">
                  <c:v>44.375</c:v>
                </c:pt>
                <c:pt idx="1679">
                  <c:v>42.375</c:v>
                </c:pt>
                <c:pt idx="1680">
                  <c:v>10</c:v>
                </c:pt>
                <c:pt idx="1681">
                  <c:v>21.375</c:v>
                </c:pt>
                <c:pt idx="1682">
                  <c:v>20.5</c:v>
                </c:pt>
                <c:pt idx="1683">
                  <c:v>34.625</c:v>
                </c:pt>
                <c:pt idx="1684">
                  <c:v>44.25</c:v>
                </c:pt>
                <c:pt idx="1685">
                  <c:v>36.375</c:v>
                </c:pt>
                <c:pt idx="1686">
                  <c:v>30.625</c:v>
                </c:pt>
                <c:pt idx="1687">
                  <c:v>5.5</c:v>
                </c:pt>
                <c:pt idx="1688">
                  <c:v>23.5</c:v>
                </c:pt>
                <c:pt idx="1689">
                  <c:v>24.75</c:v>
                </c:pt>
                <c:pt idx="1690">
                  <c:v>34.375</c:v>
                </c:pt>
                <c:pt idx="1691">
                  <c:v>25</c:v>
                </c:pt>
                <c:pt idx="1692">
                  <c:v>39.25</c:v>
                </c:pt>
                <c:pt idx="1693">
                  <c:v>23.75</c:v>
                </c:pt>
                <c:pt idx="1694">
                  <c:v>6.75</c:v>
                </c:pt>
                <c:pt idx="1695">
                  <c:v>29.375</c:v>
                </c:pt>
                <c:pt idx="1696">
                  <c:v>25.375</c:v>
                </c:pt>
                <c:pt idx="1697">
                  <c:v>35.75</c:v>
                </c:pt>
                <c:pt idx="1698">
                  <c:v>34.125</c:v>
                </c:pt>
                <c:pt idx="1699">
                  <c:v>39.5</c:v>
                </c:pt>
                <c:pt idx="1700">
                  <c:v>19.375</c:v>
                </c:pt>
                <c:pt idx="1701">
                  <c:v>7.125</c:v>
                </c:pt>
                <c:pt idx="1702">
                  <c:v>21.875</c:v>
                </c:pt>
                <c:pt idx="1703">
                  <c:v>26.5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5-44DF-8554-C14C3D903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2107551"/>
        <c:axId val="160210803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Total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Totales!$B$2:$B$1827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826"/>
                      <c:pt idx="0">
                        <c:v>162.75</c:v>
                      </c:pt>
                      <c:pt idx="1">
                        <c:v>140.25</c:v>
                      </c:pt>
                      <c:pt idx="2">
                        <c:v>127</c:v>
                      </c:pt>
                      <c:pt idx="3">
                        <c:v>108.75</c:v>
                      </c:pt>
                      <c:pt idx="4">
                        <c:v>121.25</c:v>
                      </c:pt>
                      <c:pt idx="5">
                        <c:v>95.75</c:v>
                      </c:pt>
                      <c:pt idx="6">
                        <c:v>140.25</c:v>
                      </c:pt>
                      <c:pt idx="7">
                        <c:v>113.75</c:v>
                      </c:pt>
                      <c:pt idx="8">
                        <c:v>114.25</c:v>
                      </c:pt>
                      <c:pt idx="9">
                        <c:v>106.5</c:v>
                      </c:pt>
                      <c:pt idx="10">
                        <c:v>123</c:v>
                      </c:pt>
                      <c:pt idx="11">
                        <c:v>145.5</c:v>
                      </c:pt>
                      <c:pt idx="12">
                        <c:v>132.25</c:v>
                      </c:pt>
                      <c:pt idx="13">
                        <c:v>76.25</c:v>
                      </c:pt>
                      <c:pt idx="14">
                        <c:v>104.5</c:v>
                      </c:pt>
                      <c:pt idx="15">
                        <c:v>111.75</c:v>
                      </c:pt>
                      <c:pt idx="16">
                        <c:v>71.25</c:v>
                      </c:pt>
                      <c:pt idx="17">
                        <c:v>32.75</c:v>
                      </c:pt>
                      <c:pt idx="18">
                        <c:v>152.5</c:v>
                      </c:pt>
                      <c:pt idx="19">
                        <c:v>145.25</c:v>
                      </c:pt>
                      <c:pt idx="20">
                        <c:v>76</c:v>
                      </c:pt>
                      <c:pt idx="21">
                        <c:v>74.625</c:v>
                      </c:pt>
                      <c:pt idx="22">
                        <c:v>74.875</c:v>
                      </c:pt>
                      <c:pt idx="23">
                        <c:v>57.5</c:v>
                      </c:pt>
                      <c:pt idx="24">
                        <c:v>79.75</c:v>
                      </c:pt>
                      <c:pt idx="25">
                        <c:v>125.75</c:v>
                      </c:pt>
                      <c:pt idx="26">
                        <c:v>107.375</c:v>
                      </c:pt>
                      <c:pt idx="27">
                        <c:v>48.625</c:v>
                      </c:pt>
                      <c:pt idx="28">
                        <c:v>70.25</c:v>
                      </c:pt>
                      <c:pt idx="29">
                        <c:v>67.375</c:v>
                      </c:pt>
                      <c:pt idx="30">
                        <c:v>92.375</c:v>
                      </c:pt>
                      <c:pt idx="31">
                        <c:v>117.5</c:v>
                      </c:pt>
                      <c:pt idx="32">
                        <c:v>122.5</c:v>
                      </c:pt>
                      <c:pt idx="33">
                        <c:v>145.25</c:v>
                      </c:pt>
                      <c:pt idx="34">
                        <c:v>59.75</c:v>
                      </c:pt>
                      <c:pt idx="35">
                        <c:v>56</c:v>
                      </c:pt>
                      <c:pt idx="36">
                        <c:v>64.75</c:v>
                      </c:pt>
                      <c:pt idx="37">
                        <c:v>52.75</c:v>
                      </c:pt>
                      <c:pt idx="38">
                        <c:v>99</c:v>
                      </c:pt>
                      <c:pt idx="39">
                        <c:v>120.5</c:v>
                      </c:pt>
                      <c:pt idx="40">
                        <c:v>111</c:v>
                      </c:pt>
                      <c:pt idx="41">
                        <c:v>44.25</c:v>
                      </c:pt>
                      <c:pt idx="42">
                        <c:v>60.5</c:v>
                      </c:pt>
                      <c:pt idx="43">
                        <c:v>62.25</c:v>
                      </c:pt>
                      <c:pt idx="44">
                        <c:v>71.5</c:v>
                      </c:pt>
                      <c:pt idx="45">
                        <c:v>83</c:v>
                      </c:pt>
                      <c:pt idx="46">
                        <c:v>130</c:v>
                      </c:pt>
                      <c:pt idx="47">
                        <c:v>121.25</c:v>
                      </c:pt>
                      <c:pt idx="48">
                        <c:v>45.25</c:v>
                      </c:pt>
                      <c:pt idx="49">
                        <c:v>47.5</c:v>
                      </c:pt>
                      <c:pt idx="50">
                        <c:v>67.5</c:v>
                      </c:pt>
                      <c:pt idx="51">
                        <c:v>64.375</c:v>
                      </c:pt>
                      <c:pt idx="52">
                        <c:v>79.625</c:v>
                      </c:pt>
                      <c:pt idx="53">
                        <c:v>106.75</c:v>
                      </c:pt>
                      <c:pt idx="54">
                        <c:v>116</c:v>
                      </c:pt>
                      <c:pt idx="55">
                        <c:v>54</c:v>
                      </c:pt>
                      <c:pt idx="56">
                        <c:v>56</c:v>
                      </c:pt>
                      <c:pt idx="57">
                        <c:v>66</c:v>
                      </c:pt>
                      <c:pt idx="58">
                        <c:v>76.75</c:v>
                      </c:pt>
                      <c:pt idx="59">
                        <c:v>103.125</c:v>
                      </c:pt>
                      <c:pt idx="60">
                        <c:v>112.375</c:v>
                      </c:pt>
                      <c:pt idx="61">
                        <c:v>106</c:v>
                      </c:pt>
                      <c:pt idx="62">
                        <c:v>51.625</c:v>
                      </c:pt>
                      <c:pt idx="63">
                        <c:v>48.875</c:v>
                      </c:pt>
                      <c:pt idx="64">
                        <c:v>52.5</c:v>
                      </c:pt>
                      <c:pt idx="65">
                        <c:v>63.25</c:v>
                      </c:pt>
                      <c:pt idx="66">
                        <c:v>131</c:v>
                      </c:pt>
                      <c:pt idx="67">
                        <c:v>124.25</c:v>
                      </c:pt>
                      <c:pt idx="68">
                        <c:v>104.5</c:v>
                      </c:pt>
                      <c:pt idx="69">
                        <c:v>45.75</c:v>
                      </c:pt>
                      <c:pt idx="70">
                        <c:v>63.25</c:v>
                      </c:pt>
                      <c:pt idx="71">
                        <c:v>51</c:v>
                      </c:pt>
                      <c:pt idx="72">
                        <c:v>57</c:v>
                      </c:pt>
                      <c:pt idx="73">
                        <c:v>94.5</c:v>
                      </c:pt>
                      <c:pt idx="74">
                        <c:v>101</c:v>
                      </c:pt>
                      <c:pt idx="75">
                        <c:v>110.75</c:v>
                      </c:pt>
                      <c:pt idx="76">
                        <c:v>40.875</c:v>
                      </c:pt>
                      <c:pt idx="77">
                        <c:v>55.875</c:v>
                      </c:pt>
                      <c:pt idx="78">
                        <c:v>55.5</c:v>
                      </c:pt>
                      <c:pt idx="79">
                        <c:v>60.125</c:v>
                      </c:pt>
                      <c:pt idx="80">
                        <c:v>84.375</c:v>
                      </c:pt>
                      <c:pt idx="81">
                        <c:v>118</c:v>
                      </c:pt>
                      <c:pt idx="82">
                        <c:v>121</c:v>
                      </c:pt>
                      <c:pt idx="83">
                        <c:v>112.5</c:v>
                      </c:pt>
                      <c:pt idx="84">
                        <c:v>52.5</c:v>
                      </c:pt>
                      <c:pt idx="85">
                        <c:v>61.5</c:v>
                      </c:pt>
                      <c:pt idx="86">
                        <c:v>54.75</c:v>
                      </c:pt>
                      <c:pt idx="87">
                        <c:v>87.75</c:v>
                      </c:pt>
                      <c:pt idx="88">
                        <c:v>142.375</c:v>
                      </c:pt>
                      <c:pt idx="89">
                        <c:v>141.125</c:v>
                      </c:pt>
                      <c:pt idx="90">
                        <c:v>41</c:v>
                      </c:pt>
                      <c:pt idx="91">
                        <c:v>60.75</c:v>
                      </c:pt>
                      <c:pt idx="92">
                        <c:v>74.25</c:v>
                      </c:pt>
                      <c:pt idx="93">
                        <c:v>79.5</c:v>
                      </c:pt>
                      <c:pt idx="94">
                        <c:v>101</c:v>
                      </c:pt>
                      <c:pt idx="95">
                        <c:v>134</c:v>
                      </c:pt>
                      <c:pt idx="96">
                        <c:v>138</c:v>
                      </c:pt>
                      <c:pt idx="97">
                        <c:v>48</c:v>
                      </c:pt>
                      <c:pt idx="98">
                        <c:v>65.375</c:v>
                      </c:pt>
                      <c:pt idx="99">
                        <c:v>60.625</c:v>
                      </c:pt>
                      <c:pt idx="100">
                        <c:v>67.5</c:v>
                      </c:pt>
                      <c:pt idx="101">
                        <c:v>89.125</c:v>
                      </c:pt>
                      <c:pt idx="102">
                        <c:v>132.625</c:v>
                      </c:pt>
                      <c:pt idx="103">
                        <c:v>123.75</c:v>
                      </c:pt>
                      <c:pt idx="104">
                        <c:v>87.75</c:v>
                      </c:pt>
                      <c:pt idx="105">
                        <c:v>108.75</c:v>
                      </c:pt>
                      <c:pt idx="106">
                        <c:v>126</c:v>
                      </c:pt>
                      <c:pt idx="107">
                        <c:v>118.25</c:v>
                      </c:pt>
                      <c:pt idx="108">
                        <c:v>156.25</c:v>
                      </c:pt>
                      <c:pt idx="109">
                        <c:v>135.5</c:v>
                      </c:pt>
                      <c:pt idx="110">
                        <c:v>122.5</c:v>
                      </c:pt>
                      <c:pt idx="111">
                        <c:v>49.25</c:v>
                      </c:pt>
                      <c:pt idx="112">
                        <c:v>57.5</c:v>
                      </c:pt>
                      <c:pt idx="113">
                        <c:v>67</c:v>
                      </c:pt>
                      <c:pt idx="114">
                        <c:v>86.25</c:v>
                      </c:pt>
                      <c:pt idx="115">
                        <c:v>103.25</c:v>
                      </c:pt>
                      <c:pt idx="116">
                        <c:v>152.5</c:v>
                      </c:pt>
                      <c:pt idx="117">
                        <c:v>145.75</c:v>
                      </c:pt>
                      <c:pt idx="118">
                        <c:v>50.75</c:v>
                      </c:pt>
                      <c:pt idx="119">
                        <c:v>127.25</c:v>
                      </c:pt>
                      <c:pt idx="120">
                        <c:v>143.5</c:v>
                      </c:pt>
                      <c:pt idx="121">
                        <c:v>58.75</c:v>
                      </c:pt>
                      <c:pt idx="122">
                        <c:v>91.875</c:v>
                      </c:pt>
                      <c:pt idx="123">
                        <c:v>127.375</c:v>
                      </c:pt>
                      <c:pt idx="124">
                        <c:v>113.75</c:v>
                      </c:pt>
                      <c:pt idx="125">
                        <c:v>43.25</c:v>
                      </c:pt>
                      <c:pt idx="126">
                        <c:v>60.5</c:v>
                      </c:pt>
                      <c:pt idx="127">
                        <c:v>71.5</c:v>
                      </c:pt>
                      <c:pt idx="128">
                        <c:v>65.25</c:v>
                      </c:pt>
                      <c:pt idx="129">
                        <c:v>104.25</c:v>
                      </c:pt>
                      <c:pt idx="130">
                        <c:v>126.5</c:v>
                      </c:pt>
                      <c:pt idx="131">
                        <c:v>99</c:v>
                      </c:pt>
                      <c:pt idx="132">
                        <c:v>52</c:v>
                      </c:pt>
                      <c:pt idx="133">
                        <c:v>70.5</c:v>
                      </c:pt>
                      <c:pt idx="134">
                        <c:v>72</c:v>
                      </c:pt>
                      <c:pt idx="135">
                        <c:v>57.5</c:v>
                      </c:pt>
                      <c:pt idx="136">
                        <c:v>94</c:v>
                      </c:pt>
                      <c:pt idx="137">
                        <c:v>103</c:v>
                      </c:pt>
                      <c:pt idx="138">
                        <c:v>124</c:v>
                      </c:pt>
                      <c:pt idx="139">
                        <c:v>52.5</c:v>
                      </c:pt>
                      <c:pt idx="140">
                        <c:v>55.5</c:v>
                      </c:pt>
                      <c:pt idx="141">
                        <c:v>57.125</c:v>
                      </c:pt>
                      <c:pt idx="142">
                        <c:v>48.5</c:v>
                      </c:pt>
                      <c:pt idx="143">
                        <c:v>86.25</c:v>
                      </c:pt>
                      <c:pt idx="144">
                        <c:v>106.125</c:v>
                      </c:pt>
                      <c:pt idx="145">
                        <c:v>109.25</c:v>
                      </c:pt>
                      <c:pt idx="146">
                        <c:v>40.25</c:v>
                      </c:pt>
                      <c:pt idx="147">
                        <c:v>62.625</c:v>
                      </c:pt>
                      <c:pt idx="148">
                        <c:v>54.125</c:v>
                      </c:pt>
                      <c:pt idx="149">
                        <c:v>57.875</c:v>
                      </c:pt>
                      <c:pt idx="150">
                        <c:v>84.125</c:v>
                      </c:pt>
                      <c:pt idx="151">
                        <c:v>127.5</c:v>
                      </c:pt>
                      <c:pt idx="152">
                        <c:v>145</c:v>
                      </c:pt>
                      <c:pt idx="153">
                        <c:v>111.625</c:v>
                      </c:pt>
                      <c:pt idx="154">
                        <c:v>60.375</c:v>
                      </c:pt>
                      <c:pt idx="155">
                        <c:v>58.25</c:v>
                      </c:pt>
                      <c:pt idx="156">
                        <c:v>50.5</c:v>
                      </c:pt>
                      <c:pt idx="157">
                        <c:v>72.125</c:v>
                      </c:pt>
                      <c:pt idx="158">
                        <c:v>112.125</c:v>
                      </c:pt>
                      <c:pt idx="159">
                        <c:v>101.875</c:v>
                      </c:pt>
                      <c:pt idx="160">
                        <c:v>60.625</c:v>
                      </c:pt>
                      <c:pt idx="161">
                        <c:v>45.75</c:v>
                      </c:pt>
                      <c:pt idx="162">
                        <c:v>59.875</c:v>
                      </c:pt>
                      <c:pt idx="163">
                        <c:v>62.75</c:v>
                      </c:pt>
                      <c:pt idx="164">
                        <c:v>91.875</c:v>
                      </c:pt>
                      <c:pt idx="165">
                        <c:v>135.75</c:v>
                      </c:pt>
                      <c:pt idx="166">
                        <c:v>108</c:v>
                      </c:pt>
                      <c:pt idx="167">
                        <c:v>59.75</c:v>
                      </c:pt>
                      <c:pt idx="168">
                        <c:v>77.95</c:v>
                      </c:pt>
                      <c:pt idx="169">
                        <c:v>91.174999999999997</c:v>
                      </c:pt>
                      <c:pt idx="170">
                        <c:v>76.375</c:v>
                      </c:pt>
                      <c:pt idx="171">
                        <c:v>95.625</c:v>
                      </c:pt>
                      <c:pt idx="172">
                        <c:v>120.125</c:v>
                      </c:pt>
                      <c:pt idx="173">
                        <c:v>132.5</c:v>
                      </c:pt>
                      <c:pt idx="174">
                        <c:v>112.25</c:v>
                      </c:pt>
                      <c:pt idx="175">
                        <c:v>101</c:v>
                      </c:pt>
                      <c:pt idx="176">
                        <c:v>118.25</c:v>
                      </c:pt>
                      <c:pt idx="177">
                        <c:v>80</c:v>
                      </c:pt>
                      <c:pt idx="178">
                        <c:v>124.75</c:v>
                      </c:pt>
                      <c:pt idx="179">
                        <c:v>102.75</c:v>
                      </c:pt>
                      <c:pt idx="180">
                        <c:v>131.25</c:v>
                      </c:pt>
                      <c:pt idx="181">
                        <c:v>131</c:v>
                      </c:pt>
                      <c:pt idx="182">
                        <c:v>115</c:v>
                      </c:pt>
                      <c:pt idx="183">
                        <c:v>108</c:v>
                      </c:pt>
                      <c:pt idx="184">
                        <c:v>88</c:v>
                      </c:pt>
                      <c:pt idx="185">
                        <c:v>98.25</c:v>
                      </c:pt>
                      <c:pt idx="186">
                        <c:v>129.75</c:v>
                      </c:pt>
                      <c:pt idx="187">
                        <c:v>125.75</c:v>
                      </c:pt>
                      <c:pt idx="188">
                        <c:v>60.125</c:v>
                      </c:pt>
                      <c:pt idx="189">
                        <c:v>75.5</c:v>
                      </c:pt>
                      <c:pt idx="190">
                        <c:v>83.625</c:v>
                      </c:pt>
                      <c:pt idx="191">
                        <c:v>74.625</c:v>
                      </c:pt>
                      <c:pt idx="192">
                        <c:v>102.375</c:v>
                      </c:pt>
                      <c:pt idx="193">
                        <c:v>121.5</c:v>
                      </c:pt>
                      <c:pt idx="194">
                        <c:v>100.25</c:v>
                      </c:pt>
                      <c:pt idx="195">
                        <c:v>54.875</c:v>
                      </c:pt>
                      <c:pt idx="196">
                        <c:v>73.375</c:v>
                      </c:pt>
                      <c:pt idx="197">
                        <c:v>70.5</c:v>
                      </c:pt>
                      <c:pt idx="198">
                        <c:v>57.375</c:v>
                      </c:pt>
                      <c:pt idx="199">
                        <c:v>91.875</c:v>
                      </c:pt>
                      <c:pt idx="200">
                        <c:v>125.25</c:v>
                      </c:pt>
                      <c:pt idx="201">
                        <c:v>113.5</c:v>
                      </c:pt>
                      <c:pt idx="202">
                        <c:v>54.125</c:v>
                      </c:pt>
                      <c:pt idx="203">
                        <c:v>76.375</c:v>
                      </c:pt>
                      <c:pt idx="204">
                        <c:v>82.125</c:v>
                      </c:pt>
                      <c:pt idx="205">
                        <c:v>74</c:v>
                      </c:pt>
                      <c:pt idx="206">
                        <c:v>91</c:v>
                      </c:pt>
                      <c:pt idx="207">
                        <c:v>129.125</c:v>
                      </c:pt>
                      <c:pt idx="208">
                        <c:v>142.625</c:v>
                      </c:pt>
                      <c:pt idx="209">
                        <c:v>52.625</c:v>
                      </c:pt>
                      <c:pt idx="210">
                        <c:v>70.5</c:v>
                      </c:pt>
                      <c:pt idx="211">
                        <c:v>77</c:v>
                      </c:pt>
                      <c:pt idx="212">
                        <c:v>62.5</c:v>
                      </c:pt>
                      <c:pt idx="213">
                        <c:v>101.5</c:v>
                      </c:pt>
                      <c:pt idx="214">
                        <c:v>105</c:v>
                      </c:pt>
                      <c:pt idx="215">
                        <c:v>116</c:v>
                      </c:pt>
                      <c:pt idx="216">
                        <c:v>51</c:v>
                      </c:pt>
                      <c:pt idx="217">
                        <c:v>86.5</c:v>
                      </c:pt>
                      <c:pt idx="218">
                        <c:v>119</c:v>
                      </c:pt>
                      <c:pt idx="219">
                        <c:v>62.5</c:v>
                      </c:pt>
                      <c:pt idx="220">
                        <c:v>79.5</c:v>
                      </c:pt>
                      <c:pt idx="221">
                        <c:v>96.5</c:v>
                      </c:pt>
                      <c:pt idx="222">
                        <c:v>102</c:v>
                      </c:pt>
                      <c:pt idx="223">
                        <c:v>39.125</c:v>
                      </c:pt>
                      <c:pt idx="224">
                        <c:v>61.875</c:v>
                      </c:pt>
                      <c:pt idx="225">
                        <c:v>65.5</c:v>
                      </c:pt>
                      <c:pt idx="226">
                        <c:v>49.5</c:v>
                      </c:pt>
                      <c:pt idx="227">
                        <c:v>86</c:v>
                      </c:pt>
                      <c:pt idx="228">
                        <c:v>100</c:v>
                      </c:pt>
                      <c:pt idx="229">
                        <c:v>97</c:v>
                      </c:pt>
                      <c:pt idx="230">
                        <c:v>96</c:v>
                      </c:pt>
                      <c:pt idx="231">
                        <c:v>48</c:v>
                      </c:pt>
                      <c:pt idx="232">
                        <c:v>51</c:v>
                      </c:pt>
                      <c:pt idx="233">
                        <c:v>42</c:v>
                      </c:pt>
                      <c:pt idx="234">
                        <c:v>77</c:v>
                      </c:pt>
                      <c:pt idx="235">
                        <c:v>74.5</c:v>
                      </c:pt>
                      <c:pt idx="236">
                        <c:v>91</c:v>
                      </c:pt>
                      <c:pt idx="237">
                        <c:v>42.25</c:v>
                      </c:pt>
                      <c:pt idx="238">
                        <c:v>49.25</c:v>
                      </c:pt>
                      <c:pt idx="239">
                        <c:v>47</c:v>
                      </c:pt>
                      <c:pt idx="240">
                        <c:v>47</c:v>
                      </c:pt>
                      <c:pt idx="241">
                        <c:v>77.5</c:v>
                      </c:pt>
                      <c:pt idx="242">
                        <c:v>105</c:v>
                      </c:pt>
                      <c:pt idx="243">
                        <c:v>96</c:v>
                      </c:pt>
                      <c:pt idx="244">
                        <c:v>44</c:v>
                      </c:pt>
                      <c:pt idx="245">
                        <c:v>49.5</c:v>
                      </c:pt>
                      <c:pt idx="246">
                        <c:v>50.625</c:v>
                      </c:pt>
                      <c:pt idx="247">
                        <c:v>54.625</c:v>
                      </c:pt>
                      <c:pt idx="248">
                        <c:v>75.625</c:v>
                      </c:pt>
                      <c:pt idx="249">
                        <c:v>98.375</c:v>
                      </c:pt>
                      <c:pt idx="250">
                        <c:v>90.75</c:v>
                      </c:pt>
                      <c:pt idx="251">
                        <c:v>36.875</c:v>
                      </c:pt>
                      <c:pt idx="252">
                        <c:v>50.125</c:v>
                      </c:pt>
                      <c:pt idx="253">
                        <c:v>53</c:v>
                      </c:pt>
                      <c:pt idx="254">
                        <c:v>50</c:v>
                      </c:pt>
                      <c:pt idx="255">
                        <c:v>73.125</c:v>
                      </c:pt>
                      <c:pt idx="256">
                        <c:v>113.875</c:v>
                      </c:pt>
                      <c:pt idx="257">
                        <c:v>103.5</c:v>
                      </c:pt>
                      <c:pt idx="258">
                        <c:v>36</c:v>
                      </c:pt>
                      <c:pt idx="259">
                        <c:v>48</c:v>
                      </c:pt>
                      <c:pt idx="260">
                        <c:v>58.25</c:v>
                      </c:pt>
                      <c:pt idx="261">
                        <c:v>53.25</c:v>
                      </c:pt>
                      <c:pt idx="262">
                        <c:v>73</c:v>
                      </c:pt>
                      <c:pt idx="263">
                        <c:v>128.125</c:v>
                      </c:pt>
                      <c:pt idx="264">
                        <c:v>93.5</c:v>
                      </c:pt>
                      <c:pt idx="265">
                        <c:v>48.375</c:v>
                      </c:pt>
                      <c:pt idx="266">
                        <c:v>48.5</c:v>
                      </c:pt>
                      <c:pt idx="267">
                        <c:v>51.875</c:v>
                      </c:pt>
                      <c:pt idx="268">
                        <c:v>47.75</c:v>
                      </c:pt>
                      <c:pt idx="269">
                        <c:v>74.5</c:v>
                      </c:pt>
                      <c:pt idx="270">
                        <c:v>108.75</c:v>
                      </c:pt>
                      <c:pt idx="271">
                        <c:v>114.5</c:v>
                      </c:pt>
                      <c:pt idx="272">
                        <c:v>61.625</c:v>
                      </c:pt>
                      <c:pt idx="273">
                        <c:v>124.75</c:v>
                      </c:pt>
                      <c:pt idx="274">
                        <c:v>54.25</c:v>
                      </c:pt>
                      <c:pt idx="275">
                        <c:v>69.25</c:v>
                      </c:pt>
                      <c:pt idx="276">
                        <c:v>91</c:v>
                      </c:pt>
                      <c:pt idx="277">
                        <c:v>136.75</c:v>
                      </c:pt>
                      <c:pt idx="278">
                        <c:v>134</c:v>
                      </c:pt>
                      <c:pt idx="279">
                        <c:v>68</c:v>
                      </c:pt>
                      <c:pt idx="280">
                        <c:v>116</c:v>
                      </c:pt>
                      <c:pt idx="281">
                        <c:v>113.5</c:v>
                      </c:pt>
                      <c:pt idx="282">
                        <c:v>85</c:v>
                      </c:pt>
                      <c:pt idx="283">
                        <c:v>113.25</c:v>
                      </c:pt>
                      <c:pt idx="284">
                        <c:v>119.25</c:v>
                      </c:pt>
                      <c:pt idx="285">
                        <c:v>131.125</c:v>
                      </c:pt>
                      <c:pt idx="286">
                        <c:v>105.375</c:v>
                      </c:pt>
                      <c:pt idx="287">
                        <c:v>53.25</c:v>
                      </c:pt>
                      <c:pt idx="288">
                        <c:v>67.625</c:v>
                      </c:pt>
                      <c:pt idx="289">
                        <c:v>52</c:v>
                      </c:pt>
                      <c:pt idx="290">
                        <c:v>80.5</c:v>
                      </c:pt>
                      <c:pt idx="291">
                        <c:v>107.125</c:v>
                      </c:pt>
                      <c:pt idx="292">
                        <c:v>112.5</c:v>
                      </c:pt>
                      <c:pt idx="293">
                        <c:v>43.25</c:v>
                      </c:pt>
                      <c:pt idx="294">
                        <c:v>46.25</c:v>
                      </c:pt>
                      <c:pt idx="295">
                        <c:v>65</c:v>
                      </c:pt>
                      <c:pt idx="296">
                        <c:v>66.625</c:v>
                      </c:pt>
                      <c:pt idx="297">
                        <c:v>70.375</c:v>
                      </c:pt>
                      <c:pt idx="298">
                        <c:v>130.5</c:v>
                      </c:pt>
                      <c:pt idx="299">
                        <c:v>109.5</c:v>
                      </c:pt>
                      <c:pt idx="300">
                        <c:v>49.75</c:v>
                      </c:pt>
                      <c:pt idx="301">
                        <c:v>51.75</c:v>
                      </c:pt>
                      <c:pt idx="302">
                        <c:v>62</c:v>
                      </c:pt>
                      <c:pt idx="303">
                        <c:v>250</c:v>
                      </c:pt>
                      <c:pt idx="304">
                        <c:v>74.5</c:v>
                      </c:pt>
                      <c:pt idx="305">
                        <c:v>128.125</c:v>
                      </c:pt>
                      <c:pt idx="306">
                        <c:v>136.375</c:v>
                      </c:pt>
                      <c:pt idx="307">
                        <c:v>102.25</c:v>
                      </c:pt>
                      <c:pt idx="308">
                        <c:v>61.75</c:v>
                      </c:pt>
                      <c:pt idx="309">
                        <c:v>71</c:v>
                      </c:pt>
                      <c:pt idx="310">
                        <c:v>51</c:v>
                      </c:pt>
                      <c:pt idx="311">
                        <c:v>89.5</c:v>
                      </c:pt>
                      <c:pt idx="312">
                        <c:v>106</c:v>
                      </c:pt>
                      <c:pt idx="313">
                        <c:v>136</c:v>
                      </c:pt>
                      <c:pt idx="314">
                        <c:v>98</c:v>
                      </c:pt>
                      <c:pt idx="315">
                        <c:v>60.875</c:v>
                      </c:pt>
                      <c:pt idx="316">
                        <c:v>62.125</c:v>
                      </c:pt>
                      <c:pt idx="317">
                        <c:v>54</c:v>
                      </c:pt>
                      <c:pt idx="318">
                        <c:v>88.5</c:v>
                      </c:pt>
                      <c:pt idx="319">
                        <c:v>124.75</c:v>
                      </c:pt>
                      <c:pt idx="320">
                        <c:v>121.75</c:v>
                      </c:pt>
                      <c:pt idx="321">
                        <c:v>49.5</c:v>
                      </c:pt>
                      <c:pt idx="322">
                        <c:v>54.5</c:v>
                      </c:pt>
                      <c:pt idx="323">
                        <c:v>60.875</c:v>
                      </c:pt>
                      <c:pt idx="324">
                        <c:v>60.125</c:v>
                      </c:pt>
                      <c:pt idx="325">
                        <c:v>81.125</c:v>
                      </c:pt>
                      <c:pt idx="326">
                        <c:v>107</c:v>
                      </c:pt>
                      <c:pt idx="327">
                        <c:v>112.375</c:v>
                      </c:pt>
                      <c:pt idx="328">
                        <c:v>55.375</c:v>
                      </c:pt>
                      <c:pt idx="329">
                        <c:v>75.125</c:v>
                      </c:pt>
                      <c:pt idx="330">
                        <c:v>62</c:v>
                      </c:pt>
                      <c:pt idx="331">
                        <c:v>66</c:v>
                      </c:pt>
                      <c:pt idx="332">
                        <c:v>134</c:v>
                      </c:pt>
                      <c:pt idx="333">
                        <c:v>129</c:v>
                      </c:pt>
                      <c:pt idx="334">
                        <c:v>139.125</c:v>
                      </c:pt>
                      <c:pt idx="335">
                        <c:v>78</c:v>
                      </c:pt>
                      <c:pt idx="336">
                        <c:v>73.875</c:v>
                      </c:pt>
                      <c:pt idx="337">
                        <c:v>83.875</c:v>
                      </c:pt>
                      <c:pt idx="338">
                        <c:v>89</c:v>
                      </c:pt>
                      <c:pt idx="339">
                        <c:v>86.375</c:v>
                      </c:pt>
                      <c:pt idx="340">
                        <c:v>122.25</c:v>
                      </c:pt>
                      <c:pt idx="341">
                        <c:v>128</c:v>
                      </c:pt>
                      <c:pt idx="342">
                        <c:v>68.25</c:v>
                      </c:pt>
                      <c:pt idx="343">
                        <c:v>79.25</c:v>
                      </c:pt>
                      <c:pt idx="344">
                        <c:v>97</c:v>
                      </c:pt>
                      <c:pt idx="345">
                        <c:v>85</c:v>
                      </c:pt>
                      <c:pt idx="346">
                        <c:v>97</c:v>
                      </c:pt>
                      <c:pt idx="347">
                        <c:v>141.5</c:v>
                      </c:pt>
                      <c:pt idx="348">
                        <c:v>143.5</c:v>
                      </c:pt>
                      <c:pt idx="349">
                        <c:v>74.75</c:v>
                      </c:pt>
                      <c:pt idx="350">
                        <c:v>93</c:v>
                      </c:pt>
                      <c:pt idx="351">
                        <c:v>103.75</c:v>
                      </c:pt>
                      <c:pt idx="352">
                        <c:v>100.5</c:v>
                      </c:pt>
                      <c:pt idx="353">
                        <c:v>131.75</c:v>
                      </c:pt>
                      <c:pt idx="354">
                        <c:v>128.75</c:v>
                      </c:pt>
                      <c:pt idx="355">
                        <c:v>156</c:v>
                      </c:pt>
                      <c:pt idx="356">
                        <c:v>119.75</c:v>
                      </c:pt>
                      <c:pt idx="357">
                        <c:v>59</c:v>
                      </c:pt>
                      <c:pt idx="358">
                        <c:v>156.75</c:v>
                      </c:pt>
                      <c:pt idx="359">
                        <c:v>106.5</c:v>
                      </c:pt>
                      <c:pt idx="360">
                        <c:v>114.5</c:v>
                      </c:pt>
                      <c:pt idx="361">
                        <c:v>124.25</c:v>
                      </c:pt>
                      <c:pt idx="362">
                        <c:v>120.875</c:v>
                      </c:pt>
                      <c:pt idx="363">
                        <c:v>116.875</c:v>
                      </c:pt>
                      <c:pt idx="364">
                        <c:v>224</c:v>
                      </c:pt>
                      <c:pt idx="365">
                        <c:v>158</c:v>
                      </c:pt>
                      <c:pt idx="366">
                        <c:v>131</c:v>
                      </c:pt>
                      <c:pt idx="367">
                        <c:v>106.5</c:v>
                      </c:pt>
                      <c:pt idx="368">
                        <c:v>106.75</c:v>
                      </c:pt>
                      <c:pt idx="369">
                        <c:v>94</c:v>
                      </c:pt>
                      <c:pt idx="370">
                        <c:v>112.75</c:v>
                      </c:pt>
                      <c:pt idx="371">
                        <c:v>111</c:v>
                      </c:pt>
                      <c:pt idx="372">
                        <c:v>95</c:v>
                      </c:pt>
                      <c:pt idx="373">
                        <c:v>76</c:v>
                      </c:pt>
                      <c:pt idx="374">
                        <c:v>74</c:v>
                      </c:pt>
                      <c:pt idx="375">
                        <c:v>112</c:v>
                      </c:pt>
                      <c:pt idx="376">
                        <c:v>105.125</c:v>
                      </c:pt>
                      <c:pt idx="377">
                        <c:v>54.875</c:v>
                      </c:pt>
                      <c:pt idx="378">
                        <c:v>82.5</c:v>
                      </c:pt>
                      <c:pt idx="379">
                        <c:v>74</c:v>
                      </c:pt>
                      <c:pt idx="380">
                        <c:v>65.5</c:v>
                      </c:pt>
                      <c:pt idx="381">
                        <c:v>77</c:v>
                      </c:pt>
                      <c:pt idx="382">
                        <c:v>114</c:v>
                      </c:pt>
                      <c:pt idx="383">
                        <c:v>103</c:v>
                      </c:pt>
                      <c:pt idx="384">
                        <c:v>55.5</c:v>
                      </c:pt>
                      <c:pt idx="385">
                        <c:v>70.5</c:v>
                      </c:pt>
                      <c:pt idx="386">
                        <c:v>69.5</c:v>
                      </c:pt>
                      <c:pt idx="387">
                        <c:v>50</c:v>
                      </c:pt>
                      <c:pt idx="388">
                        <c:v>82</c:v>
                      </c:pt>
                      <c:pt idx="389">
                        <c:v>94.5</c:v>
                      </c:pt>
                      <c:pt idx="390">
                        <c:v>109</c:v>
                      </c:pt>
                      <c:pt idx="391">
                        <c:v>54.75</c:v>
                      </c:pt>
                      <c:pt idx="392">
                        <c:v>59.25</c:v>
                      </c:pt>
                      <c:pt idx="393">
                        <c:v>58.5</c:v>
                      </c:pt>
                      <c:pt idx="394">
                        <c:v>51</c:v>
                      </c:pt>
                      <c:pt idx="395">
                        <c:v>80</c:v>
                      </c:pt>
                      <c:pt idx="396">
                        <c:v>118.5</c:v>
                      </c:pt>
                      <c:pt idx="397">
                        <c:v>111.5</c:v>
                      </c:pt>
                      <c:pt idx="398">
                        <c:v>49.5</c:v>
                      </c:pt>
                      <c:pt idx="399">
                        <c:v>47.375</c:v>
                      </c:pt>
                      <c:pt idx="400">
                        <c:v>61.75</c:v>
                      </c:pt>
                      <c:pt idx="401">
                        <c:v>48.125</c:v>
                      </c:pt>
                      <c:pt idx="402">
                        <c:v>82.25</c:v>
                      </c:pt>
                      <c:pt idx="403">
                        <c:v>92.5</c:v>
                      </c:pt>
                      <c:pt idx="404">
                        <c:v>116</c:v>
                      </c:pt>
                      <c:pt idx="405">
                        <c:v>40</c:v>
                      </c:pt>
                      <c:pt idx="406">
                        <c:v>52.5</c:v>
                      </c:pt>
                      <c:pt idx="407">
                        <c:v>55.5</c:v>
                      </c:pt>
                      <c:pt idx="408">
                        <c:v>45.5</c:v>
                      </c:pt>
                      <c:pt idx="409">
                        <c:v>70.125</c:v>
                      </c:pt>
                      <c:pt idx="410">
                        <c:v>106.875</c:v>
                      </c:pt>
                      <c:pt idx="411">
                        <c:v>110.875</c:v>
                      </c:pt>
                      <c:pt idx="412">
                        <c:v>29.125</c:v>
                      </c:pt>
                      <c:pt idx="413">
                        <c:v>52</c:v>
                      </c:pt>
                      <c:pt idx="414">
                        <c:v>54.5</c:v>
                      </c:pt>
                      <c:pt idx="415">
                        <c:v>55</c:v>
                      </c:pt>
                      <c:pt idx="416">
                        <c:v>67</c:v>
                      </c:pt>
                      <c:pt idx="417">
                        <c:v>102</c:v>
                      </c:pt>
                      <c:pt idx="418">
                        <c:v>123</c:v>
                      </c:pt>
                      <c:pt idx="419">
                        <c:v>30</c:v>
                      </c:pt>
                      <c:pt idx="420">
                        <c:v>57.5</c:v>
                      </c:pt>
                      <c:pt idx="421">
                        <c:v>44</c:v>
                      </c:pt>
                      <c:pt idx="422">
                        <c:v>56</c:v>
                      </c:pt>
                      <c:pt idx="423">
                        <c:v>80.5</c:v>
                      </c:pt>
                      <c:pt idx="424">
                        <c:v>98</c:v>
                      </c:pt>
                      <c:pt idx="425">
                        <c:v>101</c:v>
                      </c:pt>
                      <c:pt idx="426">
                        <c:v>41.125</c:v>
                      </c:pt>
                      <c:pt idx="427">
                        <c:v>42.375</c:v>
                      </c:pt>
                      <c:pt idx="428">
                        <c:v>49.5</c:v>
                      </c:pt>
                      <c:pt idx="429">
                        <c:v>49.25</c:v>
                      </c:pt>
                      <c:pt idx="430">
                        <c:v>77.75</c:v>
                      </c:pt>
                      <c:pt idx="431">
                        <c:v>107.25</c:v>
                      </c:pt>
                      <c:pt idx="432">
                        <c:v>102</c:v>
                      </c:pt>
                      <c:pt idx="433">
                        <c:v>40.375</c:v>
                      </c:pt>
                      <c:pt idx="434">
                        <c:v>45.5</c:v>
                      </c:pt>
                      <c:pt idx="435">
                        <c:v>54.375</c:v>
                      </c:pt>
                      <c:pt idx="436">
                        <c:v>38.5</c:v>
                      </c:pt>
                      <c:pt idx="437">
                        <c:v>62.625</c:v>
                      </c:pt>
                      <c:pt idx="438">
                        <c:v>93.75</c:v>
                      </c:pt>
                      <c:pt idx="439">
                        <c:v>72.625</c:v>
                      </c:pt>
                      <c:pt idx="440">
                        <c:v>35.625</c:v>
                      </c:pt>
                      <c:pt idx="441">
                        <c:v>34.375</c:v>
                      </c:pt>
                      <c:pt idx="442">
                        <c:v>22.5</c:v>
                      </c:pt>
                      <c:pt idx="443">
                        <c:v>25</c:v>
                      </c:pt>
                      <c:pt idx="444">
                        <c:v>25.5</c:v>
                      </c:pt>
                      <c:pt idx="445">
                        <c:v>24</c:v>
                      </c:pt>
                      <c:pt idx="446">
                        <c:v>31.5</c:v>
                      </c:pt>
                      <c:pt idx="447">
                        <c:v>31</c:v>
                      </c:pt>
                      <c:pt idx="448">
                        <c:v>29</c:v>
                      </c:pt>
                      <c:pt idx="449">
                        <c:v>35.5</c:v>
                      </c:pt>
                      <c:pt idx="450">
                        <c:v>25</c:v>
                      </c:pt>
                      <c:pt idx="451">
                        <c:v>49.5</c:v>
                      </c:pt>
                      <c:pt idx="452">
                        <c:v>60.5</c:v>
                      </c:pt>
                      <c:pt idx="453">
                        <c:v>51.25</c:v>
                      </c:pt>
                      <c:pt idx="454">
                        <c:v>39.75</c:v>
                      </c:pt>
                      <c:pt idx="455">
                        <c:v>33.5</c:v>
                      </c:pt>
                      <c:pt idx="456">
                        <c:v>42.5</c:v>
                      </c:pt>
                      <c:pt idx="457">
                        <c:v>38.5</c:v>
                      </c:pt>
                      <c:pt idx="458">
                        <c:v>38.5</c:v>
                      </c:pt>
                      <c:pt idx="459">
                        <c:v>42</c:v>
                      </c:pt>
                      <c:pt idx="460">
                        <c:v>49</c:v>
                      </c:pt>
                      <c:pt idx="461">
                        <c:v>29</c:v>
                      </c:pt>
                      <c:pt idx="462">
                        <c:v>23</c:v>
                      </c:pt>
                      <c:pt idx="463">
                        <c:v>28.5</c:v>
                      </c:pt>
                      <c:pt idx="464">
                        <c:v>28.5</c:v>
                      </c:pt>
                      <c:pt idx="465">
                        <c:v>23.5</c:v>
                      </c:pt>
                      <c:pt idx="466">
                        <c:v>31</c:v>
                      </c:pt>
                      <c:pt idx="467">
                        <c:v>33.5</c:v>
                      </c:pt>
                      <c:pt idx="468">
                        <c:v>15</c:v>
                      </c:pt>
                      <c:pt idx="469">
                        <c:v>13.125</c:v>
                      </c:pt>
                      <c:pt idx="470">
                        <c:v>9.875</c:v>
                      </c:pt>
                      <c:pt idx="471">
                        <c:v>18.25</c:v>
                      </c:pt>
                      <c:pt idx="472">
                        <c:v>30.75</c:v>
                      </c:pt>
                      <c:pt idx="473">
                        <c:v>36</c:v>
                      </c:pt>
                      <c:pt idx="474">
                        <c:v>36.625</c:v>
                      </c:pt>
                      <c:pt idx="475">
                        <c:v>14</c:v>
                      </c:pt>
                      <c:pt idx="476">
                        <c:v>18.375</c:v>
                      </c:pt>
                      <c:pt idx="477">
                        <c:v>27</c:v>
                      </c:pt>
                      <c:pt idx="478">
                        <c:v>17.5</c:v>
                      </c:pt>
                      <c:pt idx="479">
                        <c:v>31</c:v>
                      </c:pt>
                      <c:pt idx="480">
                        <c:v>50</c:v>
                      </c:pt>
                      <c:pt idx="481">
                        <c:v>42.424999999999997</c:v>
                      </c:pt>
                      <c:pt idx="482">
                        <c:v>18.95</c:v>
                      </c:pt>
                      <c:pt idx="483">
                        <c:v>21</c:v>
                      </c:pt>
                      <c:pt idx="484">
                        <c:v>23.625</c:v>
                      </c:pt>
                      <c:pt idx="485">
                        <c:v>39.475000000000001</c:v>
                      </c:pt>
                      <c:pt idx="486">
                        <c:v>31.524999999999999</c:v>
                      </c:pt>
                      <c:pt idx="487">
                        <c:v>45.5</c:v>
                      </c:pt>
                      <c:pt idx="488">
                        <c:v>33</c:v>
                      </c:pt>
                      <c:pt idx="489">
                        <c:v>18.5</c:v>
                      </c:pt>
                      <c:pt idx="490">
                        <c:v>14</c:v>
                      </c:pt>
                      <c:pt idx="491">
                        <c:v>17.5</c:v>
                      </c:pt>
                      <c:pt idx="492">
                        <c:v>23.5</c:v>
                      </c:pt>
                      <c:pt idx="493">
                        <c:v>30</c:v>
                      </c:pt>
                      <c:pt idx="494">
                        <c:v>38.5</c:v>
                      </c:pt>
                      <c:pt idx="495">
                        <c:v>62.375</c:v>
                      </c:pt>
                      <c:pt idx="496">
                        <c:v>24.625</c:v>
                      </c:pt>
                      <c:pt idx="497">
                        <c:v>29.5</c:v>
                      </c:pt>
                      <c:pt idx="498">
                        <c:v>15</c:v>
                      </c:pt>
                      <c:pt idx="499">
                        <c:v>26.375</c:v>
                      </c:pt>
                      <c:pt idx="500">
                        <c:v>37.875</c:v>
                      </c:pt>
                      <c:pt idx="501">
                        <c:v>46</c:v>
                      </c:pt>
                      <c:pt idx="502">
                        <c:v>52.75</c:v>
                      </c:pt>
                      <c:pt idx="503">
                        <c:v>17.5</c:v>
                      </c:pt>
                      <c:pt idx="504">
                        <c:v>18.25</c:v>
                      </c:pt>
                      <c:pt idx="505">
                        <c:v>24.5</c:v>
                      </c:pt>
                      <c:pt idx="506">
                        <c:v>28</c:v>
                      </c:pt>
                      <c:pt idx="507">
                        <c:v>32.25</c:v>
                      </c:pt>
                      <c:pt idx="508">
                        <c:v>37</c:v>
                      </c:pt>
                      <c:pt idx="509">
                        <c:v>41</c:v>
                      </c:pt>
                      <c:pt idx="510">
                        <c:v>44</c:v>
                      </c:pt>
                      <c:pt idx="511">
                        <c:v>16.125</c:v>
                      </c:pt>
                      <c:pt idx="512">
                        <c:v>29.375</c:v>
                      </c:pt>
                      <c:pt idx="513">
                        <c:v>29.5</c:v>
                      </c:pt>
                      <c:pt idx="514">
                        <c:v>45</c:v>
                      </c:pt>
                      <c:pt idx="515">
                        <c:v>46</c:v>
                      </c:pt>
                      <c:pt idx="516">
                        <c:v>45</c:v>
                      </c:pt>
                      <c:pt idx="517">
                        <c:v>27.5</c:v>
                      </c:pt>
                      <c:pt idx="518">
                        <c:v>26.125</c:v>
                      </c:pt>
                      <c:pt idx="519">
                        <c:v>28.875</c:v>
                      </c:pt>
                      <c:pt idx="520">
                        <c:v>19.5</c:v>
                      </c:pt>
                      <c:pt idx="521">
                        <c:v>45</c:v>
                      </c:pt>
                      <c:pt idx="522">
                        <c:v>45</c:v>
                      </c:pt>
                      <c:pt idx="523">
                        <c:v>35</c:v>
                      </c:pt>
                      <c:pt idx="524">
                        <c:v>31.25</c:v>
                      </c:pt>
                      <c:pt idx="525">
                        <c:v>21</c:v>
                      </c:pt>
                      <c:pt idx="526">
                        <c:v>29</c:v>
                      </c:pt>
                      <c:pt idx="527">
                        <c:v>37.75</c:v>
                      </c:pt>
                      <c:pt idx="528">
                        <c:v>58.5</c:v>
                      </c:pt>
                      <c:pt idx="529">
                        <c:v>36.5</c:v>
                      </c:pt>
                      <c:pt idx="530">
                        <c:v>34.5</c:v>
                      </c:pt>
                      <c:pt idx="531">
                        <c:v>34.5</c:v>
                      </c:pt>
                      <c:pt idx="532">
                        <c:v>36</c:v>
                      </c:pt>
                      <c:pt idx="533">
                        <c:v>30</c:v>
                      </c:pt>
                      <c:pt idx="534">
                        <c:v>29</c:v>
                      </c:pt>
                      <c:pt idx="535">
                        <c:v>45</c:v>
                      </c:pt>
                      <c:pt idx="536">
                        <c:v>47</c:v>
                      </c:pt>
                      <c:pt idx="537">
                        <c:v>27</c:v>
                      </c:pt>
                      <c:pt idx="538">
                        <c:v>38.5</c:v>
                      </c:pt>
                      <c:pt idx="539">
                        <c:v>26.5</c:v>
                      </c:pt>
                      <c:pt idx="540">
                        <c:v>20.5</c:v>
                      </c:pt>
                      <c:pt idx="541">
                        <c:v>35</c:v>
                      </c:pt>
                      <c:pt idx="542">
                        <c:v>58</c:v>
                      </c:pt>
                      <c:pt idx="543">
                        <c:v>58</c:v>
                      </c:pt>
                      <c:pt idx="544">
                        <c:v>37.5</c:v>
                      </c:pt>
                      <c:pt idx="545">
                        <c:v>40.5</c:v>
                      </c:pt>
                      <c:pt idx="546">
                        <c:v>37.5</c:v>
                      </c:pt>
                      <c:pt idx="547">
                        <c:v>31.125</c:v>
                      </c:pt>
                      <c:pt idx="548">
                        <c:v>44.875</c:v>
                      </c:pt>
                      <c:pt idx="549">
                        <c:v>58</c:v>
                      </c:pt>
                      <c:pt idx="550">
                        <c:v>58</c:v>
                      </c:pt>
                      <c:pt idx="551">
                        <c:v>31</c:v>
                      </c:pt>
                      <c:pt idx="552">
                        <c:v>28</c:v>
                      </c:pt>
                      <c:pt idx="553">
                        <c:v>22</c:v>
                      </c:pt>
                      <c:pt idx="554">
                        <c:v>30</c:v>
                      </c:pt>
                      <c:pt idx="555">
                        <c:v>34</c:v>
                      </c:pt>
                      <c:pt idx="556">
                        <c:v>46.5</c:v>
                      </c:pt>
                      <c:pt idx="557">
                        <c:v>44.5</c:v>
                      </c:pt>
                      <c:pt idx="558">
                        <c:v>38</c:v>
                      </c:pt>
                      <c:pt idx="559">
                        <c:v>21.25</c:v>
                      </c:pt>
                      <c:pt idx="560">
                        <c:v>25.25</c:v>
                      </c:pt>
                      <c:pt idx="561">
                        <c:v>34.5</c:v>
                      </c:pt>
                      <c:pt idx="562">
                        <c:v>20</c:v>
                      </c:pt>
                      <c:pt idx="563">
                        <c:v>34</c:v>
                      </c:pt>
                      <c:pt idx="564">
                        <c:v>39</c:v>
                      </c:pt>
                      <c:pt idx="565">
                        <c:v>37</c:v>
                      </c:pt>
                      <c:pt idx="566">
                        <c:v>46</c:v>
                      </c:pt>
                      <c:pt idx="567">
                        <c:v>29</c:v>
                      </c:pt>
                      <c:pt idx="568">
                        <c:v>24</c:v>
                      </c:pt>
                      <c:pt idx="569">
                        <c:v>35.5</c:v>
                      </c:pt>
                      <c:pt idx="570">
                        <c:v>43</c:v>
                      </c:pt>
                      <c:pt idx="571">
                        <c:v>48</c:v>
                      </c:pt>
                      <c:pt idx="572">
                        <c:v>46.5</c:v>
                      </c:pt>
                      <c:pt idx="573">
                        <c:v>26.5</c:v>
                      </c:pt>
                      <c:pt idx="574">
                        <c:v>27.5</c:v>
                      </c:pt>
                      <c:pt idx="575">
                        <c:v>24</c:v>
                      </c:pt>
                      <c:pt idx="576">
                        <c:v>31</c:v>
                      </c:pt>
                      <c:pt idx="577">
                        <c:v>41</c:v>
                      </c:pt>
                      <c:pt idx="578">
                        <c:v>56</c:v>
                      </c:pt>
                      <c:pt idx="579">
                        <c:v>40</c:v>
                      </c:pt>
                      <c:pt idx="580">
                        <c:v>23</c:v>
                      </c:pt>
                      <c:pt idx="581">
                        <c:v>23</c:v>
                      </c:pt>
                      <c:pt idx="582">
                        <c:v>27.5</c:v>
                      </c:pt>
                      <c:pt idx="583">
                        <c:v>34</c:v>
                      </c:pt>
                      <c:pt idx="584">
                        <c:v>52.5</c:v>
                      </c:pt>
                      <c:pt idx="585">
                        <c:v>51.5</c:v>
                      </c:pt>
                      <c:pt idx="586">
                        <c:v>47</c:v>
                      </c:pt>
                      <c:pt idx="587">
                        <c:v>29.25</c:v>
                      </c:pt>
                      <c:pt idx="588">
                        <c:v>24.25</c:v>
                      </c:pt>
                      <c:pt idx="589">
                        <c:v>25</c:v>
                      </c:pt>
                      <c:pt idx="590">
                        <c:v>28.5</c:v>
                      </c:pt>
                      <c:pt idx="591">
                        <c:v>45.5</c:v>
                      </c:pt>
                      <c:pt idx="592">
                        <c:v>46.5</c:v>
                      </c:pt>
                      <c:pt idx="593">
                        <c:v>40.5</c:v>
                      </c:pt>
                      <c:pt idx="594">
                        <c:v>40</c:v>
                      </c:pt>
                      <c:pt idx="595">
                        <c:v>28.5</c:v>
                      </c:pt>
                      <c:pt idx="596">
                        <c:v>19.5</c:v>
                      </c:pt>
                      <c:pt idx="597">
                        <c:v>32</c:v>
                      </c:pt>
                      <c:pt idx="598">
                        <c:v>38.5</c:v>
                      </c:pt>
                      <c:pt idx="599">
                        <c:v>54.5</c:v>
                      </c:pt>
                      <c:pt idx="600">
                        <c:v>47</c:v>
                      </c:pt>
                      <c:pt idx="601">
                        <c:v>23</c:v>
                      </c:pt>
                      <c:pt idx="602">
                        <c:v>28</c:v>
                      </c:pt>
                      <c:pt idx="603">
                        <c:v>34</c:v>
                      </c:pt>
                      <c:pt idx="604">
                        <c:v>42</c:v>
                      </c:pt>
                      <c:pt idx="605">
                        <c:v>52.5</c:v>
                      </c:pt>
                      <c:pt idx="606">
                        <c:v>53.5</c:v>
                      </c:pt>
                      <c:pt idx="607">
                        <c:v>37</c:v>
                      </c:pt>
                      <c:pt idx="608">
                        <c:v>35.5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41.5</c:v>
                      </c:pt>
                      <c:pt idx="640">
                        <c:v>53</c:v>
                      </c:pt>
                      <c:pt idx="641">
                        <c:v>61</c:v>
                      </c:pt>
                      <c:pt idx="642">
                        <c:v>79</c:v>
                      </c:pt>
                      <c:pt idx="643">
                        <c:v>37</c:v>
                      </c:pt>
                      <c:pt idx="644">
                        <c:v>43</c:v>
                      </c:pt>
                      <c:pt idx="645">
                        <c:v>55.5</c:v>
                      </c:pt>
                      <c:pt idx="646">
                        <c:v>46</c:v>
                      </c:pt>
                      <c:pt idx="647">
                        <c:v>63</c:v>
                      </c:pt>
                      <c:pt idx="648">
                        <c:v>76</c:v>
                      </c:pt>
                      <c:pt idx="649">
                        <c:v>64.5</c:v>
                      </c:pt>
                      <c:pt idx="650">
                        <c:v>50</c:v>
                      </c:pt>
                      <c:pt idx="651">
                        <c:v>36.5</c:v>
                      </c:pt>
                      <c:pt idx="652">
                        <c:v>32</c:v>
                      </c:pt>
                      <c:pt idx="653">
                        <c:v>40</c:v>
                      </c:pt>
                      <c:pt idx="654">
                        <c:v>44</c:v>
                      </c:pt>
                      <c:pt idx="655">
                        <c:v>63.5</c:v>
                      </c:pt>
                      <c:pt idx="656">
                        <c:v>54.5</c:v>
                      </c:pt>
                      <c:pt idx="657">
                        <c:v>31</c:v>
                      </c:pt>
                      <c:pt idx="658">
                        <c:v>27.5</c:v>
                      </c:pt>
                      <c:pt idx="659">
                        <c:v>35.5</c:v>
                      </c:pt>
                      <c:pt idx="660">
                        <c:v>39</c:v>
                      </c:pt>
                      <c:pt idx="661">
                        <c:v>33</c:v>
                      </c:pt>
                      <c:pt idx="662">
                        <c:v>65.5</c:v>
                      </c:pt>
                      <c:pt idx="663">
                        <c:v>62</c:v>
                      </c:pt>
                      <c:pt idx="664">
                        <c:v>28</c:v>
                      </c:pt>
                      <c:pt idx="665">
                        <c:v>30</c:v>
                      </c:pt>
                      <c:pt idx="666">
                        <c:v>38</c:v>
                      </c:pt>
                      <c:pt idx="667">
                        <c:v>44</c:v>
                      </c:pt>
                      <c:pt idx="668">
                        <c:v>56.5</c:v>
                      </c:pt>
                      <c:pt idx="669">
                        <c:v>95</c:v>
                      </c:pt>
                      <c:pt idx="670">
                        <c:v>85</c:v>
                      </c:pt>
                      <c:pt idx="671">
                        <c:v>71.625</c:v>
                      </c:pt>
                      <c:pt idx="672">
                        <c:v>36.75</c:v>
                      </c:pt>
                      <c:pt idx="673">
                        <c:v>35.125</c:v>
                      </c:pt>
                      <c:pt idx="674">
                        <c:v>34.25</c:v>
                      </c:pt>
                      <c:pt idx="675">
                        <c:v>62</c:v>
                      </c:pt>
                      <c:pt idx="676">
                        <c:v>82.375</c:v>
                      </c:pt>
                      <c:pt idx="677">
                        <c:v>79.25</c:v>
                      </c:pt>
                      <c:pt idx="678">
                        <c:v>41.5</c:v>
                      </c:pt>
                      <c:pt idx="679">
                        <c:v>35.25</c:v>
                      </c:pt>
                      <c:pt idx="680">
                        <c:v>36.5</c:v>
                      </c:pt>
                      <c:pt idx="681">
                        <c:v>54</c:v>
                      </c:pt>
                      <c:pt idx="682">
                        <c:v>70.25</c:v>
                      </c:pt>
                      <c:pt idx="683">
                        <c:v>87.5</c:v>
                      </c:pt>
                      <c:pt idx="684">
                        <c:v>84.375</c:v>
                      </c:pt>
                      <c:pt idx="685">
                        <c:v>68.125</c:v>
                      </c:pt>
                      <c:pt idx="686">
                        <c:v>40.375</c:v>
                      </c:pt>
                      <c:pt idx="687">
                        <c:v>44.125</c:v>
                      </c:pt>
                      <c:pt idx="688">
                        <c:v>55</c:v>
                      </c:pt>
                      <c:pt idx="689">
                        <c:v>52</c:v>
                      </c:pt>
                      <c:pt idx="690">
                        <c:v>69.5</c:v>
                      </c:pt>
                      <c:pt idx="691">
                        <c:v>94</c:v>
                      </c:pt>
                      <c:pt idx="692">
                        <c:v>40.25</c:v>
                      </c:pt>
                      <c:pt idx="693">
                        <c:v>42</c:v>
                      </c:pt>
                      <c:pt idx="694">
                        <c:v>39.5</c:v>
                      </c:pt>
                      <c:pt idx="695">
                        <c:v>52.875</c:v>
                      </c:pt>
                      <c:pt idx="696">
                        <c:v>60.75</c:v>
                      </c:pt>
                      <c:pt idx="697">
                        <c:v>108.375</c:v>
                      </c:pt>
                      <c:pt idx="698">
                        <c:v>100</c:v>
                      </c:pt>
                      <c:pt idx="699">
                        <c:v>38.25</c:v>
                      </c:pt>
                      <c:pt idx="700">
                        <c:v>44.5</c:v>
                      </c:pt>
                      <c:pt idx="701">
                        <c:v>54.375</c:v>
                      </c:pt>
                      <c:pt idx="702">
                        <c:v>51.375</c:v>
                      </c:pt>
                      <c:pt idx="703">
                        <c:v>90.5</c:v>
                      </c:pt>
                      <c:pt idx="704">
                        <c:v>64</c:v>
                      </c:pt>
                      <c:pt idx="705">
                        <c:v>66.25</c:v>
                      </c:pt>
                      <c:pt idx="706">
                        <c:v>124.3</c:v>
                      </c:pt>
                      <c:pt idx="707">
                        <c:v>71.45</c:v>
                      </c:pt>
                      <c:pt idx="708">
                        <c:v>35</c:v>
                      </c:pt>
                      <c:pt idx="709">
                        <c:v>58.725000000000001</c:v>
                      </c:pt>
                      <c:pt idx="710">
                        <c:v>56.274999999999999</c:v>
                      </c:pt>
                      <c:pt idx="711">
                        <c:v>79.75</c:v>
                      </c:pt>
                      <c:pt idx="712">
                        <c:v>103</c:v>
                      </c:pt>
                      <c:pt idx="713">
                        <c:v>38</c:v>
                      </c:pt>
                      <c:pt idx="714">
                        <c:v>71.125</c:v>
                      </c:pt>
                      <c:pt idx="715">
                        <c:v>50.875</c:v>
                      </c:pt>
                      <c:pt idx="716">
                        <c:v>61</c:v>
                      </c:pt>
                      <c:pt idx="717">
                        <c:v>82.5</c:v>
                      </c:pt>
                      <c:pt idx="718">
                        <c:v>92.5</c:v>
                      </c:pt>
                      <c:pt idx="719">
                        <c:v>81</c:v>
                      </c:pt>
                      <c:pt idx="720">
                        <c:v>67.125</c:v>
                      </c:pt>
                      <c:pt idx="721">
                        <c:v>84.125</c:v>
                      </c:pt>
                      <c:pt idx="722">
                        <c:v>81.75</c:v>
                      </c:pt>
                      <c:pt idx="723">
                        <c:v>0</c:v>
                      </c:pt>
                      <c:pt idx="724">
                        <c:v>101</c:v>
                      </c:pt>
                      <c:pt idx="725">
                        <c:v>101</c:v>
                      </c:pt>
                      <c:pt idx="726">
                        <c:v>77</c:v>
                      </c:pt>
                      <c:pt idx="727">
                        <c:v>55.5</c:v>
                      </c:pt>
                      <c:pt idx="728">
                        <c:v>73.5</c:v>
                      </c:pt>
                      <c:pt idx="729">
                        <c:v>83.125</c:v>
                      </c:pt>
                      <c:pt idx="730">
                        <c:v>0</c:v>
                      </c:pt>
                      <c:pt idx="731">
                        <c:v>108.75</c:v>
                      </c:pt>
                      <c:pt idx="732">
                        <c:v>104.125</c:v>
                      </c:pt>
                      <c:pt idx="733">
                        <c:v>79</c:v>
                      </c:pt>
                      <c:pt idx="734">
                        <c:v>58</c:v>
                      </c:pt>
                      <c:pt idx="735">
                        <c:v>43.625</c:v>
                      </c:pt>
                      <c:pt idx="736">
                        <c:v>32.125</c:v>
                      </c:pt>
                      <c:pt idx="737">
                        <c:v>67</c:v>
                      </c:pt>
                      <c:pt idx="738">
                        <c:v>38.25</c:v>
                      </c:pt>
                      <c:pt idx="739">
                        <c:v>55.75</c:v>
                      </c:pt>
                      <c:pt idx="740">
                        <c:v>55</c:v>
                      </c:pt>
                      <c:pt idx="741">
                        <c:v>52.25</c:v>
                      </c:pt>
                      <c:pt idx="742">
                        <c:v>45.75</c:v>
                      </c:pt>
                      <c:pt idx="743">
                        <c:v>30.125</c:v>
                      </c:pt>
                      <c:pt idx="744">
                        <c:v>38.125</c:v>
                      </c:pt>
                      <c:pt idx="745">
                        <c:v>43.5</c:v>
                      </c:pt>
                      <c:pt idx="746">
                        <c:v>17.5</c:v>
                      </c:pt>
                      <c:pt idx="747">
                        <c:v>38</c:v>
                      </c:pt>
                      <c:pt idx="748">
                        <c:v>33.25</c:v>
                      </c:pt>
                      <c:pt idx="749">
                        <c:v>34.375</c:v>
                      </c:pt>
                      <c:pt idx="750">
                        <c:v>22.875</c:v>
                      </c:pt>
                      <c:pt idx="751">
                        <c:v>27</c:v>
                      </c:pt>
                      <c:pt idx="752">
                        <c:v>44.5</c:v>
                      </c:pt>
                      <c:pt idx="753">
                        <c:v>29.125</c:v>
                      </c:pt>
                      <c:pt idx="754">
                        <c:v>28.625</c:v>
                      </c:pt>
                      <c:pt idx="755">
                        <c:v>39.25</c:v>
                      </c:pt>
                      <c:pt idx="756">
                        <c:v>28.75</c:v>
                      </c:pt>
                      <c:pt idx="757">
                        <c:v>36</c:v>
                      </c:pt>
                      <c:pt idx="758">
                        <c:v>39.625</c:v>
                      </c:pt>
                      <c:pt idx="759">
                        <c:v>50.375</c:v>
                      </c:pt>
                      <c:pt idx="760">
                        <c:v>62.375</c:v>
                      </c:pt>
                      <c:pt idx="761">
                        <c:v>54.25</c:v>
                      </c:pt>
                      <c:pt idx="762">
                        <c:v>20.625</c:v>
                      </c:pt>
                      <c:pt idx="763">
                        <c:v>45.75</c:v>
                      </c:pt>
                      <c:pt idx="764">
                        <c:v>33.5</c:v>
                      </c:pt>
                      <c:pt idx="765">
                        <c:v>36.5</c:v>
                      </c:pt>
                      <c:pt idx="766">
                        <c:v>43.125</c:v>
                      </c:pt>
                      <c:pt idx="767">
                        <c:v>70.75</c:v>
                      </c:pt>
                      <c:pt idx="768">
                        <c:v>54.125</c:v>
                      </c:pt>
                      <c:pt idx="769">
                        <c:v>31.125</c:v>
                      </c:pt>
                      <c:pt idx="770">
                        <c:v>35</c:v>
                      </c:pt>
                      <c:pt idx="771">
                        <c:v>32.875</c:v>
                      </c:pt>
                      <c:pt idx="772">
                        <c:v>31.125</c:v>
                      </c:pt>
                      <c:pt idx="773">
                        <c:v>51</c:v>
                      </c:pt>
                      <c:pt idx="774">
                        <c:v>77.625</c:v>
                      </c:pt>
                      <c:pt idx="775">
                        <c:v>60.5</c:v>
                      </c:pt>
                      <c:pt idx="776">
                        <c:v>33.25</c:v>
                      </c:pt>
                      <c:pt idx="777">
                        <c:v>27</c:v>
                      </c:pt>
                      <c:pt idx="778">
                        <c:v>36.25</c:v>
                      </c:pt>
                      <c:pt idx="779">
                        <c:v>34</c:v>
                      </c:pt>
                      <c:pt idx="780">
                        <c:v>51.75</c:v>
                      </c:pt>
                      <c:pt idx="781">
                        <c:v>71.625</c:v>
                      </c:pt>
                      <c:pt idx="782">
                        <c:v>70.125</c:v>
                      </c:pt>
                      <c:pt idx="783">
                        <c:v>27.125</c:v>
                      </c:pt>
                      <c:pt idx="784">
                        <c:v>34.625</c:v>
                      </c:pt>
                      <c:pt idx="785">
                        <c:v>35.375</c:v>
                      </c:pt>
                      <c:pt idx="786">
                        <c:v>33.5</c:v>
                      </c:pt>
                      <c:pt idx="787">
                        <c:v>60.375</c:v>
                      </c:pt>
                      <c:pt idx="788">
                        <c:v>89.35</c:v>
                      </c:pt>
                      <c:pt idx="789">
                        <c:v>86.15</c:v>
                      </c:pt>
                      <c:pt idx="790">
                        <c:v>26.375</c:v>
                      </c:pt>
                      <c:pt idx="791">
                        <c:v>40.25</c:v>
                      </c:pt>
                      <c:pt idx="792">
                        <c:v>34.25</c:v>
                      </c:pt>
                      <c:pt idx="793">
                        <c:v>46.625</c:v>
                      </c:pt>
                      <c:pt idx="794">
                        <c:v>64.625</c:v>
                      </c:pt>
                      <c:pt idx="795">
                        <c:v>71.75</c:v>
                      </c:pt>
                      <c:pt idx="796">
                        <c:v>90</c:v>
                      </c:pt>
                      <c:pt idx="797">
                        <c:v>56</c:v>
                      </c:pt>
                      <c:pt idx="798">
                        <c:v>20.75</c:v>
                      </c:pt>
                      <c:pt idx="799">
                        <c:v>33.75</c:v>
                      </c:pt>
                      <c:pt idx="800">
                        <c:v>39.625</c:v>
                      </c:pt>
                      <c:pt idx="801">
                        <c:v>66.375</c:v>
                      </c:pt>
                      <c:pt idx="802">
                        <c:v>67</c:v>
                      </c:pt>
                      <c:pt idx="803">
                        <c:v>77.5</c:v>
                      </c:pt>
                      <c:pt idx="804">
                        <c:v>39.5</c:v>
                      </c:pt>
                      <c:pt idx="805">
                        <c:v>38.5</c:v>
                      </c:pt>
                      <c:pt idx="806">
                        <c:v>44.625</c:v>
                      </c:pt>
                      <c:pt idx="807">
                        <c:v>38.5</c:v>
                      </c:pt>
                      <c:pt idx="808">
                        <c:v>47.875</c:v>
                      </c:pt>
                      <c:pt idx="809">
                        <c:v>84.25</c:v>
                      </c:pt>
                      <c:pt idx="810">
                        <c:v>84</c:v>
                      </c:pt>
                      <c:pt idx="811">
                        <c:v>62.5</c:v>
                      </c:pt>
                      <c:pt idx="812">
                        <c:v>40.75</c:v>
                      </c:pt>
                      <c:pt idx="813">
                        <c:v>39.5</c:v>
                      </c:pt>
                      <c:pt idx="814">
                        <c:v>37.625</c:v>
                      </c:pt>
                      <c:pt idx="815">
                        <c:v>58</c:v>
                      </c:pt>
                      <c:pt idx="816">
                        <c:v>96</c:v>
                      </c:pt>
                      <c:pt idx="817">
                        <c:v>72.125</c:v>
                      </c:pt>
                      <c:pt idx="818">
                        <c:v>46.25</c:v>
                      </c:pt>
                      <c:pt idx="819">
                        <c:v>49</c:v>
                      </c:pt>
                      <c:pt idx="820">
                        <c:v>91.25</c:v>
                      </c:pt>
                      <c:pt idx="821">
                        <c:v>116.5</c:v>
                      </c:pt>
                      <c:pt idx="822">
                        <c:v>147.25</c:v>
                      </c:pt>
                      <c:pt idx="823">
                        <c:v>131.125</c:v>
                      </c:pt>
                      <c:pt idx="824">
                        <c:v>131.75</c:v>
                      </c:pt>
                      <c:pt idx="825">
                        <c:v>50.875</c:v>
                      </c:pt>
                      <c:pt idx="826">
                        <c:v>66</c:v>
                      </c:pt>
                      <c:pt idx="827">
                        <c:v>58.5</c:v>
                      </c:pt>
                      <c:pt idx="828">
                        <c:v>60.125</c:v>
                      </c:pt>
                      <c:pt idx="829">
                        <c:v>86</c:v>
                      </c:pt>
                      <c:pt idx="830">
                        <c:v>123.875</c:v>
                      </c:pt>
                      <c:pt idx="831">
                        <c:v>108.75</c:v>
                      </c:pt>
                      <c:pt idx="832">
                        <c:v>53.875</c:v>
                      </c:pt>
                      <c:pt idx="833">
                        <c:v>54.125</c:v>
                      </c:pt>
                      <c:pt idx="834">
                        <c:v>45.75</c:v>
                      </c:pt>
                      <c:pt idx="835">
                        <c:v>64.25</c:v>
                      </c:pt>
                      <c:pt idx="836">
                        <c:v>87</c:v>
                      </c:pt>
                      <c:pt idx="837">
                        <c:v>111.75</c:v>
                      </c:pt>
                      <c:pt idx="838">
                        <c:v>127</c:v>
                      </c:pt>
                      <c:pt idx="839">
                        <c:v>42.125</c:v>
                      </c:pt>
                      <c:pt idx="840">
                        <c:v>56.975000000000001</c:v>
                      </c:pt>
                      <c:pt idx="841">
                        <c:v>43.65</c:v>
                      </c:pt>
                      <c:pt idx="842">
                        <c:v>65.25</c:v>
                      </c:pt>
                      <c:pt idx="843">
                        <c:v>66.5</c:v>
                      </c:pt>
                      <c:pt idx="844">
                        <c:v>132.5</c:v>
                      </c:pt>
                      <c:pt idx="845">
                        <c:v>106</c:v>
                      </c:pt>
                      <c:pt idx="846">
                        <c:v>39</c:v>
                      </c:pt>
                      <c:pt idx="847">
                        <c:v>46.25</c:v>
                      </c:pt>
                      <c:pt idx="848">
                        <c:v>10.5</c:v>
                      </c:pt>
                      <c:pt idx="849">
                        <c:v>27.25</c:v>
                      </c:pt>
                      <c:pt idx="850">
                        <c:v>57.5</c:v>
                      </c:pt>
                      <c:pt idx="851">
                        <c:v>88.75</c:v>
                      </c:pt>
                      <c:pt idx="852">
                        <c:v>82.625</c:v>
                      </c:pt>
                      <c:pt idx="853">
                        <c:v>0</c:v>
                      </c:pt>
                      <c:pt idx="854">
                        <c:v>47.25</c:v>
                      </c:pt>
                      <c:pt idx="855">
                        <c:v>74.625</c:v>
                      </c:pt>
                      <c:pt idx="856">
                        <c:v>74.375</c:v>
                      </c:pt>
                      <c:pt idx="857">
                        <c:v>76.75</c:v>
                      </c:pt>
                      <c:pt idx="858">
                        <c:v>196.5</c:v>
                      </c:pt>
                      <c:pt idx="859">
                        <c:v>171.875</c:v>
                      </c:pt>
                      <c:pt idx="860">
                        <c:v>65.5</c:v>
                      </c:pt>
                      <c:pt idx="861">
                        <c:v>75.75</c:v>
                      </c:pt>
                      <c:pt idx="862">
                        <c:v>69.875</c:v>
                      </c:pt>
                      <c:pt idx="863">
                        <c:v>72.625</c:v>
                      </c:pt>
                      <c:pt idx="864">
                        <c:v>78.5</c:v>
                      </c:pt>
                      <c:pt idx="865">
                        <c:v>102</c:v>
                      </c:pt>
                      <c:pt idx="866">
                        <c:v>123</c:v>
                      </c:pt>
                      <c:pt idx="867">
                        <c:v>73.125</c:v>
                      </c:pt>
                      <c:pt idx="868">
                        <c:v>56.375</c:v>
                      </c:pt>
                      <c:pt idx="869">
                        <c:v>0</c:v>
                      </c:pt>
                      <c:pt idx="870">
                        <c:v>66</c:v>
                      </c:pt>
                      <c:pt idx="871">
                        <c:v>65</c:v>
                      </c:pt>
                      <c:pt idx="872">
                        <c:v>80.75</c:v>
                      </c:pt>
                      <c:pt idx="873">
                        <c:v>88.5</c:v>
                      </c:pt>
                      <c:pt idx="874">
                        <c:v>53</c:v>
                      </c:pt>
                      <c:pt idx="875">
                        <c:v>45.75</c:v>
                      </c:pt>
                      <c:pt idx="876">
                        <c:v>42.5</c:v>
                      </c:pt>
                      <c:pt idx="877">
                        <c:v>50.375</c:v>
                      </c:pt>
                      <c:pt idx="878">
                        <c:v>40.375</c:v>
                      </c:pt>
                      <c:pt idx="879">
                        <c:v>110.5</c:v>
                      </c:pt>
                      <c:pt idx="880">
                        <c:v>98</c:v>
                      </c:pt>
                      <c:pt idx="881">
                        <c:v>50.875</c:v>
                      </c:pt>
                      <c:pt idx="882">
                        <c:v>60.25</c:v>
                      </c:pt>
                      <c:pt idx="883">
                        <c:v>65</c:v>
                      </c:pt>
                      <c:pt idx="884">
                        <c:v>68.375</c:v>
                      </c:pt>
                      <c:pt idx="885">
                        <c:v>88.375</c:v>
                      </c:pt>
                      <c:pt idx="886">
                        <c:v>114.375</c:v>
                      </c:pt>
                      <c:pt idx="887">
                        <c:v>123.5</c:v>
                      </c:pt>
                      <c:pt idx="888">
                        <c:v>104.75</c:v>
                      </c:pt>
                      <c:pt idx="889">
                        <c:v>77.375</c:v>
                      </c:pt>
                      <c:pt idx="890">
                        <c:v>55.5</c:v>
                      </c:pt>
                      <c:pt idx="891">
                        <c:v>65.375</c:v>
                      </c:pt>
                      <c:pt idx="892">
                        <c:v>79.125</c:v>
                      </c:pt>
                      <c:pt idx="893">
                        <c:v>95.5</c:v>
                      </c:pt>
                      <c:pt idx="894">
                        <c:v>91.375</c:v>
                      </c:pt>
                      <c:pt idx="895">
                        <c:v>81</c:v>
                      </c:pt>
                      <c:pt idx="896">
                        <c:v>87.625</c:v>
                      </c:pt>
                      <c:pt idx="897">
                        <c:v>82.75</c:v>
                      </c:pt>
                      <c:pt idx="898">
                        <c:v>85.5</c:v>
                      </c:pt>
                      <c:pt idx="899">
                        <c:v>100</c:v>
                      </c:pt>
                      <c:pt idx="900">
                        <c:v>116.625</c:v>
                      </c:pt>
                      <c:pt idx="901">
                        <c:v>107.125</c:v>
                      </c:pt>
                      <c:pt idx="902">
                        <c:v>60.875</c:v>
                      </c:pt>
                      <c:pt idx="903">
                        <c:v>62.625</c:v>
                      </c:pt>
                      <c:pt idx="904">
                        <c:v>43</c:v>
                      </c:pt>
                      <c:pt idx="905">
                        <c:v>88.75</c:v>
                      </c:pt>
                      <c:pt idx="906">
                        <c:v>106</c:v>
                      </c:pt>
                      <c:pt idx="907">
                        <c:v>120.625</c:v>
                      </c:pt>
                      <c:pt idx="908">
                        <c:v>126.25</c:v>
                      </c:pt>
                      <c:pt idx="909">
                        <c:v>64.5</c:v>
                      </c:pt>
                      <c:pt idx="910">
                        <c:v>87.125</c:v>
                      </c:pt>
                      <c:pt idx="911">
                        <c:v>89.125</c:v>
                      </c:pt>
                      <c:pt idx="912">
                        <c:v>80</c:v>
                      </c:pt>
                      <c:pt idx="913">
                        <c:v>79.625</c:v>
                      </c:pt>
                      <c:pt idx="914">
                        <c:v>114.875</c:v>
                      </c:pt>
                      <c:pt idx="915">
                        <c:v>122.75</c:v>
                      </c:pt>
                      <c:pt idx="916">
                        <c:v>101.75</c:v>
                      </c:pt>
                      <c:pt idx="917">
                        <c:v>73.375</c:v>
                      </c:pt>
                      <c:pt idx="918">
                        <c:v>57</c:v>
                      </c:pt>
                      <c:pt idx="919">
                        <c:v>55.25</c:v>
                      </c:pt>
                      <c:pt idx="920">
                        <c:v>89.375</c:v>
                      </c:pt>
                      <c:pt idx="921">
                        <c:v>109.25</c:v>
                      </c:pt>
                      <c:pt idx="922">
                        <c:v>114.75</c:v>
                      </c:pt>
                      <c:pt idx="923">
                        <c:v>58.25</c:v>
                      </c:pt>
                      <c:pt idx="924">
                        <c:v>67.75</c:v>
                      </c:pt>
                      <c:pt idx="925">
                        <c:v>65</c:v>
                      </c:pt>
                      <c:pt idx="926">
                        <c:v>74.75</c:v>
                      </c:pt>
                      <c:pt idx="927">
                        <c:v>80.75</c:v>
                      </c:pt>
                      <c:pt idx="928">
                        <c:v>130.75</c:v>
                      </c:pt>
                      <c:pt idx="929">
                        <c:v>135</c:v>
                      </c:pt>
                      <c:pt idx="930">
                        <c:v>56</c:v>
                      </c:pt>
                      <c:pt idx="931">
                        <c:v>59</c:v>
                      </c:pt>
                      <c:pt idx="932">
                        <c:v>60.75</c:v>
                      </c:pt>
                      <c:pt idx="933">
                        <c:v>59</c:v>
                      </c:pt>
                      <c:pt idx="934">
                        <c:v>63</c:v>
                      </c:pt>
                      <c:pt idx="935">
                        <c:v>109.125</c:v>
                      </c:pt>
                      <c:pt idx="936">
                        <c:v>122.375</c:v>
                      </c:pt>
                      <c:pt idx="937">
                        <c:v>66</c:v>
                      </c:pt>
                      <c:pt idx="938">
                        <c:v>55.75</c:v>
                      </c:pt>
                      <c:pt idx="939">
                        <c:v>81.125</c:v>
                      </c:pt>
                      <c:pt idx="940">
                        <c:v>61.375</c:v>
                      </c:pt>
                      <c:pt idx="941">
                        <c:v>79</c:v>
                      </c:pt>
                      <c:pt idx="942">
                        <c:v>127</c:v>
                      </c:pt>
                      <c:pt idx="943">
                        <c:v>102.75</c:v>
                      </c:pt>
                      <c:pt idx="944">
                        <c:v>54.25</c:v>
                      </c:pt>
                      <c:pt idx="945">
                        <c:v>73.875</c:v>
                      </c:pt>
                      <c:pt idx="946">
                        <c:v>63.25</c:v>
                      </c:pt>
                      <c:pt idx="947">
                        <c:v>69.75</c:v>
                      </c:pt>
                      <c:pt idx="948">
                        <c:v>80.625</c:v>
                      </c:pt>
                      <c:pt idx="949">
                        <c:v>101</c:v>
                      </c:pt>
                      <c:pt idx="950">
                        <c:v>104.5</c:v>
                      </c:pt>
                      <c:pt idx="951">
                        <c:v>51.5</c:v>
                      </c:pt>
                      <c:pt idx="952">
                        <c:v>68.099999999999994</c:v>
                      </c:pt>
                      <c:pt idx="953">
                        <c:v>73.150000000000006</c:v>
                      </c:pt>
                      <c:pt idx="954">
                        <c:v>44.5</c:v>
                      </c:pt>
                      <c:pt idx="955">
                        <c:v>70.25</c:v>
                      </c:pt>
                      <c:pt idx="956">
                        <c:v>89.75</c:v>
                      </c:pt>
                      <c:pt idx="957">
                        <c:v>109.75</c:v>
                      </c:pt>
                      <c:pt idx="958">
                        <c:v>96.875</c:v>
                      </c:pt>
                      <c:pt idx="959">
                        <c:v>67.5</c:v>
                      </c:pt>
                      <c:pt idx="960">
                        <c:v>63</c:v>
                      </c:pt>
                      <c:pt idx="961">
                        <c:v>54.125</c:v>
                      </c:pt>
                      <c:pt idx="962">
                        <c:v>64.375</c:v>
                      </c:pt>
                      <c:pt idx="963">
                        <c:v>88.875</c:v>
                      </c:pt>
                      <c:pt idx="964">
                        <c:v>112.25</c:v>
                      </c:pt>
                      <c:pt idx="965">
                        <c:v>53.25</c:v>
                      </c:pt>
                      <c:pt idx="966">
                        <c:v>52.75</c:v>
                      </c:pt>
                      <c:pt idx="967">
                        <c:v>64</c:v>
                      </c:pt>
                      <c:pt idx="968">
                        <c:v>59.75</c:v>
                      </c:pt>
                      <c:pt idx="969">
                        <c:v>79.25</c:v>
                      </c:pt>
                      <c:pt idx="970">
                        <c:v>118.625</c:v>
                      </c:pt>
                      <c:pt idx="971">
                        <c:v>109.125</c:v>
                      </c:pt>
                      <c:pt idx="972">
                        <c:v>61.75</c:v>
                      </c:pt>
                      <c:pt idx="973">
                        <c:v>55.375</c:v>
                      </c:pt>
                      <c:pt idx="974">
                        <c:v>68.75</c:v>
                      </c:pt>
                      <c:pt idx="975">
                        <c:v>78.375</c:v>
                      </c:pt>
                      <c:pt idx="976">
                        <c:v>114.375</c:v>
                      </c:pt>
                      <c:pt idx="977">
                        <c:v>117.25</c:v>
                      </c:pt>
                      <c:pt idx="978">
                        <c:v>124.375</c:v>
                      </c:pt>
                      <c:pt idx="979">
                        <c:v>53.45</c:v>
                      </c:pt>
                      <c:pt idx="980">
                        <c:v>57.3</c:v>
                      </c:pt>
                      <c:pt idx="981">
                        <c:v>64.75</c:v>
                      </c:pt>
                      <c:pt idx="982">
                        <c:v>57.125</c:v>
                      </c:pt>
                      <c:pt idx="983">
                        <c:v>90.55</c:v>
                      </c:pt>
                      <c:pt idx="984">
                        <c:v>123.7</c:v>
                      </c:pt>
                      <c:pt idx="985">
                        <c:v>105.375</c:v>
                      </c:pt>
                      <c:pt idx="986">
                        <c:v>51.875</c:v>
                      </c:pt>
                      <c:pt idx="987">
                        <c:v>58.5</c:v>
                      </c:pt>
                      <c:pt idx="988">
                        <c:v>62.125</c:v>
                      </c:pt>
                      <c:pt idx="989">
                        <c:v>58.5</c:v>
                      </c:pt>
                      <c:pt idx="990">
                        <c:v>96.875</c:v>
                      </c:pt>
                      <c:pt idx="991">
                        <c:v>137</c:v>
                      </c:pt>
                      <c:pt idx="992">
                        <c:v>113.125</c:v>
                      </c:pt>
                      <c:pt idx="993">
                        <c:v>48.25</c:v>
                      </c:pt>
                      <c:pt idx="994">
                        <c:v>46.5</c:v>
                      </c:pt>
                      <c:pt idx="995">
                        <c:v>53.75</c:v>
                      </c:pt>
                      <c:pt idx="996">
                        <c:v>58.75</c:v>
                      </c:pt>
                      <c:pt idx="997">
                        <c:v>98</c:v>
                      </c:pt>
                      <c:pt idx="998">
                        <c:v>104.375</c:v>
                      </c:pt>
                      <c:pt idx="999">
                        <c:v>104.625</c:v>
                      </c:pt>
                      <c:pt idx="1000">
                        <c:v>47</c:v>
                      </c:pt>
                      <c:pt idx="1001">
                        <c:v>54.75</c:v>
                      </c:pt>
                      <c:pt idx="1002">
                        <c:v>62.125</c:v>
                      </c:pt>
                      <c:pt idx="1003">
                        <c:v>72.125</c:v>
                      </c:pt>
                      <c:pt idx="1004">
                        <c:v>86.25</c:v>
                      </c:pt>
                      <c:pt idx="1005">
                        <c:v>124.75</c:v>
                      </c:pt>
                      <c:pt idx="1006">
                        <c:v>133.5</c:v>
                      </c:pt>
                      <c:pt idx="1007">
                        <c:v>49.375</c:v>
                      </c:pt>
                      <c:pt idx="1008">
                        <c:v>60.75</c:v>
                      </c:pt>
                      <c:pt idx="1009">
                        <c:v>62.75</c:v>
                      </c:pt>
                      <c:pt idx="1010">
                        <c:v>66.625</c:v>
                      </c:pt>
                      <c:pt idx="1011">
                        <c:v>89.625</c:v>
                      </c:pt>
                      <c:pt idx="1012">
                        <c:v>114.375</c:v>
                      </c:pt>
                      <c:pt idx="1013">
                        <c:v>107.25</c:v>
                      </c:pt>
                      <c:pt idx="1014">
                        <c:v>70.25</c:v>
                      </c:pt>
                      <c:pt idx="1015">
                        <c:v>73.125</c:v>
                      </c:pt>
                      <c:pt idx="1016">
                        <c:v>73.875</c:v>
                      </c:pt>
                      <c:pt idx="1017">
                        <c:v>77.25</c:v>
                      </c:pt>
                      <c:pt idx="1018">
                        <c:v>101.5</c:v>
                      </c:pt>
                      <c:pt idx="1019">
                        <c:v>129.25</c:v>
                      </c:pt>
                      <c:pt idx="1020">
                        <c:v>142.875</c:v>
                      </c:pt>
                      <c:pt idx="1021">
                        <c:v>106.875</c:v>
                      </c:pt>
                      <c:pt idx="1022">
                        <c:v>55.25</c:v>
                      </c:pt>
                      <c:pt idx="1023">
                        <c:v>58</c:v>
                      </c:pt>
                      <c:pt idx="1024">
                        <c:v>60.875</c:v>
                      </c:pt>
                      <c:pt idx="1025">
                        <c:v>90.125</c:v>
                      </c:pt>
                      <c:pt idx="1026">
                        <c:v>119.75</c:v>
                      </c:pt>
                      <c:pt idx="1027">
                        <c:v>119</c:v>
                      </c:pt>
                      <c:pt idx="1028">
                        <c:v>49.75</c:v>
                      </c:pt>
                      <c:pt idx="1029">
                        <c:v>44.875</c:v>
                      </c:pt>
                      <c:pt idx="1030">
                        <c:v>60.375</c:v>
                      </c:pt>
                      <c:pt idx="1031">
                        <c:v>75.75</c:v>
                      </c:pt>
                      <c:pt idx="1032">
                        <c:v>113.25</c:v>
                      </c:pt>
                      <c:pt idx="1033">
                        <c:v>107.375</c:v>
                      </c:pt>
                      <c:pt idx="1034">
                        <c:v>272.375</c:v>
                      </c:pt>
                      <c:pt idx="1035">
                        <c:v>116.125</c:v>
                      </c:pt>
                      <c:pt idx="1036">
                        <c:v>54.75</c:v>
                      </c:pt>
                      <c:pt idx="1037">
                        <c:v>66.875</c:v>
                      </c:pt>
                      <c:pt idx="1038">
                        <c:v>56.375</c:v>
                      </c:pt>
                      <c:pt idx="1039">
                        <c:v>88.75</c:v>
                      </c:pt>
                      <c:pt idx="1040">
                        <c:v>116.175</c:v>
                      </c:pt>
                      <c:pt idx="1041">
                        <c:v>122.575</c:v>
                      </c:pt>
                      <c:pt idx="1042">
                        <c:v>43.125</c:v>
                      </c:pt>
                      <c:pt idx="1043">
                        <c:v>55.25</c:v>
                      </c:pt>
                      <c:pt idx="1044">
                        <c:v>62.5</c:v>
                      </c:pt>
                      <c:pt idx="1045">
                        <c:v>66.875</c:v>
                      </c:pt>
                      <c:pt idx="1046">
                        <c:v>56.5</c:v>
                      </c:pt>
                      <c:pt idx="1047">
                        <c:v>113.75</c:v>
                      </c:pt>
                      <c:pt idx="1048">
                        <c:v>119.625</c:v>
                      </c:pt>
                      <c:pt idx="1049">
                        <c:v>102.25</c:v>
                      </c:pt>
                      <c:pt idx="1050">
                        <c:v>64</c:v>
                      </c:pt>
                      <c:pt idx="1051">
                        <c:v>56.13</c:v>
                      </c:pt>
                      <c:pt idx="1052">
                        <c:v>44.370000000000005</c:v>
                      </c:pt>
                      <c:pt idx="1053">
                        <c:v>90.625</c:v>
                      </c:pt>
                      <c:pt idx="1054">
                        <c:v>111.5</c:v>
                      </c:pt>
                      <c:pt idx="1055">
                        <c:v>106.125</c:v>
                      </c:pt>
                      <c:pt idx="1056">
                        <c:v>48.325000000000003</c:v>
                      </c:pt>
                      <c:pt idx="1057">
                        <c:v>58.174999999999997</c:v>
                      </c:pt>
                      <c:pt idx="1058">
                        <c:v>75.875</c:v>
                      </c:pt>
                      <c:pt idx="1059">
                        <c:v>72.25</c:v>
                      </c:pt>
                      <c:pt idx="1060">
                        <c:v>92.75</c:v>
                      </c:pt>
                      <c:pt idx="1061">
                        <c:v>132.125</c:v>
                      </c:pt>
                      <c:pt idx="1062">
                        <c:v>137.75</c:v>
                      </c:pt>
                      <c:pt idx="1063">
                        <c:v>60.125</c:v>
                      </c:pt>
                      <c:pt idx="1064">
                        <c:v>75.75</c:v>
                      </c:pt>
                      <c:pt idx="1065">
                        <c:v>98.375</c:v>
                      </c:pt>
                      <c:pt idx="1066">
                        <c:v>77</c:v>
                      </c:pt>
                      <c:pt idx="1067">
                        <c:v>116.25</c:v>
                      </c:pt>
                      <c:pt idx="1068">
                        <c:v>116</c:v>
                      </c:pt>
                      <c:pt idx="1069">
                        <c:v>123.125</c:v>
                      </c:pt>
                      <c:pt idx="1070">
                        <c:v>57.5</c:v>
                      </c:pt>
                      <c:pt idx="1071">
                        <c:v>125.25</c:v>
                      </c:pt>
                      <c:pt idx="1072">
                        <c:v>115.25</c:v>
                      </c:pt>
                      <c:pt idx="1073">
                        <c:v>63.625</c:v>
                      </c:pt>
                      <c:pt idx="1074">
                        <c:v>79</c:v>
                      </c:pt>
                      <c:pt idx="1075">
                        <c:v>120.5</c:v>
                      </c:pt>
                      <c:pt idx="1076">
                        <c:v>102.125</c:v>
                      </c:pt>
                      <c:pt idx="1077">
                        <c:v>64.125</c:v>
                      </c:pt>
                      <c:pt idx="1078">
                        <c:v>74</c:v>
                      </c:pt>
                      <c:pt idx="1079">
                        <c:v>89.875</c:v>
                      </c:pt>
                      <c:pt idx="1080">
                        <c:v>84.875</c:v>
                      </c:pt>
                      <c:pt idx="1081">
                        <c:v>96.875</c:v>
                      </c:pt>
                      <c:pt idx="1082">
                        <c:v>132.875</c:v>
                      </c:pt>
                      <c:pt idx="1083">
                        <c:v>142.75</c:v>
                      </c:pt>
                      <c:pt idx="1084">
                        <c:v>105.375</c:v>
                      </c:pt>
                      <c:pt idx="1085">
                        <c:v>117.25</c:v>
                      </c:pt>
                      <c:pt idx="1086">
                        <c:v>106.875</c:v>
                      </c:pt>
                      <c:pt idx="1087">
                        <c:v>109.25</c:v>
                      </c:pt>
                      <c:pt idx="1088">
                        <c:v>0</c:v>
                      </c:pt>
                      <c:pt idx="1089">
                        <c:v>155.25</c:v>
                      </c:pt>
                      <c:pt idx="1090">
                        <c:v>161.5</c:v>
                      </c:pt>
                      <c:pt idx="1091">
                        <c:v>77.875</c:v>
                      </c:pt>
                      <c:pt idx="1092">
                        <c:v>92.875</c:v>
                      </c:pt>
                      <c:pt idx="1093">
                        <c:v>97.5</c:v>
                      </c:pt>
                      <c:pt idx="1094">
                        <c:v>102.375</c:v>
                      </c:pt>
                      <c:pt idx="1095">
                        <c:v>43.875</c:v>
                      </c:pt>
                      <c:pt idx="1096">
                        <c:v>88.625</c:v>
                      </c:pt>
                      <c:pt idx="1097">
                        <c:v>83.875</c:v>
                      </c:pt>
                      <c:pt idx="1098">
                        <c:v>43.625</c:v>
                      </c:pt>
                      <c:pt idx="1099">
                        <c:v>47.75</c:v>
                      </c:pt>
                      <c:pt idx="1100">
                        <c:v>51.875</c:v>
                      </c:pt>
                      <c:pt idx="1101">
                        <c:v>34.25</c:v>
                      </c:pt>
                      <c:pt idx="1102">
                        <c:v>53.625</c:v>
                      </c:pt>
                      <c:pt idx="1103">
                        <c:v>44.225000000000001</c:v>
                      </c:pt>
                      <c:pt idx="1104">
                        <c:v>46.15</c:v>
                      </c:pt>
                      <c:pt idx="1105">
                        <c:v>49</c:v>
                      </c:pt>
                      <c:pt idx="1106">
                        <c:v>30.25</c:v>
                      </c:pt>
                      <c:pt idx="1107">
                        <c:v>42.5</c:v>
                      </c:pt>
                      <c:pt idx="1108">
                        <c:v>27.625</c:v>
                      </c:pt>
                      <c:pt idx="1109">
                        <c:v>34.25</c:v>
                      </c:pt>
                      <c:pt idx="1110">
                        <c:v>48.222999999999999</c:v>
                      </c:pt>
                      <c:pt idx="1111">
                        <c:v>48.402000000000001</c:v>
                      </c:pt>
                      <c:pt idx="1112">
                        <c:v>21.625</c:v>
                      </c:pt>
                      <c:pt idx="1113">
                        <c:v>26.625</c:v>
                      </c:pt>
                      <c:pt idx="1114">
                        <c:v>25</c:v>
                      </c:pt>
                      <c:pt idx="1115">
                        <c:v>26.725000000000001</c:v>
                      </c:pt>
                      <c:pt idx="1116">
                        <c:v>37.024999999999999</c:v>
                      </c:pt>
                      <c:pt idx="1117">
                        <c:v>56.25</c:v>
                      </c:pt>
                      <c:pt idx="1118">
                        <c:v>64.75</c:v>
                      </c:pt>
                      <c:pt idx="1119">
                        <c:v>13.875</c:v>
                      </c:pt>
                      <c:pt idx="1120">
                        <c:v>25.75</c:v>
                      </c:pt>
                      <c:pt idx="1121">
                        <c:v>22</c:v>
                      </c:pt>
                      <c:pt idx="1122">
                        <c:v>20.75</c:v>
                      </c:pt>
                      <c:pt idx="1123">
                        <c:v>34.5</c:v>
                      </c:pt>
                      <c:pt idx="1124">
                        <c:v>51.75</c:v>
                      </c:pt>
                      <c:pt idx="1125">
                        <c:v>52.875</c:v>
                      </c:pt>
                      <c:pt idx="1126">
                        <c:v>27.25</c:v>
                      </c:pt>
                      <c:pt idx="1127">
                        <c:v>50</c:v>
                      </c:pt>
                      <c:pt idx="1128">
                        <c:v>44.875</c:v>
                      </c:pt>
                      <c:pt idx="1129">
                        <c:v>44.25</c:v>
                      </c:pt>
                      <c:pt idx="1130">
                        <c:v>67.875</c:v>
                      </c:pt>
                      <c:pt idx="1131">
                        <c:v>90.625</c:v>
                      </c:pt>
                      <c:pt idx="1132">
                        <c:v>101.25</c:v>
                      </c:pt>
                      <c:pt idx="1133">
                        <c:v>40.75</c:v>
                      </c:pt>
                      <c:pt idx="1134">
                        <c:v>49.5</c:v>
                      </c:pt>
                      <c:pt idx="1135">
                        <c:v>56.875</c:v>
                      </c:pt>
                      <c:pt idx="1136">
                        <c:v>42</c:v>
                      </c:pt>
                      <c:pt idx="1137">
                        <c:v>82.5</c:v>
                      </c:pt>
                      <c:pt idx="1138">
                        <c:v>110.5</c:v>
                      </c:pt>
                      <c:pt idx="1139">
                        <c:v>93.375</c:v>
                      </c:pt>
                      <c:pt idx="1140">
                        <c:v>62.25</c:v>
                      </c:pt>
                      <c:pt idx="1141">
                        <c:v>51</c:v>
                      </c:pt>
                      <c:pt idx="1142">
                        <c:v>53.25</c:v>
                      </c:pt>
                      <c:pt idx="1143">
                        <c:v>42.75</c:v>
                      </c:pt>
                      <c:pt idx="1144">
                        <c:v>61.625</c:v>
                      </c:pt>
                      <c:pt idx="1145">
                        <c:v>91</c:v>
                      </c:pt>
                      <c:pt idx="1146">
                        <c:v>81.125</c:v>
                      </c:pt>
                      <c:pt idx="1147">
                        <c:v>35</c:v>
                      </c:pt>
                      <c:pt idx="1148">
                        <c:v>34.25</c:v>
                      </c:pt>
                      <c:pt idx="1149">
                        <c:v>41.375</c:v>
                      </c:pt>
                      <c:pt idx="1150">
                        <c:v>35.25</c:v>
                      </c:pt>
                      <c:pt idx="1151">
                        <c:v>78.375</c:v>
                      </c:pt>
                      <c:pt idx="1152">
                        <c:v>98</c:v>
                      </c:pt>
                      <c:pt idx="1153">
                        <c:v>109.875</c:v>
                      </c:pt>
                      <c:pt idx="1154">
                        <c:v>49</c:v>
                      </c:pt>
                      <c:pt idx="1155">
                        <c:v>41.125</c:v>
                      </c:pt>
                      <c:pt idx="1156">
                        <c:v>50</c:v>
                      </c:pt>
                      <c:pt idx="1157">
                        <c:v>54.25</c:v>
                      </c:pt>
                      <c:pt idx="1158">
                        <c:v>76.875</c:v>
                      </c:pt>
                      <c:pt idx="1159">
                        <c:v>107.125</c:v>
                      </c:pt>
                      <c:pt idx="1160">
                        <c:v>102.25</c:v>
                      </c:pt>
                      <c:pt idx="1161">
                        <c:v>47.625</c:v>
                      </c:pt>
                      <c:pt idx="1162">
                        <c:v>96.625</c:v>
                      </c:pt>
                      <c:pt idx="1163">
                        <c:v>54.875</c:v>
                      </c:pt>
                      <c:pt idx="1164">
                        <c:v>56.25</c:v>
                      </c:pt>
                      <c:pt idx="1165">
                        <c:v>109.125</c:v>
                      </c:pt>
                      <c:pt idx="1166">
                        <c:v>127.5</c:v>
                      </c:pt>
                      <c:pt idx="1167">
                        <c:v>107</c:v>
                      </c:pt>
                      <c:pt idx="1168">
                        <c:v>28.375</c:v>
                      </c:pt>
                      <c:pt idx="1169">
                        <c:v>52.375</c:v>
                      </c:pt>
                      <c:pt idx="1170">
                        <c:v>55.75</c:v>
                      </c:pt>
                      <c:pt idx="1171">
                        <c:v>45.5</c:v>
                      </c:pt>
                      <c:pt idx="1172">
                        <c:v>76.625</c:v>
                      </c:pt>
                      <c:pt idx="1173">
                        <c:v>92.875</c:v>
                      </c:pt>
                      <c:pt idx="1174">
                        <c:v>117.75</c:v>
                      </c:pt>
                      <c:pt idx="1175">
                        <c:v>87.75</c:v>
                      </c:pt>
                      <c:pt idx="1176">
                        <c:v>32.625</c:v>
                      </c:pt>
                      <c:pt idx="1177">
                        <c:v>43.625</c:v>
                      </c:pt>
                      <c:pt idx="1178">
                        <c:v>37.125</c:v>
                      </c:pt>
                      <c:pt idx="1179">
                        <c:v>56.75</c:v>
                      </c:pt>
                      <c:pt idx="1180">
                        <c:v>100.375</c:v>
                      </c:pt>
                      <c:pt idx="1181">
                        <c:v>100</c:v>
                      </c:pt>
                      <c:pt idx="1182">
                        <c:v>43.625</c:v>
                      </c:pt>
                      <c:pt idx="1183">
                        <c:v>48.625</c:v>
                      </c:pt>
                      <c:pt idx="1184">
                        <c:v>53</c:v>
                      </c:pt>
                      <c:pt idx="1185">
                        <c:v>44.375</c:v>
                      </c:pt>
                      <c:pt idx="1186">
                        <c:v>75.125</c:v>
                      </c:pt>
                      <c:pt idx="1187">
                        <c:v>96.25</c:v>
                      </c:pt>
                      <c:pt idx="1188">
                        <c:v>132.25</c:v>
                      </c:pt>
                      <c:pt idx="1189">
                        <c:v>39.25</c:v>
                      </c:pt>
                      <c:pt idx="1190">
                        <c:v>40.75</c:v>
                      </c:pt>
                      <c:pt idx="1191">
                        <c:v>48.225000000000001</c:v>
                      </c:pt>
                      <c:pt idx="1192">
                        <c:v>44.15</c:v>
                      </c:pt>
                      <c:pt idx="1193">
                        <c:v>66.75</c:v>
                      </c:pt>
                      <c:pt idx="1194">
                        <c:v>113.125</c:v>
                      </c:pt>
                      <c:pt idx="1195">
                        <c:v>130.5</c:v>
                      </c:pt>
                      <c:pt idx="1196">
                        <c:v>62</c:v>
                      </c:pt>
                      <c:pt idx="1197">
                        <c:v>72.125</c:v>
                      </c:pt>
                      <c:pt idx="1198">
                        <c:v>78.75</c:v>
                      </c:pt>
                      <c:pt idx="1199">
                        <c:v>103.125</c:v>
                      </c:pt>
                      <c:pt idx="1200">
                        <c:v>107.375</c:v>
                      </c:pt>
                      <c:pt idx="1201">
                        <c:v>82.5</c:v>
                      </c:pt>
                      <c:pt idx="1202">
                        <c:v>103.625</c:v>
                      </c:pt>
                      <c:pt idx="1203">
                        <c:v>41.625</c:v>
                      </c:pt>
                      <c:pt idx="1204">
                        <c:v>34</c:v>
                      </c:pt>
                      <c:pt idx="1205">
                        <c:v>39.75</c:v>
                      </c:pt>
                      <c:pt idx="1206">
                        <c:v>37.5</c:v>
                      </c:pt>
                      <c:pt idx="1207">
                        <c:v>67.625</c:v>
                      </c:pt>
                      <c:pt idx="1208">
                        <c:v>91.625</c:v>
                      </c:pt>
                      <c:pt idx="1209">
                        <c:v>107</c:v>
                      </c:pt>
                      <c:pt idx="1210">
                        <c:v>39.75</c:v>
                      </c:pt>
                      <c:pt idx="1211">
                        <c:v>46.475000000000001</c:v>
                      </c:pt>
                      <c:pt idx="1212">
                        <c:v>41.024999999999999</c:v>
                      </c:pt>
                      <c:pt idx="1213">
                        <c:v>44.875</c:v>
                      </c:pt>
                      <c:pt idx="1214">
                        <c:v>67.625</c:v>
                      </c:pt>
                      <c:pt idx="1215">
                        <c:v>142.375</c:v>
                      </c:pt>
                      <c:pt idx="1216">
                        <c:v>115.25</c:v>
                      </c:pt>
                      <c:pt idx="1217">
                        <c:v>48.5</c:v>
                      </c:pt>
                      <c:pt idx="1218">
                        <c:v>48</c:v>
                      </c:pt>
                      <c:pt idx="1219">
                        <c:v>60</c:v>
                      </c:pt>
                      <c:pt idx="1220">
                        <c:v>67.25</c:v>
                      </c:pt>
                      <c:pt idx="1221">
                        <c:v>70.75</c:v>
                      </c:pt>
                      <c:pt idx="1222">
                        <c:v>135.625</c:v>
                      </c:pt>
                      <c:pt idx="1223">
                        <c:v>124.25</c:v>
                      </c:pt>
                      <c:pt idx="1224">
                        <c:v>48.125</c:v>
                      </c:pt>
                      <c:pt idx="1225">
                        <c:v>43.625</c:v>
                      </c:pt>
                      <c:pt idx="1226">
                        <c:v>62.375</c:v>
                      </c:pt>
                      <c:pt idx="1227">
                        <c:v>47</c:v>
                      </c:pt>
                      <c:pt idx="1228">
                        <c:v>94.5</c:v>
                      </c:pt>
                      <c:pt idx="1229">
                        <c:v>102.875</c:v>
                      </c:pt>
                      <c:pt idx="1230">
                        <c:v>93.125</c:v>
                      </c:pt>
                      <c:pt idx="1231">
                        <c:v>44.125</c:v>
                      </c:pt>
                      <c:pt idx="1232">
                        <c:v>44.875</c:v>
                      </c:pt>
                      <c:pt idx="1233">
                        <c:v>53.5</c:v>
                      </c:pt>
                      <c:pt idx="1234">
                        <c:v>45.25</c:v>
                      </c:pt>
                      <c:pt idx="1235">
                        <c:v>69.375</c:v>
                      </c:pt>
                      <c:pt idx="1236">
                        <c:v>106.125</c:v>
                      </c:pt>
                      <c:pt idx="1237">
                        <c:v>115.375</c:v>
                      </c:pt>
                      <c:pt idx="1238">
                        <c:v>38.625</c:v>
                      </c:pt>
                      <c:pt idx="1239">
                        <c:v>45.5</c:v>
                      </c:pt>
                      <c:pt idx="1240">
                        <c:v>45.625</c:v>
                      </c:pt>
                      <c:pt idx="1241">
                        <c:v>58.25</c:v>
                      </c:pt>
                      <c:pt idx="1242">
                        <c:v>79.75</c:v>
                      </c:pt>
                      <c:pt idx="1243">
                        <c:v>113.125</c:v>
                      </c:pt>
                      <c:pt idx="1244">
                        <c:v>130.625</c:v>
                      </c:pt>
                      <c:pt idx="1245">
                        <c:v>81.5</c:v>
                      </c:pt>
                      <c:pt idx="1246">
                        <c:v>44.875</c:v>
                      </c:pt>
                      <c:pt idx="1247">
                        <c:v>50.625</c:v>
                      </c:pt>
                      <c:pt idx="1248">
                        <c:v>62.625</c:v>
                      </c:pt>
                      <c:pt idx="1249">
                        <c:v>87.5</c:v>
                      </c:pt>
                      <c:pt idx="1250">
                        <c:v>113.5</c:v>
                      </c:pt>
                      <c:pt idx="1251">
                        <c:v>100.375</c:v>
                      </c:pt>
                      <c:pt idx="1252">
                        <c:v>47</c:v>
                      </c:pt>
                      <c:pt idx="1253">
                        <c:v>45.625</c:v>
                      </c:pt>
                      <c:pt idx="1254">
                        <c:v>52.625</c:v>
                      </c:pt>
                      <c:pt idx="1255">
                        <c:v>41</c:v>
                      </c:pt>
                      <c:pt idx="1256">
                        <c:v>77.75</c:v>
                      </c:pt>
                      <c:pt idx="1257">
                        <c:v>96.125</c:v>
                      </c:pt>
                      <c:pt idx="1258">
                        <c:v>102.75</c:v>
                      </c:pt>
                      <c:pt idx="1259">
                        <c:v>34.25</c:v>
                      </c:pt>
                      <c:pt idx="1260">
                        <c:v>50.25</c:v>
                      </c:pt>
                      <c:pt idx="1261">
                        <c:v>71.125</c:v>
                      </c:pt>
                      <c:pt idx="1262">
                        <c:v>57.125</c:v>
                      </c:pt>
                      <c:pt idx="1263">
                        <c:v>109.125</c:v>
                      </c:pt>
                      <c:pt idx="1264">
                        <c:v>126.875</c:v>
                      </c:pt>
                      <c:pt idx="1265">
                        <c:v>107.375</c:v>
                      </c:pt>
                      <c:pt idx="1266">
                        <c:v>125.125</c:v>
                      </c:pt>
                      <c:pt idx="1267">
                        <c:v>58.375</c:v>
                      </c:pt>
                      <c:pt idx="1268">
                        <c:v>57.5</c:v>
                      </c:pt>
                      <c:pt idx="1269">
                        <c:v>62.75</c:v>
                      </c:pt>
                      <c:pt idx="1270">
                        <c:v>94.375</c:v>
                      </c:pt>
                      <c:pt idx="1271">
                        <c:v>119</c:v>
                      </c:pt>
                      <c:pt idx="1272">
                        <c:v>120.375</c:v>
                      </c:pt>
                      <c:pt idx="1273">
                        <c:v>109</c:v>
                      </c:pt>
                      <c:pt idx="1274">
                        <c:v>47.625</c:v>
                      </c:pt>
                      <c:pt idx="1275">
                        <c:v>84.375</c:v>
                      </c:pt>
                      <c:pt idx="1276">
                        <c:v>74</c:v>
                      </c:pt>
                      <c:pt idx="1277">
                        <c:v>48.25</c:v>
                      </c:pt>
                      <c:pt idx="1278">
                        <c:v>64.375</c:v>
                      </c:pt>
                      <c:pt idx="1279">
                        <c:v>57.5</c:v>
                      </c:pt>
                      <c:pt idx="1280">
                        <c:v>50</c:v>
                      </c:pt>
                      <c:pt idx="1281">
                        <c:v>23</c:v>
                      </c:pt>
                      <c:pt idx="1282">
                        <c:v>49</c:v>
                      </c:pt>
                      <c:pt idx="1283">
                        <c:v>38.875</c:v>
                      </c:pt>
                      <c:pt idx="1284">
                        <c:v>35.875</c:v>
                      </c:pt>
                      <c:pt idx="1285">
                        <c:v>59.125</c:v>
                      </c:pt>
                      <c:pt idx="1286">
                        <c:v>64.25</c:v>
                      </c:pt>
                      <c:pt idx="1287">
                        <c:v>20.375</c:v>
                      </c:pt>
                      <c:pt idx="1288">
                        <c:v>28</c:v>
                      </c:pt>
                      <c:pt idx="1289">
                        <c:v>43.75</c:v>
                      </c:pt>
                      <c:pt idx="1290">
                        <c:v>23.5</c:v>
                      </c:pt>
                      <c:pt idx="1291">
                        <c:v>44.75</c:v>
                      </c:pt>
                      <c:pt idx="1292">
                        <c:v>49.25</c:v>
                      </c:pt>
                      <c:pt idx="1293">
                        <c:v>63.875</c:v>
                      </c:pt>
                      <c:pt idx="1294">
                        <c:v>22.25</c:v>
                      </c:pt>
                      <c:pt idx="1295">
                        <c:v>29.5</c:v>
                      </c:pt>
                      <c:pt idx="1296">
                        <c:v>47.875</c:v>
                      </c:pt>
                      <c:pt idx="1297">
                        <c:v>18.375</c:v>
                      </c:pt>
                      <c:pt idx="1298">
                        <c:v>52</c:v>
                      </c:pt>
                      <c:pt idx="1299">
                        <c:v>54.125</c:v>
                      </c:pt>
                      <c:pt idx="1300">
                        <c:v>56.125</c:v>
                      </c:pt>
                      <c:pt idx="1301">
                        <c:v>25.75</c:v>
                      </c:pt>
                      <c:pt idx="1302">
                        <c:v>26.75</c:v>
                      </c:pt>
                      <c:pt idx="1303">
                        <c:v>33.875</c:v>
                      </c:pt>
                      <c:pt idx="1304">
                        <c:v>27.125</c:v>
                      </c:pt>
                      <c:pt idx="1305">
                        <c:v>38.625</c:v>
                      </c:pt>
                      <c:pt idx="1306">
                        <c:v>47.625</c:v>
                      </c:pt>
                      <c:pt idx="1307">
                        <c:v>63.25</c:v>
                      </c:pt>
                      <c:pt idx="1308">
                        <c:v>56.25</c:v>
                      </c:pt>
                      <c:pt idx="1309">
                        <c:v>55.375</c:v>
                      </c:pt>
                      <c:pt idx="1310">
                        <c:v>75.5</c:v>
                      </c:pt>
                      <c:pt idx="1311">
                        <c:v>53.125</c:v>
                      </c:pt>
                      <c:pt idx="1312">
                        <c:v>85.125</c:v>
                      </c:pt>
                      <c:pt idx="1313">
                        <c:v>122.375</c:v>
                      </c:pt>
                      <c:pt idx="1314">
                        <c:v>112.875</c:v>
                      </c:pt>
                      <c:pt idx="1315">
                        <c:v>41.5</c:v>
                      </c:pt>
                      <c:pt idx="1316">
                        <c:v>62.25</c:v>
                      </c:pt>
                      <c:pt idx="1317">
                        <c:v>60.625</c:v>
                      </c:pt>
                      <c:pt idx="1318">
                        <c:v>48.5</c:v>
                      </c:pt>
                      <c:pt idx="1319">
                        <c:v>73.875</c:v>
                      </c:pt>
                      <c:pt idx="1320">
                        <c:v>99.5</c:v>
                      </c:pt>
                      <c:pt idx="1321">
                        <c:v>112.75</c:v>
                      </c:pt>
                      <c:pt idx="1322">
                        <c:v>103</c:v>
                      </c:pt>
                      <c:pt idx="1323">
                        <c:v>50.375</c:v>
                      </c:pt>
                      <c:pt idx="1324">
                        <c:v>51.5</c:v>
                      </c:pt>
                      <c:pt idx="1325">
                        <c:v>64.75</c:v>
                      </c:pt>
                      <c:pt idx="1326">
                        <c:v>76.5</c:v>
                      </c:pt>
                      <c:pt idx="1327">
                        <c:v>108.75</c:v>
                      </c:pt>
                      <c:pt idx="1328">
                        <c:v>102.125</c:v>
                      </c:pt>
                      <c:pt idx="1329">
                        <c:v>48.75</c:v>
                      </c:pt>
                      <c:pt idx="1330">
                        <c:v>48.375</c:v>
                      </c:pt>
                      <c:pt idx="1331">
                        <c:v>50.375</c:v>
                      </c:pt>
                      <c:pt idx="1332">
                        <c:v>57.875</c:v>
                      </c:pt>
                      <c:pt idx="1333">
                        <c:v>91</c:v>
                      </c:pt>
                      <c:pt idx="1334">
                        <c:v>110</c:v>
                      </c:pt>
                      <c:pt idx="1335">
                        <c:v>87.75</c:v>
                      </c:pt>
                      <c:pt idx="1336">
                        <c:v>55.5</c:v>
                      </c:pt>
                      <c:pt idx="1337">
                        <c:v>38.5</c:v>
                      </c:pt>
                      <c:pt idx="1338">
                        <c:v>54.875</c:v>
                      </c:pt>
                      <c:pt idx="1339">
                        <c:v>49.875</c:v>
                      </c:pt>
                      <c:pt idx="1340">
                        <c:v>53.125</c:v>
                      </c:pt>
                      <c:pt idx="1341">
                        <c:v>94.5</c:v>
                      </c:pt>
                      <c:pt idx="1342">
                        <c:v>80.25</c:v>
                      </c:pt>
                      <c:pt idx="1343">
                        <c:v>33.875</c:v>
                      </c:pt>
                      <c:pt idx="1344">
                        <c:v>54.625</c:v>
                      </c:pt>
                      <c:pt idx="1345">
                        <c:v>45.875</c:v>
                      </c:pt>
                      <c:pt idx="1346">
                        <c:v>49.25</c:v>
                      </c:pt>
                      <c:pt idx="1347">
                        <c:v>68.625</c:v>
                      </c:pt>
                      <c:pt idx="1348">
                        <c:v>102.375</c:v>
                      </c:pt>
                      <c:pt idx="1349">
                        <c:v>112.125</c:v>
                      </c:pt>
                      <c:pt idx="1350">
                        <c:v>33</c:v>
                      </c:pt>
                      <c:pt idx="1351">
                        <c:v>42</c:v>
                      </c:pt>
                      <c:pt idx="1352">
                        <c:v>30.5</c:v>
                      </c:pt>
                      <c:pt idx="1353">
                        <c:v>39.25</c:v>
                      </c:pt>
                      <c:pt idx="1354">
                        <c:v>69.375</c:v>
                      </c:pt>
                      <c:pt idx="1355">
                        <c:v>114.25</c:v>
                      </c:pt>
                      <c:pt idx="1356">
                        <c:v>110.5</c:v>
                      </c:pt>
                      <c:pt idx="1357">
                        <c:v>22.375</c:v>
                      </c:pt>
                      <c:pt idx="1358">
                        <c:v>33.125</c:v>
                      </c:pt>
                      <c:pt idx="1359">
                        <c:v>43.375</c:v>
                      </c:pt>
                      <c:pt idx="1360">
                        <c:v>41.875</c:v>
                      </c:pt>
                      <c:pt idx="1361">
                        <c:v>62.375</c:v>
                      </c:pt>
                      <c:pt idx="1362">
                        <c:v>104.125</c:v>
                      </c:pt>
                      <c:pt idx="1363">
                        <c:v>93</c:v>
                      </c:pt>
                      <c:pt idx="1364">
                        <c:v>36.625</c:v>
                      </c:pt>
                      <c:pt idx="1365">
                        <c:v>45.375</c:v>
                      </c:pt>
                      <c:pt idx="1366">
                        <c:v>37.5</c:v>
                      </c:pt>
                      <c:pt idx="1367">
                        <c:v>47.375</c:v>
                      </c:pt>
                      <c:pt idx="1368">
                        <c:v>60.875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18.75</c:v>
                      </c:pt>
                      <c:pt idx="1401">
                        <c:v>25</c:v>
                      </c:pt>
                      <c:pt idx="1402">
                        <c:v>23.75</c:v>
                      </c:pt>
                      <c:pt idx="1403">
                        <c:v>36.25</c:v>
                      </c:pt>
                      <c:pt idx="1404">
                        <c:v>59.25</c:v>
                      </c:pt>
                      <c:pt idx="1405">
                        <c:v>53.625</c:v>
                      </c:pt>
                      <c:pt idx="1406">
                        <c:v>51.125</c:v>
                      </c:pt>
                      <c:pt idx="1407">
                        <c:v>22.25</c:v>
                      </c:pt>
                      <c:pt idx="1408">
                        <c:v>23.25</c:v>
                      </c:pt>
                      <c:pt idx="1409">
                        <c:v>24.125</c:v>
                      </c:pt>
                      <c:pt idx="1410">
                        <c:v>31.875</c:v>
                      </c:pt>
                      <c:pt idx="1411">
                        <c:v>56.875</c:v>
                      </c:pt>
                      <c:pt idx="1412">
                        <c:v>59.75</c:v>
                      </c:pt>
                      <c:pt idx="1413">
                        <c:v>55.375</c:v>
                      </c:pt>
                      <c:pt idx="1414">
                        <c:v>20.5</c:v>
                      </c:pt>
                      <c:pt idx="1415">
                        <c:v>24.75</c:v>
                      </c:pt>
                      <c:pt idx="1416">
                        <c:v>23.875</c:v>
                      </c:pt>
                      <c:pt idx="1417">
                        <c:v>38</c:v>
                      </c:pt>
                      <c:pt idx="1418">
                        <c:v>57.375</c:v>
                      </c:pt>
                      <c:pt idx="1419">
                        <c:v>65.25</c:v>
                      </c:pt>
                      <c:pt idx="1420">
                        <c:v>14</c:v>
                      </c:pt>
                      <c:pt idx="1421">
                        <c:v>19.375</c:v>
                      </c:pt>
                      <c:pt idx="1422">
                        <c:v>22.125</c:v>
                      </c:pt>
                      <c:pt idx="1423">
                        <c:v>22.125</c:v>
                      </c:pt>
                      <c:pt idx="1424">
                        <c:v>48.875</c:v>
                      </c:pt>
                      <c:pt idx="1425">
                        <c:v>52.5</c:v>
                      </c:pt>
                      <c:pt idx="1426">
                        <c:v>51</c:v>
                      </c:pt>
                      <c:pt idx="1427">
                        <c:v>12.75</c:v>
                      </c:pt>
                      <c:pt idx="1428">
                        <c:v>17.75</c:v>
                      </c:pt>
                      <c:pt idx="1429">
                        <c:v>18.125</c:v>
                      </c:pt>
                      <c:pt idx="1430">
                        <c:v>54.5</c:v>
                      </c:pt>
                      <c:pt idx="1431">
                        <c:v>75.25</c:v>
                      </c:pt>
                      <c:pt idx="1432">
                        <c:v>84.25</c:v>
                      </c:pt>
                      <c:pt idx="1433">
                        <c:v>81.125</c:v>
                      </c:pt>
                      <c:pt idx="1434">
                        <c:v>43.75</c:v>
                      </c:pt>
                      <c:pt idx="1435">
                        <c:v>47.875</c:v>
                      </c:pt>
                      <c:pt idx="1436">
                        <c:v>114</c:v>
                      </c:pt>
                      <c:pt idx="1437">
                        <c:v>98.75</c:v>
                      </c:pt>
                      <c:pt idx="1438">
                        <c:v>75.75</c:v>
                      </c:pt>
                      <c:pt idx="1439">
                        <c:v>116.625</c:v>
                      </c:pt>
                      <c:pt idx="1440">
                        <c:v>116.375</c:v>
                      </c:pt>
                      <c:pt idx="1441">
                        <c:v>35.25</c:v>
                      </c:pt>
                      <c:pt idx="1442">
                        <c:v>64.5</c:v>
                      </c:pt>
                      <c:pt idx="1443">
                        <c:v>78.625</c:v>
                      </c:pt>
                      <c:pt idx="1444">
                        <c:v>87.875</c:v>
                      </c:pt>
                      <c:pt idx="1445">
                        <c:v>88</c:v>
                      </c:pt>
                      <c:pt idx="1446">
                        <c:v>98.375</c:v>
                      </c:pt>
                      <c:pt idx="1447">
                        <c:v>130.625</c:v>
                      </c:pt>
                      <c:pt idx="1448">
                        <c:v>67.625</c:v>
                      </c:pt>
                      <c:pt idx="1449">
                        <c:v>82.5</c:v>
                      </c:pt>
                      <c:pt idx="1450">
                        <c:v>83.875</c:v>
                      </c:pt>
                      <c:pt idx="1451">
                        <c:v>95</c:v>
                      </c:pt>
                      <c:pt idx="1452">
                        <c:v>102.5</c:v>
                      </c:pt>
                      <c:pt idx="1453">
                        <c:v>62</c:v>
                      </c:pt>
                      <c:pt idx="1454">
                        <c:v>146.25</c:v>
                      </c:pt>
                      <c:pt idx="1455">
                        <c:v>102.25</c:v>
                      </c:pt>
                      <c:pt idx="1456">
                        <c:v>90.75</c:v>
                      </c:pt>
                      <c:pt idx="1457">
                        <c:v>112.25</c:v>
                      </c:pt>
                      <c:pt idx="1458">
                        <c:v>85.5</c:v>
                      </c:pt>
                      <c:pt idx="1459">
                        <c:v>106</c:v>
                      </c:pt>
                      <c:pt idx="1460">
                        <c:v>85.375</c:v>
                      </c:pt>
                      <c:pt idx="1461">
                        <c:v>145.625</c:v>
                      </c:pt>
                      <c:pt idx="1462">
                        <c:v>89.75</c:v>
                      </c:pt>
                      <c:pt idx="1463">
                        <c:v>94.125</c:v>
                      </c:pt>
                      <c:pt idx="1464">
                        <c:v>109.75</c:v>
                      </c:pt>
                      <c:pt idx="1465">
                        <c:v>79.625</c:v>
                      </c:pt>
                      <c:pt idx="1466">
                        <c:v>73.625</c:v>
                      </c:pt>
                      <c:pt idx="1467">
                        <c:v>118.375</c:v>
                      </c:pt>
                      <c:pt idx="1468">
                        <c:v>119.125</c:v>
                      </c:pt>
                      <c:pt idx="1469">
                        <c:v>103.375</c:v>
                      </c:pt>
                      <c:pt idx="1470">
                        <c:v>55.5</c:v>
                      </c:pt>
                      <c:pt idx="1471">
                        <c:v>84.625</c:v>
                      </c:pt>
                      <c:pt idx="1472">
                        <c:v>54.875</c:v>
                      </c:pt>
                      <c:pt idx="1473">
                        <c:v>72.5</c:v>
                      </c:pt>
                      <c:pt idx="1474">
                        <c:v>108</c:v>
                      </c:pt>
                      <c:pt idx="1475">
                        <c:v>97</c:v>
                      </c:pt>
                      <c:pt idx="1476">
                        <c:v>53.75</c:v>
                      </c:pt>
                      <c:pt idx="1477">
                        <c:v>63.25</c:v>
                      </c:pt>
                      <c:pt idx="1478">
                        <c:v>65.625</c:v>
                      </c:pt>
                      <c:pt idx="1479">
                        <c:v>56.5</c:v>
                      </c:pt>
                      <c:pt idx="1480">
                        <c:v>63.375</c:v>
                      </c:pt>
                      <c:pt idx="1481">
                        <c:v>99.375</c:v>
                      </c:pt>
                      <c:pt idx="1482">
                        <c:v>103.625</c:v>
                      </c:pt>
                      <c:pt idx="1483">
                        <c:v>31.875</c:v>
                      </c:pt>
                      <c:pt idx="1484">
                        <c:v>44.75</c:v>
                      </c:pt>
                      <c:pt idx="1485">
                        <c:v>38.125</c:v>
                      </c:pt>
                      <c:pt idx="1486">
                        <c:v>51.625</c:v>
                      </c:pt>
                      <c:pt idx="1487">
                        <c:v>67.5</c:v>
                      </c:pt>
                      <c:pt idx="1488">
                        <c:v>93.5</c:v>
                      </c:pt>
                      <c:pt idx="1489">
                        <c:v>83.125</c:v>
                      </c:pt>
                      <c:pt idx="1490">
                        <c:v>43.875</c:v>
                      </c:pt>
                      <c:pt idx="1491">
                        <c:v>41.875</c:v>
                      </c:pt>
                      <c:pt idx="1492">
                        <c:v>57</c:v>
                      </c:pt>
                      <c:pt idx="1493">
                        <c:v>51.125</c:v>
                      </c:pt>
                      <c:pt idx="1494">
                        <c:v>70.5</c:v>
                      </c:pt>
                      <c:pt idx="1495">
                        <c:v>107.75</c:v>
                      </c:pt>
                      <c:pt idx="1496">
                        <c:v>78.125</c:v>
                      </c:pt>
                      <c:pt idx="1497">
                        <c:v>40.125</c:v>
                      </c:pt>
                      <c:pt idx="1498">
                        <c:v>24.375</c:v>
                      </c:pt>
                      <c:pt idx="1499">
                        <c:v>45.75</c:v>
                      </c:pt>
                      <c:pt idx="1500">
                        <c:v>38.375</c:v>
                      </c:pt>
                      <c:pt idx="1501">
                        <c:v>76.375</c:v>
                      </c:pt>
                      <c:pt idx="1502">
                        <c:v>88.375</c:v>
                      </c:pt>
                      <c:pt idx="1503">
                        <c:v>70.75</c:v>
                      </c:pt>
                      <c:pt idx="1504">
                        <c:v>64.75</c:v>
                      </c:pt>
                      <c:pt idx="1505">
                        <c:v>41.25</c:v>
                      </c:pt>
                      <c:pt idx="1506">
                        <c:v>44.25</c:v>
                      </c:pt>
                      <c:pt idx="1507">
                        <c:v>49.5</c:v>
                      </c:pt>
                      <c:pt idx="1508">
                        <c:v>55.75</c:v>
                      </c:pt>
                      <c:pt idx="1509">
                        <c:v>92.625</c:v>
                      </c:pt>
                      <c:pt idx="1510">
                        <c:v>86</c:v>
                      </c:pt>
                      <c:pt idx="1511">
                        <c:v>36.875</c:v>
                      </c:pt>
                      <c:pt idx="1512">
                        <c:v>39.875</c:v>
                      </c:pt>
                      <c:pt idx="1513">
                        <c:v>42.125</c:v>
                      </c:pt>
                      <c:pt idx="1514">
                        <c:v>39.375</c:v>
                      </c:pt>
                      <c:pt idx="1515">
                        <c:v>55.875</c:v>
                      </c:pt>
                      <c:pt idx="1516">
                        <c:v>82.25</c:v>
                      </c:pt>
                      <c:pt idx="1517">
                        <c:v>75.25</c:v>
                      </c:pt>
                      <c:pt idx="1518">
                        <c:v>30.5</c:v>
                      </c:pt>
                      <c:pt idx="1519">
                        <c:v>41.25</c:v>
                      </c:pt>
                      <c:pt idx="1520">
                        <c:v>29.625</c:v>
                      </c:pt>
                      <c:pt idx="1521">
                        <c:v>20.375</c:v>
                      </c:pt>
                      <c:pt idx="1522">
                        <c:v>39.5</c:v>
                      </c:pt>
                      <c:pt idx="1523">
                        <c:v>47</c:v>
                      </c:pt>
                      <c:pt idx="1524">
                        <c:v>62.25</c:v>
                      </c:pt>
                      <c:pt idx="1525">
                        <c:v>15.25</c:v>
                      </c:pt>
                      <c:pt idx="1526">
                        <c:v>18.125</c:v>
                      </c:pt>
                      <c:pt idx="1527">
                        <c:v>40.25</c:v>
                      </c:pt>
                      <c:pt idx="1528">
                        <c:v>22</c:v>
                      </c:pt>
                      <c:pt idx="1529">
                        <c:v>32.5</c:v>
                      </c:pt>
                      <c:pt idx="1530">
                        <c:v>57.375</c:v>
                      </c:pt>
                      <c:pt idx="1531">
                        <c:v>49.875</c:v>
                      </c:pt>
                      <c:pt idx="1532">
                        <c:v>19.25</c:v>
                      </c:pt>
                      <c:pt idx="1533">
                        <c:v>22.125</c:v>
                      </c:pt>
                      <c:pt idx="1534">
                        <c:v>28.375</c:v>
                      </c:pt>
                      <c:pt idx="1535">
                        <c:v>17.625</c:v>
                      </c:pt>
                      <c:pt idx="1536">
                        <c:v>30.875</c:v>
                      </c:pt>
                      <c:pt idx="1537">
                        <c:v>49.625</c:v>
                      </c:pt>
                      <c:pt idx="1538">
                        <c:v>50.375</c:v>
                      </c:pt>
                      <c:pt idx="1539">
                        <c:v>41.375</c:v>
                      </c:pt>
                      <c:pt idx="1540">
                        <c:v>22</c:v>
                      </c:pt>
                      <c:pt idx="1541">
                        <c:v>17.625</c:v>
                      </c:pt>
                      <c:pt idx="1542">
                        <c:v>21.25</c:v>
                      </c:pt>
                      <c:pt idx="1543">
                        <c:v>30.375</c:v>
                      </c:pt>
                      <c:pt idx="1544">
                        <c:v>56</c:v>
                      </c:pt>
                      <c:pt idx="1545">
                        <c:v>40.375</c:v>
                      </c:pt>
                      <c:pt idx="1546">
                        <c:v>23.875</c:v>
                      </c:pt>
                      <c:pt idx="1547">
                        <c:v>23.375</c:v>
                      </c:pt>
                      <c:pt idx="1548">
                        <c:v>16.625</c:v>
                      </c:pt>
                      <c:pt idx="1549">
                        <c:v>37.625</c:v>
                      </c:pt>
                      <c:pt idx="1550">
                        <c:v>42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90.375</c:v>
                      </c:pt>
                      <c:pt idx="1582">
                        <c:v>44.625</c:v>
                      </c:pt>
                      <c:pt idx="1583">
                        <c:v>42.625</c:v>
                      </c:pt>
                      <c:pt idx="1584">
                        <c:v>39.75</c:v>
                      </c:pt>
                      <c:pt idx="1585">
                        <c:v>55.125</c:v>
                      </c:pt>
                      <c:pt idx="1586">
                        <c:v>90.625</c:v>
                      </c:pt>
                      <c:pt idx="1587">
                        <c:v>84.125</c:v>
                      </c:pt>
                      <c:pt idx="1588">
                        <c:v>29.375</c:v>
                      </c:pt>
                      <c:pt idx="1589">
                        <c:v>15.875</c:v>
                      </c:pt>
                      <c:pt idx="1590">
                        <c:v>37.125</c:v>
                      </c:pt>
                      <c:pt idx="1591">
                        <c:v>42.25</c:v>
                      </c:pt>
                      <c:pt idx="1592">
                        <c:v>82.125</c:v>
                      </c:pt>
                      <c:pt idx="1593">
                        <c:v>97</c:v>
                      </c:pt>
                      <c:pt idx="1594">
                        <c:v>91.75</c:v>
                      </c:pt>
                      <c:pt idx="1595">
                        <c:v>47.75</c:v>
                      </c:pt>
                      <c:pt idx="1596">
                        <c:v>11.75</c:v>
                      </c:pt>
                      <c:pt idx="1597">
                        <c:v>51.25</c:v>
                      </c:pt>
                      <c:pt idx="1598">
                        <c:v>48</c:v>
                      </c:pt>
                      <c:pt idx="1599">
                        <c:v>57.375</c:v>
                      </c:pt>
                      <c:pt idx="1600">
                        <c:v>99</c:v>
                      </c:pt>
                      <c:pt idx="1601">
                        <c:v>96.75</c:v>
                      </c:pt>
                      <c:pt idx="1602">
                        <c:v>77.5</c:v>
                      </c:pt>
                      <c:pt idx="1603">
                        <c:v>15.625</c:v>
                      </c:pt>
                      <c:pt idx="1604">
                        <c:v>56.125</c:v>
                      </c:pt>
                      <c:pt idx="1605">
                        <c:v>52.875</c:v>
                      </c:pt>
                      <c:pt idx="1606">
                        <c:v>83.5</c:v>
                      </c:pt>
                      <c:pt idx="1607">
                        <c:v>101.875</c:v>
                      </c:pt>
                      <c:pt idx="1608">
                        <c:v>87.875</c:v>
                      </c:pt>
                      <c:pt idx="1609">
                        <c:v>38.625</c:v>
                      </c:pt>
                      <c:pt idx="1610">
                        <c:v>20</c:v>
                      </c:pt>
                      <c:pt idx="1611">
                        <c:v>58.875</c:v>
                      </c:pt>
                      <c:pt idx="1612">
                        <c:v>54.625</c:v>
                      </c:pt>
                      <c:pt idx="1613">
                        <c:v>73.625</c:v>
                      </c:pt>
                      <c:pt idx="1614">
                        <c:v>100.125</c:v>
                      </c:pt>
                      <c:pt idx="1615">
                        <c:v>104.875</c:v>
                      </c:pt>
                      <c:pt idx="1616">
                        <c:v>37.25</c:v>
                      </c:pt>
                      <c:pt idx="1617">
                        <c:v>42.625</c:v>
                      </c:pt>
                      <c:pt idx="1618">
                        <c:v>59.625</c:v>
                      </c:pt>
                      <c:pt idx="1619">
                        <c:v>50.625</c:v>
                      </c:pt>
                      <c:pt idx="1620">
                        <c:v>74.5</c:v>
                      </c:pt>
                      <c:pt idx="1621">
                        <c:v>87.25</c:v>
                      </c:pt>
                      <c:pt idx="1622">
                        <c:v>117.625</c:v>
                      </c:pt>
                      <c:pt idx="1623">
                        <c:v>69</c:v>
                      </c:pt>
                      <c:pt idx="1624">
                        <c:v>41.375</c:v>
                      </c:pt>
                      <c:pt idx="1625">
                        <c:v>55.625</c:v>
                      </c:pt>
                      <c:pt idx="1626">
                        <c:v>60</c:v>
                      </c:pt>
                      <c:pt idx="1627">
                        <c:v>71.125</c:v>
                      </c:pt>
                      <c:pt idx="1628">
                        <c:v>98.75</c:v>
                      </c:pt>
                      <c:pt idx="1629">
                        <c:v>97.875</c:v>
                      </c:pt>
                      <c:pt idx="1630">
                        <c:v>87.5</c:v>
                      </c:pt>
                      <c:pt idx="1631">
                        <c:v>45.75</c:v>
                      </c:pt>
                      <c:pt idx="1632">
                        <c:v>62.125</c:v>
                      </c:pt>
                      <c:pt idx="1633">
                        <c:v>55.5</c:v>
                      </c:pt>
                      <c:pt idx="1634">
                        <c:v>72.875</c:v>
                      </c:pt>
                      <c:pt idx="1635">
                        <c:v>106.25</c:v>
                      </c:pt>
                      <c:pt idx="1636">
                        <c:v>91.5</c:v>
                      </c:pt>
                      <c:pt idx="1637">
                        <c:v>43.875</c:v>
                      </c:pt>
                      <c:pt idx="1638">
                        <c:v>53.75</c:v>
                      </c:pt>
                      <c:pt idx="1639">
                        <c:v>57.375</c:v>
                      </c:pt>
                      <c:pt idx="1640">
                        <c:v>87.625</c:v>
                      </c:pt>
                      <c:pt idx="1641">
                        <c:v>84.75</c:v>
                      </c:pt>
                      <c:pt idx="1642">
                        <c:v>91.875</c:v>
                      </c:pt>
                      <c:pt idx="1643">
                        <c:v>58</c:v>
                      </c:pt>
                      <c:pt idx="1644">
                        <c:v>55.5</c:v>
                      </c:pt>
                      <c:pt idx="1645">
                        <c:v>33</c:v>
                      </c:pt>
                      <c:pt idx="1646">
                        <c:v>37.5</c:v>
                      </c:pt>
                      <c:pt idx="1647">
                        <c:v>37</c:v>
                      </c:pt>
                      <c:pt idx="1648">
                        <c:v>35.25</c:v>
                      </c:pt>
                      <c:pt idx="1649">
                        <c:v>63.75</c:v>
                      </c:pt>
                      <c:pt idx="1650">
                        <c:v>61.625</c:v>
                      </c:pt>
                      <c:pt idx="1651">
                        <c:v>25.125</c:v>
                      </c:pt>
                      <c:pt idx="1652">
                        <c:v>27.5</c:v>
                      </c:pt>
                      <c:pt idx="1653">
                        <c:v>40</c:v>
                      </c:pt>
                      <c:pt idx="1654">
                        <c:v>26</c:v>
                      </c:pt>
                      <c:pt idx="1655">
                        <c:v>33.375</c:v>
                      </c:pt>
                      <c:pt idx="1656">
                        <c:v>46.25</c:v>
                      </c:pt>
                      <c:pt idx="1657">
                        <c:v>58.875</c:v>
                      </c:pt>
                      <c:pt idx="1658">
                        <c:v>17</c:v>
                      </c:pt>
                      <c:pt idx="1659">
                        <c:v>21.375</c:v>
                      </c:pt>
                      <c:pt idx="1660">
                        <c:v>39.25</c:v>
                      </c:pt>
                      <c:pt idx="1661">
                        <c:v>64.375</c:v>
                      </c:pt>
                      <c:pt idx="1662">
                        <c:v>40.625</c:v>
                      </c:pt>
                      <c:pt idx="1663">
                        <c:v>60</c:v>
                      </c:pt>
                      <c:pt idx="1664">
                        <c:v>59.375</c:v>
                      </c:pt>
                      <c:pt idx="1665">
                        <c:v>18.625</c:v>
                      </c:pt>
                      <c:pt idx="1666">
                        <c:v>31.5</c:v>
                      </c:pt>
                      <c:pt idx="1667">
                        <c:v>40.25</c:v>
                      </c:pt>
                      <c:pt idx="1668">
                        <c:v>25.625</c:v>
                      </c:pt>
                      <c:pt idx="1669">
                        <c:v>28.5</c:v>
                      </c:pt>
                      <c:pt idx="1670">
                        <c:v>42.875</c:v>
                      </c:pt>
                      <c:pt idx="1671">
                        <c:v>62.5</c:v>
                      </c:pt>
                      <c:pt idx="1672">
                        <c:v>18.375</c:v>
                      </c:pt>
                      <c:pt idx="1673">
                        <c:v>43.125</c:v>
                      </c:pt>
                      <c:pt idx="1674">
                        <c:v>68</c:v>
                      </c:pt>
                      <c:pt idx="1675">
                        <c:v>42.5</c:v>
                      </c:pt>
                      <c:pt idx="1676">
                        <c:v>84.5</c:v>
                      </c:pt>
                      <c:pt idx="1677">
                        <c:v>94.5</c:v>
                      </c:pt>
                      <c:pt idx="1678">
                        <c:v>100.75</c:v>
                      </c:pt>
                      <c:pt idx="1679">
                        <c:v>99.125</c:v>
                      </c:pt>
                      <c:pt idx="1680">
                        <c:v>25.625</c:v>
                      </c:pt>
                      <c:pt idx="1681">
                        <c:v>56</c:v>
                      </c:pt>
                      <c:pt idx="1682">
                        <c:v>38.625</c:v>
                      </c:pt>
                      <c:pt idx="1683">
                        <c:v>63</c:v>
                      </c:pt>
                      <c:pt idx="1684">
                        <c:v>91.25</c:v>
                      </c:pt>
                      <c:pt idx="1685">
                        <c:v>82.25</c:v>
                      </c:pt>
                      <c:pt idx="1686">
                        <c:v>46.75</c:v>
                      </c:pt>
                      <c:pt idx="1687">
                        <c:v>16</c:v>
                      </c:pt>
                      <c:pt idx="1688">
                        <c:v>44.125</c:v>
                      </c:pt>
                      <c:pt idx="1689">
                        <c:v>50.625</c:v>
                      </c:pt>
                      <c:pt idx="1690">
                        <c:v>64.375</c:v>
                      </c:pt>
                      <c:pt idx="1691">
                        <c:v>79.625</c:v>
                      </c:pt>
                      <c:pt idx="1692">
                        <c:v>96.5</c:v>
                      </c:pt>
                      <c:pt idx="1693">
                        <c:v>60.875</c:v>
                      </c:pt>
                      <c:pt idx="1694">
                        <c:v>15.875</c:v>
                      </c:pt>
                      <c:pt idx="1695">
                        <c:v>56.125</c:v>
                      </c:pt>
                      <c:pt idx="1696">
                        <c:v>49.875</c:v>
                      </c:pt>
                      <c:pt idx="1697">
                        <c:v>69</c:v>
                      </c:pt>
                      <c:pt idx="1698">
                        <c:v>72.25</c:v>
                      </c:pt>
                      <c:pt idx="1699">
                        <c:v>90</c:v>
                      </c:pt>
                      <c:pt idx="1700">
                        <c:v>37.125</c:v>
                      </c:pt>
                      <c:pt idx="1701">
                        <c:v>22.625</c:v>
                      </c:pt>
                      <c:pt idx="1702">
                        <c:v>45.25</c:v>
                      </c:pt>
                      <c:pt idx="1703">
                        <c:v>52.875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19.375</c:v>
                      </c:pt>
                      <c:pt idx="1766">
                        <c:v>16.75</c:v>
                      </c:pt>
                      <c:pt idx="1767">
                        <c:v>25.375</c:v>
                      </c:pt>
                      <c:pt idx="1768">
                        <c:v>32.375</c:v>
                      </c:pt>
                      <c:pt idx="1769">
                        <c:v>37</c:v>
                      </c:pt>
                      <c:pt idx="1770">
                        <c:v>30.75</c:v>
                      </c:pt>
                      <c:pt idx="1771">
                        <c:v>8.375</c:v>
                      </c:pt>
                      <c:pt idx="1772">
                        <c:v>10</c:v>
                      </c:pt>
                      <c:pt idx="1773">
                        <c:v>11.375</c:v>
                      </c:pt>
                      <c:pt idx="1774">
                        <c:v>25.5</c:v>
                      </c:pt>
                      <c:pt idx="1775">
                        <c:v>35.375</c:v>
                      </c:pt>
                      <c:pt idx="1776">
                        <c:v>36.25</c:v>
                      </c:pt>
                      <c:pt idx="1777">
                        <c:v>33</c:v>
                      </c:pt>
                      <c:pt idx="1778">
                        <c:v>12</c:v>
                      </c:pt>
                      <c:pt idx="1779">
                        <c:v>16.25</c:v>
                      </c:pt>
                      <c:pt idx="1780">
                        <c:v>22.5</c:v>
                      </c:pt>
                      <c:pt idx="1781">
                        <c:v>19.75</c:v>
                      </c:pt>
                      <c:pt idx="1782">
                        <c:v>36.75</c:v>
                      </c:pt>
                      <c:pt idx="1783">
                        <c:v>36.875</c:v>
                      </c:pt>
                      <c:pt idx="1784">
                        <c:v>10.375</c:v>
                      </c:pt>
                      <c:pt idx="1785">
                        <c:v>19.125</c:v>
                      </c:pt>
                      <c:pt idx="1786">
                        <c:v>19.5</c:v>
                      </c:pt>
                      <c:pt idx="1787">
                        <c:v>19.875</c:v>
                      </c:pt>
                      <c:pt idx="1788">
                        <c:v>137.75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DE5-44DF-8554-C14C3D90397A}"/>
                  </c:ext>
                </c:extLst>
              </c15:ser>
            </c15:filteredBarSeries>
          </c:ext>
        </c:extLst>
      </c:barChart>
      <c:dateAx>
        <c:axId val="1602107551"/>
        <c:scaling>
          <c:orientation val="minMax"/>
          <c:min val="43466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2108031"/>
        <c:crosses val="autoZero"/>
        <c:auto val="1"/>
        <c:lblOffset val="100"/>
        <c:baseTimeUnit val="days"/>
      </c:dateAx>
      <c:valAx>
        <c:axId val="1602108031"/>
        <c:scaling>
          <c:orientation val="minMax"/>
          <c:max val="2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210755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152</xdr:col>
      <xdr:colOff>571500</xdr:colOff>
      <xdr:row>71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35620A-5F4C-EFD0-8922-1F910F6A5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1F2-31D4-464B-80A3-4EBF5BEE38AC}">
  <sheetPr filterMode="1"/>
  <dimension ref="A1:I3803"/>
  <sheetViews>
    <sheetView topLeftCell="A3706" workbookViewId="0">
      <selection activeCell="A2" sqref="A2:H3803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 x14ac:dyDescent="0.25">
      <c r="A2">
        <v>1</v>
      </c>
      <c r="B2" t="s">
        <v>8</v>
      </c>
      <c r="C2">
        <v>2019</v>
      </c>
      <c r="D2">
        <v>81</v>
      </c>
      <c r="E2">
        <v>20</v>
      </c>
      <c r="F2">
        <v>41.75</v>
      </c>
      <c r="G2">
        <v>59.25</v>
      </c>
      <c r="H2">
        <v>32000</v>
      </c>
      <c r="I2" t="s">
        <v>22</v>
      </c>
    </row>
    <row r="3" spans="1:9" x14ac:dyDescent="0.25">
      <c r="A3">
        <v>2</v>
      </c>
      <c r="B3" t="s">
        <v>8</v>
      </c>
      <c r="C3">
        <v>2019</v>
      </c>
      <c r="D3">
        <v>41.75</v>
      </c>
      <c r="E3">
        <v>101</v>
      </c>
      <c r="F3">
        <v>82</v>
      </c>
      <c r="G3">
        <v>60.75</v>
      </c>
      <c r="H3">
        <v>32000</v>
      </c>
      <c r="I3" t="s">
        <v>22</v>
      </c>
    </row>
    <row r="4" spans="1:9" x14ac:dyDescent="0.25">
      <c r="A4">
        <v>3</v>
      </c>
      <c r="B4" t="s">
        <v>8</v>
      </c>
      <c r="C4">
        <v>2019</v>
      </c>
      <c r="D4">
        <v>82</v>
      </c>
      <c r="E4" t="s">
        <v>9</v>
      </c>
      <c r="F4">
        <v>44</v>
      </c>
      <c r="G4">
        <v>38</v>
      </c>
      <c r="H4">
        <v>32000</v>
      </c>
      <c r="I4" t="s">
        <v>22</v>
      </c>
    </row>
    <row r="5" spans="1:9" x14ac:dyDescent="0.25">
      <c r="A5">
        <v>4</v>
      </c>
      <c r="B5" t="s">
        <v>8</v>
      </c>
      <c r="C5">
        <v>2019</v>
      </c>
      <c r="D5">
        <v>44</v>
      </c>
      <c r="E5">
        <v>100</v>
      </c>
      <c r="F5">
        <v>102.75</v>
      </c>
      <c r="G5">
        <v>41.25</v>
      </c>
      <c r="H5">
        <v>32000</v>
      </c>
      <c r="I5" t="s">
        <v>22</v>
      </c>
    </row>
    <row r="6" spans="1:9" x14ac:dyDescent="0.25">
      <c r="A6">
        <v>5</v>
      </c>
      <c r="B6" t="s">
        <v>8</v>
      </c>
      <c r="C6">
        <v>2019</v>
      </c>
      <c r="D6">
        <v>102.75</v>
      </c>
      <c r="E6">
        <v>-49</v>
      </c>
      <c r="F6">
        <v>21</v>
      </c>
      <c r="G6">
        <v>32.75</v>
      </c>
      <c r="H6">
        <v>32000</v>
      </c>
      <c r="I6" t="s">
        <v>22</v>
      </c>
    </row>
    <row r="7" spans="1:9" x14ac:dyDescent="0.25">
      <c r="A7">
        <v>6</v>
      </c>
      <c r="B7" t="s">
        <v>8</v>
      </c>
      <c r="C7">
        <v>2019</v>
      </c>
      <c r="D7">
        <v>21</v>
      </c>
      <c r="E7">
        <v>50</v>
      </c>
      <c r="F7">
        <v>47.25</v>
      </c>
      <c r="G7">
        <v>23.75</v>
      </c>
      <c r="H7">
        <v>32000</v>
      </c>
      <c r="I7" t="s">
        <v>22</v>
      </c>
    </row>
    <row r="8" spans="1:9" x14ac:dyDescent="0.25">
      <c r="A8">
        <v>7</v>
      </c>
      <c r="B8" t="s">
        <v>8</v>
      </c>
      <c r="C8">
        <v>2019</v>
      </c>
      <c r="D8">
        <v>47.25</v>
      </c>
      <c r="E8">
        <v>60</v>
      </c>
      <c r="F8">
        <v>54</v>
      </c>
      <c r="G8">
        <v>53.25</v>
      </c>
      <c r="H8">
        <v>32000</v>
      </c>
      <c r="I8" t="s">
        <v>22</v>
      </c>
    </row>
    <row r="9" spans="1:9" x14ac:dyDescent="0.25">
      <c r="A9">
        <v>8</v>
      </c>
      <c r="B9" t="s">
        <v>8</v>
      </c>
      <c r="C9">
        <v>2019</v>
      </c>
      <c r="D9">
        <v>54</v>
      </c>
      <c r="E9">
        <v>30</v>
      </c>
      <c r="F9">
        <v>30.25</v>
      </c>
      <c r="G9">
        <v>53.75</v>
      </c>
      <c r="H9">
        <v>32000</v>
      </c>
      <c r="I9" t="s">
        <v>22</v>
      </c>
    </row>
    <row r="10" spans="1:9" x14ac:dyDescent="0.25">
      <c r="A10">
        <v>9</v>
      </c>
      <c r="B10" t="s">
        <v>8</v>
      </c>
      <c r="C10">
        <v>2019</v>
      </c>
      <c r="D10">
        <v>30.25</v>
      </c>
      <c r="E10">
        <v>150</v>
      </c>
      <c r="F10">
        <v>128</v>
      </c>
      <c r="G10">
        <v>52.25</v>
      </c>
      <c r="H10">
        <v>32000</v>
      </c>
      <c r="I10" t="s">
        <v>22</v>
      </c>
    </row>
    <row r="11" spans="1:9" x14ac:dyDescent="0.25">
      <c r="A11">
        <v>10</v>
      </c>
      <c r="B11" t="s">
        <v>8</v>
      </c>
      <c r="C11">
        <v>2019</v>
      </c>
      <c r="D11">
        <v>128</v>
      </c>
      <c r="E11" t="s">
        <v>9</v>
      </c>
      <c r="F11">
        <v>81.5</v>
      </c>
      <c r="G11">
        <v>46.5</v>
      </c>
      <c r="H11">
        <v>32000</v>
      </c>
      <c r="I11" t="s">
        <v>22</v>
      </c>
    </row>
    <row r="12" spans="1:9" x14ac:dyDescent="0.25">
      <c r="A12">
        <v>11</v>
      </c>
      <c r="B12" t="s">
        <v>8</v>
      </c>
      <c r="C12">
        <v>2019</v>
      </c>
      <c r="D12">
        <v>81.5</v>
      </c>
      <c r="E12" t="s">
        <v>9</v>
      </c>
      <c r="F12">
        <v>31</v>
      </c>
      <c r="G12">
        <v>50.5</v>
      </c>
      <c r="H12">
        <v>32000</v>
      </c>
      <c r="I12" t="s">
        <v>22</v>
      </c>
    </row>
    <row r="13" spans="1:9" x14ac:dyDescent="0.25">
      <c r="A13">
        <v>12</v>
      </c>
      <c r="B13" t="s">
        <v>8</v>
      </c>
      <c r="C13">
        <v>2019</v>
      </c>
      <c r="D13">
        <v>31</v>
      </c>
      <c r="E13">
        <v>60</v>
      </c>
      <c r="F13">
        <v>18</v>
      </c>
      <c r="G13">
        <v>73</v>
      </c>
      <c r="H13">
        <v>32000</v>
      </c>
      <c r="I13" t="s">
        <v>22</v>
      </c>
    </row>
    <row r="14" spans="1:9" x14ac:dyDescent="0.25">
      <c r="A14">
        <v>13</v>
      </c>
      <c r="B14" t="s">
        <v>8</v>
      </c>
      <c r="C14">
        <v>2019</v>
      </c>
      <c r="D14">
        <v>18</v>
      </c>
      <c r="E14">
        <v>70</v>
      </c>
      <c r="F14">
        <v>39.25</v>
      </c>
      <c r="G14">
        <v>48.75</v>
      </c>
      <c r="H14">
        <v>32000</v>
      </c>
      <c r="I14" t="s">
        <v>22</v>
      </c>
    </row>
    <row r="15" spans="1:9" x14ac:dyDescent="0.25">
      <c r="A15">
        <v>14</v>
      </c>
      <c r="B15" t="s">
        <v>8</v>
      </c>
      <c r="C15">
        <v>2019</v>
      </c>
      <c r="D15">
        <v>39.25</v>
      </c>
      <c r="E15">
        <v>30</v>
      </c>
      <c r="F15">
        <v>51</v>
      </c>
      <c r="G15">
        <v>18.25</v>
      </c>
      <c r="H15">
        <v>32000</v>
      </c>
      <c r="I15" t="s">
        <v>22</v>
      </c>
    </row>
    <row r="16" spans="1:9" x14ac:dyDescent="0.25">
      <c r="A16">
        <v>15</v>
      </c>
      <c r="B16" t="s">
        <v>8</v>
      </c>
      <c r="C16">
        <v>2019</v>
      </c>
      <c r="D16">
        <v>51</v>
      </c>
      <c r="E16">
        <v>30</v>
      </c>
      <c r="F16">
        <v>35.5</v>
      </c>
      <c r="G16">
        <v>45.5</v>
      </c>
      <c r="H16">
        <v>32000</v>
      </c>
      <c r="I16" t="s">
        <v>22</v>
      </c>
    </row>
    <row r="17" spans="1:9" x14ac:dyDescent="0.25">
      <c r="A17">
        <v>16</v>
      </c>
      <c r="B17" t="s">
        <v>8</v>
      </c>
      <c r="C17">
        <v>2019</v>
      </c>
      <c r="D17">
        <v>35.5</v>
      </c>
      <c r="E17">
        <v>80</v>
      </c>
      <c r="F17">
        <v>65.75</v>
      </c>
      <c r="G17">
        <v>49.75</v>
      </c>
      <c r="H17">
        <v>32000</v>
      </c>
      <c r="I17" t="s">
        <v>22</v>
      </c>
    </row>
    <row r="18" spans="1:9" x14ac:dyDescent="0.25">
      <c r="A18">
        <v>17</v>
      </c>
      <c r="B18" t="s">
        <v>8</v>
      </c>
      <c r="C18">
        <v>2019</v>
      </c>
      <c r="D18">
        <v>65.75</v>
      </c>
      <c r="E18">
        <v>80</v>
      </c>
      <c r="F18">
        <v>119</v>
      </c>
      <c r="G18">
        <v>26.75</v>
      </c>
      <c r="H18">
        <v>32000</v>
      </c>
      <c r="I18" t="s">
        <v>22</v>
      </c>
    </row>
    <row r="19" spans="1:9" x14ac:dyDescent="0.25">
      <c r="A19">
        <v>18</v>
      </c>
      <c r="B19" t="s">
        <v>8</v>
      </c>
      <c r="C19">
        <v>2019</v>
      </c>
      <c r="D19">
        <v>119</v>
      </c>
      <c r="E19">
        <v>-50</v>
      </c>
      <c r="F19">
        <v>36.25</v>
      </c>
      <c r="G19">
        <v>32.75</v>
      </c>
      <c r="H19">
        <v>32000</v>
      </c>
      <c r="I19" t="s">
        <v>22</v>
      </c>
    </row>
    <row r="20" spans="1:9" x14ac:dyDescent="0.25">
      <c r="A20">
        <v>19</v>
      </c>
      <c r="B20" t="s">
        <v>8</v>
      </c>
      <c r="C20">
        <v>2019</v>
      </c>
      <c r="D20">
        <v>36.25</v>
      </c>
      <c r="E20">
        <v>100</v>
      </c>
      <c r="F20">
        <v>84</v>
      </c>
      <c r="G20">
        <v>52.25</v>
      </c>
      <c r="H20">
        <v>32000</v>
      </c>
      <c r="I20" t="s">
        <v>22</v>
      </c>
    </row>
    <row r="21" spans="1:9" x14ac:dyDescent="0.25">
      <c r="A21">
        <v>20</v>
      </c>
      <c r="B21" t="s">
        <v>8</v>
      </c>
      <c r="C21">
        <v>2019</v>
      </c>
      <c r="D21">
        <v>84</v>
      </c>
      <c r="E21" t="s">
        <v>9</v>
      </c>
      <c r="F21">
        <v>23</v>
      </c>
      <c r="G21">
        <v>61</v>
      </c>
      <c r="H21">
        <v>32000</v>
      </c>
      <c r="I21" t="s">
        <v>22</v>
      </c>
    </row>
    <row r="22" spans="1:9" x14ac:dyDescent="0.25">
      <c r="A22">
        <v>21</v>
      </c>
      <c r="B22" t="s">
        <v>8</v>
      </c>
      <c r="C22">
        <v>2019</v>
      </c>
      <c r="D22">
        <v>23</v>
      </c>
      <c r="E22">
        <v>120</v>
      </c>
      <c r="F22">
        <v>124</v>
      </c>
      <c r="G22">
        <v>19</v>
      </c>
      <c r="H22">
        <v>32000</v>
      </c>
      <c r="I22" t="s">
        <v>22</v>
      </c>
    </row>
    <row r="23" spans="1:9" x14ac:dyDescent="0.25">
      <c r="A23">
        <v>22</v>
      </c>
      <c r="B23" t="s">
        <v>8</v>
      </c>
      <c r="C23">
        <v>2019</v>
      </c>
      <c r="D23">
        <v>124</v>
      </c>
      <c r="E23" t="s">
        <v>9</v>
      </c>
      <c r="F23">
        <v>94.875</v>
      </c>
      <c r="G23">
        <v>29.125</v>
      </c>
      <c r="H23">
        <v>32000</v>
      </c>
      <c r="I23" t="s">
        <v>22</v>
      </c>
    </row>
    <row r="24" spans="1:9" x14ac:dyDescent="0.25">
      <c r="A24">
        <v>23</v>
      </c>
      <c r="B24" t="s">
        <v>8</v>
      </c>
      <c r="C24">
        <v>2019</v>
      </c>
      <c r="D24">
        <v>94.875</v>
      </c>
      <c r="E24" t="s">
        <v>9</v>
      </c>
      <c r="F24">
        <v>70</v>
      </c>
      <c r="G24">
        <v>24.875</v>
      </c>
      <c r="H24">
        <v>32000</v>
      </c>
      <c r="I24" t="s">
        <v>22</v>
      </c>
    </row>
    <row r="25" spans="1:9" x14ac:dyDescent="0.25">
      <c r="A25">
        <v>24</v>
      </c>
      <c r="B25" t="s">
        <v>8</v>
      </c>
      <c r="C25">
        <v>2019</v>
      </c>
      <c r="D25">
        <v>70</v>
      </c>
      <c r="E25">
        <v>120</v>
      </c>
      <c r="F25">
        <v>175</v>
      </c>
      <c r="G25">
        <v>15</v>
      </c>
      <c r="H25">
        <v>32000</v>
      </c>
      <c r="I25" t="s">
        <v>22</v>
      </c>
    </row>
    <row r="26" spans="1:9" x14ac:dyDescent="0.25">
      <c r="A26">
        <v>25</v>
      </c>
      <c r="B26" t="s">
        <v>8</v>
      </c>
      <c r="C26">
        <v>2019</v>
      </c>
      <c r="D26">
        <v>175</v>
      </c>
      <c r="E26" t="s">
        <v>9</v>
      </c>
      <c r="F26">
        <v>158</v>
      </c>
      <c r="G26">
        <v>17</v>
      </c>
      <c r="H26">
        <v>32000</v>
      </c>
      <c r="I26" t="s">
        <v>22</v>
      </c>
    </row>
    <row r="27" spans="1:9" x14ac:dyDescent="0.25">
      <c r="A27">
        <v>26</v>
      </c>
      <c r="B27" t="s">
        <v>10</v>
      </c>
      <c r="C27">
        <v>2019</v>
      </c>
      <c r="D27">
        <v>158</v>
      </c>
      <c r="E27" t="s">
        <v>9</v>
      </c>
      <c r="F27">
        <v>105</v>
      </c>
      <c r="G27">
        <v>53</v>
      </c>
      <c r="H27">
        <v>32000</v>
      </c>
      <c r="I27" t="s">
        <v>22</v>
      </c>
    </row>
    <row r="28" spans="1:9" x14ac:dyDescent="0.25">
      <c r="A28">
        <v>27</v>
      </c>
      <c r="B28" t="s">
        <v>8</v>
      </c>
      <c r="C28">
        <v>2019</v>
      </c>
      <c r="D28">
        <v>105</v>
      </c>
      <c r="E28" t="s">
        <v>9</v>
      </c>
      <c r="F28">
        <v>67.625</v>
      </c>
      <c r="G28">
        <v>37.375</v>
      </c>
      <c r="H28">
        <v>32000</v>
      </c>
      <c r="I28" t="s">
        <v>22</v>
      </c>
    </row>
    <row r="29" spans="1:9" x14ac:dyDescent="0.25">
      <c r="A29">
        <v>28</v>
      </c>
      <c r="B29" t="s">
        <v>8</v>
      </c>
      <c r="C29">
        <v>2019</v>
      </c>
      <c r="D29">
        <v>67.625</v>
      </c>
      <c r="E29">
        <v>50</v>
      </c>
      <c r="F29">
        <v>103</v>
      </c>
      <c r="G29">
        <v>14.625</v>
      </c>
      <c r="H29">
        <v>32000</v>
      </c>
      <c r="I29" t="s">
        <v>22</v>
      </c>
    </row>
    <row r="30" spans="1:9" x14ac:dyDescent="0.25">
      <c r="A30">
        <v>29</v>
      </c>
      <c r="B30" t="s">
        <v>8</v>
      </c>
      <c r="C30">
        <v>2019</v>
      </c>
      <c r="D30">
        <v>103</v>
      </c>
      <c r="E30" t="s">
        <v>9</v>
      </c>
      <c r="F30">
        <v>75.75</v>
      </c>
      <c r="G30">
        <v>27.25</v>
      </c>
      <c r="H30">
        <v>32000</v>
      </c>
      <c r="I30" t="s">
        <v>22</v>
      </c>
    </row>
    <row r="31" spans="1:9" x14ac:dyDescent="0.25">
      <c r="A31">
        <v>30</v>
      </c>
      <c r="B31" t="s">
        <v>8</v>
      </c>
      <c r="C31">
        <v>2019</v>
      </c>
      <c r="D31">
        <v>75.75</v>
      </c>
      <c r="E31" t="s">
        <v>9</v>
      </c>
      <c r="F31">
        <v>56</v>
      </c>
      <c r="G31">
        <v>19.75</v>
      </c>
      <c r="H31">
        <v>32000</v>
      </c>
      <c r="I31" t="s">
        <v>22</v>
      </c>
    </row>
    <row r="32" spans="1:9" x14ac:dyDescent="0.25">
      <c r="A32">
        <v>31</v>
      </c>
      <c r="B32" t="s">
        <v>8</v>
      </c>
      <c r="C32">
        <v>2019</v>
      </c>
      <c r="D32">
        <v>56</v>
      </c>
      <c r="E32">
        <v>140</v>
      </c>
      <c r="F32">
        <v>172.5</v>
      </c>
      <c r="G32">
        <v>23.5</v>
      </c>
      <c r="H32">
        <v>32000</v>
      </c>
      <c r="I32" t="s">
        <v>22</v>
      </c>
    </row>
    <row r="33" spans="1:9" hidden="1" x14ac:dyDescent="0.25">
      <c r="A33">
        <v>1</v>
      </c>
      <c r="B33" t="s">
        <v>8</v>
      </c>
      <c r="C33">
        <v>2019</v>
      </c>
      <c r="D33">
        <v>111</v>
      </c>
      <c r="E33">
        <v>120</v>
      </c>
      <c r="F33">
        <v>127.5</v>
      </c>
      <c r="G33">
        <v>103.5</v>
      </c>
      <c r="H33">
        <v>32000</v>
      </c>
      <c r="I33" t="s">
        <v>23</v>
      </c>
    </row>
    <row r="34" spans="1:9" hidden="1" x14ac:dyDescent="0.25">
      <c r="A34">
        <v>2</v>
      </c>
      <c r="B34" t="s">
        <v>8</v>
      </c>
      <c r="C34">
        <v>2018</v>
      </c>
      <c r="D34">
        <v>127.5</v>
      </c>
      <c r="E34">
        <v>41</v>
      </c>
      <c r="F34">
        <v>89</v>
      </c>
      <c r="G34">
        <v>79.5</v>
      </c>
      <c r="H34">
        <v>32000</v>
      </c>
      <c r="I34" t="s">
        <v>23</v>
      </c>
    </row>
    <row r="35" spans="1:9" hidden="1" x14ac:dyDescent="0.25">
      <c r="A35">
        <v>3</v>
      </c>
      <c r="B35" t="s">
        <v>8</v>
      </c>
      <c r="C35">
        <v>2018</v>
      </c>
      <c r="D35">
        <v>89</v>
      </c>
      <c r="E35" t="s">
        <v>9</v>
      </c>
      <c r="F35">
        <v>0</v>
      </c>
      <c r="G35">
        <v>89</v>
      </c>
      <c r="H35">
        <v>32000</v>
      </c>
      <c r="I35" t="s">
        <v>23</v>
      </c>
    </row>
    <row r="36" spans="1:9" hidden="1" x14ac:dyDescent="0.25">
      <c r="A36">
        <v>4</v>
      </c>
      <c r="B36" t="s">
        <v>8</v>
      </c>
      <c r="C36">
        <v>2018</v>
      </c>
      <c r="D36">
        <v>0</v>
      </c>
      <c r="E36">
        <v>70</v>
      </c>
      <c r="F36">
        <v>2.5</v>
      </c>
      <c r="G36">
        <v>67.5</v>
      </c>
      <c r="H36">
        <v>32000</v>
      </c>
      <c r="I36" t="s">
        <v>23</v>
      </c>
    </row>
    <row r="37" spans="1:9" hidden="1" x14ac:dyDescent="0.25">
      <c r="A37">
        <v>5</v>
      </c>
      <c r="B37" t="s">
        <v>8</v>
      </c>
      <c r="C37">
        <v>2018</v>
      </c>
      <c r="D37">
        <v>2.5</v>
      </c>
      <c r="E37">
        <v>100</v>
      </c>
      <c r="F37">
        <v>14</v>
      </c>
      <c r="G37">
        <v>88.5</v>
      </c>
      <c r="H37">
        <v>32000</v>
      </c>
      <c r="I37" t="s">
        <v>23</v>
      </c>
    </row>
    <row r="38" spans="1:9" hidden="1" x14ac:dyDescent="0.25">
      <c r="A38">
        <v>6</v>
      </c>
      <c r="B38" t="s">
        <v>8</v>
      </c>
      <c r="C38">
        <v>2018</v>
      </c>
      <c r="D38">
        <v>14</v>
      </c>
      <c r="E38">
        <v>95</v>
      </c>
      <c r="F38">
        <v>37</v>
      </c>
      <c r="G38">
        <v>72</v>
      </c>
      <c r="H38">
        <v>32000</v>
      </c>
      <c r="I38" t="s">
        <v>23</v>
      </c>
    </row>
    <row r="39" spans="1:9" hidden="1" x14ac:dyDescent="0.25">
      <c r="A39">
        <v>7</v>
      </c>
      <c r="B39" t="s">
        <v>8</v>
      </c>
      <c r="C39">
        <v>2018</v>
      </c>
      <c r="D39">
        <v>37</v>
      </c>
      <c r="E39">
        <v>80</v>
      </c>
      <c r="F39">
        <v>30</v>
      </c>
      <c r="G39">
        <v>87</v>
      </c>
      <c r="H39">
        <v>32000</v>
      </c>
      <c r="I39" t="s">
        <v>23</v>
      </c>
    </row>
    <row r="40" spans="1:9" hidden="1" x14ac:dyDescent="0.25">
      <c r="A40">
        <v>8</v>
      </c>
      <c r="B40" t="s">
        <v>8</v>
      </c>
      <c r="C40">
        <v>2018</v>
      </c>
      <c r="D40">
        <v>30</v>
      </c>
      <c r="E40">
        <v>154</v>
      </c>
      <c r="F40">
        <v>124</v>
      </c>
      <c r="G40">
        <v>60</v>
      </c>
      <c r="H40">
        <v>32000</v>
      </c>
      <c r="I40" t="s">
        <v>23</v>
      </c>
    </row>
    <row r="41" spans="1:9" hidden="1" x14ac:dyDescent="0.25">
      <c r="A41">
        <v>9</v>
      </c>
      <c r="B41" t="s">
        <v>8</v>
      </c>
      <c r="C41">
        <v>2018</v>
      </c>
      <c r="D41">
        <v>124</v>
      </c>
      <c r="E41">
        <v>-46</v>
      </c>
      <c r="F41">
        <v>16</v>
      </c>
      <c r="G41">
        <v>62</v>
      </c>
      <c r="H41">
        <v>32000</v>
      </c>
      <c r="I41" t="s">
        <v>23</v>
      </c>
    </row>
    <row r="42" spans="1:9" hidden="1" x14ac:dyDescent="0.25">
      <c r="A42">
        <v>10</v>
      </c>
      <c r="B42" t="s">
        <v>8</v>
      </c>
      <c r="C42">
        <v>2018</v>
      </c>
      <c r="D42">
        <v>16</v>
      </c>
      <c r="E42">
        <v>106</v>
      </c>
      <c r="F42">
        <v>62</v>
      </c>
      <c r="G42">
        <v>60</v>
      </c>
      <c r="H42">
        <v>32000</v>
      </c>
      <c r="I42" t="s">
        <v>23</v>
      </c>
    </row>
    <row r="43" spans="1:9" hidden="1" x14ac:dyDescent="0.25">
      <c r="A43">
        <v>11</v>
      </c>
      <c r="B43" t="s">
        <v>8</v>
      </c>
      <c r="C43">
        <v>2018</v>
      </c>
      <c r="D43">
        <v>62</v>
      </c>
      <c r="E43">
        <v>71</v>
      </c>
      <c r="F43">
        <v>60.5</v>
      </c>
      <c r="G43">
        <v>72.5</v>
      </c>
      <c r="H43">
        <v>32000</v>
      </c>
      <c r="I43" t="s">
        <v>23</v>
      </c>
    </row>
    <row r="44" spans="1:9" hidden="1" x14ac:dyDescent="0.25">
      <c r="A44">
        <v>12</v>
      </c>
      <c r="B44" t="s">
        <v>8</v>
      </c>
      <c r="C44">
        <v>2018</v>
      </c>
      <c r="D44">
        <v>60.5</v>
      </c>
      <c r="E44">
        <v>81</v>
      </c>
      <c r="F44">
        <v>69</v>
      </c>
      <c r="G44">
        <v>72.5</v>
      </c>
      <c r="H44">
        <v>32000</v>
      </c>
      <c r="I44" t="s">
        <v>23</v>
      </c>
    </row>
    <row r="45" spans="1:9" hidden="1" x14ac:dyDescent="0.25">
      <c r="A45">
        <v>13</v>
      </c>
      <c r="B45" t="s">
        <v>8</v>
      </c>
      <c r="C45">
        <v>2018</v>
      </c>
      <c r="D45">
        <v>69</v>
      </c>
      <c r="E45">
        <v>72</v>
      </c>
      <c r="F45">
        <v>57.5</v>
      </c>
      <c r="G45">
        <v>83.5</v>
      </c>
      <c r="H45">
        <v>32000</v>
      </c>
      <c r="I45" t="s">
        <v>23</v>
      </c>
    </row>
    <row r="46" spans="1:9" hidden="1" x14ac:dyDescent="0.25">
      <c r="A46">
        <v>14</v>
      </c>
      <c r="B46" t="s">
        <v>8</v>
      </c>
      <c r="C46">
        <v>2018</v>
      </c>
      <c r="D46">
        <v>57.5</v>
      </c>
      <c r="E46">
        <v>112</v>
      </c>
      <c r="F46">
        <v>111.5</v>
      </c>
      <c r="G46">
        <v>58</v>
      </c>
      <c r="H46">
        <v>32000</v>
      </c>
      <c r="I46" t="s">
        <v>23</v>
      </c>
    </row>
    <row r="47" spans="1:9" hidden="1" x14ac:dyDescent="0.25">
      <c r="A47">
        <v>15</v>
      </c>
      <c r="B47" t="s">
        <v>8</v>
      </c>
      <c r="C47">
        <v>2018</v>
      </c>
      <c r="D47">
        <v>111.5</v>
      </c>
      <c r="E47">
        <v>-30</v>
      </c>
      <c r="F47">
        <v>22.5</v>
      </c>
      <c r="G47">
        <v>59</v>
      </c>
      <c r="H47">
        <v>32000</v>
      </c>
      <c r="I47" t="s">
        <v>23</v>
      </c>
    </row>
    <row r="48" spans="1:9" hidden="1" x14ac:dyDescent="0.25">
      <c r="A48">
        <v>16</v>
      </c>
      <c r="B48" t="s">
        <v>8</v>
      </c>
      <c r="C48">
        <v>2018</v>
      </c>
      <c r="D48">
        <v>22.5</v>
      </c>
      <c r="E48">
        <v>62</v>
      </c>
      <c r="F48">
        <v>22.5</v>
      </c>
      <c r="G48">
        <v>62</v>
      </c>
      <c r="H48">
        <v>32000</v>
      </c>
      <c r="I48" t="s">
        <v>23</v>
      </c>
    </row>
    <row r="49" spans="1:9" hidden="1" x14ac:dyDescent="0.25">
      <c r="A49">
        <v>17</v>
      </c>
      <c r="B49" t="s">
        <v>8</v>
      </c>
      <c r="C49">
        <v>2018</v>
      </c>
      <c r="D49">
        <v>22.5</v>
      </c>
      <c r="E49">
        <v>64</v>
      </c>
      <c r="F49">
        <v>42</v>
      </c>
      <c r="G49">
        <v>44.5</v>
      </c>
      <c r="H49">
        <v>32000</v>
      </c>
      <c r="I49" t="s">
        <v>23</v>
      </c>
    </row>
    <row r="50" spans="1:9" hidden="1" x14ac:dyDescent="0.25">
      <c r="A50">
        <v>18</v>
      </c>
      <c r="B50" t="s">
        <v>8</v>
      </c>
      <c r="C50">
        <v>2018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23</v>
      </c>
    </row>
    <row r="51" spans="1:9" hidden="1" x14ac:dyDescent="0.25">
      <c r="A51">
        <v>19</v>
      </c>
      <c r="B51" t="s">
        <v>8</v>
      </c>
      <c r="C51">
        <v>2018</v>
      </c>
      <c r="D51">
        <v>24</v>
      </c>
      <c r="E51">
        <v>116</v>
      </c>
      <c r="F51">
        <v>39.75</v>
      </c>
      <c r="G51">
        <v>100.25</v>
      </c>
      <c r="H51">
        <v>32000</v>
      </c>
      <c r="I51" t="s">
        <v>23</v>
      </c>
    </row>
    <row r="52" spans="1:9" hidden="1" x14ac:dyDescent="0.25">
      <c r="A52">
        <v>20</v>
      </c>
      <c r="B52" t="s">
        <v>8</v>
      </c>
      <c r="C52">
        <v>2018</v>
      </c>
      <c r="D52">
        <v>39.75</v>
      </c>
      <c r="E52">
        <v>175</v>
      </c>
      <c r="F52">
        <v>130.5</v>
      </c>
      <c r="G52">
        <v>84.25</v>
      </c>
      <c r="H52">
        <v>32000</v>
      </c>
      <c r="I52" t="s">
        <v>23</v>
      </c>
    </row>
    <row r="53" spans="1:9" hidden="1" x14ac:dyDescent="0.25">
      <c r="A53">
        <v>21</v>
      </c>
      <c r="B53" t="s">
        <v>8</v>
      </c>
      <c r="C53">
        <v>2018</v>
      </c>
      <c r="D53">
        <v>130.5</v>
      </c>
      <c r="E53">
        <v>-15</v>
      </c>
      <c r="F53">
        <v>58.5</v>
      </c>
      <c r="G53">
        <v>57</v>
      </c>
      <c r="H53">
        <v>32000</v>
      </c>
      <c r="I53" t="s">
        <v>23</v>
      </c>
    </row>
    <row r="54" spans="1:9" hidden="1" x14ac:dyDescent="0.25">
      <c r="A54">
        <v>22</v>
      </c>
      <c r="B54" t="s">
        <v>8</v>
      </c>
      <c r="C54">
        <v>2018</v>
      </c>
      <c r="D54">
        <v>58.5</v>
      </c>
      <c r="E54">
        <v>175</v>
      </c>
      <c r="F54">
        <v>188</v>
      </c>
      <c r="G54">
        <v>45.5</v>
      </c>
      <c r="H54">
        <v>32000</v>
      </c>
      <c r="I54" t="s">
        <v>23</v>
      </c>
    </row>
    <row r="55" spans="1:9" hidden="1" x14ac:dyDescent="0.25">
      <c r="A55">
        <v>23</v>
      </c>
      <c r="B55" t="s">
        <v>8</v>
      </c>
      <c r="C55">
        <v>2018</v>
      </c>
      <c r="D55">
        <v>188</v>
      </c>
      <c r="E55" t="s">
        <v>9</v>
      </c>
      <c r="F55">
        <v>138</v>
      </c>
      <c r="G55">
        <v>50</v>
      </c>
      <c r="H55">
        <v>32000</v>
      </c>
      <c r="I55" t="s">
        <v>23</v>
      </c>
    </row>
    <row r="56" spans="1:9" hidden="1" x14ac:dyDescent="0.25">
      <c r="A56">
        <v>24</v>
      </c>
      <c r="B56" t="s">
        <v>8</v>
      </c>
      <c r="C56">
        <v>2018</v>
      </c>
      <c r="D56">
        <v>138</v>
      </c>
      <c r="E56">
        <v>57</v>
      </c>
      <c r="F56">
        <v>152.5</v>
      </c>
      <c r="G56">
        <v>42.5</v>
      </c>
      <c r="H56">
        <v>32000</v>
      </c>
      <c r="I56" t="s">
        <v>23</v>
      </c>
    </row>
    <row r="57" spans="1:9" hidden="1" x14ac:dyDescent="0.25">
      <c r="A57">
        <v>25</v>
      </c>
      <c r="B57" t="s">
        <v>8</v>
      </c>
      <c r="C57">
        <v>2018</v>
      </c>
      <c r="D57">
        <v>152.5</v>
      </c>
      <c r="E57" t="s">
        <v>9</v>
      </c>
      <c r="F57">
        <v>89.75</v>
      </c>
      <c r="G57">
        <v>62.75</v>
      </c>
      <c r="H57">
        <v>32000</v>
      </c>
      <c r="I57" t="s">
        <v>23</v>
      </c>
    </row>
    <row r="58" spans="1:9" hidden="1" x14ac:dyDescent="0.25">
      <c r="A58">
        <v>26</v>
      </c>
      <c r="B58" t="s">
        <v>10</v>
      </c>
      <c r="C58">
        <v>2018</v>
      </c>
      <c r="D58">
        <v>89.75</v>
      </c>
      <c r="E58">
        <v>105</v>
      </c>
      <c r="F58">
        <v>122</v>
      </c>
      <c r="G58">
        <v>72.75</v>
      </c>
      <c r="H58">
        <v>32000</v>
      </c>
      <c r="I58" t="s">
        <v>23</v>
      </c>
    </row>
    <row r="59" spans="1:9" hidden="1" x14ac:dyDescent="0.25">
      <c r="A59">
        <v>27</v>
      </c>
      <c r="B59" t="s">
        <v>8</v>
      </c>
      <c r="C59">
        <v>2018</v>
      </c>
      <c r="D59">
        <v>122</v>
      </c>
      <c r="E59">
        <v>108</v>
      </c>
      <c r="F59">
        <v>160</v>
      </c>
      <c r="G59">
        <v>70</v>
      </c>
      <c r="H59">
        <v>32000</v>
      </c>
      <c r="I59" t="s">
        <v>23</v>
      </c>
    </row>
    <row r="60" spans="1:9" hidden="1" x14ac:dyDescent="0.25">
      <c r="A60">
        <v>28</v>
      </c>
      <c r="B60" t="s">
        <v>8</v>
      </c>
      <c r="C60">
        <v>2018</v>
      </c>
      <c r="D60">
        <v>160</v>
      </c>
      <c r="E60">
        <v>55</v>
      </c>
      <c r="F60">
        <v>181</v>
      </c>
      <c r="G60">
        <v>34</v>
      </c>
      <c r="H60">
        <v>32000</v>
      </c>
      <c r="I60" t="s">
        <v>23</v>
      </c>
    </row>
    <row r="61" spans="1:9" hidden="1" x14ac:dyDescent="0.25">
      <c r="A61">
        <v>29</v>
      </c>
      <c r="B61" t="s">
        <v>8</v>
      </c>
      <c r="C61">
        <v>2018</v>
      </c>
      <c r="D61">
        <v>181</v>
      </c>
      <c r="E61">
        <v>106</v>
      </c>
      <c r="F61">
        <v>244</v>
      </c>
      <c r="G61">
        <v>43</v>
      </c>
      <c r="H61">
        <v>32000</v>
      </c>
      <c r="I61" t="s">
        <v>23</v>
      </c>
    </row>
    <row r="62" spans="1:9" hidden="1" x14ac:dyDescent="0.25">
      <c r="A62">
        <v>30</v>
      </c>
      <c r="B62" t="s">
        <v>8</v>
      </c>
      <c r="C62">
        <v>2018</v>
      </c>
      <c r="D62">
        <v>244</v>
      </c>
      <c r="E62">
        <v>35</v>
      </c>
      <c r="F62">
        <v>231.375</v>
      </c>
      <c r="G62">
        <v>47.625</v>
      </c>
      <c r="H62">
        <v>32000</v>
      </c>
      <c r="I62" t="s">
        <v>23</v>
      </c>
    </row>
    <row r="63" spans="1:9" hidden="1" x14ac:dyDescent="0.25">
      <c r="A63">
        <v>31</v>
      </c>
      <c r="B63" t="s">
        <v>8</v>
      </c>
      <c r="C63">
        <v>2018</v>
      </c>
      <c r="D63">
        <v>231.375</v>
      </c>
      <c r="E63">
        <v>-103</v>
      </c>
      <c r="F63">
        <v>59.5</v>
      </c>
      <c r="G63">
        <v>68.875</v>
      </c>
      <c r="H63">
        <v>32000</v>
      </c>
      <c r="I63" t="s">
        <v>23</v>
      </c>
    </row>
    <row r="64" spans="1:9" x14ac:dyDescent="0.25">
      <c r="A64">
        <v>1</v>
      </c>
      <c r="B64" t="s">
        <v>11</v>
      </c>
      <c r="C64">
        <v>2019</v>
      </c>
      <c r="D64">
        <v>172.5</v>
      </c>
      <c r="E64" t="s">
        <v>9</v>
      </c>
      <c r="F64">
        <v>138</v>
      </c>
      <c r="G64">
        <v>34.5</v>
      </c>
      <c r="H64">
        <v>32000</v>
      </c>
      <c r="I64" t="s">
        <v>22</v>
      </c>
    </row>
    <row r="65" spans="1:9" x14ac:dyDescent="0.25">
      <c r="A65">
        <v>2</v>
      </c>
      <c r="B65" t="s">
        <v>11</v>
      </c>
      <c r="C65">
        <v>2018</v>
      </c>
      <c r="D65">
        <v>138</v>
      </c>
      <c r="E65" t="s">
        <v>9</v>
      </c>
      <c r="F65">
        <v>92.5</v>
      </c>
      <c r="G65">
        <v>45.5</v>
      </c>
      <c r="H65">
        <v>32000</v>
      </c>
      <c r="I65" t="s">
        <v>22</v>
      </c>
    </row>
    <row r="66" spans="1:9" x14ac:dyDescent="0.25">
      <c r="A66">
        <v>3</v>
      </c>
      <c r="B66" t="s">
        <v>11</v>
      </c>
      <c r="C66">
        <v>2018</v>
      </c>
      <c r="D66">
        <v>92.5</v>
      </c>
      <c r="E66" t="s">
        <v>9</v>
      </c>
      <c r="F66">
        <v>48.75</v>
      </c>
      <c r="G66">
        <v>43.75</v>
      </c>
      <c r="H66">
        <v>32000</v>
      </c>
      <c r="I66" t="s">
        <v>22</v>
      </c>
    </row>
    <row r="67" spans="1:9" x14ac:dyDescent="0.25">
      <c r="A67">
        <v>4</v>
      </c>
      <c r="B67" t="s">
        <v>11</v>
      </c>
      <c r="C67">
        <v>2018</v>
      </c>
      <c r="D67">
        <v>48.75</v>
      </c>
      <c r="E67">
        <v>50</v>
      </c>
      <c r="F67">
        <v>85.75</v>
      </c>
      <c r="G67">
        <v>13</v>
      </c>
      <c r="H67">
        <v>32000</v>
      </c>
      <c r="I67" t="s">
        <v>22</v>
      </c>
    </row>
    <row r="68" spans="1:9" x14ac:dyDescent="0.25">
      <c r="A68">
        <v>5</v>
      </c>
      <c r="B68" t="s">
        <v>11</v>
      </c>
      <c r="C68">
        <v>2018</v>
      </c>
      <c r="D68">
        <v>85.75</v>
      </c>
      <c r="E68" t="s">
        <v>9</v>
      </c>
      <c r="F68">
        <v>68</v>
      </c>
      <c r="G68">
        <v>17.75</v>
      </c>
      <c r="H68">
        <v>32000</v>
      </c>
      <c r="I68" t="s">
        <v>22</v>
      </c>
    </row>
    <row r="69" spans="1:9" x14ac:dyDescent="0.25">
      <c r="A69">
        <v>6</v>
      </c>
      <c r="B69" t="s">
        <v>11</v>
      </c>
      <c r="C69">
        <v>2018</v>
      </c>
      <c r="D69">
        <v>68</v>
      </c>
      <c r="E69" t="s">
        <v>9</v>
      </c>
      <c r="F69">
        <v>46</v>
      </c>
      <c r="G69">
        <v>22</v>
      </c>
      <c r="H69">
        <v>32000</v>
      </c>
      <c r="I69" t="s">
        <v>22</v>
      </c>
    </row>
    <row r="70" spans="1:9" x14ac:dyDescent="0.25">
      <c r="A70">
        <v>7</v>
      </c>
      <c r="B70" t="s">
        <v>11</v>
      </c>
      <c r="C70">
        <v>2018</v>
      </c>
      <c r="D70">
        <v>46</v>
      </c>
      <c r="E70" t="s">
        <v>9</v>
      </c>
      <c r="F70">
        <v>31.5</v>
      </c>
      <c r="G70">
        <v>14.5</v>
      </c>
      <c r="H70">
        <v>32000</v>
      </c>
      <c r="I70" t="s">
        <v>22</v>
      </c>
    </row>
    <row r="71" spans="1:9" x14ac:dyDescent="0.25">
      <c r="A71">
        <v>8</v>
      </c>
      <c r="B71" t="s">
        <v>11</v>
      </c>
      <c r="C71">
        <v>2018</v>
      </c>
      <c r="D71">
        <v>31.5</v>
      </c>
      <c r="E71">
        <v>120</v>
      </c>
      <c r="F71">
        <v>122.5</v>
      </c>
      <c r="G71">
        <v>29</v>
      </c>
      <c r="H71">
        <v>32000</v>
      </c>
      <c r="I71" t="s">
        <v>22</v>
      </c>
    </row>
    <row r="72" spans="1:9" x14ac:dyDescent="0.25">
      <c r="A72">
        <v>9</v>
      </c>
      <c r="B72" t="s">
        <v>11</v>
      </c>
      <c r="C72">
        <v>2018</v>
      </c>
      <c r="D72">
        <v>122.5</v>
      </c>
      <c r="E72" t="s">
        <v>9</v>
      </c>
      <c r="F72">
        <v>89</v>
      </c>
      <c r="G72">
        <v>33.5</v>
      </c>
      <c r="H72">
        <v>32000</v>
      </c>
      <c r="I72" t="s">
        <v>22</v>
      </c>
    </row>
    <row r="73" spans="1:9" x14ac:dyDescent="0.25">
      <c r="A73">
        <v>10</v>
      </c>
      <c r="B73" t="s">
        <v>11</v>
      </c>
      <c r="C73">
        <v>2018</v>
      </c>
      <c r="D73">
        <v>89</v>
      </c>
      <c r="E73" t="s">
        <v>9</v>
      </c>
      <c r="F73">
        <v>56</v>
      </c>
      <c r="G73">
        <v>33</v>
      </c>
      <c r="H73">
        <v>32000</v>
      </c>
      <c r="I73" t="s">
        <v>22</v>
      </c>
    </row>
    <row r="74" spans="1:9" x14ac:dyDescent="0.25">
      <c r="A74">
        <v>11</v>
      </c>
      <c r="B74" t="s">
        <v>11</v>
      </c>
      <c r="C74">
        <v>2018</v>
      </c>
      <c r="D74">
        <v>56</v>
      </c>
      <c r="E74" t="s">
        <v>9</v>
      </c>
      <c r="F74">
        <v>46</v>
      </c>
      <c r="G74">
        <v>10</v>
      </c>
      <c r="H74">
        <v>32000</v>
      </c>
      <c r="I74" t="s">
        <v>22</v>
      </c>
    </row>
    <row r="75" spans="1:9" x14ac:dyDescent="0.25">
      <c r="A75">
        <v>12</v>
      </c>
      <c r="B75" t="s">
        <v>11</v>
      </c>
      <c r="C75">
        <v>2018</v>
      </c>
      <c r="D75">
        <v>46</v>
      </c>
      <c r="E75" t="s">
        <v>9</v>
      </c>
      <c r="F75">
        <v>30</v>
      </c>
      <c r="G75">
        <v>16</v>
      </c>
      <c r="H75">
        <v>32000</v>
      </c>
      <c r="I75" t="s">
        <v>22</v>
      </c>
    </row>
    <row r="76" spans="1:9" x14ac:dyDescent="0.25">
      <c r="A76">
        <v>13</v>
      </c>
      <c r="B76" t="s">
        <v>11</v>
      </c>
      <c r="C76">
        <v>2018</v>
      </c>
      <c r="D76">
        <v>30</v>
      </c>
      <c r="E76">
        <v>120</v>
      </c>
      <c r="F76">
        <v>134</v>
      </c>
      <c r="G76">
        <v>16</v>
      </c>
      <c r="H76">
        <v>32000</v>
      </c>
      <c r="I76" t="s">
        <v>22</v>
      </c>
    </row>
    <row r="77" spans="1:9" x14ac:dyDescent="0.25">
      <c r="A77">
        <v>14</v>
      </c>
      <c r="B77" t="s">
        <v>11</v>
      </c>
      <c r="C77">
        <v>2018</v>
      </c>
      <c r="D77">
        <v>134</v>
      </c>
      <c r="E77" t="s">
        <v>9</v>
      </c>
      <c r="F77">
        <v>116.5</v>
      </c>
      <c r="G77">
        <v>17.5</v>
      </c>
      <c r="H77">
        <v>32000</v>
      </c>
      <c r="I77" t="s">
        <v>22</v>
      </c>
    </row>
    <row r="78" spans="1:9" x14ac:dyDescent="0.25">
      <c r="A78">
        <v>15</v>
      </c>
      <c r="B78" t="s">
        <v>11</v>
      </c>
      <c r="C78">
        <v>2018</v>
      </c>
      <c r="D78">
        <v>116.5</v>
      </c>
      <c r="E78" t="s">
        <v>9</v>
      </c>
      <c r="F78">
        <v>95</v>
      </c>
      <c r="G78">
        <v>21.5</v>
      </c>
      <c r="H78">
        <v>32000</v>
      </c>
      <c r="I78" t="s">
        <v>22</v>
      </c>
    </row>
    <row r="79" spans="1:9" x14ac:dyDescent="0.25">
      <c r="A79">
        <v>16</v>
      </c>
      <c r="B79" t="s">
        <v>11</v>
      </c>
      <c r="C79">
        <v>2018</v>
      </c>
      <c r="D79">
        <v>95</v>
      </c>
      <c r="E79" t="s">
        <v>9</v>
      </c>
      <c r="F79">
        <v>59.5</v>
      </c>
      <c r="G79">
        <v>35.5</v>
      </c>
      <c r="H79">
        <v>32000</v>
      </c>
      <c r="I79" t="s">
        <v>22</v>
      </c>
    </row>
    <row r="80" spans="1:9" x14ac:dyDescent="0.25">
      <c r="A80">
        <v>17</v>
      </c>
      <c r="B80" t="s">
        <v>11</v>
      </c>
      <c r="C80">
        <v>2018</v>
      </c>
      <c r="D80">
        <v>59.5</v>
      </c>
      <c r="E80" t="s">
        <v>9</v>
      </c>
      <c r="F80">
        <v>21.25</v>
      </c>
      <c r="G80">
        <v>38.25</v>
      </c>
      <c r="H80">
        <v>32000</v>
      </c>
      <c r="I80" t="s">
        <v>22</v>
      </c>
    </row>
    <row r="81" spans="1:9" x14ac:dyDescent="0.25">
      <c r="A81">
        <v>18</v>
      </c>
      <c r="B81" t="s">
        <v>11</v>
      </c>
      <c r="C81">
        <v>2018</v>
      </c>
      <c r="D81">
        <v>21.25</v>
      </c>
      <c r="E81">
        <v>60</v>
      </c>
      <c r="F81">
        <v>74</v>
      </c>
      <c r="G81">
        <v>7.25</v>
      </c>
      <c r="H81">
        <v>32000</v>
      </c>
      <c r="I81" t="s">
        <v>22</v>
      </c>
    </row>
    <row r="82" spans="1:9" x14ac:dyDescent="0.25">
      <c r="A82">
        <v>19</v>
      </c>
      <c r="B82" t="s">
        <v>11</v>
      </c>
      <c r="C82">
        <v>2018</v>
      </c>
      <c r="D82">
        <v>74</v>
      </c>
      <c r="E82" t="s">
        <v>9</v>
      </c>
      <c r="F82">
        <v>60.5</v>
      </c>
      <c r="G82">
        <v>13.5</v>
      </c>
      <c r="H82">
        <v>32000</v>
      </c>
      <c r="I82" t="s">
        <v>22</v>
      </c>
    </row>
    <row r="83" spans="1:9" x14ac:dyDescent="0.25">
      <c r="A83">
        <v>20</v>
      </c>
      <c r="B83" t="s">
        <v>11</v>
      </c>
      <c r="C83">
        <v>2018</v>
      </c>
      <c r="D83">
        <v>60.5</v>
      </c>
      <c r="E83" t="s">
        <v>9</v>
      </c>
      <c r="F83">
        <v>46</v>
      </c>
      <c r="G83">
        <v>14.5</v>
      </c>
      <c r="H83">
        <v>32000</v>
      </c>
      <c r="I83" t="s">
        <v>22</v>
      </c>
    </row>
    <row r="84" spans="1:9" x14ac:dyDescent="0.25">
      <c r="A84">
        <v>21</v>
      </c>
      <c r="B84" t="s">
        <v>11</v>
      </c>
      <c r="C84">
        <v>2018</v>
      </c>
      <c r="D84">
        <v>46</v>
      </c>
      <c r="E84" t="s">
        <v>9</v>
      </c>
      <c r="F84">
        <v>31.625</v>
      </c>
      <c r="G84">
        <v>14.375</v>
      </c>
      <c r="H84">
        <v>32000</v>
      </c>
      <c r="I84" t="s">
        <v>22</v>
      </c>
    </row>
    <row r="85" spans="1:9" x14ac:dyDescent="0.25">
      <c r="A85">
        <v>22</v>
      </c>
      <c r="B85" t="s">
        <v>11</v>
      </c>
      <c r="C85">
        <v>2018</v>
      </c>
      <c r="D85">
        <v>31.625</v>
      </c>
      <c r="E85" t="s">
        <v>9</v>
      </c>
      <c r="F85">
        <v>12.5</v>
      </c>
      <c r="G85">
        <v>19.125</v>
      </c>
      <c r="H85">
        <v>32000</v>
      </c>
      <c r="I85" t="s">
        <v>22</v>
      </c>
    </row>
    <row r="86" spans="1:9" x14ac:dyDescent="0.25">
      <c r="A86">
        <v>23</v>
      </c>
      <c r="B86" t="s">
        <v>11</v>
      </c>
      <c r="C86">
        <v>2018</v>
      </c>
      <c r="D86">
        <v>12.5</v>
      </c>
      <c r="E86">
        <v>100</v>
      </c>
      <c r="F86">
        <v>85.25</v>
      </c>
      <c r="G86">
        <v>27.25</v>
      </c>
      <c r="H86">
        <v>32000</v>
      </c>
      <c r="I86" t="s">
        <v>22</v>
      </c>
    </row>
    <row r="87" spans="1:9" x14ac:dyDescent="0.25">
      <c r="A87">
        <v>24</v>
      </c>
      <c r="B87" t="s">
        <v>11</v>
      </c>
      <c r="C87">
        <v>2018</v>
      </c>
      <c r="D87">
        <v>85.25</v>
      </c>
      <c r="E87" t="s">
        <v>9</v>
      </c>
      <c r="F87">
        <v>43.25</v>
      </c>
      <c r="G87">
        <v>42</v>
      </c>
      <c r="H87">
        <v>32000</v>
      </c>
      <c r="I87" t="s">
        <v>22</v>
      </c>
    </row>
    <row r="88" spans="1:9" x14ac:dyDescent="0.25">
      <c r="A88">
        <v>25</v>
      </c>
      <c r="B88" t="s">
        <v>11</v>
      </c>
      <c r="C88">
        <v>2018</v>
      </c>
      <c r="D88">
        <v>43.25</v>
      </c>
      <c r="E88" t="s">
        <v>9</v>
      </c>
      <c r="F88">
        <v>33.5</v>
      </c>
      <c r="G88">
        <v>9.75</v>
      </c>
      <c r="H88">
        <v>32000</v>
      </c>
      <c r="I88" t="s">
        <v>22</v>
      </c>
    </row>
    <row r="89" spans="1:9" x14ac:dyDescent="0.25">
      <c r="A89">
        <v>26</v>
      </c>
      <c r="B89" t="s">
        <v>10</v>
      </c>
      <c r="C89">
        <v>2018</v>
      </c>
      <c r="D89">
        <v>33.5</v>
      </c>
      <c r="E89" t="s">
        <v>9</v>
      </c>
      <c r="F89">
        <v>19.75</v>
      </c>
      <c r="G89">
        <v>13.75</v>
      </c>
      <c r="H89">
        <v>32000</v>
      </c>
      <c r="I89" t="s">
        <v>22</v>
      </c>
    </row>
    <row r="90" spans="1:9" x14ac:dyDescent="0.25">
      <c r="A90">
        <v>27</v>
      </c>
      <c r="B90" t="s">
        <v>11</v>
      </c>
      <c r="C90">
        <v>2018</v>
      </c>
      <c r="D90">
        <v>19.75</v>
      </c>
      <c r="E90">
        <v>120</v>
      </c>
      <c r="F90">
        <v>124.25</v>
      </c>
      <c r="G90">
        <v>15.5</v>
      </c>
      <c r="H90">
        <v>32000</v>
      </c>
      <c r="I90" t="s">
        <v>22</v>
      </c>
    </row>
    <row r="91" spans="1:9" x14ac:dyDescent="0.25">
      <c r="A91">
        <v>28</v>
      </c>
      <c r="B91" t="s">
        <v>11</v>
      </c>
      <c r="C91">
        <v>2018</v>
      </c>
      <c r="D91">
        <v>124.25</v>
      </c>
      <c r="E91" t="s">
        <v>9</v>
      </c>
      <c r="F91">
        <v>99</v>
      </c>
      <c r="G91">
        <v>25.25</v>
      </c>
      <c r="H91">
        <v>32000</v>
      </c>
      <c r="I91" t="s">
        <v>22</v>
      </c>
    </row>
    <row r="92" spans="1:9" hidden="1" x14ac:dyDescent="0.25">
      <c r="A92">
        <v>1</v>
      </c>
      <c r="B92" t="s">
        <v>11</v>
      </c>
      <c r="C92">
        <v>2019</v>
      </c>
      <c r="D92">
        <v>59.5</v>
      </c>
      <c r="E92">
        <v>70</v>
      </c>
      <c r="F92">
        <v>46.5</v>
      </c>
      <c r="G92">
        <v>83</v>
      </c>
      <c r="H92">
        <v>32000</v>
      </c>
      <c r="I92" t="s">
        <v>23</v>
      </c>
    </row>
    <row r="93" spans="1:9" hidden="1" x14ac:dyDescent="0.25">
      <c r="A93">
        <v>2</v>
      </c>
      <c r="B93" t="s">
        <v>11</v>
      </c>
      <c r="C93">
        <v>2019</v>
      </c>
      <c r="D93">
        <v>46.5</v>
      </c>
      <c r="E93">
        <v>105</v>
      </c>
      <c r="F93">
        <v>74.5</v>
      </c>
      <c r="G93">
        <v>77</v>
      </c>
      <c r="H93">
        <v>32000</v>
      </c>
      <c r="I93" t="s">
        <v>23</v>
      </c>
    </row>
    <row r="94" spans="1:9" hidden="1" x14ac:dyDescent="0.25">
      <c r="A94">
        <v>3</v>
      </c>
      <c r="B94" t="s">
        <v>11</v>
      </c>
      <c r="C94">
        <v>2019</v>
      </c>
      <c r="D94">
        <v>74.5</v>
      </c>
      <c r="E94">
        <v>73</v>
      </c>
      <c r="F94">
        <v>46</v>
      </c>
      <c r="G94">
        <v>101.5</v>
      </c>
      <c r="H94">
        <v>32000</v>
      </c>
      <c r="I94" t="s">
        <v>23</v>
      </c>
    </row>
    <row r="95" spans="1:9" hidden="1" x14ac:dyDescent="0.25">
      <c r="A95">
        <v>4</v>
      </c>
      <c r="B95" t="s">
        <v>11</v>
      </c>
      <c r="C95">
        <v>2019</v>
      </c>
      <c r="D95">
        <v>46</v>
      </c>
      <c r="E95">
        <v>20</v>
      </c>
      <c r="F95">
        <v>19.25</v>
      </c>
      <c r="G95">
        <v>46.75</v>
      </c>
      <c r="H95">
        <v>32000</v>
      </c>
      <c r="I95" t="s">
        <v>23</v>
      </c>
    </row>
    <row r="96" spans="1:9" hidden="1" x14ac:dyDescent="0.25">
      <c r="A96">
        <v>5</v>
      </c>
      <c r="B96" t="s">
        <v>11</v>
      </c>
      <c r="C96">
        <v>2019</v>
      </c>
      <c r="D96">
        <v>19.25</v>
      </c>
      <c r="E96">
        <v>72</v>
      </c>
      <c r="F96">
        <v>53</v>
      </c>
      <c r="G96">
        <v>38.25</v>
      </c>
      <c r="H96">
        <v>32000</v>
      </c>
      <c r="I96" t="s">
        <v>23</v>
      </c>
    </row>
    <row r="97" spans="1:9" hidden="1" x14ac:dyDescent="0.25">
      <c r="A97">
        <v>6</v>
      </c>
      <c r="B97" t="s">
        <v>11</v>
      </c>
      <c r="C97">
        <v>2019</v>
      </c>
      <c r="D97">
        <v>53</v>
      </c>
      <c r="E97" t="s">
        <v>9</v>
      </c>
      <c r="F97">
        <v>10.25</v>
      </c>
      <c r="G97">
        <v>42.75</v>
      </c>
      <c r="H97">
        <v>32000</v>
      </c>
      <c r="I97" t="s">
        <v>23</v>
      </c>
    </row>
    <row r="98" spans="1:9" hidden="1" x14ac:dyDescent="0.25">
      <c r="A98">
        <v>7</v>
      </c>
      <c r="B98" t="s">
        <v>11</v>
      </c>
      <c r="C98">
        <v>2019</v>
      </c>
      <c r="D98">
        <v>10.25</v>
      </c>
      <c r="E98">
        <v>70</v>
      </c>
      <c r="F98">
        <v>42</v>
      </c>
      <c r="G98">
        <v>38.25</v>
      </c>
      <c r="H98">
        <v>32000</v>
      </c>
      <c r="I98" t="s">
        <v>23</v>
      </c>
    </row>
    <row r="99" spans="1:9" hidden="1" x14ac:dyDescent="0.25">
      <c r="A99">
        <v>8</v>
      </c>
      <c r="B99" t="s">
        <v>11</v>
      </c>
      <c r="C99">
        <v>2019</v>
      </c>
      <c r="D99">
        <v>42</v>
      </c>
      <c r="E99">
        <v>56</v>
      </c>
      <c r="F99">
        <v>28</v>
      </c>
      <c r="G99">
        <v>70</v>
      </c>
      <c r="H99">
        <v>32000</v>
      </c>
      <c r="I99" t="s">
        <v>23</v>
      </c>
    </row>
    <row r="100" spans="1:9" hidden="1" x14ac:dyDescent="0.25">
      <c r="A100">
        <v>9</v>
      </c>
      <c r="B100" t="s">
        <v>11</v>
      </c>
      <c r="C100">
        <v>2019</v>
      </c>
      <c r="D100">
        <v>28</v>
      </c>
      <c r="E100">
        <v>106</v>
      </c>
      <c r="F100">
        <v>47</v>
      </c>
      <c r="G100">
        <v>87</v>
      </c>
      <c r="H100">
        <v>32000</v>
      </c>
      <c r="I100" t="s">
        <v>23</v>
      </c>
    </row>
    <row r="101" spans="1:9" hidden="1" x14ac:dyDescent="0.25">
      <c r="A101">
        <v>10</v>
      </c>
      <c r="B101" t="s">
        <v>11</v>
      </c>
      <c r="C101">
        <v>2019</v>
      </c>
      <c r="D101">
        <v>47</v>
      </c>
      <c r="E101">
        <v>112</v>
      </c>
      <c r="F101">
        <v>81</v>
      </c>
      <c r="G101">
        <v>78</v>
      </c>
      <c r="H101">
        <v>32000</v>
      </c>
      <c r="I101" t="s">
        <v>23</v>
      </c>
    </row>
    <row r="102" spans="1:9" hidden="1" x14ac:dyDescent="0.25">
      <c r="A102">
        <v>11</v>
      </c>
      <c r="B102" t="s">
        <v>11</v>
      </c>
      <c r="C102">
        <v>2019</v>
      </c>
      <c r="D102">
        <v>81</v>
      </c>
      <c r="E102">
        <v>73</v>
      </c>
      <c r="F102">
        <v>119.75</v>
      </c>
      <c r="G102">
        <v>34.25</v>
      </c>
      <c r="H102">
        <v>32000</v>
      </c>
      <c r="I102" t="s">
        <v>23</v>
      </c>
    </row>
    <row r="103" spans="1:9" hidden="1" x14ac:dyDescent="0.25">
      <c r="A103">
        <v>12</v>
      </c>
      <c r="B103" t="s">
        <v>11</v>
      </c>
      <c r="C103">
        <v>2019</v>
      </c>
      <c r="D103">
        <v>119.75</v>
      </c>
      <c r="E103">
        <v>107</v>
      </c>
      <c r="F103">
        <v>182.25</v>
      </c>
      <c r="G103">
        <v>44.5</v>
      </c>
      <c r="H103">
        <v>32000</v>
      </c>
      <c r="I103" t="s">
        <v>23</v>
      </c>
    </row>
    <row r="104" spans="1:9" hidden="1" x14ac:dyDescent="0.25">
      <c r="A104">
        <v>13</v>
      </c>
      <c r="B104" t="s">
        <v>11</v>
      </c>
      <c r="C104">
        <v>2019</v>
      </c>
      <c r="D104">
        <v>182.25</v>
      </c>
      <c r="E104">
        <v>-120</v>
      </c>
      <c r="F104">
        <v>16</v>
      </c>
      <c r="G104">
        <v>46.25</v>
      </c>
      <c r="H104">
        <v>32000</v>
      </c>
      <c r="I104" t="s">
        <v>23</v>
      </c>
    </row>
    <row r="105" spans="1:9" hidden="1" x14ac:dyDescent="0.25">
      <c r="A105">
        <v>14</v>
      </c>
      <c r="B105" t="s">
        <v>11</v>
      </c>
      <c r="C105">
        <v>2019</v>
      </c>
      <c r="D105">
        <v>16</v>
      </c>
      <c r="E105">
        <v>72</v>
      </c>
      <c r="F105">
        <v>34</v>
      </c>
      <c r="G105">
        <v>54</v>
      </c>
      <c r="H105">
        <v>32000</v>
      </c>
      <c r="I105" t="s">
        <v>23</v>
      </c>
    </row>
    <row r="106" spans="1:9" hidden="1" x14ac:dyDescent="0.25">
      <c r="A106">
        <v>15</v>
      </c>
      <c r="B106" t="s">
        <v>11</v>
      </c>
      <c r="C106">
        <v>2019</v>
      </c>
      <c r="D106">
        <v>34</v>
      </c>
      <c r="E106">
        <v>176</v>
      </c>
      <c r="F106">
        <v>148.5</v>
      </c>
      <c r="G106">
        <v>61.5</v>
      </c>
      <c r="H106">
        <v>32000</v>
      </c>
      <c r="I106" t="s">
        <v>23</v>
      </c>
    </row>
    <row r="107" spans="1:9" hidden="1" x14ac:dyDescent="0.25">
      <c r="A107">
        <v>16</v>
      </c>
      <c r="B107" t="s">
        <v>11</v>
      </c>
      <c r="C107">
        <v>2019</v>
      </c>
      <c r="D107">
        <v>148.5</v>
      </c>
      <c r="E107">
        <v>70</v>
      </c>
      <c r="F107">
        <v>124</v>
      </c>
      <c r="G107">
        <v>94.5</v>
      </c>
      <c r="H107">
        <v>32000</v>
      </c>
      <c r="I107" t="s">
        <v>23</v>
      </c>
    </row>
    <row r="108" spans="1:9" hidden="1" x14ac:dyDescent="0.25">
      <c r="A108">
        <v>17</v>
      </c>
      <c r="B108" t="s">
        <v>11</v>
      </c>
      <c r="C108">
        <v>2019</v>
      </c>
      <c r="D108">
        <v>124</v>
      </c>
      <c r="E108" t="s">
        <v>9</v>
      </c>
      <c r="F108">
        <v>41</v>
      </c>
      <c r="G108">
        <v>83</v>
      </c>
      <c r="H108">
        <v>32000</v>
      </c>
      <c r="I108" t="s">
        <v>23</v>
      </c>
    </row>
    <row r="109" spans="1:9" hidden="1" x14ac:dyDescent="0.25">
      <c r="A109">
        <v>18</v>
      </c>
      <c r="B109" t="s">
        <v>11</v>
      </c>
      <c r="C109">
        <v>2019</v>
      </c>
      <c r="D109">
        <v>41</v>
      </c>
      <c r="E109">
        <v>45</v>
      </c>
      <c r="F109">
        <v>48</v>
      </c>
      <c r="G109">
        <v>38</v>
      </c>
      <c r="H109">
        <v>32000</v>
      </c>
      <c r="I109" t="s">
        <v>23</v>
      </c>
    </row>
    <row r="110" spans="1:9" hidden="1" x14ac:dyDescent="0.25">
      <c r="A110">
        <v>19</v>
      </c>
      <c r="B110" t="s">
        <v>11</v>
      </c>
      <c r="C110">
        <v>2019</v>
      </c>
      <c r="D110">
        <v>48</v>
      </c>
      <c r="E110">
        <v>71</v>
      </c>
      <c r="F110">
        <v>85</v>
      </c>
      <c r="G110">
        <v>34</v>
      </c>
      <c r="H110">
        <v>32000</v>
      </c>
      <c r="I110" t="s">
        <v>23</v>
      </c>
    </row>
    <row r="111" spans="1:9" hidden="1" x14ac:dyDescent="0.25">
      <c r="A111">
        <v>20</v>
      </c>
      <c r="B111" t="s">
        <v>11</v>
      </c>
      <c r="C111">
        <v>2019</v>
      </c>
      <c r="D111">
        <v>85</v>
      </c>
      <c r="E111">
        <v>71</v>
      </c>
      <c r="F111">
        <v>103</v>
      </c>
      <c r="G111">
        <v>53</v>
      </c>
      <c r="H111">
        <v>32000</v>
      </c>
      <c r="I111" t="s">
        <v>23</v>
      </c>
    </row>
    <row r="112" spans="1:9" hidden="1" x14ac:dyDescent="0.25">
      <c r="A112">
        <v>21</v>
      </c>
      <c r="B112" t="s">
        <v>11</v>
      </c>
      <c r="C112">
        <v>2019</v>
      </c>
      <c r="D112">
        <v>103</v>
      </c>
      <c r="E112">
        <v>71</v>
      </c>
      <c r="F112">
        <v>124</v>
      </c>
      <c r="G112">
        <v>50</v>
      </c>
      <c r="H112">
        <v>32000</v>
      </c>
      <c r="I112" t="s">
        <v>23</v>
      </c>
    </row>
    <row r="113" spans="1:9" hidden="1" x14ac:dyDescent="0.25">
      <c r="A113">
        <v>22</v>
      </c>
      <c r="B113" t="s">
        <v>11</v>
      </c>
      <c r="C113">
        <v>2019</v>
      </c>
      <c r="D113">
        <v>124</v>
      </c>
      <c r="E113">
        <v>105</v>
      </c>
      <c r="F113">
        <v>168.5</v>
      </c>
      <c r="G113">
        <v>60.5</v>
      </c>
      <c r="H113">
        <v>32000</v>
      </c>
      <c r="I113" t="s">
        <v>23</v>
      </c>
    </row>
    <row r="114" spans="1:9" hidden="1" x14ac:dyDescent="0.25">
      <c r="A114">
        <v>23</v>
      </c>
      <c r="B114" t="s">
        <v>11</v>
      </c>
      <c r="C114">
        <v>2019</v>
      </c>
      <c r="D114">
        <v>168.5</v>
      </c>
      <c r="E114">
        <v>-29</v>
      </c>
      <c r="F114">
        <v>60</v>
      </c>
      <c r="G114">
        <v>79.5</v>
      </c>
      <c r="H114">
        <v>32000</v>
      </c>
      <c r="I114" t="s">
        <v>23</v>
      </c>
    </row>
    <row r="115" spans="1:9" hidden="1" x14ac:dyDescent="0.25">
      <c r="A115">
        <v>24</v>
      </c>
      <c r="B115" t="s">
        <v>11</v>
      </c>
      <c r="C115">
        <v>2019</v>
      </c>
      <c r="D115">
        <v>60</v>
      </c>
      <c r="E115">
        <v>72</v>
      </c>
      <c r="F115">
        <v>58</v>
      </c>
      <c r="G115">
        <v>74</v>
      </c>
      <c r="H115">
        <v>32000</v>
      </c>
      <c r="I115" t="s">
        <v>23</v>
      </c>
    </row>
    <row r="116" spans="1:9" hidden="1" x14ac:dyDescent="0.25">
      <c r="A116">
        <v>25</v>
      </c>
      <c r="B116" t="s">
        <v>11</v>
      </c>
      <c r="C116">
        <v>2019</v>
      </c>
      <c r="D116">
        <v>58</v>
      </c>
      <c r="E116">
        <v>70</v>
      </c>
      <c r="F116">
        <v>83.75</v>
      </c>
      <c r="G116">
        <v>44.25</v>
      </c>
      <c r="H116">
        <v>32000</v>
      </c>
      <c r="I116" t="s">
        <v>23</v>
      </c>
    </row>
    <row r="117" spans="1:9" hidden="1" x14ac:dyDescent="0.25">
      <c r="A117">
        <v>26</v>
      </c>
      <c r="B117" t="s">
        <v>11</v>
      </c>
      <c r="C117">
        <v>2019</v>
      </c>
      <c r="D117">
        <v>83.75</v>
      </c>
      <c r="E117">
        <v>71</v>
      </c>
      <c r="F117">
        <v>112.5</v>
      </c>
      <c r="G117">
        <v>42.25</v>
      </c>
      <c r="H117">
        <v>32000</v>
      </c>
      <c r="I117" t="s">
        <v>23</v>
      </c>
    </row>
    <row r="118" spans="1:9" hidden="1" x14ac:dyDescent="0.25">
      <c r="A118">
        <v>27</v>
      </c>
      <c r="B118" t="s">
        <v>11</v>
      </c>
      <c r="C118">
        <v>2019</v>
      </c>
      <c r="D118">
        <v>112.5</v>
      </c>
      <c r="E118">
        <v>-13</v>
      </c>
      <c r="F118">
        <v>49</v>
      </c>
      <c r="G118">
        <v>50.5</v>
      </c>
      <c r="H118">
        <v>32000</v>
      </c>
      <c r="I118" t="s">
        <v>23</v>
      </c>
    </row>
    <row r="119" spans="1:9" hidden="1" x14ac:dyDescent="0.25">
      <c r="A119">
        <v>28</v>
      </c>
      <c r="B119" t="s">
        <v>11</v>
      </c>
      <c r="C119">
        <v>2019</v>
      </c>
      <c r="D119">
        <v>49</v>
      </c>
      <c r="E119">
        <v>70</v>
      </c>
      <c r="F119">
        <v>67.5</v>
      </c>
      <c r="G119">
        <v>51.5</v>
      </c>
      <c r="H119">
        <v>32000</v>
      </c>
      <c r="I119" t="s">
        <v>23</v>
      </c>
    </row>
    <row r="120" spans="1:9" x14ac:dyDescent="0.25">
      <c r="A120">
        <v>1</v>
      </c>
      <c r="B120" t="s">
        <v>12</v>
      </c>
      <c r="C120">
        <v>2019</v>
      </c>
      <c r="D120">
        <v>99</v>
      </c>
      <c r="E120" t="s">
        <v>9</v>
      </c>
      <c r="F120">
        <v>69.5</v>
      </c>
      <c r="G120">
        <v>29.5</v>
      </c>
      <c r="H120">
        <v>36000</v>
      </c>
      <c r="I120" t="s">
        <v>22</v>
      </c>
    </row>
    <row r="121" spans="1:9" x14ac:dyDescent="0.25">
      <c r="A121">
        <v>2</v>
      </c>
      <c r="B121" t="s">
        <v>12</v>
      </c>
      <c r="C121">
        <v>2019</v>
      </c>
      <c r="D121">
        <v>69.5</v>
      </c>
      <c r="E121" t="s">
        <v>9</v>
      </c>
      <c r="F121">
        <v>32</v>
      </c>
      <c r="G121">
        <v>37.5</v>
      </c>
      <c r="H121">
        <v>36000</v>
      </c>
      <c r="I121" t="s">
        <v>22</v>
      </c>
    </row>
    <row r="122" spans="1:9" x14ac:dyDescent="0.25">
      <c r="A122">
        <v>3</v>
      </c>
      <c r="B122" t="s">
        <v>12</v>
      </c>
      <c r="C122">
        <v>2019</v>
      </c>
      <c r="D122">
        <v>32</v>
      </c>
      <c r="E122">
        <v>100</v>
      </c>
      <c r="F122">
        <v>92.5</v>
      </c>
      <c r="G122">
        <v>39.5</v>
      </c>
      <c r="H122">
        <v>36000</v>
      </c>
      <c r="I122" t="s">
        <v>22</v>
      </c>
    </row>
    <row r="123" spans="1:9" x14ac:dyDescent="0.25">
      <c r="A123">
        <v>4</v>
      </c>
      <c r="B123" t="s">
        <v>12</v>
      </c>
      <c r="C123">
        <v>2019</v>
      </c>
      <c r="D123">
        <v>92.5</v>
      </c>
      <c r="E123" t="s">
        <v>9</v>
      </c>
      <c r="F123">
        <v>80.875</v>
      </c>
      <c r="G123">
        <v>11.625</v>
      </c>
      <c r="H123">
        <v>36000</v>
      </c>
      <c r="I123" t="s">
        <v>22</v>
      </c>
    </row>
    <row r="124" spans="1:9" x14ac:dyDescent="0.25">
      <c r="A124">
        <v>5</v>
      </c>
      <c r="B124" t="s">
        <v>12</v>
      </c>
      <c r="C124">
        <v>2019</v>
      </c>
      <c r="D124">
        <v>80.875</v>
      </c>
      <c r="E124" t="s">
        <v>9</v>
      </c>
      <c r="F124">
        <v>69.5</v>
      </c>
      <c r="G124">
        <v>11.375</v>
      </c>
      <c r="H124">
        <v>36000</v>
      </c>
      <c r="I124" t="s">
        <v>22</v>
      </c>
    </row>
    <row r="125" spans="1:9" x14ac:dyDescent="0.25">
      <c r="A125">
        <v>6</v>
      </c>
      <c r="B125" t="s">
        <v>12</v>
      </c>
      <c r="C125">
        <v>2019</v>
      </c>
      <c r="D125">
        <v>69.5</v>
      </c>
      <c r="E125" t="s">
        <v>9</v>
      </c>
      <c r="F125">
        <v>56</v>
      </c>
      <c r="G125">
        <v>13.5</v>
      </c>
      <c r="H125">
        <v>36000</v>
      </c>
      <c r="I125" t="s">
        <v>22</v>
      </c>
    </row>
    <row r="126" spans="1:9" x14ac:dyDescent="0.25">
      <c r="A126">
        <v>7</v>
      </c>
      <c r="B126" t="s">
        <v>12</v>
      </c>
      <c r="C126">
        <v>2019</v>
      </c>
      <c r="D126">
        <v>56</v>
      </c>
      <c r="E126">
        <v>150</v>
      </c>
      <c r="F126">
        <v>189.75</v>
      </c>
      <c r="G126">
        <v>16.25</v>
      </c>
      <c r="H126">
        <v>36000</v>
      </c>
      <c r="I126" t="s">
        <v>22</v>
      </c>
    </row>
    <row r="127" spans="1:9" x14ac:dyDescent="0.25">
      <c r="A127">
        <v>8</v>
      </c>
      <c r="B127" t="s">
        <v>12</v>
      </c>
      <c r="C127">
        <v>2019</v>
      </c>
      <c r="D127">
        <v>189.75</v>
      </c>
      <c r="E127" t="s">
        <v>9</v>
      </c>
      <c r="F127">
        <v>157.75</v>
      </c>
      <c r="G127">
        <v>32</v>
      </c>
      <c r="H127">
        <v>36000</v>
      </c>
      <c r="I127" t="s">
        <v>22</v>
      </c>
    </row>
    <row r="128" spans="1:9" x14ac:dyDescent="0.25">
      <c r="A128">
        <v>9</v>
      </c>
      <c r="B128" t="s">
        <v>12</v>
      </c>
      <c r="C128">
        <v>2019</v>
      </c>
      <c r="D128">
        <v>157.75</v>
      </c>
      <c r="E128" t="s">
        <v>9</v>
      </c>
      <c r="F128">
        <v>113</v>
      </c>
      <c r="G128">
        <v>44.75</v>
      </c>
      <c r="H128">
        <v>36000</v>
      </c>
      <c r="I128" t="s">
        <v>22</v>
      </c>
    </row>
    <row r="129" spans="1:9" x14ac:dyDescent="0.25">
      <c r="A129">
        <v>10</v>
      </c>
      <c r="B129" t="s">
        <v>12</v>
      </c>
      <c r="C129">
        <v>2019</v>
      </c>
      <c r="D129">
        <v>113</v>
      </c>
      <c r="E129" t="s">
        <v>9</v>
      </c>
      <c r="F129">
        <v>79</v>
      </c>
      <c r="G129">
        <v>34</v>
      </c>
      <c r="H129">
        <v>36000</v>
      </c>
      <c r="I129" t="s">
        <v>22</v>
      </c>
    </row>
    <row r="130" spans="1:9" x14ac:dyDescent="0.25">
      <c r="A130">
        <v>11</v>
      </c>
      <c r="B130" t="s">
        <v>12</v>
      </c>
      <c r="C130">
        <v>2019</v>
      </c>
      <c r="D130">
        <v>79</v>
      </c>
      <c r="E130" t="s">
        <v>9</v>
      </c>
      <c r="F130">
        <v>72.5</v>
      </c>
      <c r="G130">
        <v>6.5</v>
      </c>
      <c r="H130">
        <v>36000</v>
      </c>
      <c r="I130" t="s">
        <v>22</v>
      </c>
    </row>
    <row r="131" spans="1:9" x14ac:dyDescent="0.25">
      <c r="A131">
        <v>12</v>
      </c>
      <c r="B131" t="s">
        <v>12</v>
      </c>
      <c r="C131">
        <v>2019</v>
      </c>
      <c r="D131">
        <v>72.5</v>
      </c>
      <c r="E131" t="s">
        <v>9</v>
      </c>
      <c r="F131">
        <v>51.5</v>
      </c>
      <c r="G131">
        <v>21</v>
      </c>
      <c r="H131">
        <v>36000</v>
      </c>
      <c r="I131" t="s">
        <v>22</v>
      </c>
    </row>
    <row r="132" spans="1:9" x14ac:dyDescent="0.25">
      <c r="A132">
        <v>13</v>
      </c>
      <c r="B132" t="s">
        <v>12</v>
      </c>
      <c r="C132">
        <v>2019</v>
      </c>
      <c r="D132">
        <v>51.5</v>
      </c>
      <c r="E132" t="s">
        <v>9</v>
      </c>
      <c r="F132">
        <v>34</v>
      </c>
      <c r="G132">
        <v>17.5</v>
      </c>
      <c r="H132">
        <v>36000</v>
      </c>
      <c r="I132" t="s">
        <v>22</v>
      </c>
    </row>
    <row r="133" spans="1:9" x14ac:dyDescent="0.25">
      <c r="A133">
        <v>14</v>
      </c>
      <c r="B133" t="s">
        <v>12</v>
      </c>
      <c r="C133">
        <v>2019</v>
      </c>
      <c r="D133">
        <v>34</v>
      </c>
      <c r="E133">
        <v>120</v>
      </c>
      <c r="F133">
        <v>135</v>
      </c>
      <c r="G133">
        <v>19</v>
      </c>
      <c r="H133">
        <v>36000</v>
      </c>
      <c r="I133" t="s">
        <v>22</v>
      </c>
    </row>
    <row r="134" spans="1:9" x14ac:dyDescent="0.25">
      <c r="A134">
        <v>15</v>
      </c>
      <c r="B134" t="s">
        <v>12</v>
      </c>
      <c r="C134">
        <v>2019</v>
      </c>
      <c r="D134">
        <v>135</v>
      </c>
      <c r="E134" t="s">
        <v>9</v>
      </c>
      <c r="F134">
        <v>108</v>
      </c>
      <c r="G134">
        <v>27</v>
      </c>
      <c r="H134">
        <v>36000</v>
      </c>
      <c r="I134" t="s">
        <v>22</v>
      </c>
    </row>
    <row r="135" spans="1:9" x14ac:dyDescent="0.25">
      <c r="A135">
        <v>16</v>
      </c>
      <c r="B135" t="s">
        <v>12</v>
      </c>
      <c r="C135">
        <v>2019</v>
      </c>
      <c r="D135">
        <v>108</v>
      </c>
      <c r="E135" t="s">
        <v>9</v>
      </c>
      <c r="F135">
        <v>73</v>
      </c>
      <c r="G135">
        <v>35</v>
      </c>
      <c r="H135">
        <v>36000</v>
      </c>
      <c r="I135" t="s">
        <v>22</v>
      </c>
    </row>
    <row r="136" spans="1:9" x14ac:dyDescent="0.25">
      <c r="A136">
        <v>17</v>
      </c>
      <c r="B136" t="s">
        <v>12</v>
      </c>
      <c r="C136">
        <v>2019</v>
      </c>
      <c r="D136">
        <v>73</v>
      </c>
      <c r="E136" t="s">
        <v>9</v>
      </c>
      <c r="F136">
        <v>37.75</v>
      </c>
      <c r="G136">
        <v>35.25</v>
      </c>
      <c r="H136">
        <v>36000</v>
      </c>
      <c r="I136" t="s">
        <v>22</v>
      </c>
    </row>
    <row r="137" spans="1:9" x14ac:dyDescent="0.25">
      <c r="A137">
        <v>18</v>
      </c>
      <c r="B137" t="s">
        <v>12</v>
      </c>
      <c r="C137">
        <v>2019</v>
      </c>
      <c r="D137">
        <v>37.75</v>
      </c>
      <c r="E137" t="s">
        <v>9</v>
      </c>
      <c r="F137">
        <v>24.875</v>
      </c>
      <c r="G137">
        <v>12.875</v>
      </c>
      <c r="H137">
        <v>36000</v>
      </c>
      <c r="I137" t="s">
        <v>22</v>
      </c>
    </row>
    <row r="138" spans="1:9" x14ac:dyDescent="0.25">
      <c r="A138">
        <v>19</v>
      </c>
      <c r="B138" t="s">
        <v>12</v>
      </c>
      <c r="C138">
        <v>2019</v>
      </c>
      <c r="D138">
        <v>24.875</v>
      </c>
      <c r="E138">
        <v>119</v>
      </c>
      <c r="F138">
        <v>124</v>
      </c>
      <c r="G138">
        <v>19.875</v>
      </c>
      <c r="H138">
        <v>36000</v>
      </c>
      <c r="I138" t="s">
        <v>22</v>
      </c>
    </row>
    <row r="139" spans="1:9" x14ac:dyDescent="0.25">
      <c r="A139">
        <v>20</v>
      </c>
      <c r="B139" t="s">
        <v>12</v>
      </c>
      <c r="C139">
        <v>2019</v>
      </c>
      <c r="D139">
        <v>124</v>
      </c>
      <c r="E139" t="s">
        <v>9</v>
      </c>
      <c r="F139">
        <v>108.5</v>
      </c>
      <c r="G139">
        <v>15.5</v>
      </c>
      <c r="H139">
        <v>36000</v>
      </c>
      <c r="I139" t="s">
        <v>22</v>
      </c>
    </row>
    <row r="140" spans="1:9" x14ac:dyDescent="0.25">
      <c r="A140">
        <v>21</v>
      </c>
      <c r="B140" t="s">
        <v>12</v>
      </c>
      <c r="C140">
        <v>2019</v>
      </c>
      <c r="D140">
        <v>108.5</v>
      </c>
      <c r="E140" t="s">
        <v>9</v>
      </c>
      <c r="F140">
        <v>91.625</v>
      </c>
      <c r="G140">
        <v>16.875</v>
      </c>
      <c r="H140">
        <v>36000</v>
      </c>
      <c r="I140" t="s">
        <v>22</v>
      </c>
    </row>
    <row r="141" spans="1:9" x14ac:dyDescent="0.25">
      <c r="A141">
        <v>22</v>
      </c>
      <c r="B141" t="s">
        <v>12</v>
      </c>
      <c r="C141">
        <v>2019</v>
      </c>
      <c r="D141">
        <v>91.625</v>
      </c>
      <c r="E141" t="s">
        <v>9</v>
      </c>
      <c r="F141">
        <v>64</v>
      </c>
      <c r="G141">
        <v>27.625</v>
      </c>
      <c r="H141">
        <v>36000</v>
      </c>
      <c r="I141" t="s">
        <v>22</v>
      </c>
    </row>
    <row r="142" spans="1:9" x14ac:dyDescent="0.25">
      <c r="A142">
        <v>23</v>
      </c>
      <c r="B142" t="s">
        <v>12</v>
      </c>
      <c r="C142">
        <v>2019</v>
      </c>
      <c r="D142">
        <v>64</v>
      </c>
      <c r="E142" t="s">
        <v>9</v>
      </c>
      <c r="F142">
        <v>22</v>
      </c>
      <c r="G142">
        <v>42</v>
      </c>
      <c r="H142">
        <v>36000</v>
      </c>
      <c r="I142" t="s">
        <v>22</v>
      </c>
    </row>
    <row r="143" spans="1:9" x14ac:dyDescent="0.25">
      <c r="A143">
        <v>24</v>
      </c>
      <c r="B143" t="s">
        <v>12</v>
      </c>
      <c r="C143">
        <v>2019</v>
      </c>
      <c r="D143">
        <v>22</v>
      </c>
      <c r="E143">
        <v>100</v>
      </c>
      <c r="F143">
        <v>87</v>
      </c>
      <c r="G143">
        <v>35</v>
      </c>
      <c r="H143">
        <v>36000</v>
      </c>
      <c r="I143" t="s">
        <v>22</v>
      </c>
    </row>
    <row r="144" spans="1:9" x14ac:dyDescent="0.25">
      <c r="A144">
        <v>25</v>
      </c>
      <c r="B144" t="s">
        <v>12</v>
      </c>
      <c r="C144">
        <v>2019</v>
      </c>
      <c r="D144">
        <v>87</v>
      </c>
      <c r="E144" t="s">
        <v>9</v>
      </c>
      <c r="F144">
        <v>50</v>
      </c>
      <c r="G144">
        <v>37</v>
      </c>
      <c r="H144">
        <v>36000</v>
      </c>
      <c r="I144" t="s">
        <v>22</v>
      </c>
    </row>
    <row r="145" spans="1:9" x14ac:dyDescent="0.25">
      <c r="A145">
        <v>26</v>
      </c>
      <c r="B145" t="s">
        <v>12</v>
      </c>
      <c r="C145">
        <v>2019</v>
      </c>
      <c r="D145">
        <v>50</v>
      </c>
      <c r="E145">
        <v>100</v>
      </c>
      <c r="F145">
        <v>134.5</v>
      </c>
      <c r="G145">
        <v>15.5</v>
      </c>
      <c r="H145">
        <v>36000</v>
      </c>
      <c r="I145" t="s">
        <v>22</v>
      </c>
    </row>
    <row r="146" spans="1:9" x14ac:dyDescent="0.25">
      <c r="A146">
        <v>27</v>
      </c>
      <c r="B146" t="s">
        <v>12</v>
      </c>
      <c r="C146">
        <v>2019</v>
      </c>
      <c r="D146">
        <v>134.5</v>
      </c>
      <c r="E146" t="s">
        <v>9</v>
      </c>
      <c r="F146">
        <v>112</v>
      </c>
      <c r="G146">
        <v>22.5</v>
      </c>
      <c r="H146">
        <v>36000</v>
      </c>
      <c r="I146" t="s">
        <v>22</v>
      </c>
    </row>
    <row r="147" spans="1:9" x14ac:dyDescent="0.25">
      <c r="A147">
        <v>28</v>
      </c>
      <c r="B147" t="s">
        <v>12</v>
      </c>
      <c r="C147">
        <v>2019</v>
      </c>
      <c r="D147">
        <v>112</v>
      </c>
      <c r="E147" t="s">
        <v>9</v>
      </c>
      <c r="F147">
        <v>98.25</v>
      </c>
      <c r="G147">
        <v>13.75</v>
      </c>
      <c r="H147">
        <v>36000</v>
      </c>
      <c r="I147" t="s">
        <v>22</v>
      </c>
    </row>
    <row r="148" spans="1:9" x14ac:dyDescent="0.25">
      <c r="A148">
        <v>29</v>
      </c>
      <c r="B148" t="s">
        <v>12</v>
      </c>
      <c r="C148">
        <v>2019</v>
      </c>
      <c r="D148">
        <v>98.25</v>
      </c>
      <c r="E148" t="s">
        <v>9</v>
      </c>
      <c r="F148">
        <v>72</v>
      </c>
      <c r="G148">
        <v>26.25</v>
      </c>
      <c r="H148">
        <v>36000</v>
      </c>
      <c r="I148" t="s">
        <v>22</v>
      </c>
    </row>
    <row r="149" spans="1:9" x14ac:dyDescent="0.25">
      <c r="A149">
        <v>30</v>
      </c>
      <c r="B149" t="s">
        <v>12</v>
      </c>
      <c r="C149">
        <v>2019</v>
      </c>
      <c r="D149">
        <v>72</v>
      </c>
      <c r="E149">
        <v>70</v>
      </c>
      <c r="F149">
        <v>83.625</v>
      </c>
      <c r="G149">
        <v>58.375</v>
      </c>
      <c r="H149">
        <v>36000</v>
      </c>
      <c r="I149" t="s">
        <v>22</v>
      </c>
    </row>
    <row r="150" spans="1:9" x14ac:dyDescent="0.25">
      <c r="A150">
        <v>31</v>
      </c>
      <c r="B150" t="s">
        <v>12</v>
      </c>
      <c r="C150">
        <v>2019</v>
      </c>
      <c r="D150">
        <v>83.625</v>
      </c>
      <c r="E150" t="s">
        <v>9</v>
      </c>
      <c r="F150">
        <v>34</v>
      </c>
      <c r="G150">
        <v>49.625</v>
      </c>
      <c r="H150">
        <v>36000</v>
      </c>
      <c r="I150" t="s">
        <v>22</v>
      </c>
    </row>
    <row r="151" spans="1:9" hidden="1" x14ac:dyDescent="0.25">
      <c r="A151">
        <v>1</v>
      </c>
      <c r="B151" t="s">
        <v>12</v>
      </c>
      <c r="C151">
        <v>2019</v>
      </c>
      <c r="D151">
        <v>67.5</v>
      </c>
      <c r="E151">
        <v>71</v>
      </c>
      <c r="F151">
        <v>64.875</v>
      </c>
      <c r="G151">
        <v>73.625</v>
      </c>
      <c r="H151">
        <v>36000</v>
      </c>
      <c r="I151" t="s">
        <v>23</v>
      </c>
    </row>
    <row r="152" spans="1:9" hidden="1" x14ac:dyDescent="0.25">
      <c r="A152">
        <v>2</v>
      </c>
      <c r="B152" t="s">
        <v>12</v>
      </c>
      <c r="C152">
        <v>2019</v>
      </c>
      <c r="D152">
        <v>64.875</v>
      </c>
      <c r="E152">
        <v>108</v>
      </c>
      <c r="F152">
        <v>98</v>
      </c>
      <c r="G152">
        <v>74.875</v>
      </c>
      <c r="H152">
        <v>36000</v>
      </c>
      <c r="I152" t="s">
        <v>23</v>
      </c>
    </row>
    <row r="153" spans="1:9" hidden="1" x14ac:dyDescent="0.25">
      <c r="A153">
        <v>3</v>
      </c>
      <c r="B153" t="s">
        <v>12</v>
      </c>
      <c r="C153">
        <v>2019</v>
      </c>
      <c r="D153">
        <v>98</v>
      </c>
      <c r="E153">
        <v>5</v>
      </c>
      <c r="F153">
        <v>36.5</v>
      </c>
      <c r="G153">
        <v>66.5</v>
      </c>
      <c r="H153">
        <v>36000</v>
      </c>
      <c r="I153" t="s">
        <v>23</v>
      </c>
    </row>
    <row r="154" spans="1:9" hidden="1" x14ac:dyDescent="0.25">
      <c r="A154">
        <v>4</v>
      </c>
      <c r="B154" t="s">
        <v>12</v>
      </c>
      <c r="C154">
        <v>2019</v>
      </c>
      <c r="D154">
        <v>36.5</v>
      </c>
      <c r="E154">
        <v>105</v>
      </c>
      <c r="F154">
        <v>101.5</v>
      </c>
      <c r="G154">
        <v>40</v>
      </c>
      <c r="H154">
        <v>36000</v>
      </c>
      <c r="I154" t="s">
        <v>23</v>
      </c>
    </row>
    <row r="155" spans="1:9" hidden="1" x14ac:dyDescent="0.25">
      <c r="A155">
        <v>5</v>
      </c>
      <c r="B155" t="s">
        <v>12</v>
      </c>
      <c r="C155">
        <v>2019</v>
      </c>
      <c r="D155">
        <v>101.5</v>
      </c>
      <c r="E155">
        <v>70</v>
      </c>
      <c r="F155">
        <v>134</v>
      </c>
      <c r="G155">
        <v>37.5</v>
      </c>
      <c r="H155">
        <v>36000</v>
      </c>
      <c r="I155" t="s">
        <v>23</v>
      </c>
    </row>
    <row r="156" spans="1:9" hidden="1" x14ac:dyDescent="0.25">
      <c r="A156">
        <v>6</v>
      </c>
      <c r="B156" t="s">
        <v>12</v>
      </c>
      <c r="C156">
        <v>2019</v>
      </c>
      <c r="D156">
        <v>134</v>
      </c>
      <c r="E156">
        <v>140</v>
      </c>
      <c r="F156">
        <v>235</v>
      </c>
      <c r="G156">
        <v>39</v>
      </c>
      <c r="H156">
        <v>36000</v>
      </c>
      <c r="I156" t="s">
        <v>23</v>
      </c>
    </row>
    <row r="157" spans="1:9" hidden="1" x14ac:dyDescent="0.25">
      <c r="A157">
        <v>7</v>
      </c>
      <c r="B157" t="s">
        <v>12</v>
      </c>
      <c r="C157">
        <v>2019</v>
      </c>
      <c r="D157">
        <v>235</v>
      </c>
      <c r="E157">
        <v>-114</v>
      </c>
      <c r="F157">
        <v>74</v>
      </c>
      <c r="G157">
        <v>47</v>
      </c>
      <c r="H157">
        <v>36000</v>
      </c>
      <c r="I157" t="s">
        <v>23</v>
      </c>
    </row>
    <row r="158" spans="1:9" hidden="1" x14ac:dyDescent="0.25">
      <c r="A158">
        <v>8</v>
      </c>
      <c r="B158" t="s">
        <v>12</v>
      </c>
      <c r="C158">
        <v>2019</v>
      </c>
      <c r="D158">
        <v>74</v>
      </c>
      <c r="E158">
        <v>69</v>
      </c>
      <c r="F158">
        <v>44</v>
      </c>
      <c r="G158">
        <v>99</v>
      </c>
      <c r="H158">
        <v>36000</v>
      </c>
      <c r="I158" t="s">
        <v>23</v>
      </c>
    </row>
    <row r="159" spans="1:9" hidden="1" x14ac:dyDescent="0.25">
      <c r="A159">
        <v>9</v>
      </c>
      <c r="B159" t="s">
        <v>12</v>
      </c>
      <c r="C159">
        <v>2019</v>
      </c>
      <c r="D159">
        <v>44</v>
      </c>
      <c r="E159">
        <v>70</v>
      </c>
      <c r="F159">
        <v>34.5</v>
      </c>
      <c r="G159">
        <v>79.5</v>
      </c>
      <c r="H159">
        <v>36000</v>
      </c>
      <c r="I159" t="s">
        <v>23</v>
      </c>
    </row>
    <row r="160" spans="1:9" hidden="1" x14ac:dyDescent="0.25">
      <c r="A160">
        <v>10</v>
      </c>
      <c r="B160" t="s">
        <v>12</v>
      </c>
      <c r="C160">
        <v>2019</v>
      </c>
      <c r="D160">
        <v>34.5</v>
      </c>
      <c r="E160">
        <v>141</v>
      </c>
      <c r="F160">
        <v>105</v>
      </c>
      <c r="G160">
        <v>70.5</v>
      </c>
      <c r="H160">
        <v>36000</v>
      </c>
      <c r="I160" t="s">
        <v>23</v>
      </c>
    </row>
    <row r="161" spans="1:9" hidden="1" x14ac:dyDescent="0.25">
      <c r="A161">
        <v>11</v>
      </c>
      <c r="B161" t="s">
        <v>12</v>
      </c>
      <c r="C161">
        <v>2019</v>
      </c>
      <c r="D161">
        <v>105</v>
      </c>
      <c r="E161" t="s">
        <v>9</v>
      </c>
      <c r="F161">
        <v>65.75</v>
      </c>
      <c r="G161">
        <v>39.25</v>
      </c>
      <c r="H161">
        <v>36000</v>
      </c>
      <c r="I161" t="s">
        <v>23</v>
      </c>
    </row>
    <row r="162" spans="1:9" hidden="1" x14ac:dyDescent="0.25">
      <c r="A162">
        <v>12</v>
      </c>
      <c r="B162" t="s">
        <v>12</v>
      </c>
      <c r="C162">
        <v>2019</v>
      </c>
      <c r="D162">
        <v>65.75</v>
      </c>
      <c r="E162">
        <v>105</v>
      </c>
      <c r="F162">
        <v>128.5</v>
      </c>
      <c r="G162">
        <v>42.25</v>
      </c>
      <c r="H162">
        <v>36000</v>
      </c>
      <c r="I162" t="s">
        <v>23</v>
      </c>
    </row>
    <row r="163" spans="1:9" hidden="1" x14ac:dyDescent="0.25">
      <c r="A163">
        <v>13</v>
      </c>
      <c r="B163" t="s">
        <v>12</v>
      </c>
      <c r="C163">
        <v>2019</v>
      </c>
      <c r="D163">
        <v>128.5</v>
      </c>
      <c r="E163">
        <v>70</v>
      </c>
      <c r="F163">
        <v>165</v>
      </c>
      <c r="G163">
        <v>33.5</v>
      </c>
      <c r="H163">
        <v>36000</v>
      </c>
      <c r="I163" t="s">
        <v>23</v>
      </c>
    </row>
    <row r="164" spans="1:9" hidden="1" x14ac:dyDescent="0.25">
      <c r="A164">
        <v>14</v>
      </c>
      <c r="B164" t="s">
        <v>12</v>
      </c>
      <c r="C164">
        <v>2019</v>
      </c>
      <c r="D164">
        <v>165</v>
      </c>
      <c r="E164">
        <v>-15</v>
      </c>
      <c r="F164">
        <v>112</v>
      </c>
      <c r="G164">
        <v>38</v>
      </c>
      <c r="H164">
        <v>36000</v>
      </c>
      <c r="I164" t="s">
        <v>23</v>
      </c>
    </row>
    <row r="165" spans="1:9" hidden="1" x14ac:dyDescent="0.25">
      <c r="A165">
        <v>15</v>
      </c>
      <c r="B165" t="s">
        <v>12</v>
      </c>
      <c r="C165">
        <v>2019</v>
      </c>
      <c r="D165">
        <v>112</v>
      </c>
      <c r="E165" t="s">
        <v>9</v>
      </c>
      <c r="F165">
        <v>44.5</v>
      </c>
      <c r="G165">
        <v>67.5</v>
      </c>
      <c r="H165">
        <v>36000</v>
      </c>
      <c r="I165" t="s">
        <v>23</v>
      </c>
    </row>
    <row r="166" spans="1:9" hidden="1" x14ac:dyDescent="0.25">
      <c r="A166">
        <v>16</v>
      </c>
      <c r="B166" t="s">
        <v>12</v>
      </c>
      <c r="C166">
        <v>2019</v>
      </c>
      <c r="D166">
        <v>44.5</v>
      </c>
      <c r="E166">
        <v>142</v>
      </c>
      <c r="F166">
        <v>120.5</v>
      </c>
      <c r="G166">
        <v>66</v>
      </c>
      <c r="H166">
        <v>36000</v>
      </c>
      <c r="I166" t="s">
        <v>23</v>
      </c>
    </row>
    <row r="167" spans="1:9" hidden="1" x14ac:dyDescent="0.25">
      <c r="A167">
        <v>17</v>
      </c>
      <c r="B167" t="s">
        <v>12</v>
      </c>
      <c r="C167">
        <v>2019</v>
      </c>
      <c r="D167">
        <v>120.5</v>
      </c>
      <c r="E167">
        <v>106</v>
      </c>
      <c r="F167">
        <v>151</v>
      </c>
      <c r="G167">
        <v>75.5</v>
      </c>
      <c r="H167">
        <v>36000</v>
      </c>
      <c r="I167" t="s">
        <v>23</v>
      </c>
    </row>
    <row r="168" spans="1:9" hidden="1" x14ac:dyDescent="0.25">
      <c r="A168">
        <v>18</v>
      </c>
      <c r="B168" t="s">
        <v>12</v>
      </c>
      <c r="C168">
        <v>2019</v>
      </c>
      <c r="D168">
        <v>151</v>
      </c>
      <c r="E168">
        <v>105</v>
      </c>
      <c r="F168">
        <v>228</v>
      </c>
      <c r="G168">
        <v>28</v>
      </c>
      <c r="H168">
        <v>36000</v>
      </c>
      <c r="I168" t="s">
        <v>23</v>
      </c>
    </row>
    <row r="169" spans="1:9" hidden="1" x14ac:dyDescent="0.25">
      <c r="A169">
        <v>19</v>
      </c>
      <c r="B169" t="s">
        <v>12</v>
      </c>
      <c r="C169">
        <v>2019</v>
      </c>
      <c r="D169">
        <v>228</v>
      </c>
      <c r="E169">
        <v>-47</v>
      </c>
      <c r="F169">
        <v>145</v>
      </c>
      <c r="G169">
        <v>36</v>
      </c>
      <c r="H169">
        <v>36000</v>
      </c>
      <c r="I169" t="s">
        <v>23</v>
      </c>
    </row>
    <row r="170" spans="1:9" hidden="1" x14ac:dyDescent="0.25">
      <c r="A170">
        <v>21</v>
      </c>
      <c r="B170" t="s">
        <v>12</v>
      </c>
      <c r="C170">
        <v>2019</v>
      </c>
      <c r="D170">
        <v>105</v>
      </c>
      <c r="E170">
        <v>107</v>
      </c>
      <c r="F170">
        <v>168.75</v>
      </c>
      <c r="G170">
        <v>43.25</v>
      </c>
      <c r="H170">
        <v>36000</v>
      </c>
      <c r="I170" t="s">
        <v>23</v>
      </c>
    </row>
    <row r="171" spans="1:9" hidden="1" x14ac:dyDescent="0.25">
      <c r="A171">
        <v>20</v>
      </c>
      <c r="B171" t="s">
        <v>12</v>
      </c>
      <c r="C171">
        <v>2019</v>
      </c>
      <c r="D171">
        <v>145</v>
      </c>
      <c r="E171" t="s">
        <v>9</v>
      </c>
      <c r="F171">
        <v>105</v>
      </c>
      <c r="G171">
        <v>40</v>
      </c>
      <c r="H171">
        <v>36000</v>
      </c>
      <c r="I171" t="s">
        <v>23</v>
      </c>
    </row>
    <row r="172" spans="1:9" hidden="1" x14ac:dyDescent="0.25">
      <c r="A172">
        <v>22</v>
      </c>
      <c r="B172" t="s">
        <v>12</v>
      </c>
      <c r="C172">
        <v>2019</v>
      </c>
      <c r="D172">
        <v>168.75</v>
      </c>
      <c r="E172" t="s">
        <v>9</v>
      </c>
      <c r="F172">
        <v>112</v>
      </c>
      <c r="G172">
        <v>56.75</v>
      </c>
      <c r="H172">
        <v>36000</v>
      </c>
      <c r="I172" t="s">
        <v>23</v>
      </c>
    </row>
    <row r="173" spans="1:9" hidden="1" x14ac:dyDescent="0.25">
      <c r="A173">
        <v>23</v>
      </c>
      <c r="B173" t="s">
        <v>12</v>
      </c>
      <c r="C173">
        <v>2019</v>
      </c>
      <c r="D173">
        <v>112</v>
      </c>
      <c r="E173">
        <v>106</v>
      </c>
      <c r="F173">
        <v>142</v>
      </c>
      <c r="G173">
        <v>76</v>
      </c>
      <c r="H173">
        <v>36000</v>
      </c>
      <c r="I173" t="s">
        <v>23</v>
      </c>
    </row>
    <row r="174" spans="1:9" hidden="1" x14ac:dyDescent="0.25">
      <c r="A174">
        <v>24</v>
      </c>
      <c r="B174" t="s">
        <v>12</v>
      </c>
      <c r="C174">
        <v>2019</v>
      </c>
      <c r="D174">
        <v>142</v>
      </c>
      <c r="E174">
        <v>7</v>
      </c>
      <c r="F174">
        <v>63</v>
      </c>
      <c r="G174">
        <v>86</v>
      </c>
      <c r="H174">
        <v>36000</v>
      </c>
      <c r="I174" t="s">
        <v>23</v>
      </c>
    </row>
    <row r="175" spans="1:9" hidden="1" x14ac:dyDescent="0.25">
      <c r="A175">
        <v>25</v>
      </c>
      <c r="B175" t="s">
        <v>12</v>
      </c>
      <c r="C175">
        <v>2019</v>
      </c>
      <c r="D175">
        <v>63</v>
      </c>
      <c r="E175">
        <v>108</v>
      </c>
      <c r="F175">
        <v>95.5</v>
      </c>
      <c r="G175">
        <v>75.5</v>
      </c>
      <c r="H175">
        <v>36000</v>
      </c>
      <c r="I175" t="s">
        <v>23</v>
      </c>
    </row>
    <row r="176" spans="1:9" hidden="1" x14ac:dyDescent="0.25">
      <c r="A176">
        <v>26</v>
      </c>
      <c r="B176" t="s">
        <v>12</v>
      </c>
      <c r="C176">
        <v>2019</v>
      </c>
      <c r="D176">
        <v>95.5</v>
      </c>
      <c r="E176">
        <v>-30</v>
      </c>
      <c r="F176">
        <v>28.5</v>
      </c>
      <c r="G176">
        <v>37</v>
      </c>
      <c r="H176">
        <v>36000</v>
      </c>
      <c r="I176" t="s">
        <v>23</v>
      </c>
    </row>
    <row r="177" spans="1:9" hidden="1" x14ac:dyDescent="0.25">
      <c r="A177">
        <v>27</v>
      </c>
      <c r="B177" t="s">
        <v>12</v>
      </c>
      <c r="C177">
        <v>2019</v>
      </c>
      <c r="D177">
        <v>28.5</v>
      </c>
      <c r="E177">
        <v>75</v>
      </c>
      <c r="F177">
        <v>64.5</v>
      </c>
      <c r="G177">
        <v>39</v>
      </c>
      <c r="H177">
        <v>36000</v>
      </c>
      <c r="I177" t="s">
        <v>23</v>
      </c>
    </row>
    <row r="178" spans="1:9" hidden="1" x14ac:dyDescent="0.25">
      <c r="A178">
        <v>28</v>
      </c>
      <c r="B178" t="s">
        <v>12</v>
      </c>
      <c r="C178">
        <v>2019</v>
      </c>
      <c r="D178">
        <v>64.5</v>
      </c>
      <c r="E178">
        <v>110</v>
      </c>
      <c r="F178">
        <v>133.5</v>
      </c>
      <c r="G178">
        <v>41</v>
      </c>
      <c r="H178">
        <v>36000</v>
      </c>
      <c r="I178" t="s">
        <v>23</v>
      </c>
    </row>
    <row r="179" spans="1:9" hidden="1" x14ac:dyDescent="0.25">
      <c r="A179">
        <v>29</v>
      </c>
      <c r="B179" t="s">
        <v>12</v>
      </c>
      <c r="C179">
        <v>2019</v>
      </c>
      <c r="D179">
        <v>133.5</v>
      </c>
      <c r="E179" t="s">
        <v>9</v>
      </c>
      <c r="F179">
        <v>72</v>
      </c>
      <c r="G179">
        <v>61.5</v>
      </c>
      <c r="H179">
        <v>36000</v>
      </c>
      <c r="I179" t="s">
        <v>23</v>
      </c>
    </row>
    <row r="180" spans="1:9" hidden="1" x14ac:dyDescent="0.25">
      <c r="A180">
        <v>30</v>
      </c>
      <c r="B180" t="s">
        <v>12</v>
      </c>
      <c r="C180">
        <v>2019</v>
      </c>
      <c r="D180">
        <v>72</v>
      </c>
      <c r="E180">
        <v>34</v>
      </c>
      <c r="F180">
        <v>22</v>
      </c>
      <c r="G180">
        <v>84</v>
      </c>
      <c r="H180">
        <v>36000</v>
      </c>
      <c r="I180" t="s">
        <v>23</v>
      </c>
    </row>
    <row r="181" spans="1:9" hidden="1" x14ac:dyDescent="0.25">
      <c r="A181">
        <v>31</v>
      </c>
      <c r="B181" t="s">
        <v>12</v>
      </c>
      <c r="C181">
        <v>2019</v>
      </c>
      <c r="D181">
        <v>22</v>
      </c>
      <c r="E181">
        <v>130</v>
      </c>
      <c r="F181">
        <v>60.5</v>
      </c>
      <c r="G181">
        <v>91.5</v>
      </c>
      <c r="H181">
        <v>36000</v>
      </c>
      <c r="I181" t="s">
        <v>23</v>
      </c>
    </row>
    <row r="182" spans="1:9" x14ac:dyDescent="0.25">
      <c r="A182">
        <v>1</v>
      </c>
      <c r="B182" t="s">
        <v>13</v>
      </c>
      <c r="C182">
        <v>2019</v>
      </c>
      <c r="D182">
        <v>34</v>
      </c>
      <c r="E182" t="s">
        <v>9</v>
      </c>
      <c r="F182">
        <v>22.25</v>
      </c>
      <c r="G182">
        <v>11.75</v>
      </c>
      <c r="H182">
        <v>36000</v>
      </c>
      <c r="I182" t="s">
        <v>22</v>
      </c>
    </row>
    <row r="183" spans="1:9" x14ac:dyDescent="0.25">
      <c r="A183">
        <v>2</v>
      </c>
      <c r="B183" t="s">
        <v>13</v>
      </c>
      <c r="C183">
        <v>2019</v>
      </c>
      <c r="D183">
        <v>22.25</v>
      </c>
      <c r="E183">
        <v>40</v>
      </c>
      <c r="F183">
        <v>43.25</v>
      </c>
      <c r="G183">
        <v>19</v>
      </c>
      <c r="H183">
        <v>36000</v>
      </c>
      <c r="I183" t="s">
        <v>22</v>
      </c>
    </row>
    <row r="184" spans="1:9" x14ac:dyDescent="0.25">
      <c r="A184">
        <v>3</v>
      </c>
      <c r="B184" t="s">
        <v>13</v>
      </c>
      <c r="C184">
        <v>2019</v>
      </c>
      <c r="D184">
        <v>43.25</v>
      </c>
      <c r="E184" t="s">
        <v>9</v>
      </c>
      <c r="F184">
        <v>18</v>
      </c>
      <c r="G184">
        <v>25.25</v>
      </c>
      <c r="H184">
        <v>36000</v>
      </c>
      <c r="I184" t="s">
        <v>22</v>
      </c>
    </row>
    <row r="185" spans="1:9" x14ac:dyDescent="0.25">
      <c r="A185">
        <v>4</v>
      </c>
      <c r="B185" t="s">
        <v>13</v>
      </c>
      <c r="C185">
        <v>2019</v>
      </c>
      <c r="D185">
        <v>18</v>
      </c>
      <c r="E185">
        <v>60</v>
      </c>
      <c r="F185">
        <v>55</v>
      </c>
      <c r="G185">
        <v>23</v>
      </c>
      <c r="H185">
        <v>36000</v>
      </c>
      <c r="I185" t="s">
        <v>22</v>
      </c>
    </row>
    <row r="186" spans="1:9" x14ac:dyDescent="0.25">
      <c r="A186">
        <v>5</v>
      </c>
      <c r="B186" t="s">
        <v>13</v>
      </c>
      <c r="C186">
        <v>2019</v>
      </c>
      <c r="D186">
        <v>55</v>
      </c>
      <c r="E186" t="s">
        <v>9</v>
      </c>
      <c r="F186">
        <v>21</v>
      </c>
      <c r="G186">
        <v>34</v>
      </c>
      <c r="H186">
        <v>36000</v>
      </c>
      <c r="I186" t="s">
        <v>22</v>
      </c>
    </row>
    <row r="187" spans="1:9" x14ac:dyDescent="0.25">
      <c r="A187">
        <v>6</v>
      </c>
      <c r="B187" t="s">
        <v>13</v>
      </c>
      <c r="C187">
        <v>2019</v>
      </c>
      <c r="D187">
        <v>21</v>
      </c>
      <c r="E187">
        <v>50</v>
      </c>
      <c r="F187">
        <v>18</v>
      </c>
      <c r="G187">
        <v>53</v>
      </c>
      <c r="H187">
        <v>36000</v>
      </c>
      <c r="I187" t="s">
        <v>22</v>
      </c>
    </row>
    <row r="188" spans="1:9" x14ac:dyDescent="0.25">
      <c r="A188">
        <v>7</v>
      </c>
      <c r="B188" t="s">
        <v>13</v>
      </c>
      <c r="C188">
        <v>2019</v>
      </c>
      <c r="D188">
        <v>18</v>
      </c>
      <c r="E188">
        <v>99</v>
      </c>
      <c r="F188">
        <v>54</v>
      </c>
      <c r="G188">
        <v>63</v>
      </c>
      <c r="H188">
        <v>36000</v>
      </c>
      <c r="I188" t="s">
        <v>22</v>
      </c>
    </row>
    <row r="189" spans="1:9" x14ac:dyDescent="0.25">
      <c r="A189">
        <v>8</v>
      </c>
      <c r="B189" t="s">
        <v>13</v>
      </c>
      <c r="C189">
        <v>2019</v>
      </c>
      <c r="D189">
        <v>54</v>
      </c>
      <c r="E189">
        <v>120</v>
      </c>
      <c r="F189">
        <v>159.25</v>
      </c>
      <c r="G189">
        <v>14.75</v>
      </c>
      <c r="H189">
        <v>36000</v>
      </c>
      <c r="I189" t="s">
        <v>22</v>
      </c>
    </row>
    <row r="190" spans="1:9" x14ac:dyDescent="0.25">
      <c r="A190">
        <v>9</v>
      </c>
      <c r="B190" t="s">
        <v>13</v>
      </c>
      <c r="C190">
        <v>2019</v>
      </c>
      <c r="D190">
        <v>159.25</v>
      </c>
      <c r="E190" t="s">
        <v>9</v>
      </c>
      <c r="F190">
        <v>135.375</v>
      </c>
      <c r="G190">
        <v>23.875</v>
      </c>
      <c r="H190">
        <v>36000</v>
      </c>
      <c r="I190" t="s">
        <v>22</v>
      </c>
    </row>
    <row r="191" spans="1:9" x14ac:dyDescent="0.25">
      <c r="A191">
        <v>10</v>
      </c>
      <c r="B191" t="s">
        <v>13</v>
      </c>
      <c r="C191">
        <v>2019</v>
      </c>
      <c r="D191">
        <v>135.375</v>
      </c>
      <c r="E191" t="s">
        <v>9</v>
      </c>
      <c r="F191">
        <v>114</v>
      </c>
      <c r="G191">
        <v>21.375</v>
      </c>
      <c r="H191">
        <v>36000</v>
      </c>
      <c r="I191" t="s">
        <v>22</v>
      </c>
    </row>
    <row r="192" spans="1:9" x14ac:dyDescent="0.25">
      <c r="A192">
        <v>11</v>
      </c>
      <c r="B192" t="s">
        <v>13</v>
      </c>
      <c r="C192">
        <v>2019</v>
      </c>
      <c r="D192">
        <v>114</v>
      </c>
      <c r="E192">
        <v>150</v>
      </c>
      <c r="F192">
        <v>240.5</v>
      </c>
      <c r="G192">
        <v>23.5</v>
      </c>
      <c r="H192">
        <v>36000</v>
      </c>
      <c r="I192" t="s">
        <v>22</v>
      </c>
    </row>
    <row r="193" spans="1:9" x14ac:dyDescent="0.25">
      <c r="A193">
        <v>12</v>
      </c>
      <c r="B193" t="s">
        <v>13</v>
      </c>
      <c r="C193">
        <v>2019</v>
      </c>
      <c r="D193">
        <v>240.5</v>
      </c>
      <c r="E193" t="s">
        <v>9</v>
      </c>
      <c r="F193">
        <v>204.375</v>
      </c>
      <c r="G193">
        <v>36.125</v>
      </c>
      <c r="H193">
        <v>36000</v>
      </c>
      <c r="I193" t="s">
        <v>22</v>
      </c>
    </row>
    <row r="194" spans="1:9" x14ac:dyDescent="0.25">
      <c r="A194">
        <v>13</v>
      </c>
      <c r="B194" t="s">
        <v>13</v>
      </c>
      <c r="C194">
        <v>2019</v>
      </c>
      <c r="D194">
        <v>204.375</v>
      </c>
      <c r="E194" t="s">
        <v>9</v>
      </c>
      <c r="F194">
        <v>162</v>
      </c>
      <c r="G194">
        <v>42.375</v>
      </c>
      <c r="H194">
        <v>36000</v>
      </c>
      <c r="I194" t="s">
        <v>22</v>
      </c>
    </row>
    <row r="195" spans="1:9" x14ac:dyDescent="0.25">
      <c r="A195">
        <v>14</v>
      </c>
      <c r="B195" t="s">
        <v>13</v>
      </c>
      <c r="C195">
        <v>2019</v>
      </c>
      <c r="D195">
        <v>162</v>
      </c>
      <c r="E195" t="s">
        <v>9</v>
      </c>
      <c r="F195">
        <v>102</v>
      </c>
      <c r="G195">
        <v>60</v>
      </c>
      <c r="H195">
        <v>36000</v>
      </c>
      <c r="I195" t="s">
        <v>22</v>
      </c>
    </row>
    <row r="196" spans="1:9" x14ac:dyDescent="0.25">
      <c r="A196">
        <v>15</v>
      </c>
      <c r="B196" t="s">
        <v>13</v>
      </c>
      <c r="C196">
        <v>2019</v>
      </c>
      <c r="D196">
        <v>102</v>
      </c>
      <c r="E196">
        <v>60</v>
      </c>
      <c r="F196">
        <v>129.5</v>
      </c>
      <c r="G196">
        <v>32.5</v>
      </c>
      <c r="H196">
        <v>36000</v>
      </c>
      <c r="I196" t="s">
        <v>22</v>
      </c>
    </row>
    <row r="197" spans="1:9" x14ac:dyDescent="0.25">
      <c r="A197">
        <v>16</v>
      </c>
      <c r="B197" t="s">
        <v>13</v>
      </c>
      <c r="C197">
        <v>2019</v>
      </c>
      <c r="D197">
        <v>129.5</v>
      </c>
      <c r="E197">
        <v>-2</v>
      </c>
      <c r="F197">
        <v>88</v>
      </c>
      <c r="G197">
        <v>39.5</v>
      </c>
      <c r="H197">
        <v>36000</v>
      </c>
      <c r="I197" t="s">
        <v>22</v>
      </c>
    </row>
    <row r="198" spans="1:9" x14ac:dyDescent="0.25">
      <c r="A198">
        <v>17</v>
      </c>
      <c r="B198" t="s">
        <v>13</v>
      </c>
      <c r="C198">
        <v>2019</v>
      </c>
      <c r="D198">
        <v>88</v>
      </c>
      <c r="E198">
        <v>150</v>
      </c>
      <c r="F198">
        <v>183</v>
      </c>
      <c r="G198">
        <v>55</v>
      </c>
      <c r="H198">
        <v>36000</v>
      </c>
      <c r="I198" t="s">
        <v>22</v>
      </c>
    </row>
    <row r="199" spans="1:9" x14ac:dyDescent="0.25">
      <c r="A199">
        <v>18</v>
      </c>
      <c r="B199" t="s">
        <v>13</v>
      </c>
      <c r="C199">
        <v>2019</v>
      </c>
      <c r="D199">
        <v>183</v>
      </c>
      <c r="E199" t="s">
        <v>9</v>
      </c>
      <c r="F199">
        <v>139.25</v>
      </c>
      <c r="G199">
        <v>43.75</v>
      </c>
      <c r="H199">
        <v>36000</v>
      </c>
      <c r="I199" t="s">
        <v>22</v>
      </c>
    </row>
    <row r="200" spans="1:9" x14ac:dyDescent="0.25">
      <c r="A200">
        <v>19</v>
      </c>
      <c r="B200" t="s">
        <v>13</v>
      </c>
      <c r="C200">
        <v>2019</v>
      </c>
      <c r="D200">
        <v>139.25</v>
      </c>
      <c r="E200" t="s">
        <v>9</v>
      </c>
      <c r="F200">
        <v>77</v>
      </c>
      <c r="G200">
        <v>62.25</v>
      </c>
      <c r="H200">
        <v>36000</v>
      </c>
      <c r="I200" t="s">
        <v>22</v>
      </c>
    </row>
    <row r="201" spans="1:9" x14ac:dyDescent="0.25">
      <c r="A201">
        <v>20</v>
      </c>
      <c r="B201" t="s">
        <v>13</v>
      </c>
      <c r="C201">
        <v>2019</v>
      </c>
      <c r="D201">
        <v>77</v>
      </c>
      <c r="E201">
        <v>30</v>
      </c>
      <c r="F201">
        <v>60</v>
      </c>
      <c r="G201">
        <v>47</v>
      </c>
      <c r="H201">
        <v>36000</v>
      </c>
      <c r="I201" t="s">
        <v>22</v>
      </c>
    </row>
    <row r="202" spans="1:9" x14ac:dyDescent="0.25">
      <c r="A202">
        <v>21</v>
      </c>
      <c r="B202" t="s">
        <v>13</v>
      </c>
      <c r="C202">
        <v>2019</v>
      </c>
      <c r="D202">
        <v>60</v>
      </c>
      <c r="E202" t="s">
        <v>9</v>
      </c>
      <c r="F202">
        <v>9</v>
      </c>
      <c r="G202">
        <v>51</v>
      </c>
      <c r="H202">
        <v>36000</v>
      </c>
      <c r="I202" t="s">
        <v>22</v>
      </c>
    </row>
    <row r="203" spans="1:9" x14ac:dyDescent="0.25">
      <c r="A203">
        <v>22</v>
      </c>
      <c r="B203" t="s">
        <v>13</v>
      </c>
      <c r="C203">
        <v>2019</v>
      </c>
      <c r="D203">
        <v>9</v>
      </c>
      <c r="E203">
        <v>100</v>
      </c>
      <c r="F203">
        <v>99.5</v>
      </c>
      <c r="G203">
        <v>9.5</v>
      </c>
      <c r="H203">
        <v>36000</v>
      </c>
      <c r="I203" t="s">
        <v>22</v>
      </c>
    </row>
    <row r="204" spans="1:9" x14ac:dyDescent="0.25">
      <c r="A204">
        <v>23</v>
      </c>
      <c r="B204" t="s">
        <v>13</v>
      </c>
      <c r="C204">
        <v>2019</v>
      </c>
      <c r="D204">
        <v>99.5</v>
      </c>
      <c r="E204" t="s">
        <v>9</v>
      </c>
      <c r="F204">
        <v>74.25</v>
      </c>
      <c r="G204">
        <v>25.25</v>
      </c>
      <c r="H204">
        <v>36000</v>
      </c>
      <c r="I204" t="s">
        <v>22</v>
      </c>
    </row>
    <row r="205" spans="1:9" x14ac:dyDescent="0.25">
      <c r="A205">
        <v>24</v>
      </c>
      <c r="B205" t="s">
        <v>13</v>
      </c>
      <c r="C205">
        <v>2019</v>
      </c>
      <c r="D205">
        <v>74.25</v>
      </c>
      <c r="E205" t="s">
        <v>9</v>
      </c>
      <c r="F205">
        <v>40.75</v>
      </c>
      <c r="G205">
        <v>33.5</v>
      </c>
      <c r="H205">
        <v>36000</v>
      </c>
      <c r="I205" t="s">
        <v>22</v>
      </c>
    </row>
    <row r="206" spans="1:9" x14ac:dyDescent="0.25">
      <c r="A206">
        <v>25</v>
      </c>
      <c r="B206" t="s">
        <v>13</v>
      </c>
      <c r="C206">
        <v>2019</v>
      </c>
      <c r="D206">
        <v>40.75</v>
      </c>
      <c r="E206">
        <v>130</v>
      </c>
      <c r="F206">
        <v>129</v>
      </c>
      <c r="G206">
        <v>41.75</v>
      </c>
      <c r="H206">
        <v>36000</v>
      </c>
      <c r="I206" t="s">
        <v>22</v>
      </c>
    </row>
    <row r="207" spans="1:9" x14ac:dyDescent="0.25">
      <c r="A207">
        <v>26</v>
      </c>
      <c r="B207" t="s">
        <v>13</v>
      </c>
      <c r="C207">
        <v>2019</v>
      </c>
      <c r="D207">
        <v>129</v>
      </c>
      <c r="E207" t="s">
        <v>9</v>
      </c>
      <c r="F207">
        <v>88.75</v>
      </c>
      <c r="G207">
        <v>40.25</v>
      </c>
      <c r="H207">
        <v>36000</v>
      </c>
      <c r="I207" t="s">
        <v>22</v>
      </c>
    </row>
    <row r="208" spans="1:9" x14ac:dyDescent="0.25">
      <c r="A208">
        <v>27</v>
      </c>
      <c r="B208" t="s">
        <v>13</v>
      </c>
      <c r="C208">
        <v>2019</v>
      </c>
      <c r="D208">
        <v>88.75</v>
      </c>
      <c r="E208" t="s">
        <v>9</v>
      </c>
      <c r="F208">
        <v>10</v>
      </c>
      <c r="G208">
        <v>78.75</v>
      </c>
      <c r="H208">
        <v>36000</v>
      </c>
      <c r="I208" t="s">
        <v>22</v>
      </c>
    </row>
    <row r="209" spans="1:9" x14ac:dyDescent="0.25">
      <c r="A209">
        <v>28</v>
      </c>
      <c r="B209" t="s">
        <v>13</v>
      </c>
      <c r="C209">
        <v>2019</v>
      </c>
      <c r="D209">
        <v>10</v>
      </c>
      <c r="E209">
        <v>90</v>
      </c>
      <c r="F209">
        <v>19.5</v>
      </c>
      <c r="G209">
        <v>80.5</v>
      </c>
      <c r="H209">
        <v>36000</v>
      </c>
      <c r="I209" t="s">
        <v>22</v>
      </c>
    </row>
    <row r="210" spans="1:9" x14ac:dyDescent="0.25">
      <c r="A210">
        <v>29</v>
      </c>
      <c r="B210" t="s">
        <v>13</v>
      </c>
      <c r="C210">
        <v>2019</v>
      </c>
      <c r="D210">
        <v>19.5</v>
      </c>
      <c r="E210">
        <v>100</v>
      </c>
      <c r="F210">
        <v>107</v>
      </c>
      <c r="G210">
        <v>12.5</v>
      </c>
      <c r="H210">
        <v>36000</v>
      </c>
      <c r="I210" t="s">
        <v>22</v>
      </c>
    </row>
    <row r="211" spans="1:9" x14ac:dyDescent="0.25">
      <c r="A211">
        <v>30</v>
      </c>
      <c r="B211" t="s">
        <v>13</v>
      </c>
      <c r="C211">
        <v>2019</v>
      </c>
      <c r="D211">
        <v>107</v>
      </c>
      <c r="E211" t="s">
        <v>9</v>
      </c>
      <c r="F211">
        <v>52.75</v>
      </c>
      <c r="G211">
        <v>54.25</v>
      </c>
      <c r="H211">
        <v>36000</v>
      </c>
      <c r="I211" t="s">
        <v>22</v>
      </c>
    </row>
    <row r="212" spans="1:9" hidden="1" x14ac:dyDescent="0.25">
      <c r="A212">
        <v>1</v>
      </c>
      <c r="B212" t="s">
        <v>13</v>
      </c>
      <c r="C212">
        <v>2019</v>
      </c>
      <c r="D212">
        <v>60.5</v>
      </c>
      <c r="E212">
        <v>181</v>
      </c>
      <c r="F212">
        <v>212.25</v>
      </c>
      <c r="G212">
        <v>29.25</v>
      </c>
      <c r="H212">
        <v>36000</v>
      </c>
      <c r="I212" t="s">
        <v>23</v>
      </c>
    </row>
    <row r="213" spans="1:9" hidden="1" x14ac:dyDescent="0.25">
      <c r="A213">
        <v>2</v>
      </c>
      <c r="B213" t="s">
        <v>13</v>
      </c>
      <c r="C213">
        <v>2019</v>
      </c>
      <c r="D213">
        <v>212.25</v>
      </c>
      <c r="E213">
        <v>-40</v>
      </c>
      <c r="F213">
        <v>130.5</v>
      </c>
      <c r="G213">
        <v>41.75</v>
      </c>
      <c r="H213">
        <v>36000</v>
      </c>
      <c r="I213" t="s">
        <v>23</v>
      </c>
    </row>
    <row r="214" spans="1:9" hidden="1" x14ac:dyDescent="0.25">
      <c r="A214">
        <v>3</v>
      </c>
      <c r="B214" t="s">
        <v>13</v>
      </c>
      <c r="C214">
        <v>2019</v>
      </c>
      <c r="D214">
        <v>130.5</v>
      </c>
      <c r="E214" t="s">
        <v>9</v>
      </c>
      <c r="F214">
        <v>81.5</v>
      </c>
      <c r="G214">
        <v>49</v>
      </c>
      <c r="H214">
        <v>36000</v>
      </c>
      <c r="I214" t="s">
        <v>23</v>
      </c>
    </row>
    <row r="215" spans="1:9" hidden="1" x14ac:dyDescent="0.25">
      <c r="A215">
        <v>4</v>
      </c>
      <c r="B215" t="s">
        <v>13</v>
      </c>
      <c r="C215">
        <v>2019</v>
      </c>
      <c r="D215">
        <v>81.5</v>
      </c>
      <c r="E215">
        <v>12</v>
      </c>
      <c r="F215">
        <v>37</v>
      </c>
      <c r="G215">
        <v>56.5</v>
      </c>
      <c r="H215">
        <v>36000</v>
      </c>
      <c r="I215" t="s">
        <v>23</v>
      </c>
    </row>
    <row r="216" spans="1:9" hidden="1" x14ac:dyDescent="0.25">
      <c r="A216">
        <v>5</v>
      </c>
      <c r="B216" t="s">
        <v>13</v>
      </c>
      <c r="C216">
        <v>2019</v>
      </c>
      <c r="D216">
        <v>37</v>
      </c>
      <c r="E216">
        <v>72</v>
      </c>
      <c r="F216">
        <v>42</v>
      </c>
      <c r="G216">
        <v>67</v>
      </c>
      <c r="H216">
        <v>36000</v>
      </c>
      <c r="I216" t="s">
        <v>23</v>
      </c>
    </row>
    <row r="217" spans="1:9" hidden="1" x14ac:dyDescent="0.25">
      <c r="A217">
        <v>6</v>
      </c>
      <c r="B217" t="s">
        <v>13</v>
      </c>
      <c r="C217">
        <v>2019</v>
      </c>
      <c r="D217">
        <v>42</v>
      </c>
      <c r="E217">
        <v>171</v>
      </c>
      <c r="F217">
        <v>132</v>
      </c>
      <c r="G217">
        <v>81</v>
      </c>
      <c r="H217">
        <v>36000</v>
      </c>
      <c r="I217" t="s">
        <v>23</v>
      </c>
    </row>
    <row r="218" spans="1:9" hidden="1" x14ac:dyDescent="0.25">
      <c r="A218">
        <v>7</v>
      </c>
      <c r="B218" t="s">
        <v>13</v>
      </c>
      <c r="C218">
        <v>2019</v>
      </c>
      <c r="D218">
        <v>132</v>
      </c>
      <c r="E218">
        <v>17</v>
      </c>
      <c r="F218">
        <v>74</v>
      </c>
      <c r="G218">
        <v>75</v>
      </c>
      <c r="H218">
        <v>36000</v>
      </c>
      <c r="I218" t="s">
        <v>23</v>
      </c>
    </row>
    <row r="219" spans="1:9" hidden="1" x14ac:dyDescent="0.25">
      <c r="A219">
        <v>8</v>
      </c>
      <c r="B219" t="s">
        <v>13</v>
      </c>
      <c r="C219">
        <v>2019</v>
      </c>
      <c r="D219">
        <v>74</v>
      </c>
      <c r="E219">
        <v>65</v>
      </c>
      <c r="F219">
        <v>105.75</v>
      </c>
      <c r="G219">
        <v>33.25</v>
      </c>
      <c r="H219">
        <v>36000</v>
      </c>
      <c r="I219" t="s">
        <v>23</v>
      </c>
    </row>
    <row r="220" spans="1:9" hidden="1" x14ac:dyDescent="0.25">
      <c r="A220">
        <v>9</v>
      </c>
      <c r="B220" t="s">
        <v>13</v>
      </c>
      <c r="C220">
        <v>2019</v>
      </c>
      <c r="D220">
        <v>105.75</v>
      </c>
      <c r="E220">
        <v>54</v>
      </c>
      <c r="F220">
        <v>118.25</v>
      </c>
      <c r="G220">
        <v>41.5</v>
      </c>
      <c r="H220">
        <v>36000</v>
      </c>
      <c r="I220" t="s">
        <v>23</v>
      </c>
    </row>
    <row r="221" spans="1:9" hidden="1" x14ac:dyDescent="0.25">
      <c r="A221">
        <v>10</v>
      </c>
      <c r="B221" t="s">
        <v>13</v>
      </c>
      <c r="C221">
        <v>2019</v>
      </c>
      <c r="D221">
        <v>118.25</v>
      </c>
      <c r="E221">
        <v>217</v>
      </c>
      <c r="F221">
        <v>296</v>
      </c>
      <c r="G221">
        <v>39.25</v>
      </c>
      <c r="H221">
        <v>36000</v>
      </c>
      <c r="I221" t="s">
        <v>23</v>
      </c>
    </row>
    <row r="222" spans="1:9" hidden="1" x14ac:dyDescent="0.25">
      <c r="A222">
        <v>11</v>
      </c>
      <c r="B222" t="s">
        <v>13</v>
      </c>
      <c r="C222">
        <v>2019</v>
      </c>
      <c r="D222">
        <v>296</v>
      </c>
      <c r="E222">
        <v>-75</v>
      </c>
      <c r="F222">
        <v>177</v>
      </c>
      <c r="G222">
        <v>44</v>
      </c>
      <c r="H222">
        <v>36000</v>
      </c>
      <c r="I222" t="s">
        <v>23</v>
      </c>
    </row>
    <row r="223" spans="1:9" hidden="1" x14ac:dyDescent="0.25">
      <c r="A223">
        <v>12</v>
      </c>
      <c r="B223" t="s">
        <v>13</v>
      </c>
      <c r="C223">
        <v>2019</v>
      </c>
      <c r="D223">
        <v>177</v>
      </c>
      <c r="E223">
        <v>60</v>
      </c>
      <c r="F223">
        <v>184</v>
      </c>
      <c r="G223">
        <v>53</v>
      </c>
      <c r="H223">
        <v>36000</v>
      </c>
      <c r="I223" t="s">
        <v>23</v>
      </c>
    </row>
    <row r="224" spans="1:9" hidden="1" x14ac:dyDescent="0.25">
      <c r="A224">
        <v>13</v>
      </c>
      <c r="B224" t="s">
        <v>13</v>
      </c>
      <c r="C224">
        <v>2019</v>
      </c>
      <c r="D224">
        <v>184</v>
      </c>
      <c r="E224">
        <v>40</v>
      </c>
      <c r="F224">
        <v>133.75</v>
      </c>
      <c r="G224">
        <v>90.25</v>
      </c>
      <c r="H224">
        <v>36000</v>
      </c>
      <c r="I224" t="s">
        <v>23</v>
      </c>
    </row>
    <row r="225" spans="1:9" hidden="1" x14ac:dyDescent="0.25">
      <c r="A225">
        <v>14</v>
      </c>
      <c r="B225" t="s">
        <v>13</v>
      </c>
      <c r="C225">
        <v>2019</v>
      </c>
      <c r="D225">
        <v>133.75</v>
      </c>
      <c r="E225" t="s">
        <v>9</v>
      </c>
      <c r="F225">
        <v>70</v>
      </c>
      <c r="G225">
        <v>63.75</v>
      </c>
      <c r="H225">
        <v>36000</v>
      </c>
      <c r="I225" t="s">
        <v>23</v>
      </c>
    </row>
    <row r="226" spans="1:9" hidden="1" x14ac:dyDescent="0.25">
      <c r="A226">
        <v>15</v>
      </c>
      <c r="B226" t="s">
        <v>13</v>
      </c>
      <c r="C226">
        <v>2019</v>
      </c>
      <c r="D226">
        <v>70</v>
      </c>
      <c r="E226">
        <v>176</v>
      </c>
      <c r="F226">
        <v>190.75</v>
      </c>
      <c r="G226">
        <v>55.25</v>
      </c>
      <c r="H226">
        <v>36000</v>
      </c>
      <c r="I226" t="s">
        <v>23</v>
      </c>
    </row>
    <row r="227" spans="1:9" hidden="1" x14ac:dyDescent="0.25">
      <c r="A227">
        <v>16</v>
      </c>
      <c r="B227" t="s">
        <v>13</v>
      </c>
      <c r="C227">
        <v>2019</v>
      </c>
      <c r="D227">
        <v>190.75</v>
      </c>
      <c r="E227">
        <v>100</v>
      </c>
      <c r="F227">
        <v>221.5</v>
      </c>
      <c r="G227">
        <v>69.25</v>
      </c>
      <c r="H227">
        <v>36000</v>
      </c>
      <c r="I227" t="s">
        <v>23</v>
      </c>
    </row>
    <row r="228" spans="1:9" hidden="1" x14ac:dyDescent="0.25">
      <c r="A228">
        <v>17</v>
      </c>
      <c r="B228" t="s">
        <v>13</v>
      </c>
      <c r="C228">
        <v>2019</v>
      </c>
      <c r="D228">
        <v>221.5</v>
      </c>
      <c r="E228">
        <v>50</v>
      </c>
      <c r="F228">
        <v>200.5</v>
      </c>
      <c r="G228">
        <v>71</v>
      </c>
      <c r="H228">
        <v>36000</v>
      </c>
      <c r="I228" t="s">
        <v>23</v>
      </c>
    </row>
    <row r="229" spans="1:9" hidden="1" x14ac:dyDescent="0.25">
      <c r="A229">
        <v>18</v>
      </c>
      <c r="B229" t="s">
        <v>13</v>
      </c>
      <c r="C229">
        <v>2019</v>
      </c>
      <c r="D229">
        <v>200.5</v>
      </c>
      <c r="E229">
        <v>100</v>
      </c>
      <c r="F229">
        <v>226</v>
      </c>
      <c r="G229">
        <v>74.5</v>
      </c>
      <c r="H229">
        <v>36000</v>
      </c>
      <c r="I229" t="s">
        <v>23</v>
      </c>
    </row>
    <row r="230" spans="1:9" hidden="1" x14ac:dyDescent="0.25">
      <c r="A230">
        <v>19</v>
      </c>
      <c r="B230" t="s">
        <v>13</v>
      </c>
      <c r="C230">
        <v>2019</v>
      </c>
      <c r="D230">
        <v>226</v>
      </c>
      <c r="E230" t="s">
        <v>9</v>
      </c>
      <c r="F230">
        <v>132</v>
      </c>
      <c r="G230">
        <v>94</v>
      </c>
      <c r="H230">
        <v>36000</v>
      </c>
      <c r="I230" t="s">
        <v>23</v>
      </c>
    </row>
    <row r="231" spans="1:9" hidden="1" x14ac:dyDescent="0.25">
      <c r="A231">
        <v>20</v>
      </c>
      <c r="B231" t="s">
        <v>13</v>
      </c>
      <c r="C231">
        <v>2019</v>
      </c>
      <c r="D231">
        <v>132</v>
      </c>
      <c r="E231">
        <v>43</v>
      </c>
      <c r="F231">
        <v>86.5</v>
      </c>
      <c r="G231">
        <v>88.5</v>
      </c>
      <c r="H231">
        <v>36000</v>
      </c>
      <c r="I231" t="s">
        <v>23</v>
      </c>
    </row>
    <row r="232" spans="1:9" hidden="1" x14ac:dyDescent="0.25">
      <c r="A232">
        <v>21</v>
      </c>
      <c r="B232" t="s">
        <v>13</v>
      </c>
      <c r="C232">
        <v>2019</v>
      </c>
      <c r="D232">
        <v>86.5</v>
      </c>
      <c r="E232" t="s">
        <v>9</v>
      </c>
      <c r="F232">
        <v>15</v>
      </c>
      <c r="G232">
        <v>71.5</v>
      </c>
      <c r="H232">
        <v>36000</v>
      </c>
      <c r="I232" t="s">
        <v>23</v>
      </c>
    </row>
    <row r="233" spans="1:9" hidden="1" x14ac:dyDescent="0.25">
      <c r="A233">
        <v>22</v>
      </c>
      <c r="B233" t="s">
        <v>13</v>
      </c>
      <c r="C233">
        <v>2019</v>
      </c>
      <c r="D233">
        <v>15</v>
      </c>
      <c r="E233">
        <v>46</v>
      </c>
      <c r="F233">
        <v>21.25</v>
      </c>
      <c r="G233">
        <v>39.75</v>
      </c>
      <c r="H233">
        <v>36000</v>
      </c>
      <c r="I233" t="s">
        <v>23</v>
      </c>
    </row>
    <row r="234" spans="1:9" hidden="1" x14ac:dyDescent="0.25">
      <c r="A234">
        <v>23</v>
      </c>
      <c r="B234" t="s">
        <v>13</v>
      </c>
      <c r="C234">
        <v>2019</v>
      </c>
      <c r="D234">
        <v>21.25</v>
      </c>
      <c r="E234">
        <v>141</v>
      </c>
      <c r="F234">
        <v>130</v>
      </c>
      <c r="G234">
        <v>32.25</v>
      </c>
      <c r="H234">
        <v>36000</v>
      </c>
      <c r="I234" t="s">
        <v>23</v>
      </c>
    </row>
    <row r="235" spans="1:9" hidden="1" x14ac:dyDescent="0.25">
      <c r="A235">
        <v>24</v>
      </c>
      <c r="B235" t="s">
        <v>13</v>
      </c>
      <c r="C235">
        <v>2019</v>
      </c>
      <c r="D235">
        <v>130</v>
      </c>
      <c r="E235">
        <v>35</v>
      </c>
      <c r="F235">
        <v>131.5</v>
      </c>
      <c r="G235">
        <v>33.5</v>
      </c>
      <c r="H235">
        <v>36000</v>
      </c>
      <c r="I235" t="s">
        <v>23</v>
      </c>
    </row>
    <row r="236" spans="1:9" hidden="1" x14ac:dyDescent="0.25">
      <c r="A236">
        <v>25</v>
      </c>
      <c r="B236" t="s">
        <v>13</v>
      </c>
      <c r="C236">
        <v>2019</v>
      </c>
      <c r="D236">
        <v>131.5</v>
      </c>
      <c r="E236">
        <v>-25</v>
      </c>
      <c r="F236">
        <v>62</v>
      </c>
      <c r="G236">
        <v>44.5</v>
      </c>
      <c r="H236">
        <v>36000</v>
      </c>
      <c r="I236" t="s">
        <v>23</v>
      </c>
    </row>
    <row r="237" spans="1:9" hidden="1" x14ac:dyDescent="0.25">
      <c r="A237">
        <v>26</v>
      </c>
      <c r="B237" t="s">
        <v>13</v>
      </c>
      <c r="C237">
        <v>2019</v>
      </c>
      <c r="D237">
        <v>62</v>
      </c>
      <c r="E237">
        <v>35</v>
      </c>
      <c r="F237">
        <v>34</v>
      </c>
      <c r="G237">
        <v>63</v>
      </c>
      <c r="H237">
        <v>36000</v>
      </c>
      <c r="I237" t="s">
        <v>23</v>
      </c>
    </row>
    <row r="238" spans="1:9" hidden="1" x14ac:dyDescent="0.25">
      <c r="A238">
        <v>27</v>
      </c>
      <c r="B238" t="s">
        <v>13</v>
      </c>
      <c r="C238">
        <v>2019</v>
      </c>
      <c r="D238">
        <v>34</v>
      </c>
      <c r="E238">
        <v>141</v>
      </c>
      <c r="F238">
        <v>101.25</v>
      </c>
      <c r="G238">
        <v>73.75</v>
      </c>
      <c r="H238">
        <v>36000</v>
      </c>
      <c r="I238" t="s">
        <v>23</v>
      </c>
    </row>
    <row r="239" spans="1:9" hidden="1" x14ac:dyDescent="0.25">
      <c r="A239">
        <v>28</v>
      </c>
      <c r="B239" t="s">
        <v>13</v>
      </c>
      <c r="C239">
        <v>2019</v>
      </c>
      <c r="D239">
        <v>101.25</v>
      </c>
      <c r="E239">
        <v>-19</v>
      </c>
      <c r="F239">
        <v>17</v>
      </c>
      <c r="G239">
        <v>65.25</v>
      </c>
      <c r="H239">
        <v>36000</v>
      </c>
      <c r="I239" t="s">
        <v>23</v>
      </c>
    </row>
    <row r="240" spans="1:9" hidden="1" x14ac:dyDescent="0.25">
      <c r="A240">
        <v>29</v>
      </c>
      <c r="B240" t="s">
        <v>13</v>
      </c>
      <c r="C240">
        <v>2019</v>
      </c>
      <c r="D240">
        <v>17</v>
      </c>
      <c r="E240">
        <v>40</v>
      </c>
      <c r="F240">
        <v>18.75</v>
      </c>
      <c r="G240">
        <v>38.25</v>
      </c>
      <c r="H240">
        <v>36000</v>
      </c>
      <c r="I240" t="s">
        <v>23</v>
      </c>
    </row>
    <row r="241" spans="1:9" hidden="1" x14ac:dyDescent="0.25">
      <c r="A241">
        <v>30</v>
      </c>
      <c r="B241" t="s">
        <v>13</v>
      </c>
      <c r="C241">
        <v>2019</v>
      </c>
      <c r="D241">
        <v>18.75</v>
      </c>
      <c r="E241">
        <v>147</v>
      </c>
      <c r="F241">
        <v>92.75</v>
      </c>
      <c r="G241">
        <v>73</v>
      </c>
      <c r="H241">
        <v>36000</v>
      </c>
      <c r="I241" t="s">
        <v>23</v>
      </c>
    </row>
    <row r="242" spans="1:9" x14ac:dyDescent="0.25">
      <c r="A242">
        <v>1</v>
      </c>
      <c r="B242" t="s">
        <v>14</v>
      </c>
      <c r="C242">
        <v>2019</v>
      </c>
      <c r="D242">
        <v>52.75</v>
      </c>
      <c r="E242">
        <v>30</v>
      </c>
      <c r="F242">
        <v>14</v>
      </c>
      <c r="G242">
        <v>68.75</v>
      </c>
      <c r="H242">
        <v>36000</v>
      </c>
      <c r="I242" t="s">
        <v>22</v>
      </c>
    </row>
    <row r="243" spans="1:9" x14ac:dyDescent="0.25">
      <c r="A243">
        <v>2</v>
      </c>
      <c r="B243" t="s">
        <v>14</v>
      </c>
      <c r="C243">
        <v>2019</v>
      </c>
      <c r="D243">
        <v>14</v>
      </c>
      <c r="E243">
        <v>150</v>
      </c>
      <c r="F243">
        <v>142.25</v>
      </c>
      <c r="G243">
        <v>21.75</v>
      </c>
      <c r="H243">
        <v>36000</v>
      </c>
      <c r="I243" t="s">
        <v>22</v>
      </c>
    </row>
    <row r="244" spans="1:9" x14ac:dyDescent="0.25">
      <c r="A244">
        <v>3</v>
      </c>
      <c r="B244" t="s">
        <v>14</v>
      </c>
      <c r="C244">
        <v>2019</v>
      </c>
      <c r="D244">
        <v>142.25</v>
      </c>
      <c r="E244" t="s">
        <v>9</v>
      </c>
      <c r="F244">
        <v>111.375</v>
      </c>
      <c r="G244">
        <v>30.875</v>
      </c>
      <c r="H244">
        <v>36000</v>
      </c>
      <c r="I244" t="s">
        <v>22</v>
      </c>
    </row>
    <row r="245" spans="1:9" x14ac:dyDescent="0.25">
      <c r="A245">
        <v>4</v>
      </c>
      <c r="B245" t="s">
        <v>14</v>
      </c>
      <c r="C245">
        <v>2019</v>
      </c>
      <c r="D245">
        <v>111.375</v>
      </c>
      <c r="E245" t="s">
        <v>9</v>
      </c>
      <c r="F245">
        <v>60</v>
      </c>
      <c r="G245">
        <v>51.375</v>
      </c>
      <c r="H245">
        <v>36000</v>
      </c>
      <c r="I245" t="s">
        <v>22</v>
      </c>
    </row>
    <row r="246" spans="1:9" x14ac:dyDescent="0.25">
      <c r="A246">
        <v>5</v>
      </c>
      <c r="B246" t="s">
        <v>14</v>
      </c>
      <c r="C246">
        <v>2019</v>
      </c>
      <c r="D246">
        <v>60</v>
      </c>
      <c r="E246" t="s">
        <v>9</v>
      </c>
      <c r="F246">
        <v>12.25</v>
      </c>
      <c r="G246">
        <v>47.75</v>
      </c>
      <c r="H246">
        <v>36000</v>
      </c>
      <c r="I246" t="s">
        <v>22</v>
      </c>
    </row>
    <row r="247" spans="1:9" x14ac:dyDescent="0.25">
      <c r="A247">
        <v>6</v>
      </c>
      <c r="B247" t="s">
        <v>14</v>
      </c>
      <c r="C247">
        <v>2019</v>
      </c>
      <c r="D247">
        <v>12.25</v>
      </c>
      <c r="E247">
        <v>151</v>
      </c>
      <c r="F247">
        <v>153</v>
      </c>
      <c r="G247">
        <v>10.25</v>
      </c>
      <c r="H247">
        <v>36000</v>
      </c>
      <c r="I247" t="s">
        <v>22</v>
      </c>
    </row>
    <row r="248" spans="1:9" x14ac:dyDescent="0.25">
      <c r="A248">
        <v>7</v>
      </c>
      <c r="B248" t="s">
        <v>14</v>
      </c>
      <c r="C248">
        <v>2019</v>
      </c>
      <c r="D248">
        <v>153</v>
      </c>
      <c r="E248" t="s">
        <v>9</v>
      </c>
      <c r="F248">
        <v>125.5</v>
      </c>
      <c r="G248">
        <v>27.5</v>
      </c>
      <c r="H248">
        <v>36000</v>
      </c>
      <c r="I248" t="s">
        <v>22</v>
      </c>
    </row>
    <row r="249" spans="1:9" x14ac:dyDescent="0.25">
      <c r="A249">
        <v>8</v>
      </c>
      <c r="B249" t="s">
        <v>14</v>
      </c>
      <c r="C249">
        <v>2019</v>
      </c>
      <c r="D249">
        <v>125.5</v>
      </c>
      <c r="E249" t="s">
        <v>9</v>
      </c>
      <c r="F249">
        <v>109.5</v>
      </c>
      <c r="G249">
        <v>16</v>
      </c>
      <c r="H249">
        <v>36000</v>
      </c>
      <c r="I249" t="s">
        <v>22</v>
      </c>
    </row>
    <row r="250" spans="1:9" x14ac:dyDescent="0.25">
      <c r="A250">
        <v>9</v>
      </c>
      <c r="B250" t="s">
        <v>14</v>
      </c>
      <c r="C250">
        <v>2019</v>
      </c>
      <c r="D250">
        <v>109.5</v>
      </c>
      <c r="E250">
        <v>60</v>
      </c>
      <c r="F250">
        <v>142.25</v>
      </c>
      <c r="G250">
        <v>27.25</v>
      </c>
      <c r="H250">
        <v>36000</v>
      </c>
      <c r="I250" t="s">
        <v>22</v>
      </c>
    </row>
    <row r="251" spans="1:9" x14ac:dyDescent="0.25">
      <c r="A251">
        <v>10</v>
      </c>
      <c r="B251" t="s">
        <v>14</v>
      </c>
      <c r="C251">
        <v>2019</v>
      </c>
      <c r="D251">
        <v>142.25</v>
      </c>
      <c r="E251" t="s">
        <v>9</v>
      </c>
      <c r="F251">
        <v>117.5</v>
      </c>
      <c r="G251">
        <v>24.75</v>
      </c>
      <c r="H251">
        <v>36000</v>
      </c>
      <c r="I251" t="s">
        <v>22</v>
      </c>
    </row>
    <row r="252" spans="1:9" x14ac:dyDescent="0.25">
      <c r="A252">
        <v>11</v>
      </c>
      <c r="B252" t="s">
        <v>14</v>
      </c>
      <c r="C252">
        <v>2019</v>
      </c>
      <c r="D252">
        <v>117.5</v>
      </c>
      <c r="E252" t="s">
        <v>9</v>
      </c>
      <c r="F252">
        <v>71</v>
      </c>
      <c r="G252">
        <v>46.5</v>
      </c>
      <c r="H252">
        <v>36000</v>
      </c>
      <c r="I252" t="s">
        <v>22</v>
      </c>
    </row>
    <row r="253" spans="1:9" x14ac:dyDescent="0.25">
      <c r="A253">
        <v>12</v>
      </c>
      <c r="B253" t="s">
        <v>14</v>
      </c>
      <c r="C253">
        <v>2019</v>
      </c>
      <c r="D253">
        <v>71</v>
      </c>
      <c r="E253" t="s">
        <v>9</v>
      </c>
      <c r="F253">
        <v>44</v>
      </c>
      <c r="G253">
        <v>27</v>
      </c>
      <c r="H253">
        <v>36000</v>
      </c>
      <c r="I253" t="s">
        <v>22</v>
      </c>
    </row>
    <row r="254" spans="1:9" x14ac:dyDescent="0.25">
      <c r="A254">
        <v>13</v>
      </c>
      <c r="B254" t="s">
        <v>14</v>
      </c>
      <c r="C254">
        <v>2019</v>
      </c>
      <c r="D254">
        <v>44</v>
      </c>
      <c r="E254" t="s">
        <v>9</v>
      </c>
      <c r="F254">
        <v>33</v>
      </c>
      <c r="G254">
        <v>11</v>
      </c>
      <c r="H254">
        <v>36000</v>
      </c>
      <c r="I254" t="s">
        <v>22</v>
      </c>
    </row>
    <row r="255" spans="1:9" x14ac:dyDescent="0.25">
      <c r="A255">
        <v>14</v>
      </c>
      <c r="B255" t="s">
        <v>14</v>
      </c>
      <c r="C255">
        <v>2019</v>
      </c>
      <c r="D255">
        <v>33</v>
      </c>
      <c r="E255">
        <v>30</v>
      </c>
      <c r="F255">
        <v>40</v>
      </c>
      <c r="G255">
        <v>23</v>
      </c>
      <c r="H255">
        <v>36000</v>
      </c>
      <c r="I255" t="s">
        <v>22</v>
      </c>
    </row>
    <row r="256" spans="1:9" x14ac:dyDescent="0.25">
      <c r="A256">
        <v>15</v>
      </c>
      <c r="B256" t="s">
        <v>14</v>
      </c>
      <c r="C256">
        <v>2019</v>
      </c>
      <c r="D256">
        <v>40</v>
      </c>
      <c r="E256" t="s">
        <v>9</v>
      </c>
      <c r="F256">
        <v>17</v>
      </c>
      <c r="G256">
        <v>23</v>
      </c>
      <c r="H256">
        <v>36000</v>
      </c>
      <c r="I256" t="s">
        <v>22</v>
      </c>
    </row>
    <row r="257" spans="1:9" x14ac:dyDescent="0.25">
      <c r="A257">
        <v>16</v>
      </c>
      <c r="B257" t="s">
        <v>14</v>
      </c>
      <c r="C257">
        <v>2019</v>
      </c>
      <c r="D257">
        <v>17</v>
      </c>
      <c r="E257">
        <v>120</v>
      </c>
      <c r="F257">
        <v>125</v>
      </c>
      <c r="G257">
        <v>12</v>
      </c>
      <c r="H257">
        <v>36000</v>
      </c>
      <c r="I257" t="s">
        <v>22</v>
      </c>
    </row>
    <row r="258" spans="1:9" x14ac:dyDescent="0.25">
      <c r="A258">
        <v>17</v>
      </c>
      <c r="B258" t="s">
        <v>14</v>
      </c>
      <c r="C258">
        <v>2019</v>
      </c>
      <c r="D258">
        <v>125</v>
      </c>
      <c r="E258" t="s">
        <v>9</v>
      </c>
      <c r="F258">
        <v>96</v>
      </c>
      <c r="G258">
        <v>29</v>
      </c>
      <c r="H258">
        <v>36000</v>
      </c>
      <c r="I258" t="s">
        <v>22</v>
      </c>
    </row>
    <row r="259" spans="1:9" x14ac:dyDescent="0.25">
      <c r="A259">
        <v>18</v>
      </c>
      <c r="B259" t="s">
        <v>14</v>
      </c>
      <c r="C259">
        <v>2019</v>
      </c>
      <c r="D259">
        <v>96</v>
      </c>
      <c r="E259" t="s">
        <v>9</v>
      </c>
      <c r="F259">
        <v>66</v>
      </c>
      <c r="G259">
        <v>30</v>
      </c>
      <c r="H259">
        <v>36000</v>
      </c>
      <c r="I259" t="s">
        <v>22</v>
      </c>
    </row>
    <row r="260" spans="1:9" x14ac:dyDescent="0.25">
      <c r="A260">
        <v>19</v>
      </c>
      <c r="B260" t="s">
        <v>14</v>
      </c>
      <c r="C260">
        <v>2019</v>
      </c>
      <c r="D260">
        <v>66</v>
      </c>
      <c r="E260" t="s">
        <v>9</v>
      </c>
      <c r="F260">
        <v>27</v>
      </c>
      <c r="G260">
        <v>39</v>
      </c>
      <c r="H260">
        <v>36000</v>
      </c>
      <c r="I260" t="s">
        <v>22</v>
      </c>
    </row>
    <row r="261" spans="1:9" x14ac:dyDescent="0.25">
      <c r="A261">
        <v>20</v>
      </c>
      <c r="B261" t="s">
        <v>14</v>
      </c>
      <c r="C261">
        <v>2019</v>
      </c>
      <c r="D261">
        <v>27</v>
      </c>
      <c r="E261" t="s">
        <v>9</v>
      </c>
      <c r="F261">
        <v>10.5</v>
      </c>
      <c r="G261">
        <v>16.5</v>
      </c>
      <c r="H261">
        <v>36000</v>
      </c>
      <c r="I261" t="s">
        <v>22</v>
      </c>
    </row>
    <row r="262" spans="1:9" x14ac:dyDescent="0.25">
      <c r="A262">
        <v>21</v>
      </c>
      <c r="B262" t="s">
        <v>14</v>
      </c>
      <c r="C262">
        <v>2019</v>
      </c>
      <c r="D262">
        <v>10.5</v>
      </c>
      <c r="E262">
        <v>85</v>
      </c>
      <c r="F262">
        <v>80</v>
      </c>
      <c r="G262">
        <v>15.5</v>
      </c>
      <c r="H262">
        <v>36000</v>
      </c>
      <c r="I262" t="s">
        <v>22</v>
      </c>
    </row>
    <row r="263" spans="1:9" x14ac:dyDescent="0.25">
      <c r="A263">
        <v>22</v>
      </c>
      <c r="B263" t="s">
        <v>14</v>
      </c>
      <c r="C263">
        <v>2019</v>
      </c>
      <c r="D263">
        <v>80</v>
      </c>
      <c r="E263" t="s">
        <v>9</v>
      </c>
      <c r="F263">
        <v>57.375</v>
      </c>
      <c r="G263">
        <v>22.625</v>
      </c>
      <c r="H263">
        <v>36000</v>
      </c>
      <c r="I263" t="s">
        <v>22</v>
      </c>
    </row>
    <row r="264" spans="1:9" x14ac:dyDescent="0.25">
      <c r="A264">
        <v>23</v>
      </c>
      <c r="B264" t="s">
        <v>14</v>
      </c>
      <c r="C264">
        <v>2019</v>
      </c>
      <c r="D264">
        <v>57.375</v>
      </c>
      <c r="E264" t="s">
        <v>9</v>
      </c>
      <c r="F264">
        <v>44.375</v>
      </c>
      <c r="G264">
        <v>13</v>
      </c>
      <c r="H264">
        <v>36000</v>
      </c>
      <c r="I264" t="s">
        <v>22</v>
      </c>
    </row>
    <row r="265" spans="1:9" x14ac:dyDescent="0.25">
      <c r="A265">
        <v>24</v>
      </c>
      <c r="B265" t="s">
        <v>14</v>
      </c>
      <c r="C265">
        <v>2019</v>
      </c>
      <c r="D265">
        <v>44.375</v>
      </c>
      <c r="E265" t="s">
        <v>9</v>
      </c>
      <c r="F265">
        <v>23.125</v>
      </c>
      <c r="G265">
        <v>21.25</v>
      </c>
      <c r="H265">
        <v>36000</v>
      </c>
      <c r="I265" t="s">
        <v>22</v>
      </c>
    </row>
    <row r="266" spans="1:9" x14ac:dyDescent="0.25">
      <c r="A266">
        <v>25</v>
      </c>
      <c r="B266" t="s">
        <v>14</v>
      </c>
      <c r="C266">
        <v>2019</v>
      </c>
      <c r="D266">
        <v>23.125</v>
      </c>
      <c r="E266">
        <v>120</v>
      </c>
      <c r="F266">
        <v>110</v>
      </c>
      <c r="G266">
        <v>33.125</v>
      </c>
      <c r="H266">
        <v>36000</v>
      </c>
      <c r="I266" t="s">
        <v>22</v>
      </c>
    </row>
    <row r="267" spans="1:9" x14ac:dyDescent="0.25">
      <c r="A267">
        <v>26</v>
      </c>
      <c r="B267" t="s">
        <v>14</v>
      </c>
      <c r="C267">
        <v>2019</v>
      </c>
      <c r="D267">
        <v>110</v>
      </c>
      <c r="E267" t="s">
        <v>9</v>
      </c>
      <c r="F267">
        <v>64.25</v>
      </c>
      <c r="G267">
        <v>45.75</v>
      </c>
      <c r="H267">
        <v>36000</v>
      </c>
      <c r="I267" t="s">
        <v>22</v>
      </c>
    </row>
    <row r="268" spans="1:9" x14ac:dyDescent="0.25">
      <c r="A268">
        <v>27</v>
      </c>
      <c r="B268" t="s">
        <v>14</v>
      </c>
      <c r="C268">
        <v>2019</v>
      </c>
      <c r="D268">
        <v>64.25</v>
      </c>
      <c r="E268" t="s">
        <v>9</v>
      </c>
      <c r="F268">
        <v>55</v>
      </c>
      <c r="G268">
        <v>9.25</v>
      </c>
      <c r="H268">
        <v>36000</v>
      </c>
      <c r="I268" t="s">
        <v>22</v>
      </c>
    </row>
    <row r="269" spans="1:9" x14ac:dyDescent="0.25">
      <c r="A269">
        <v>28</v>
      </c>
      <c r="B269" t="s">
        <v>14</v>
      </c>
      <c r="C269">
        <v>2019</v>
      </c>
      <c r="D269">
        <v>55</v>
      </c>
      <c r="E269" t="s">
        <v>9</v>
      </c>
      <c r="F269">
        <v>34.375</v>
      </c>
      <c r="G269">
        <v>20.625</v>
      </c>
      <c r="H269">
        <v>36000</v>
      </c>
      <c r="I269" t="s">
        <v>22</v>
      </c>
    </row>
    <row r="270" spans="1:9" x14ac:dyDescent="0.25">
      <c r="A270">
        <v>29</v>
      </c>
      <c r="B270" t="s">
        <v>14</v>
      </c>
      <c r="C270">
        <v>2019</v>
      </c>
      <c r="D270">
        <v>34.375</v>
      </c>
      <c r="E270">
        <v>100</v>
      </c>
      <c r="F270">
        <v>111.75</v>
      </c>
      <c r="G270">
        <v>22.625</v>
      </c>
      <c r="H270">
        <v>36000</v>
      </c>
      <c r="I270" t="s">
        <v>22</v>
      </c>
    </row>
    <row r="271" spans="1:9" x14ac:dyDescent="0.25">
      <c r="A271">
        <v>30</v>
      </c>
      <c r="B271" t="s">
        <v>14</v>
      </c>
      <c r="C271">
        <v>2019</v>
      </c>
      <c r="D271">
        <v>111.75</v>
      </c>
      <c r="E271" t="s">
        <v>9</v>
      </c>
      <c r="F271">
        <v>94.625</v>
      </c>
      <c r="G271">
        <v>17.125</v>
      </c>
      <c r="H271">
        <v>36000</v>
      </c>
      <c r="I271" t="s">
        <v>22</v>
      </c>
    </row>
    <row r="272" spans="1:9" x14ac:dyDescent="0.25">
      <c r="A272">
        <v>31</v>
      </c>
      <c r="B272" t="s">
        <v>14</v>
      </c>
      <c r="C272">
        <v>2019</v>
      </c>
      <c r="D272">
        <v>94.625</v>
      </c>
      <c r="E272" t="s">
        <v>9</v>
      </c>
      <c r="F272">
        <v>75</v>
      </c>
      <c r="G272">
        <v>19.625</v>
      </c>
      <c r="H272">
        <v>36000</v>
      </c>
      <c r="I272" t="s">
        <v>22</v>
      </c>
    </row>
    <row r="273" spans="1:9" hidden="1" x14ac:dyDescent="0.25">
      <c r="A273">
        <v>1</v>
      </c>
      <c r="B273" t="s">
        <v>14</v>
      </c>
      <c r="C273">
        <v>2019</v>
      </c>
      <c r="D273">
        <v>92.75</v>
      </c>
      <c r="E273">
        <v>115</v>
      </c>
      <c r="F273">
        <v>133</v>
      </c>
      <c r="G273">
        <v>74.75</v>
      </c>
      <c r="H273">
        <v>36000</v>
      </c>
      <c r="I273" t="s">
        <v>23</v>
      </c>
    </row>
    <row r="274" spans="1:9" hidden="1" x14ac:dyDescent="0.25">
      <c r="A274">
        <v>2</v>
      </c>
      <c r="B274" t="s">
        <v>14</v>
      </c>
      <c r="C274">
        <v>2019</v>
      </c>
      <c r="D274">
        <v>133</v>
      </c>
      <c r="E274">
        <v>-45</v>
      </c>
      <c r="F274">
        <v>51</v>
      </c>
      <c r="G274">
        <v>37</v>
      </c>
      <c r="H274">
        <v>36000</v>
      </c>
      <c r="I274" t="s">
        <v>23</v>
      </c>
    </row>
    <row r="275" spans="1:9" hidden="1" x14ac:dyDescent="0.25">
      <c r="A275">
        <v>3</v>
      </c>
      <c r="B275" t="s">
        <v>14</v>
      </c>
      <c r="C275">
        <v>2019</v>
      </c>
      <c r="D275">
        <v>51</v>
      </c>
      <c r="E275">
        <v>105</v>
      </c>
      <c r="F275">
        <v>95</v>
      </c>
      <c r="G275">
        <v>61</v>
      </c>
      <c r="H275">
        <v>36000</v>
      </c>
      <c r="I275" t="s">
        <v>23</v>
      </c>
    </row>
    <row r="276" spans="1:9" hidden="1" x14ac:dyDescent="0.25">
      <c r="A276">
        <v>4</v>
      </c>
      <c r="B276" t="s">
        <v>14</v>
      </c>
      <c r="C276">
        <v>2019</v>
      </c>
      <c r="D276">
        <v>95</v>
      </c>
      <c r="E276" t="s">
        <v>9</v>
      </c>
      <c r="F276">
        <v>19</v>
      </c>
      <c r="G276">
        <v>76</v>
      </c>
      <c r="H276">
        <v>36000</v>
      </c>
      <c r="I276" t="s">
        <v>23</v>
      </c>
    </row>
    <row r="277" spans="1:9" hidden="1" x14ac:dyDescent="0.25">
      <c r="A277">
        <v>5</v>
      </c>
      <c r="B277" t="s">
        <v>14</v>
      </c>
      <c r="C277">
        <v>2019</v>
      </c>
      <c r="D277">
        <v>19</v>
      </c>
      <c r="E277">
        <v>140</v>
      </c>
      <c r="F277">
        <v>93</v>
      </c>
      <c r="G277">
        <v>66</v>
      </c>
      <c r="H277">
        <v>36000</v>
      </c>
      <c r="I277" t="s">
        <v>23</v>
      </c>
    </row>
    <row r="278" spans="1:9" hidden="1" x14ac:dyDescent="0.25">
      <c r="A278">
        <v>6</v>
      </c>
      <c r="B278" t="s">
        <v>14</v>
      </c>
      <c r="C278">
        <v>2019</v>
      </c>
      <c r="D278">
        <v>93</v>
      </c>
      <c r="E278">
        <v>-10</v>
      </c>
      <c r="F278">
        <v>50</v>
      </c>
      <c r="G278">
        <v>33</v>
      </c>
      <c r="H278">
        <v>36000</v>
      </c>
      <c r="I278" t="s">
        <v>23</v>
      </c>
    </row>
    <row r="279" spans="1:9" hidden="1" x14ac:dyDescent="0.25">
      <c r="A279">
        <v>7</v>
      </c>
      <c r="B279" t="s">
        <v>14</v>
      </c>
      <c r="C279">
        <v>2019</v>
      </c>
      <c r="D279">
        <v>50</v>
      </c>
      <c r="E279">
        <v>105</v>
      </c>
      <c r="F279">
        <v>122</v>
      </c>
      <c r="G279">
        <v>33</v>
      </c>
      <c r="H279">
        <v>36000</v>
      </c>
      <c r="I279" t="s">
        <v>23</v>
      </c>
    </row>
    <row r="280" spans="1:9" hidden="1" x14ac:dyDescent="0.25">
      <c r="A280">
        <v>8</v>
      </c>
      <c r="B280" t="s">
        <v>14</v>
      </c>
      <c r="C280">
        <v>2019</v>
      </c>
      <c r="D280">
        <v>122</v>
      </c>
      <c r="E280">
        <v>106</v>
      </c>
      <c r="F280">
        <v>172.5</v>
      </c>
      <c r="G280">
        <v>55.5</v>
      </c>
      <c r="H280">
        <v>36000</v>
      </c>
      <c r="I280" t="s">
        <v>23</v>
      </c>
    </row>
    <row r="281" spans="1:9" hidden="1" x14ac:dyDescent="0.25">
      <c r="A281">
        <v>9</v>
      </c>
      <c r="B281" t="s">
        <v>14</v>
      </c>
      <c r="C281">
        <v>2019</v>
      </c>
      <c r="D281">
        <v>172.5</v>
      </c>
      <c r="E281">
        <v>12</v>
      </c>
      <c r="F281">
        <v>146.5</v>
      </c>
      <c r="G281">
        <v>38</v>
      </c>
      <c r="H281">
        <v>36000</v>
      </c>
      <c r="I281" t="s">
        <v>23</v>
      </c>
    </row>
    <row r="282" spans="1:9" hidden="1" x14ac:dyDescent="0.25">
      <c r="A282">
        <v>10</v>
      </c>
      <c r="B282" t="s">
        <v>14</v>
      </c>
      <c r="C282">
        <v>2019</v>
      </c>
      <c r="D282">
        <v>146.5</v>
      </c>
      <c r="E282">
        <v>73</v>
      </c>
      <c r="F282">
        <v>140</v>
      </c>
      <c r="G282">
        <v>79.5</v>
      </c>
      <c r="H282">
        <v>36000</v>
      </c>
      <c r="I282" t="s">
        <v>23</v>
      </c>
    </row>
    <row r="283" spans="1:9" hidden="1" x14ac:dyDescent="0.25">
      <c r="A283">
        <v>11</v>
      </c>
      <c r="B283" t="s">
        <v>14</v>
      </c>
      <c r="C283">
        <v>2019</v>
      </c>
      <c r="D283">
        <v>140</v>
      </c>
      <c r="E283">
        <v>147</v>
      </c>
      <c r="F283">
        <v>207</v>
      </c>
      <c r="G283">
        <v>80</v>
      </c>
      <c r="H283">
        <v>36000</v>
      </c>
      <c r="I283" t="s">
        <v>23</v>
      </c>
    </row>
    <row r="284" spans="1:9" hidden="1" x14ac:dyDescent="0.25">
      <c r="A284">
        <v>12</v>
      </c>
      <c r="B284" t="s">
        <v>14</v>
      </c>
      <c r="C284">
        <v>2019</v>
      </c>
      <c r="D284">
        <v>207</v>
      </c>
      <c r="E284" t="s">
        <v>9</v>
      </c>
      <c r="F284">
        <v>135</v>
      </c>
      <c r="G284">
        <v>72</v>
      </c>
      <c r="H284">
        <v>36000</v>
      </c>
      <c r="I284" t="s">
        <v>23</v>
      </c>
    </row>
    <row r="285" spans="1:9" hidden="1" x14ac:dyDescent="0.25">
      <c r="A285">
        <v>13</v>
      </c>
      <c r="B285" t="s">
        <v>14</v>
      </c>
      <c r="C285">
        <v>2019</v>
      </c>
      <c r="D285">
        <v>135</v>
      </c>
      <c r="E285" t="s">
        <v>9</v>
      </c>
      <c r="F285">
        <v>94</v>
      </c>
      <c r="G285">
        <v>41</v>
      </c>
      <c r="H285">
        <v>36000</v>
      </c>
      <c r="I285" t="s">
        <v>23</v>
      </c>
    </row>
    <row r="286" spans="1:9" hidden="1" x14ac:dyDescent="0.25">
      <c r="A286">
        <v>14</v>
      </c>
      <c r="B286" t="s">
        <v>14</v>
      </c>
      <c r="C286">
        <v>2019</v>
      </c>
      <c r="D286">
        <v>94</v>
      </c>
      <c r="E286">
        <v>80</v>
      </c>
      <c r="F286">
        <v>126.5</v>
      </c>
      <c r="G286">
        <v>47.5</v>
      </c>
      <c r="H286">
        <v>36000</v>
      </c>
      <c r="I286" t="s">
        <v>23</v>
      </c>
    </row>
    <row r="287" spans="1:9" hidden="1" x14ac:dyDescent="0.25">
      <c r="A287">
        <v>15</v>
      </c>
      <c r="B287" t="s">
        <v>14</v>
      </c>
      <c r="C287">
        <v>2019</v>
      </c>
      <c r="D287">
        <v>126.5</v>
      </c>
      <c r="E287">
        <v>105</v>
      </c>
      <c r="F287">
        <v>182.5</v>
      </c>
      <c r="G287">
        <v>49</v>
      </c>
      <c r="H287">
        <v>36000</v>
      </c>
      <c r="I287" t="s">
        <v>23</v>
      </c>
    </row>
    <row r="288" spans="1:9" hidden="1" x14ac:dyDescent="0.25">
      <c r="A288">
        <v>16</v>
      </c>
      <c r="B288" t="s">
        <v>14</v>
      </c>
      <c r="C288">
        <v>2019</v>
      </c>
      <c r="D288">
        <v>182.5</v>
      </c>
      <c r="E288">
        <v>-15</v>
      </c>
      <c r="F288">
        <v>122</v>
      </c>
      <c r="G288">
        <v>45.5</v>
      </c>
      <c r="H288">
        <v>36000</v>
      </c>
      <c r="I288" t="s">
        <v>23</v>
      </c>
    </row>
    <row r="289" spans="1:9" hidden="1" x14ac:dyDescent="0.25">
      <c r="A289">
        <v>17</v>
      </c>
      <c r="B289" t="s">
        <v>14</v>
      </c>
      <c r="C289">
        <v>2019</v>
      </c>
      <c r="D289">
        <v>122</v>
      </c>
      <c r="E289">
        <v>106</v>
      </c>
      <c r="F289">
        <v>163</v>
      </c>
      <c r="G289">
        <v>65</v>
      </c>
      <c r="H289">
        <v>36000</v>
      </c>
      <c r="I289" t="s">
        <v>23</v>
      </c>
    </row>
    <row r="290" spans="1:9" hidden="1" x14ac:dyDescent="0.25">
      <c r="A290">
        <v>18</v>
      </c>
      <c r="B290" t="s">
        <v>14</v>
      </c>
      <c r="C290">
        <v>2019</v>
      </c>
      <c r="D290">
        <v>163</v>
      </c>
      <c r="E290">
        <v>105</v>
      </c>
      <c r="F290">
        <v>195</v>
      </c>
      <c r="G290">
        <v>73</v>
      </c>
      <c r="H290">
        <v>36000</v>
      </c>
      <c r="I290" t="s">
        <v>23</v>
      </c>
    </row>
    <row r="291" spans="1:9" hidden="1" x14ac:dyDescent="0.25">
      <c r="A291">
        <v>19</v>
      </c>
      <c r="B291" t="s">
        <v>14</v>
      </c>
      <c r="C291">
        <v>2019</v>
      </c>
      <c r="D291">
        <v>195</v>
      </c>
      <c r="E291" t="s">
        <v>9</v>
      </c>
      <c r="F291">
        <v>110</v>
      </c>
      <c r="G291">
        <v>85</v>
      </c>
      <c r="H291">
        <v>36000</v>
      </c>
      <c r="I291" t="s">
        <v>23</v>
      </c>
    </row>
    <row r="292" spans="1:9" hidden="1" x14ac:dyDescent="0.25">
      <c r="A292">
        <v>20</v>
      </c>
      <c r="B292" t="s">
        <v>14</v>
      </c>
      <c r="C292">
        <v>2019</v>
      </c>
      <c r="D292">
        <v>110</v>
      </c>
      <c r="E292" t="s">
        <v>9</v>
      </c>
      <c r="F292">
        <v>74</v>
      </c>
      <c r="G292">
        <v>36</v>
      </c>
      <c r="H292">
        <v>36000</v>
      </c>
      <c r="I292" t="s">
        <v>23</v>
      </c>
    </row>
    <row r="293" spans="1:9" hidden="1" x14ac:dyDescent="0.25">
      <c r="A293">
        <v>21</v>
      </c>
      <c r="B293" t="s">
        <v>14</v>
      </c>
      <c r="C293">
        <v>2019</v>
      </c>
      <c r="D293">
        <v>74</v>
      </c>
      <c r="E293">
        <v>16</v>
      </c>
      <c r="F293">
        <v>50</v>
      </c>
      <c r="G293">
        <v>40</v>
      </c>
      <c r="H293">
        <v>36000</v>
      </c>
      <c r="I293" t="s">
        <v>23</v>
      </c>
    </row>
    <row r="294" spans="1:9" hidden="1" x14ac:dyDescent="0.25">
      <c r="A294">
        <v>22</v>
      </c>
      <c r="B294" t="s">
        <v>14</v>
      </c>
      <c r="C294">
        <v>2019</v>
      </c>
      <c r="D294">
        <v>50</v>
      </c>
      <c r="E294">
        <v>110</v>
      </c>
      <c r="F294">
        <v>125.5</v>
      </c>
      <c r="G294">
        <v>34.5</v>
      </c>
      <c r="H294">
        <v>36000</v>
      </c>
      <c r="I294" t="s">
        <v>23</v>
      </c>
    </row>
    <row r="295" spans="1:9" hidden="1" x14ac:dyDescent="0.25">
      <c r="A295">
        <v>23</v>
      </c>
      <c r="B295" t="s">
        <v>14</v>
      </c>
      <c r="C295">
        <v>2019</v>
      </c>
      <c r="D295">
        <v>125.5</v>
      </c>
      <c r="E295">
        <v>106</v>
      </c>
      <c r="F295">
        <v>196</v>
      </c>
      <c r="G295">
        <v>35.5</v>
      </c>
      <c r="H295">
        <v>36000</v>
      </c>
      <c r="I295" t="s">
        <v>23</v>
      </c>
    </row>
    <row r="296" spans="1:9" hidden="1" x14ac:dyDescent="0.25">
      <c r="A296">
        <v>24</v>
      </c>
      <c r="B296" t="s">
        <v>14</v>
      </c>
      <c r="C296">
        <v>2019</v>
      </c>
      <c r="D296">
        <v>196</v>
      </c>
      <c r="E296" t="s">
        <v>9</v>
      </c>
      <c r="F296">
        <v>131</v>
      </c>
      <c r="G296">
        <v>65</v>
      </c>
      <c r="H296">
        <v>36000</v>
      </c>
      <c r="I296" t="s">
        <v>23</v>
      </c>
    </row>
    <row r="297" spans="1:9" hidden="1" x14ac:dyDescent="0.25">
      <c r="A297">
        <v>25</v>
      </c>
      <c r="B297" t="s">
        <v>14</v>
      </c>
      <c r="C297">
        <v>2019</v>
      </c>
      <c r="D297">
        <v>131</v>
      </c>
      <c r="E297">
        <v>-14</v>
      </c>
      <c r="F297">
        <v>44</v>
      </c>
      <c r="G297">
        <v>73</v>
      </c>
      <c r="H297">
        <v>36000</v>
      </c>
      <c r="I297" t="s">
        <v>23</v>
      </c>
    </row>
    <row r="298" spans="1:9" hidden="1" x14ac:dyDescent="0.25">
      <c r="A298">
        <v>26</v>
      </c>
      <c r="B298" t="s">
        <v>14</v>
      </c>
      <c r="C298">
        <v>2019</v>
      </c>
      <c r="D298">
        <v>44</v>
      </c>
      <c r="E298">
        <v>108</v>
      </c>
      <c r="F298">
        <v>88.5</v>
      </c>
      <c r="G298">
        <v>63.5</v>
      </c>
      <c r="H298">
        <v>36000</v>
      </c>
      <c r="I298" t="s">
        <v>23</v>
      </c>
    </row>
    <row r="299" spans="1:9" hidden="1" x14ac:dyDescent="0.25">
      <c r="A299">
        <v>27</v>
      </c>
      <c r="B299" t="s">
        <v>14</v>
      </c>
      <c r="C299">
        <v>2019</v>
      </c>
      <c r="D299">
        <v>88.5</v>
      </c>
      <c r="E299">
        <v>107</v>
      </c>
      <c r="F299">
        <v>164.5</v>
      </c>
      <c r="G299">
        <v>31</v>
      </c>
      <c r="H299">
        <v>36000</v>
      </c>
      <c r="I299" t="s">
        <v>23</v>
      </c>
    </row>
    <row r="300" spans="1:9" hidden="1" x14ac:dyDescent="0.25">
      <c r="A300">
        <v>28</v>
      </c>
      <c r="B300" t="s">
        <v>14</v>
      </c>
      <c r="C300">
        <v>2019</v>
      </c>
      <c r="D300">
        <v>164.5</v>
      </c>
      <c r="E300" t="s">
        <v>9</v>
      </c>
      <c r="F300">
        <v>122.5</v>
      </c>
      <c r="G300">
        <v>42</v>
      </c>
      <c r="H300">
        <v>36000</v>
      </c>
      <c r="I300" t="s">
        <v>23</v>
      </c>
    </row>
    <row r="301" spans="1:9" hidden="1" x14ac:dyDescent="0.25">
      <c r="A301">
        <v>29</v>
      </c>
      <c r="B301" t="s">
        <v>14</v>
      </c>
      <c r="C301">
        <v>2019</v>
      </c>
      <c r="D301">
        <v>122.5</v>
      </c>
      <c r="E301">
        <v>6</v>
      </c>
      <c r="F301">
        <v>97</v>
      </c>
      <c r="G301">
        <v>31.5</v>
      </c>
      <c r="H301">
        <v>36000</v>
      </c>
      <c r="I301" t="s">
        <v>23</v>
      </c>
    </row>
    <row r="302" spans="1:9" hidden="1" x14ac:dyDescent="0.25">
      <c r="A302">
        <v>30</v>
      </c>
      <c r="B302" t="s">
        <v>14</v>
      </c>
      <c r="C302">
        <v>2019</v>
      </c>
      <c r="D302">
        <v>97</v>
      </c>
      <c r="E302">
        <v>105</v>
      </c>
      <c r="F302">
        <v>161.25</v>
      </c>
      <c r="G302">
        <v>40.75</v>
      </c>
      <c r="H302">
        <v>36000</v>
      </c>
      <c r="I302" t="s">
        <v>23</v>
      </c>
    </row>
    <row r="303" spans="1:9" hidden="1" x14ac:dyDescent="0.25">
      <c r="A303">
        <v>31</v>
      </c>
      <c r="B303" t="s">
        <v>14</v>
      </c>
      <c r="C303">
        <v>2019</v>
      </c>
      <c r="D303">
        <v>161.25</v>
      </c>
      <c r="E303">
        <v>106</v>
      </c>
      <c r="F303">
        <v>202.75</v>
      </c>
      <c r="G303">
        <v>64.5</v>
      </c>
      <c r="H303">
        <v>36000</v>
      </c>
      <c r="I303" t="s">
        <v>23</v>
      </c>
    </row>
    <row r="304" spans="1:9" x14ac:dyDescent="0.25">
      <c r="A304">
        <v>1</v>
      </c>
      <c r="B304" t="s">
        <v>15</v>
      </c>
      <c r="C304">
        <v>2019</v>
      </c>
      <c r="D304">
        <v>75</v>
      </c>
      <c r="E304" t="s">
        <v>9</v>
      </c>
      <c r="F304">
        <v>27.5</v>
      </c>
      <c r="G304">
        <v>47.5</v>
      </c>
      <c r="H304">
        <v>36000</v>
      </c>
      <c r="I304" t="s">
        <v>22</v>
      </c>
    </row>
    <row r="305" spans="1:9" x14ac:dyDescent="0.25">
      <c r="A305">
        <v>2</v>
      </c>
      <c r="B305" t="s">
        <v>15</v>
      </c>
      <c r="C305">
        <v>2019</v>
      </c>
      <c r="D305">
        <v>27.5</v>
      </c>
      <c r="E305">
        <v>50</v>
      </c>
      <c r="F305">
        <v>30.25</v>
      </c>
      <c r="G305">
        <v>47.25</v>
      </c>
      <c r="H305">
        <v>36000</v>
      </c>
      <c r="I305" t="s">
        <v>22</v>
      </c>
    </row>
    <row r="306" spans="1:9" x14ac:dyDescent="0.25">
      <c r="A306">
        <v>3</v>
      </c>
      <c r="B306" t="s">
        <v>15</v>
      </c>
      <c r="C306">
        <v>2019</v>
      </c>
      <c r="D306">
        <v>30.25</v>
      </c>
      <c r="E306">
        <v>70</v>
      </c>
      <c r="F306">
        <v>55.875</v>
      </c>
      <c r="G306">
        <v>44.375</v>
      </c>
      <c r="H306">
        <v>36000</v>
      </c>
      <c r="I306" t="s">
        <v>22</v>
      </c>
    </row>
    <row r="307" spans="1:9" x14ac:dyDescent="0.25">
      <c r="A307">
        <v>4</v>
      </c>
      <c r="B307" t="s">
        <v>15</v>
      </c>
      <c r="C307">
        <v>2019</v>
      </c>
      <c r="D307">
        <v>55.875</v>
      </c>
      <c r="E307" t="s">
        <v>9</v>
      </c>
      <c r="F307">
        <v>38.75</v>
      </c>
      <c r="G307">
        <v>17.125</v>
      </c>
      <c r="H307">
        <v>36000</v>
      </c>
      <c r="I307" t="s">
        <v>22</v>
      </c>
    </row>
    <row r="308" spans="1:9" x14ac:dyDescent="0.25">
      <c r="A308">
        <v>5</v>
      </c>
      <c r="B308" t="s">
        <v>15</v>
      </c>
      <c r="C308">
        <v>2019</v>
      </c>
      <c r="D308">
        <v>38.75</v>
      </c>
      <c r="E308" t="s">
        <v>9</v>
      </c>
      <c r="F308">
        <v>21</v>
      </c>
      <c r="G308">
        <v>17.75</v>
      </c>
      <c r="H308">
        <v>36000</v>
      </c>
      <c r="I308" t="s">
        <v>22</v>
      </c>
    </row>
    <row r="309" spans="1:9" x14ac:dyDescent="0.25">
      <c r="A309">
        <v>6</v>
      </c>
      <c r="B309" t="s">
        <v>15</v>
      </c>
      <c r="C309">
        <v>2019</v>
      </c>
      <c r="D309">
        <v>21</v>
      </c>
      <c r="E309">
        <v>110</v>
      </c>
      <c r="F309">
        <v>118</v>
      </c>
      <c r="G309">
        <v>13</v>
      </c>
      <c r="H309">
        <v>36000</v>
      </c>
      <c r="I309" t="s">
        <v>22</v>
      </c>
    </row>
    <row r="310" spans="1:9" x14ac:dyDescent="0.25">
      <c r="A310">
        <v>7</v>
      </c>
      <c r="B310" t="s">
        <v>15</v>
      </c>
      <c r="C310">
        <v>2019</v>
      </c>
      <c r="D310">
        <v>118</v>
      </c>
      <c r="E310" t="s">
        <v>9</v>
      </c>
      <c r="F310">
        <v>100.875</v>
      </c>
      <c r="G310">
        <v>17.125</v>
      </c>
      <c r="H310">
        <v>36000</v>
      </c>
      <c r="I310" t="s">
        <v>22</v>
      </c>
    </row>
    <row r="311" spans="1:9" x14ac:dyDescent="0.25">
      <c r="A311">
        <v>8</v>
      </c>
      <c r="B311" t="s">
        <v>15</v>
      </c>
      <c r="C311">
        <v>2019</v>
      </c>
      <c r="D311">
        <v>100.875</v>
      </c>
      <c r="E311" t="s">
        <v>9</v>
      </c>
      <c r="F311">
        <v>59.5</v>
      </c>
      <c r="G311">
        <v>41.375</v>
      </c>
      <c r="H311">
        <v>36000</v>
      </c>
      <c r="I311" t="s">
        <v>22</v>
      </c>
    </row>
    <row r="312" spans="1:9" x14ac:dyDescent="0.25">
      <c r="A312">
        <v>9</v>
      </c>
      <c r="B312" t="s">
        <v>15</v>
      </c>
      <c r="C312">
        <v>2019</v>
      </c>
      <c r="D312">
        <v>59.5</v>
      </c>
      <c r="E312" t="s">
        <v>9</v>
      </c>
      <c r="F312">
        <v>29.5</v>
      </c>
      <c r="G312">
        <v>30</v>
      </c>
      <c r="H312">
        <v>36000</v>
      </c>
      <c r="I312" t="s">
        <v>22</v>
      </c>
    </row>
    <row r="313" spans="1:9" x14ac:dyDescent="0.25">
      <c r="A313">
        <v>10</v>
      </c>
      <c r="B313" t="s">
        <v>15</v>
      </c>
      <c r="C313">
        <v>2019</v>
      </c>
      <c r="D313">
        <v>29.5</v>
      </c>
      <c r="E313">
        <v>100</v>
      </c>
      <c r="F313">
        <v>110</v>
      </c>
      <c r="G313">
        <v>19.5</v>
      </c>
      <c r="H313">
        <v>36000</v>
      </c>
      <c r="I313" t="s">
        <v>22</v>
      </c>
    </row>
    <row r="314" spans="1:9" x14ac:dyDescent="0.25">
      <c r="A314">
        <v>11</v>
      </c>
      <c r="B314" t="s">
        <v>15</v>
      </c>
      <c r="C314">
        <v>2019</v>
      </c>
      <c r="D314">
        <v>110</v>
      </c>
      <c r="E314" t="s">
        <v>9</v>
      </c>
      <c r="F314">
        <v>95</v>
      </c>
      <c r="G314">
        <v>15</v>
      </c>
      <c r="H314">
        <v>36000</v>
      </c>
      <c r="I314" t="s">
        <v>22</v>
      </c>
    </row>
    <row r="315" spans="1:9" x14ac:dyDescent="0.25">
      <c r="A315">
        <v>12</v>
      </c>
      <c r="B315" t="s">
        <v>15</v>
      </c>
      <c r="C315">
        <v>2019</v>
      </c>
      <c r="D315">
        <v>95</v>
      </c>
      <c r="E315" t="s">
        <v>9</v>
      </c>
      <c r="F315">
        <v>74.875</v>
      </c>
      <c r="G315">
        <v>20.125</v>
      </c>
      <c r="H315">
        <v>36000</v>
      </c>
      <c r="I315" t="s">
        <v>22</v>
      </c>
    </row>
    <row r="316" spans="1:9" x14ac:dyDescent="0.25">
      <c r="A316">
        <v>13</v>
      </c>
      <c r="B316" t="s">
        <v>15</v>
      </c>
      <c r="C316">
        <v>2019</v>
      </c>
      <c r="D316">
        <v>74.875</v>
      </c>
      <c r="E316">
        <v>40</v>
      </c>
      <c r="F316">
        <v>105.375</v>
      </c>
      <c r="G316">
        <v>9.5</v>
      </c>
      <c r="H316">
        <v>36000</v>
      </c>
      <c r="I316" t="s">
        <v>22</v>
      </c>
    </row>
    <row r="317" spans="1:9" x14ac:dyDescent="0.25">
      <c r="A317">
        <v>14</v>
      </c>
      <c r="B317" t="s">
        <v>15</v>
      </c>
      <c r="C317">
        <v>2019</v>
      </c>
      <c r="D317">
        <v>105.375</v>
      </c>
      <c r="E317" t="s">
        <v>9</v>
      </c>
      <c r="F317">
        <v>85</v>
      </c>
      <c r="G317">
        <v>20.375</v>
      </c>
      <c r="H317">
        <v>36000</v>
      </c>
      <c r="I317" t="s">
        <v>22</v>
      </c>
    </row>
    <row r="318" spans="1:9" x14ac:dyDescent="0.25">
      <c r="A318">
        <v>15</v>
      </c>
      <c r="B318" t="s">
        <v>15</v>
      </c>
      <c r="C318">
        <v>2019</v>
      </c>
      <c r="D318">
        <v>85</v>
      </c>
      <c r="E318" t="s">
        <v>9</v>
      </c>
      <c r="F318">
        <v>49</v>
      </c>
      <c r="G318">
        <v>36</v>
      </c>
      <c r="H318">
        <v>36000</v>
      </c>
      <c r="I318" t="s">
        <v>22</v>
      </c>
    </row>
    <row r="319" spans="1:9" x14ac:dyDescent="0.25">
      <c r="A319">
        <v>16</v>
      </c>
      <c r="B319" t="s">
        <v>15</v>
      </c>
      <c r="C319">
        <v>2019</v>
      </c>
      <c r="D319">
        <v>49</v>
      </c>
      <c r="E319">
        <v>20</v>
      </c>
      <c r="F319">
        <v>34.75</v>
      </c>
      <c r="G319">
        <v>34.25</v>
      </c>
      <c r="H319">
        <v>36000</v>
      </c>
      <c r="I319" t="s">
        <v>22</v>
      </c>
    </row>
    <row r="320" spans="1:9" x14ac:dyDescent="0.25">
      <c r="A320">
        <v>17</v>
      </c>
      <c r="B320" t="s">
        <v>15</v>
      </c>
      <c r="C320">
        <v>2019</v>
      </c>
      <c r="D320">
        <v>34.75</v>
      </c>
      <c r="E320">
        <v>70</v>
      </c>
      <c r="F320">
        <v>87</v>
      </c>
      <c r="G320">
        <v>17.75</v>
      </c>
      <c r="H320">
        <v>36000</v>
      </c>
      <c r="I320" t="s">
        <v>22</v>
      </c>
    </row>
    <row r="321" spans="1:9" x14ac:dyDescent="0.25">
      <c r="A321">
        <v>18</v>
      </c>
      <c r="B321" t="s">
        <v>15</v>
      </c>
      <c r="C321">
        <v>2019</v>
      </c>
      <c r="D321">
        <v>87</v>
      </c>
      <c r="E321" t="s">
        <v>9</v>
      </c>
      <c r="F321">
        <v>55</v>
      </c>
      <c r="G321">
        <v>32</v>
      </c>
      <c r="H321">
        <v>36000</v>
      </c>
      <c r="I321" t="s">
        <v>22</v>
      </c>
    </row>
    <row r="322" spans="1:9" x14ac:dyDescent="0.25">
      <c r="A322">
        <v>19</v>
      </c>
      <c r="B322" t="s">
        <v>15</v>
      </c>
      <c r="C322">
        <v>2019</v>
      </c>
      <c r="D322">
        <v>55</v>
      </c>
      <c r="E322" t="s">
        <v>9</v>
      </c>
      <c r="F322">
        <v>23.375</v>
      </c>
      <c r="G322">
        <v>31.625</v>
      </c>
      <c r="H322">
        <v>36000</v>
      </c>
      <c r="I322" t="s">
        <v>22</v>
      </c>
    </row>
    <row r="323" spans="1:9" x14ac:dyDescent="0.25">
      <c r="A323">
        <v>20</v>
      </c>
      <c r="B323" t="s">
        <v>15</v>
      </c>
      <c r="C323">
        <v>2019</v>
      </c>
      <c r="D323">
        <v>23.375</v>
      </c>
      <c r="E323">
        <v>100</v>
      </c>
      <c r="F323">
        <v>95</v>
      </c>
      <c r="G323">
        <v>28.375</v>
      </c>
      <c r="H323">
        <v>36000</v>
      </c>
      <c r="I323" t="s">
        <v>22</v>
      </c>
    </row>
    <row r="324" spans="1:9" x14ac:dyDescent="0.25">
      <c r="A324">
        <v>21</v>
      </c>
      <c r="B324" t="s">
        <v>15</v>
      </c>
      <c r="C324">
        <v>2019</v>
      </c>
      <c r="D324">
        <v>95</v>
      </c>
      <c r="E324" t="s">
        <v>9</v>
      </c>
      <c r="F324">
        <v>61.875</v>
      </c>
      <c r="G324">
        <v>33.125</v>
      </c>
      <c r="H324">
        <v>36000</v>
      </c>
      <c r="I324" t="s">
        <v>22</v>
      </c>
    </row>
    <row r="325" spans="1:9" x14ac:dyDescent="0.25">
      <c r="A325">
        <v>22</v>
      </c>
      <c r="B325" t="s">
        <v>15</v>
      </c>
      <c r="C325">
        <v>2019</v>
      </c>
      <c r="D325">
        <v>61.875</v>
      </c>
      <c r="E325" t="s">
        <v>9</v>
      </c>
      <c r="F325">
        <v>18</v>
      </c>
      <c r="G325">
        <v>43.875</v>
      </c>
      <c r="H325">
        <v>36000</v>
      </c>
      <c r="I325" t="s">
        <v>22</v>
      </c>
    </row>
    <row r="326" spans="1:9" x14ac:dyDescent="0.25">
      <c r="A326">
        <v>23</v>
      </c>
      <c r="B326" t="s">
        <v>15</v>
      </c>
      <c r="C326">
        <v>2019</v>
      </c>
      <c r="D326">
        <v>18</v>
      </c>
      <c r="E326">
        <v>60</v>
      </c>
      <c r="F326">
        <v>27.75</v>
      </c>
      <c r="G326">
        <v>50.25</v>
      </c>
      <c r="H326">
        <v>36000</v>
      </c>
      <c r="I326" t="s">
        <v>22</v>
      </c>
    </row>
    <row r="327" spans="1:9" x14ac:dyDescent="0.25">
      <c r="A327">
        <v>24</v>
      </c>
      <c r="B327" t="s">
        <v>15</v>
      </c>
      <c r="C327">
        <v>2019</v>
      </c>
      <c r="D327">
        <v>27.75</v>
      </c>
      <c r="E327">
        <v>60</v>
      </c>
      <c r="F327">
        <v>44</v>
      </c>
      <c r="G327">
        <v>43.75</v>
      </c>
      <c r="H327">
        <v>36000</v>
      </c>
      <c r="I327" t="s">
        <v>22</v>
      </c>
    </row>
    <row r="328" spans="1:9" x14ac:dyDescent="0.25">
      <c r="A328">
        <v>25</v>
      </c>
      <c r="B328" t="s">
        <v>15</v>
      </c>
      <c r="C328">
        <v>2019</v>
      </c>
      <c r="D328">
        <v>44</v>
      </c>
      <c r="E328">
        <v>70</v>
      </c>
      <c r="F328">
        <v>64</v>
      </c>
      <c r="G328">
        <v>50</v>
      </c>
      <c r="H328">
        <v>36000</v>
      </c>
      <c r="I328" t="s">
        <v>22</v>
      </c>
    </row>
    <row r="329" spans="1:9" x14ac:dyDescent="0.25">
      <c r="A329">
        <v>26</v>
      </c>
      <c r="B329" t="s">
        <v>15</v>
      </c>
      <c r="C329">
        <v>2019</v>
      </c>
      <c r="D329">
        <v>64</v>
      </c>
      <c r="E329">
        <v>100</v>
      </c>
      <c r="F329">
        <v>110.75</v>
      </c>
      <c r="G329">
        <v>53.25</v>
      </c>
      <c r="H329">
        <v>36000</v>
      </c>
      <c r="I329" t="s">
        <v>22</v>
      </c>
    </row>
    <row r="330" spans="1:9" x14ac:dyDescent="0.25">
      <c r="A330">
        <v>27</v>
      </c>
      <c r="B330" t="s">
        <v>15</v>
      </c>
      <c r="C330">
        <v>2019</v>
      </c>
      <c r="D330">
        <v>110.75</v>
      </c>
      <c r="E330" t="s">
        <v>9</v>
      </c>
      <c r="F330">
        <v>81.25</v>
      </c>
      <c r="G330">
        <v>29.5</v>
      </c>
      <c r="H330">
        <v>36000</v>
      </c>
      <c r="I330" t="s">
        <v>22</v>
      </c>
    </row>
    <row r="331" spans="1:9" x14ac:dyDescent="0.25">
      <c r="A331">
        <v>28</v>
      </c>
      <c r="B331" t="s">
        <v>15</v>
      </c>
      <c r="C331">
        <v>2019</v>
      </c>
      <c r="D331">
        <v>81.25</v>
      </c>
      <c r="E331" t="s">
        <v>9</v>
      </c>
      <c r="F331">
        <v>36.5</v>
      </c>
      <c r="G331">
        <v>44.75</v>
      </c>
      <c r="H331">
        <v>36000</v>
      </c>
      <c r="I331" t="s">
        <v>22</v>
      </c>
    </row>
    <row r="332" spans="1:9" x14ac:dyDescent="0.25">
      <c r="A332">
        <v>29</v>
      </c>
      <c r="B332" t="s">
        <v>15</v>
      </c>
      <c r="C332">
        <v>2019</v>
      </c>
      <c r="D332">
        <v>36.5</v>
      </c>
      <c r="E332">
        <v>50</v>
      </c>
      <c r="F332">
        <v>46.75</v>
      </c>
      <c r="G332">
        <v>39.75</v>
      </c>
      <c r="H332">
        <v>36000</v>
      </c>
      <c r="I332" t="s">
        <v>22</v>
      </c>
    </row>
    <row r="333" spans="1:9" x14ac:dyDescent="0.25">
      <c r="A333">
        <v>30</v>
      </c>
      <c r="B333" t="s">
        <v>15</v>
      </c>
      <c r="C333">
        <v>2019</v>
      </c>
      <c r="D333">
        <v>46.75</v>
      </c>
      <c r="E333">
        <v>90</v>
      </c>
      <c r="F333">
        <v>83</v>
      </c>
      <c r="G333">
        <v>53.75</v>
      </c>
      <c r="H333">
        <v>36000</v>
      </c>
      <c r="I333" t="s">
        <v>22</v>
      </c>
    </row>
    <row r="334" spans="1:9" hidden="1" x14ac:dyDescent="0.25">
      <c r="A334">
        <v>1</v>
      </c>
      <c r="B334" t="s">
        <v>15</v>
      </c>
      <c r="C334">
        <v>2019</v>
      </c>
      <c r="D334">
        <v>202.75</v>
      </c>
      <c r="E334" t="s">
        <v>9</v>
      </c>
      <c r="F334">
        <v>122.75</v>
      </c>
      <c r="G334">
        <v>80</v>
      </c>
      <c r="H334">
        <v>36000</v>
      </c>
      <c r="I334" t="s">
        <v>23</v>
      </c>
    </row>
    <row r="335" spans="1:9" hidden="1" x14ac:dyDescent="0.25">
      <c r="A335">
        <v>2</v>
      </c>
      <c r="B335" t="s">
        <v>15</v>
      </c>
      <c r="C335">
        <v>2019</v>
      </c>
      <c r="D335">
        <v>122.75</v>
      </c>
      <c r="E335">
        <v>55</v>
      </c>
      <c r="F335">
        <v>80</v>
      </c>
      <c r="G335">
        <v>97.75</v>
      </c>
      <c r="H335">
        <v>36000</v>
      </c>
      <c r="I335" t="s">
        <v>23</v>
      </c>
    </row>
    <row r="336" spans="1:9" hidden="1" x14ac:dyDescent="0.25">
      <c r="A336">
        <v>3</v>
      </c>
      <c r="B336" t="s">
        <v>15</v>
      </c>
      <c r="C336">
        <v>2019</v>
      </c>
      <c r="D336">
        <v>80</v>
      </c>
      <c r="E336">
        <v>36</v>
      </c>
      <c r="F336">
        <v>48.75</v>
      </c>
      <c r="G336">
        <v>67.25</v>
      </c>
      <c r="H336">
        <v>36000</v>
      </c>
      <c r="I336" t="s">
        <v>23</v>
      </c>
    </row>
    <row r="337" spans="1:9" hidden="1" x14ac:dyDescent="0.25">
      <c r="A337">
        <v>4</v>
      </c>
      <c r="B337" t="s">
        <v>15</v>
      </c>
      <c r="C337">
        <v>2019</v>
      </c>
      <c r="D337">
        <v>48.75</v>
      </c>
      <c r="E337">
        <v>70</v>
      </c>
      <c r="F337">
        <v>75.5</v>
      </c>
      <c r="G337">
        <v>43.25</v>
      </c>
      <c r="H337">
        <v>36000</v>
      </c>
      <c r="I337" t="s">
        <v>23</v>
      </c>
    </row>
    <row r="338" spans="1:9" hidden="1" x14ac:dyDescent="0.25">
      <c r="A338">
        <v>5</v>
      </c>
      <c r="B338" t="s">
        <v>15</v>
      </c>
      <c r="C338">
        <v>2019</v>
      </c>
      <c r="D338">
        <v>75.5</v>
      </c>
      <c r="E338">
        <v>106</v>
      </c>
      <c r="F338">
        <v>141</v>
      </c>
      <c r="G338">
        <v>40.5</v>
      </c>
      <c r="H338">
        <v>36000</v>
      </c>
      <c r="I338" t="s">
        <v>23</v>
      </c>
    </row>
    <row r="339" spans="1:9" hidden="1" x14ac:dyDescent="0.25">
      <c r="A339">
        <v>6</v>
      </c>
      <c r="B339" t="s">
        <v>15</v>
      </c>
      <c r="C339">
        <v>2019</v>
      </c>
      <c r="D339">
        <v>141</v>
      </c>
      <c r="E339">
        <v>-39</v>
      </c>
      <c r="F339">
        <v>64.5</v>
      </c>
      <c r="G339">
        <v>37.5</v>
      </c>
      <c r="H339">
        <v>36000</v>
      </c>
      <c r="I339" t="s">
        <v>23</v>
      </c>
    </row>
    <row r="340" spans="1:9" hidden="1" x14ac:dyDescent="0.25">
      <c r="A340">
        <v>7</v>
      </c>
      <c r="B340" t="s">
        <v>15</v>
      </c>
      <c r="C340">
        <v>2019</v>
      </c>
      <c r="D340">
        <v>64.5</v>
      </c>
      <c r="E340">
        <v>34</v>
      </c>
      <c r="F340">
        <v>43.5</v>
      </c>
      <c r="G340">
        <v>55</v>
      </c>
      <c r="H340">
        <v>36000</v>
      </c>
      <c r="I340" t="s">
        <v>23</v>
      </c>
    </row>
    <row r="341" spans="1:9" hidden="1" x14ac:dyDescent="0.25">
      <c r="A341">
        <v>8</v>
      </c>
      <c r="B341" t="s">
        <v>15</v>
      </c>
      <c r="C341">
        <v>2019</v>
      </c>
      <c r="D341">
        <v>43.5</v>
      </c>
      <c r="E341">
        <v>105</v>
      </c>
      <c r="F341">
        <v>77.75</v>
      </c>
      <c r="G341">
        <v>70.75</v>
      </c>
      <c r="H341">
        <v>36000</v>
      </c>
      <c r="I341" t="s">
        <v>23</v>
      </c>
    </row>
    <row r="342" spans="1:9" hidden="1" x14ac:dyDescent="0.25">
      <c r="A342">
        <v>9</v>
      </c>
      <c r="B342" t="s">
        <v>15</v>
      </c>
      <c r="C342">
        <v>2019</v>
      </c>
      <c r="D342">
        <v>77.75</v>
      </c>
      <c r="E342">
        <v>107</v>
      </c>
      <c r="F342">
        <v>112.875</v>
      </c>
      <c r="G342">
        <v>71.875</v>
      </c>
      <c r="H342">
        <v>36000</v>
      </c>
      <c r="I342" t="s">
        <v>23</v>
      </c>
    </row>
    <row r="343" spans="1:9" hidden="1" x14ac:dyDescent="0.25">
      <c r="A343">
        <v>10</v>
      </c>
      <c r="B343" t="s">
        <v>15</v>
      </c>
      <c r="C343">
        <v>2019</v>
      </c>
      <c r="D343">
        <v>112.875</v>
      </c>
      <c r="E343">
        <v>-29</v>
      </c>
      <c r="F343">
        <v>42.75</v>
      </c>
      <c r="G343">
        <v>41.125</v>
      </c>
      <c r="H343">
        <v>36000</v>
      </c>
      <c r="I343" t="s">
        <v>23</v>
      </c>
    </row>
    <row r="344" spans="1:9" hidden="1" x14ac:dyDescent="0.25">
      <c r="A344">
        <v>11</v>
      </c>
      <c r="B344" t="s">
        <v>15</v>
      </c>
      <c r="C344">
        <v>2019</v>
      </c>
      <c r="D344">
        <v>42.75</v>
      </c>
      <c r="E344">
        <v>106</v>
      </c>
      <c r="F344">
        <v>118</v>
      </c>
      <c r="G344">
        <v>30.75</v>
      </c>
      <c r="H344">
        <v>36000</v>
      </c>
      <c r="I344" t="s">
        <v>23</v>
      </c>
    </row>
    <row r="345" spans="1:9" hidden="1" x14ac:dyDescent="0.25">
      <c r="A345">
        <v>12</v>
      </c>
      <c r="B345" t="s">
        <v>15</v>
      </c>
      <c r="C345">
        <v>2019</v>
      </c>
      <c r="D345">
        <v>118</v>
      </c>
      <c r="E345" t="s">
        <v>9</v>
      </c>
      <c r="F345">
        <v>78.25</v>
      </c>
      <c r="G345">
        <v>39.75</v>
      </c>
      <c r="H345">
        <v>36000</v>
      </c>
      <c r="I345" t="s">
        <v>23</v>
      </c>
    </row>
    <row r="346" spans="1:9" hidden="1" x14ac:dyDescent="0.25">
      <c r="A346">
        <v>13</v>
      </c>
      <c r="B346" t="s">
        <v>15</v>
      </c>
      <c r="C346">
        <v>2019</v>
      </c>
      <c r="D346">
        <v>78.25</v>
      </c>
      <c r="E346">
        <v>65</v>
      </c>
      <c r="F346">
        <v>90</v>
      </c>
      <c r="G346">
        <v>53.25</v>
      </c>
      <c r="H346">
        <v>36000</v>
      </c>
      <c r="I346" t="s">
        <v>23</v>
      </c>
    </row>
    <row r="347" spans="1:9" hidden="1" x14ac:dyDescent="0.25">
      <c r="A347">
        <v>14</v>
      </c>
      <c r="B347" t="s">
        <v>15</v>
      </c>
      <c r="C347">
        <v>2019</v>
      </c>
      <c r="D347">
        <v>90</v>
      </c>
      <c r="E347">
        <v>70</v>
      </c>
      <c r="F347">
        <v>88.5</v>
      </c>
      <c r="G347">
        <v>71.5</v>
      </c>
      <c r="H347">
        <v>36000</v>
      </c>
      <c r="I347" t="s">
        <v>23</v>
      </c>
    </row>
    <row r="348" spans="1:9" hidden="1" x14ac:dyDescent="0.25">
      <c r="A348">
        <v>15</v>
      </c>
      <c r="B348" t="s">
        <v>15</v>
      </c>
      <c r="C348">
        <v>2019</v>
      </c>
      <c r="D348">
        <v>88.5</v>
      </c>
      <c r="E348">
        <v>107</v>
      </c>
      <c r="F348">
        <v>95.75</v>
      </c>
      <c r="G348">
        <v>99.75</v>
      </c>
      <c r="H348">
        <v>36000</v>
      </c>
      <c r="I348" t="s">
        <v>23</v>
      </c>
    </row>
    <row r="349" spans="1:9" hidden="1" x14ac:dyDescent="0.25">
      <c r="A349">
        <v>16</v>
      </c>
      <c r="B349" t="s">
        <v>15</v>
      </c>
      <c r="C349">
        <v>2019</v>
      </c>
      <c r="D349">
        <v>95.75</v>
      </c>
      <c r="E349">
        <v>89</v>
      </c>
      <c r="F349">
        <v>111</v>
      </c>
      <c r="G349">
        <v>73.75</v>
      </c>
      <c r="H349">
        <v>36000</v>
      </c>
      <c r="I349" t="s">
        <v>23</v>
      </c>
    </row>
    <row r="350" spans="1:9" hidden="1" x14ac:dyDescent="0.25">
      <c r="A350">
        <v>17</v>
      </c>
      <c r="B350" t="s">
        <v>15</v>
      </c>
      <c r="C350">
        <v>2019</v>
      </c>
      <c r="D350">
        <v>111</v>
      </c>
      <c r="E350">
        <v>72</v>
      </c>
      <c r="F350">
        <v>141</v>
      </c>
      <c r="G350">
        <v>42</v>
      </c>
      <c r="H350">
        <v>36000</v>
      </c>
      <c r="I350" t="s">
        <v>23</v>
      </c>
    </row>
    <row r="351" spans="1:9" hidden="1" x14ac:dyDescent="0.25">
      <c r="A351">
        <v>18</v>
      </c>
      <c r="B351" t="s">
        <v>15</v>
      </c>
      <c r="C351">
        <v>2019</v>
      </c>
      <c r="D351">
        <v>141</v>
      </c>
      <c r="E351" t="s">
        <v>9</v>
      </c>
      <c r="F351">
        <v>95.05</v>
      </c>
      <c r="G351">
        <v>45.95</v>
      </c>
      <c r="H351">
        <v>36000</v>
      </c>
      <c r="I351" t="s">
        <v>23</v>
      </c>
    </row>
    <row r="352" spans="1:9" hidden="1" x14ac:dyDescent="0.25">
      <c r="A352">
        <v>19</v>
      </c>
      <c r="B352" t="s">
        <v>15</v>
      </c>
      <c r="C352">
        <v>2019</v>
      </c>
      <c r="D352">
        <v>95.05</v>
      </c>
      <c r="E352">
        <v>139</v>
      </c>
      <c r="F352">
        <v>174.5</v>
      </c>
      <c r="G352">
        <v>59.55</v>
      </c>
      <c r="H352">
        <v>36000</v>
      </c>
      <c r="I352" t="s">
        <v>23</v>
      </c>
    </row>
    <row r="353" spans="1:9" hidden="1" x14ac:dyDescent="0.25">
      <c r="A353">
        <v>20</v>
      </c>
      <c r="B353" t="s">
        <v>15</v>
      </c>
      <c r="C353">
        <v>2019</v>
      </c>
      <c r="D353">
        <v>174.5</v>
      </c>
      <c r="E353">
        <v>5</v>
      </c>
      <c r="F353">
        <v>131.5</v>
      </c>
      <c r="G353">
        <v>48</v>
      </c>
      <c r="H353">
        <v>36000</v>
      </c>
      <c r="I353" t="s">
        <v>23</v>
      </c>
    </row>
    <row r="354" spans="1:9" hidden="1" x14ac:dyDescent="0.25">
      <c r="A354">
        <v>21</v>
      </c>
      <c r="B354" t="s">
        <v>15</v>
      </c>
      <c r="C354">
        <v>2019</v>
      </c>
      <c r="D354">
        <v>131.5</v>
      </c>
      <c r="E354" t="s">
        <v>9</v>
      </c>
      <c r="F354">
        <v>69</v>
      </c>
      <c r="G354">
        <v>62.5</v>
      </c>
      <c r="H354">
        <v>36000</v>
      </c>
      <c r="I354" t="s">
        <v>23</v>
      </c>
    </row>
    <row r="355" spans="1:9" hidden="1" x14ac:dyDescent="0.25">
      <c r="A355">
        <v>22</v>
      </c>
      <c r="B355" t="s">
        <v>15</v>
      </c>
      <c r="C355">
        <v>2019</v>
      </c>
      <c r="D355">
        <v>69</v>
      </c>
      <c r="E355">
        <v>106</v>
      </c>
      <c r="F355">
        <v>98.75</v>
      </c>
      <c r="G355">
        <v>76.25</v>
      </c>
      <c r="H355">
        <v>36000</v>
      </c>
      <c r="I355" t="s">
        <v>23</v>
      </c>
    </row>
    <row r="356" spans="1:9" hidden="1" x14ac:dyDescent="0.25">
      <c r="A356">
        <v>23</v>
      </c>
      <c r="B356" t="s">
        <v>15</v>
      </c>
      <c r="C356">
        <v>2019</v>
      </c>
      <c r="D356">
        <v>98.75</v>
      </c>
      <c r="E356">
        <v>45</v>
      </c>
      <c r="F356">
        <v>61.5</v>
      </c>
      <c r="G356">
        <v>82.25</v>
      </c>
      <c r="H356">
        <v>36000</v>
      </c>
      <c r="I356" t="s">
        <v>23</v>
      </c>
    </row>
    <row r="357" spans="1:9" hidden="1" x14ac:dyDescent="0.25">
      <c r="A357">
        <v>24</v>
      </c>
      <c r="B357" t="s">
        <v>15</v>
      </c>
      <c r="C357">
        <v>2019</v>
      </c>
      <c r="D357">
        <v>61.5</v>
      </c>
      <c r="E357">
        <v>46</v>
      </c>
      <c r="F357">
        <v>39</v>
      </c>
      <c r="G357">
        <v>68.5</v>
      </c>
      <c r="H357">
        <v>36000</v>
      </c>
      <c r="I357" t="s">
        <v>23</v>
      </c>
    </row>
    <row r="358" spans="1:9" hidden="1" x14ac:dyDescent="0.25">
      <c r="A358">
        <v>25</v>
      </c>
      <c r="B358" t="s">
        <v>15</v>
      </c>
      <c r="C358">
        <v>2019</v>
      </c>
      <c r="D358">
        <v>39</v>
      </c>
      <c r="E358">
        <v>35</v>
      </c>
      <c r="F358">
        <v>23</v>
      </c>
      <c r="G358">
        <v>51</v>
      </c>
      <c r="H358">
        <v>36000</v>
      </c>
      <c r="I358" t="s">
        <v>23</v>
      </c>
    </row>
    <row r="359" spans="1:9" hidden="1" x14ac:dyDescent="0.25">
      <c r="A359">
        <v>26</v>
      </c>
      <c r="B359" t="s">
        <v>15</v>
      </c>
      <c r="C359">
        <v>2019</v>
      </c>
      <c r="D359">
        <v>23</v>
      </c>
      <c r="E359">
        <v>76</v>
      </c>
      <c r="F359">
        <v>34</v>
      </c>
      <c r="G359">
        <v>65</v>
      </c>
      <c r="H359">
        <v>36000</v>
      </c>
      <c r="I359" t="s">
        <v>23</v>
      </c>
    </row>
    <row r="360" spans="1:9" hidden="1" x14ac:dyDescent="0.25">
      <c r="A360">
        <v>27</v>
      </c>
      <c r="B360" t="s">
        <v>15</v>
      </c>
      <c r="C360">
        <v>2019</v>
      </c>
      <c r="D360">
        <v>34</v>
      </c>
      <c r="E360">
        <v>105</v>
      </c>
      <c r="F360">
        <v>88.5</v>
      </c>
      <c r="G360">
        <v>50.5</v>
      </c>
      <c r="H360">
        <v>36000</v>
      </c>
      <c r="I360" t="s">
        <v>23</v>
      </c>
    </row>
    <row r="361" spans="1:9" hidden="1" x14ac:dyDescent="0.25">
      <c r="A361">
        <v>28</v>
      </c>
      <c r="B361" t="s">
        <v>15</v>
      </c>
      <c r="C361">
        <v>2019</v>
      </c>
      <c r="D361">
        <v>88.5</v>
      </c>
      <c r="E361">
        <v>105</v>
      </c>
      <c r="F361">
        <v>113.5</v>
      </c>
      <c r="G361">
        <v>80</v>
      </c>
      <c r="H361">
        <v>36000</v>
      </c>
      <c r="I361" t="s">
        <v>23</v>
      </c>
    </row>
    <row r="362" spans="1:9" hidden="1" x14ac:dyDescent="0.25">
      <c r="A362">
        <v>29</v>
      </c>
      <c r="B362" t="s">
        <v>15</v>
      </c>
      <c r="C362">
        <v>2019</v>
      </c>
      <c r="D362">
        <v>113.5</v>
      </c>
      <c r="E362">
        <v>56</v>
      </c>
      <c r="F362">
        <v>106.5</v>
      </c>
      <c r="G362">
        <v>63</v>
      </c>
      <c r="H362">
        <v>36000</v>
      </c>
      <c r="I362" t="s">
        <v>23</v>
      </c>
    </row>
    <row r="363" spans="1:9" hidden="1" x14ac:dyDescent="0.25">
      <c r="A363">
        <v>30</v>
      </c>
      <c r="B363" t="s">
        <v>15</v>
      </c>
      <c r="C363">
        <v>2019</v>
      </c>
      <c r="D363">
        <v>106.5</v>
      </c>
      <c r="E363">
        <v>16</v>
      </c>
      <c r="F363">
        <v>45</v>
      </c>
      <c r="G363">
        <v>77.5</v>
      </c>
      <c r="H363">
        <v>36000</v>
      </c>
      <c r="I363" t="s">
        <v>23</v>
      </c>
    </row>
    <row r="364" spans="1:9" x14ac:dyDescent="0.25">
      <c r="A364">
        <v>1</v>
      </c>
      <c r="B364" t="s">
        <v>16</v>
      </c>
      <c r="C364">
        <v>2019</v>
      </c>
      <c r="D364">
        <v>83</v>
      </c>
      <c r="E364" t="s">
        <v>9</v>
      </c>
      <c r="F364">
        <v>33</v>
      </c>
      <c r="G364">
        <v>50</v>
      </c>
      <c r="H364">
        <v>36000</v>
      </c>
      <c r="I364" t="s">
        <v>22</v>
      </c>
    </row>
    <row r="365" spans="1:9" x14ac:dyDescent="0.25">
      <c r="A365">
        <v>2</v>
      </c>
      <c r="B365" t="s">
        <v>16</v>
      </c>
      <c r="C365">
        <v>2019</v>
      </c>
      <c r="D365">
        <v>33</v>
      </c>
      <c r="E365">
        <v>90</v>
      </c>
      <c r="F365">
        <v>77</v>
      </c>
      <c r="G365">
        <v>46</v>
      </c>
      <c r="H365">
        <v>36000</v>
      </c>
      <c r="I365" t="s">
        <v>22</v>
      </c>
    </row>
    <row r="366" spans="1:9" x14ac:dyDescent="0.25">
      <c r="A366">
        <v>3</v>
      </c>
      <c r="B366" t="s">
        <v>16</v>
      </c>
      <c r="C366">
        <v>2019</v>
      </c>
      <c r="D366">
        <v>77</v>
      </c>
      <c r="E366" t="s">
        <v>9</v>
      </c>
      <c r="F366">
        <v>29</v>
      </c>
      <c r="G366">
        <v>48</v>
      </c>
      <c r="H366">
        <v>36000</v>
      </c>
      <c r="I366" t="s">
        <v>22</v>
      </c>
    </row>
    <row r="367" spans="1:9" x14ac:dyDescent="0.25">
      <c r="A367">
        <v>4</v>
      </c>
      <c r="B367" t="s">
        <v>16</v>
      </c>
      <c r="C367">
        <v>2019</v>
      </c>
      <c r="D367">
        <v>29</v>
      </c>
      <c r="E367">
        <v>130</v>
      </c>
      <c r="F367">
        <v>128</v>
      </c>
      <c r="G367">
        <v>31</v>
      </c>
      <c r="H367">
        <v>36000</v>
      </c>
      <c r="I367" t="s">
        <v>22</v>
      </c>
    </row>
    <row r="368" spans="1:9" x14ac:dyDescent="0.25">
      <c r="A368">
        <v>5</v>
      </c>
      <c r="B368" t="s">
        <v>16</v>
      </c>
      <c r="C368">
        <v>2019</v>
      </c>
      <c r="D368">
        <v>128</v>
      </c>
      <c r="E368" t="s">
        <v>9</v>
      </c>
      <c r="F368">
        <v>98.75</v>
      </c>
      <c r="G368">
        <v>29.25</v>
      </c>
      <c r="H368">
        <v>36000</v>
      </c>
      <c r="I368" t="s">
        <v>22</v>
      </c>
    </row>
    <row r="369" spans="1:9" x14ac:dyDescent="0.25">
      <c r="A369">
        <v>6</v>
      </c>
      <c r="B369" t="s">
        <v>16</v>
      </c>
      <c r="C369">
        <v>2019</v>
      </c>
      <c r="D369">
        <v>98.75</v>
      </c>
      <c r="E369" t="s">
        <v>9</v>
      </c>
      <c r="F369">
        <v>52</v>
      </c>
      <c r="G369">
        <v>46.75</v>
      </c>
      <c r="H369">
        <v>36000</v>
      </c>
      <c r="I369" t="s">
        <v>22</v>
      </c>
    </row>
    <row r="370" spans="1:9" x14ac:dyDescent="0.25">
      <c r="A370">
        <v>7</v>
      </c>
      <c r="B370" t="s">
        <v>16</v>
      </c>
      <c r="C370">
        <v>2019</v>
      </c>
      <c r="D370">
        <v>52</v>
      </c>
      <c r="E370">
        <v>50</v>
      </c>
      <c r="F370">
        <v>56.25</v>
      </c>
      <c r="G370">
        <v>45.75</v>
      </c>
      <c r="H370">
        <v>36000</v>
      </c>
      <c r="I370" t="s">
        <v>22</v>
      </c>
    </row>
    <row r="371" spans="1:9" x14ac:dyDescent="0.25">
      <c r="A371">
        <v>8</v>
      </c>
      <c r="B371" t="s">
        <v>16</v>
      </c>
      <c r="C371">
        <v>2019</v>
      </c>
      <c r="D371">
        <v>56.25</v>
      </c>
      <c r="E371">
        <v>100</v>
      </c>
      <c r="F371">
        <v>140.875</v>
      </c>
      <c r="G371">
        <v>15.375</v>
      </c>
      <c r="H371">
        <v>36000</v>
      </c>
      <c r="I371" t="s">
        <v>22</v>
      </c>
    </row>
    <row r="372" spans="1:9" x14ac:dyDescent="0.25">
      <c r="A372">
        <v>9</v>
      </c>
      <c r="B372" t="s">
        <v>16</v>
      </c>
      <c r="C372">
        <v>2019</v>
      </c>
      <c r="D372">
        <v>140.875</v>
      </c>
      <c r="E372" t="s">
        <v>9</v>
      </c>
      <c r="F372">
        <v>106.625</v>
      </c>
      <c r="G372">
        <v>34.25</v>
      </c>
      <c r="H372">
        <v>36000</v>
      </c>
      <c r="I372" t="s">
        <v>22</v>
      </c>
    </row>
    <row r="373" spans="1:9" x14ac:dyDescent="0.25">
      <c r="A373">
        <v>10</v>
      </c>
      <c r="B373" t="s">
        <v>16</v>
      </c>
      <c r="C373">
        <v>2019</v>
      </c>
      <c r="D373">
        <v>106.625</v>
      </c>
      <c r="E373" t="s">
        <v>9</v>
      </c>
      <c r="F373">
        <v>73</v>
      </c>
      <c r="G373">
        <v>33.625</v>
      </c>
      <c r="H373">
        <v>36000</v>
      </c>
      <c r="I373" t="s">
        <v>22</v>
      </c>
    </row>
    <row r="374" spans="1:9" x14ac:dyDescent="0.25">
      <c r="A374">
        <v>11</v>
      </c>
      <c r="B374" t="s">
        <v>16</v>
      </c>
      <c r="C374">
        <v>2019</v>
      </c>
      <c r="D374">
        <v>73</v>
      </c>
      <c r="E374">
        <v>120</v>
      </c>
      <c r="F374">
        <v>172.375</v>
      </c>
      <c r="G374">
        <v>20.625</v>
      </c>
      <c r="H374">
        <v>36000</v>
      </c>
      <c r="I374" t="s">
        <v>22</v>
      </c>
    </row>
    <row r="375" spans="1:9" x14ac:dyDescent="0.25">
      <c r="A375">
        <v>12</v>
      </c>
      <c r="B375" t="s">
        <v>16</v>
      </c>
      <c r="C375">
        <v>2019</v>
      </c>
      <c r="D375">
        <v>172.375</v>
      </c>
      <c r="E375" t="s">
        <v>9</v>
      </c>
      <c r="F375">
        <v>136.25</v>
      </c>
      <c r="G375">
        <v>36.125</v>
      </c>
      <c r="H375">
        <v>36000</v>
      </c>
      <c r="I375" t="s">
        <v>22</v>
      </c>
    </row>
    <row r="376" spans="1:9" x14ac:dyDescent="0.25">
      <c r="A376">
        <v>13</v>
      </c>
      <c r="B376" t="s">
        <v>16</v>
      </c>
      <c r="C376">
        <v>2019</v>
      </c>
      <c r="D376">
        <v>136.25</v>
      </c>
      <c r="E376" t="s">
        <v>9</v>
      </c>
      <c r="F376">
        <v>93</v>
      </c>
      <c r="G376">
        <v>43.25</v>
      </c>
      <c r="H376">
        <v>36000</v>
      </c>
      <c r="I376" t="s">
        <v>22</v>
      </c>
    </row>
    <row r="377" spans="1:9" x14ac:dyDescent="0.25">
      <c r="A377">
        <v>14</v>
      </c>
      <c r="B377" t="s">
        <v>16</v>
      </c>
      <c r="C377">
        <v>2019</v>
      </c>
      <c r="D377">
        <v>93</v>
      </c>
      <c r="E377" t="s">
        <v>9</v>
      </c>
      <c r="F377">
        <v>62.25</v>
      </c>
      <c r="G377">
        <v>30.75</v>
      </c>
      <c r="H377">
        <v>36000</v>
      </c>
      <c r="I377" t="s">
        <v>22</v>
      </c>
    </row>
    <row r="378" spans="1:9" x14ac:dyDescent="0.25">
      <c r="A378">
        <v>15</v>
      </c>
      <c r="B378" t="s">
        <v>16</v>
      </c>
      <c r="C378">
        <v>2019</v>
      </c>
      <c r="D378">
        <v>62.25</v>
      </c>
      <c r="E378">
        <v>13</v>
      </c>
      <c r="F378">
        <v>59.375</v>
      </c>
      <c r="G378">
        <v>15.875</v>
      </c>
      <c r="H378">
        <v>36000</v>
      </c>
      <c r="I378" t="s">
        <v>22</v>
      </c>
    </row>
    <row r="379" spans="1:9" x14ac:dyDescent="0.25">
      <c r="A379">
        <v>16</v>
      </c>
      <c r="B379" t="s">
        <v>16</v>
      </c>
      <c r="C379">
        <v>2019</v>
      </c>
      <c r="D379">
        <v>59.375</v>
      </c>
      <c r="E379" t="s">
        <v>9</v>
      </c>
      <c r="F379">
        <v>30</v>
      </c>
      <c r="G379">
        <v>29.375</v>
      </c>
      <c r="H379">
        <v>36000</v>
      </c>
      <c r="I379" t="s">
        <v>22</v>
      </c>
    </row>
    <row r="380" spans="1:9" x14ac:dyDescent="0.25">
      <c r="A380">
        <v>17</v>
      </c>
      <c r="B380" t="s">
        <v>16</v>
      </c>
      <c r="C380">
        <v>2019</v>
      </c>
      <c r="D380">
        <v>30</v>
      </c>
      <c r="E380">
        <v>30</v>
      </c>
      <c r="F380">
        <v>32.5</v>
      </c>
      <c r="G380">
        <v>27.5</v>
      </c>
      <c r="H380">
        <v>36000</v>
      </c>
      <c r="I380" t="s">
        <v>22</v>
      </c>
    </row>
    <row r="381" spans="1:9" x14ac:dyDescent="0.25">
      <c r="A381">
        <v>18</v>
      </c>
      <c r="B381" t="s">
        <v>16</v>
      </c>
      <c r="C381">
        <v>2019</v>
      </c>
      <c r="D381">
        <v>32.5</v>
      </c>
      <c r="E381">
        <v>100</v>
      </c>
      <c r="F381">
        <v>110.625</v>
      </c>
      <c r="G381">
        <v>21.875</v>
      </c>
      <c r="H381">
        <v>36000</v>
      </c>
      <c r="I381" t="s">
        <v>22</v>
      </c>
    </row>
    <row r="382" spans="1:9" x14ac:dyDescent="0.25">
      <c r="A382">
        <v>19</v>
      </c>
      <c r="B382" t="s">
        <v>16</v>
      </c>
      <c r="C382">
        <v>2019</v>
      </c>
      <c r="D382">
        <v>110.625</v>
      </c>
      <c r="E382" t="s">
        <v>9</v>
      </c>
      <c r="F382">
        <v>78.75</v>
      </c>
      <c r="G382">
        <v>31.875</v>
      </c>
      <c r="H382">
        <v>36000</v>
      </c>
      <c r="I382" t="s">
        <v>22</v>
      </c>
    </row>
    <row r="383" spans="1:9" x14ac:dyDescent="0.25">
      <c r="A383">
        <v>20</v>
      </c>
      <c r="B383" t="s">
        <v>16</v>
      </c>
      <c r="C383">
        <v>2019</v>
      </c>
      <c r="D383">
        <v>78.75</v>
      </c>
      <c r="E383" t="s">
        <v>9</v>
      </c>
      <c r="F383">
        <v>29</v>
      </c>
      <c r="G383">
        <v>49.75</v>
      </c>
      <c r="H383">
        <v>36000</v>
      </c>
      <c r="I383" t="s">
        <v>22</v>
      </c>
    </row>
    <row r="384" spans="1:9" x14ac:dyDescent="0.25">
      <c r="A384">
        <v>21</v>
      </c>
      <c r="B384" t="s">
        <v>16</v>
      </c>
      <c r="C384">
        <v>2019</v>
      </c>
      <c r="D384">
        <v>29</v>
      </c>
      <c r="E384">
        <v>30</v>
      </c>
      <c r="F384">
        <v>13</v>
      </c>
      <c r="G384">
        <v>46</v>
      </c>
      <c r="H384">
        <v>36000</v>
      </c>
      <c r="I384" t="s">
        <v>22</v>
      </c>
    </row>
    <row r="385" spans="1:9" x14ac:dyDescent="0.25">
      <c r="A385">
        <v>22</v>
      </c>
      <c r="B385" t="s">
        <v>16</v>
      </c>
      <c r="C385">
        <v>2019</v>
      </c>
      <c r="D385">
        <v>13</v>
      </c>
      <c r="E385">
        <v>100</v>
      </c>
      <c r="F385">
        <v>98.375</v>
      </c>
      <c r="G385">
        <v>14.625</v>
      </c>
      <c r="H385">
        <v>36000</v>
      </c>
      <c r="I385" t="s">
        <v>22</v>
      </c>
    </row>
    <row r="386" spans="1:9" x14ac:dyDescent="0.25">
      <c r="A386">
        <v>23</v>
      </c>
      <c r="B386" t="s">
        <v>16</v>
      </c>
      <c r="C386">
        <v>2019</v>
      </c>
      <c r="D386">
        <v>98.375</v>
      </c>
      <c r="E386" t="s">
        <v>9</v>
      </c>
      <c r="F386">
        <v>58</v>
      </c>
      <c r="G386">
        <v>40.375</v>
      </c>
      <c r="H386">
        <v>36000</v>
      </c>
      <c r="I386" t="s">
        <v>22</v>
      </c>
    </row>
    <row r="387" spans="1:9" x14ac:dyDescent="0.25">
      <c r="A387">
        <v>24</v>
      </c>
      <c r="B387" t="s">
        <v>16</v>
      </c>
      <c r="C387">
        <v>2019</v>
      </c>
      <c r="D387">
        <v>58</v>
      </c>
      <c r="E387" t="s">
        <v>9</v>
      </c>
      <c r="F387">
        <v>21.875</v>
      </c>
      <c r="G387">
        <v>36.125</v>
      </c>
      <c r="H387">
        <v>36000</v>
      </c>
      <c r="I387" t="s">
        <v>22</v>
      </c>
    </row>
    <row r="388" spans="1:9" x14ac:dyDescent="0.25">
      <c r="A388">
        <v>25</v>
      </c>
      <c r="B388" t="s">
        <v>16</v>
      </c>
      <c r="C388">
        <v>2019</v>
      </c>
      <c r="D388">
        <v>21.875</v>
      </c>
      <c r="E388">
        <v>120</v>
      </c>
      <c r="F388">
        <v>117.875</v>
      </c>
      <c r="G388">
        <v>24</v>
      </c>
      <c r="H388">
        <v>36000</v>
      </c>
      <c r="I388" t="s">
        <v>22</v>
      </c>
    </row>
    <row r="389" spans="1:9" x14ac:dyDescent="0.25">
      <c r="A389">
        <v>26</v>
      </c>
      <c r="B389" t="s">
        <v>16</v>
      </c>
      <c r="C389">
        <v>2019</v>
      </c>
      <c r="D389">
        <v>117.875</v>
      </c>
      <c r="E389" t="s">
        <v>9</v>
      </c>
      <c r="F389">
        <v>95.875</v>
      </c>
      <c r="G389">
        <v>22</v>
      </c>
      <c r="H389">
        <v>36000</v>
      </c>
      <c r="I389" t="s">
        <v>22</v>
      </c>
    </row>
    <row r="390" spans="1:9" x14ac:dyDescent="0.25">
      <c r="A390">
        <v>27</v>
      </c>
      <c r="B390" t="s">
        <v>16</v>
      </c>
      <c r="C390">
        <v>2019</v>
      </c>
      <c r="D390">
        <v>95.875</v>
      </c>
      <c r="E390" t="s">
        <v>9</v>
      </c>
      <c r="F390">
        <v>51.875</v>
      </c>
      <c r="G390">
        <v>44</v>
      </c>
      <c r="H390">
        <v>36000</v>
      </c>
      <c r="I390" t="s">
        <v>22</v>
      </c>
    </row>
    <row r="391" spans="1:9" x14ac:dyDescent="0.25">
      <c r="A391">
        <v>28</v>
      </c>
      <c r="B391" t="s">
        <v>16</v>
      </c>
      <c r="C391">
        <v>2019</v>
      </c>
      <c r="D391">
        <v>51.875</v>
      </c>
      <c r="E391">
        <v>40</v>
      </c>
      <c r="F391">
        <v>41.125</v>
      </c>
      <c r="G391">
        <v>50.75</v>
      </c>
      <c r="H391">
        <v>36000</v>
      </c>
      <c r="I391" t="s">
        <v>22</v>
      </c>
    </row>
    <row r="392" spans="1:9" x14ac:dyDescent="0.25">
      <c r="A392">
        <v>29</v>
      </c>
      <c r="B392" t="s">
        <v>16</v>
      </c>
      <c r="C392">
        <v>2019</v>
      </c>
      <c r="D392">
        <v>41.125</v>
      </c>
      <c r="E392">
        <v>100</v>
      </c>
      <c r="F392">
        <v>126.5</v>
      </c>
      <c r="G392">
        <v>14.625</v>
      </c>
      <c r="H392">
        <v>36000</v>
      </c>
      <c r="I392" t="s">
        <v>22</v>
      </c>
    </row>
    <row r="393" spans="1:9" x14ac:dyDescent="0.25">
      <c r="A393">
        <v>30</v>
      </c>
      <c r="B393" t="s">
        <v>16</v>
      </c>
      <c r="C393">
        <v>2019</v>
      </c>
      <c r="D393">
        <v>126.5</v>
      </c>
      <c r="E393" t="s">
        <v>9</v>
      </c>
      <c r="F393">
        <v>99</v>
      </c>
      <c r="G393">
        <v>27.5</v>
      </c>
      <c r="H393">
        <v>36000</v>
      </c>
      <c r="I393" t="s">
        <v>22</v>
      </c>
    </row>
    <row r="394" spans="1:9" x14ac:dyDescent="0.25">
      <c r="A394">
        <v>31</v>
      </c>
      <c r="B394" t="s">
        <v>16</v>
      </c>
      <c r="C394">
        <v>2019</v>
      </c>
      <c r="D394">
        <v>99</v>
      </c>
      <c r="E394" t="s">
        <v>9</v>
      </c>
      <c r="F394">
        <v>64</v>
      </c>
      <c r="G394">
        <v>35</v>
      </c>
      <c r="H394">
        <v>36000</v>
      </c>
      <c r="I394" t="s">
        <v>22</v>
      </c>
    </row>
    <row r="395" spans="1:9" hidden="1" x14ac:dyDescent="0.25">
      <c r="A395">
        <v>1</v>
      </c>
      <c r="B395" t="s">
        <v>16</v>
      </c>
      <c r="C395">
        <v>2019</v>
      </c>
      <c r="D395">
        <v>45</v>
      </c>
      <c r="E395">
        <v>105</v>
      </c>
      <c r="F395">
        <v>69</v>
      </c>
      <c r="G395">
        <v>81</v>
      </c>
      <c r="H395">
        <v>36000</v>
      </c>
      <c r="I395" t="s">
        <v>23</v>
      </c>
    </row>
    <row r="396" spans="1:9" hidden="1" x14ac:dyDescent="0.25">
      <c r="A396">
        <v>2</v>
      </c>
      <c r="B396" t="s">
        <v>16</v>
      </c>
      <c r="C396">
        <v>2019</v>
      </c>
      <c r="D396">
        <v>69</v>
      </c>
      <c r="E396">
        <v>14</v>
      </c>
      <c r="F396">
        <v>14</v>
      </c>
      <c r="G396">
        <v>69</v>
      </c>
      <c r="H396">
        <v>36000</v>
      </c>
      <c r="I396" t="s">
        <v>23</v>
      </c>
    </row>
    <row r="397" spans="1:9" hidden="1" x14ac:dyDescent="0.25">
      <c r="A397">
        <v>3</v>
      </c>
      <c r="B397" t="s">
        <v>16</v>
      </c>
      <c r="C397">
        <v>2019</v>
      </c>
      <c r="D397">
        <v>14</v>
      </c>
      <c r="E397">
        <v>141</v>
      </c>
      <c r="F397">
        <v>95</v>
      </c>
      <c r="G397">
        <v>60</v>
      </c>
      <c r="H397">
        <v>36000</v>
      </c>
      <c r="I397" t="s">
        <v>23</v>
      </c>
    </row>
    <row r="398" spans="1:9" hidden="1" x14ac:dyDescent="0.25">
      <c r="A398">
        <v>4</v>
      </c>
      <c r="B398" t="s">
        <v>16</v>
      </c>
      <c r="C398">
        <v>2019</v>
      </c>
      <c r="D398">
        <v>95</v>
      </c>
      <c r="E398">
        <v>81</v>
      </c>
      <c r="F398">
        <v>119</v>
      </c>
      <c r="G398">
        <v>57</v>
      </c>
      <c r="H398">
        <v>36000</v>
      </c>
      <c r="I398" t="s">
        <v>23</v>
      </c>
    </row>
    <row r="399" spans="1:9" hidden="1" x14ac:dyDescent="0.25">
      <c r="A399">
        <v>5</v>
      </c>
      <c r="B399" t="s">
        <v>16</v>
      </c>
      <c r="C399">
        <v>2019</v>
      </c>
      <c r="D399">
        <v>119</v>
      </c>
      <c r="E399">
        <v>106</v>
      </c>
      <c r="F399">
        <v>156</v>
      </c>
      <c r="G399">
        <v>69</v>
      </c>
      <c r="H399">
        <v>36000</v>
      </c>
      <c r="I399" t="s">
        <v>23</v>
      </c>
    </row>
    <row r="400" spans="1:9" hidden="1" x14ac:dyDescent="0.25">
      <c r="A400">
        <v>6</v>
      </c>
      <c r="B400" t="s">
        <v>16</v>
      </c>
      <c r="C400">
        <v>2019</v>
      </c>
      <c r="D400">
        <v>156</v>
      </c>
      <c r="E400">
        <v>106</v>
      </c>
      <c r="F400">
        <v>179</v>
      </c>
      <c r="G400">
        <v>83</v>
      </c>
      <c r="H400">
        <v>36000</v>
      </c>
      <c r="I400" t="s">
        <v>23</v>
      </c>
    </row>
    <row r="401" spans="1:9" hidden="1" x14ac:dyDescent="0.25">
      <c r="A401">
        <v>7</v>
      </c>
      <c r="B401" t="s">
        <v>16</v>
      </c>
      <c r="C401">
        <v>2019</v>
      </c>
      <c r="D401">
        <v>179</v>
      </c>
      <c r="E401">
        <v>57</v>
      </c>
      <c r="F401">
        <v>156</v>
      </c>
      <c r="G401">
        <v>80</v>
      </c>
      <c r="H401">
        <v>36000</v>
      </c>
      <c r="I401" t="s">
        <v>23</v>
      </c>
    </row>
    <row r="402" spans="1:9" hidden="1" x14ac:dyDescent="0.25">
      <c r="A402">
        <v>8</v>
      </c>
      <c r="B402" t="s">
        <v>16</v>
      </c>
      <c r="C402">
        <v>2019</v>
      </c>
      <c r="D402">
        <v>156</v>
      </c>
      <c r="E402">
        <v>-27</v>
      </c>
      <c r="F402">
        <v>84.25</v>
      </c>
      <c r="G402">
        <v>44.75</v>
      </c>
      <c r="H402">
        <v>36000</v>
      </c>
      <c r="I402" t="s">
        <v>23</v>
      </c>
    </row>
    <row r="403" spans="1:9" hidden="1" x14ac:dyDescent="0.25">
      <c r="A403">
        <v>9</v>
      </c>
      <c r="B403" t="s">
        <v>16</v>
      </c>
      <c r="C403">
        <v>2019</v>
      </c>
      <c r="D403">
        <v>84.25</v>
      </c>
      <c r="E403">
        <v>108</v>
      </c>
      <c r="F403">
        <v>151</v>
      </c>
      <c r="G403">
        <v>41.25</v>
      </c>
      <c r="H403">
        <v>36000</v>
      </c>
      <c r="I403" t="s">
        <v>23</v>
      </c>
    </row>
    <row r="404" spans="1:9" hidden="1" x14ac:dyDescent="0.25">
      <c r="A404">
        <v>10</v>
      </c>
      <c r="B404" t="s">
        <v>16</v>
      </c>
      <c r="C404">
        <v>2019</v>
      </c>
      <c r="D404">
        <v>151</v>
      </c>
      <c r="E404">
        <v>106</v>
      </c>
      <c r="F404">
        <v>207</v>
      </c>
      <c r="G404">
        <v>50</v>
      </c>
      <c r="H404">
        <v>36000</v>
      </c>
      <c r="I404" t="s">
        <v>23</v>
      </c>
    </row>
    <row r="405" spans="1:9" hidden="1" x14ac:dyDescent="0.25">
      <c r="A405">
        <v>11</v>
      </c>
      <c r="B405" t="s">
        <v>16</v>
      </c>
      <c r="C405">
        <v>2019</v>
      </c>
      <c r="D405">
        <v>207</v>
      </c>
      <c r="E405">
        <v>-10</v>
      </c>
      <c r="F405">
        <v>143</v>
      </c>
      <c r="G405">
        <v>54</v>
      </c>
      <c r="H405">
        <v>36000</v>
      </c>
      <c r="I405" t="s">
        <v>23</v>
      </c>
    </row>
    <row r="406" spans="1:9" hidden="1" x14ac:dyDescent="0.25">
      <c r="A406">
        <v>12</v>
      </c>
      <c r="B406" t="s">
        <v>16</v>
      </c>
      <c r="C406">
        <v>2019</v>
      </c>
      <c r="D406">
        <v>143</v>
      </c>
      <c r="E406">
        <v>104</v>
      </c>
      <c r="F406">
        <v>180.75</v>
      </c>
      <c r="G406">
        <v>66.25</v>
      </c>
      <c r="H406">
        <v>36000</v>
      </c>
      <c r="I406" t="s">
        <v>23</v>
      </c>
    </row>
    <row r="407" spans="1:9" hidden="1" x14ac:dyDescent="0.25">
      <c r="A407">
        <v>13</v>
      </c>
      <c r="B407" t="s">
        <v>16</v>
      </c>
      <c r="C407">
        <v>2019</v>
      </c>
      <c r="D407">
        <v>180.75</v>
      </c>
      <c r="E407">
        <v>2</v>
      </c>
      <c r="F407">
        <v>104.5</v>
      </c>
      <c r="G407">
        <v>78.25</v>
      </c>
      <c r="H407">
        <v>36000</v>
      </c>
      <c r="I407" t="s">
        <v>23</v>
      </c>
    </row>
    <row r="408" spans="1:9" hidden="1" x14ac:dyDescent="0.25">
      <c r="A408">
        <v>14</v>
      </c>
      <c r="B408" t="s">
        <v>16</v>
      </c>
      <c r="C408">
        <v>2019</v>
      </c>
      <c r="D408">
        <v>104.5</v>
      </c>
      <c r="E408">
        <v>107</v>
      </c>
      <c r="F408">
        <v>142</v>
      </c>
      <c r="G408">
        <v>69.5</v>
      </c>
      <c r="H408">
        <v>36000</v>
      </c>
      <c r="I408" t="s">
        <v>23</v>
      </c>
    </row>
    <row r="409" spans="1:9" hidden="1" x14ac:dyDescent="0.25">
      <c r="A409">
        <v>15</v>
      </c>
      <c r="B409" t="s">
        <v>16</v>
      </c>
      <c r="C409">
        <v>2019</v>
      </c>
      <c r="D409">
        <v>142</v>
      </c>
      <c r="E409">
        <v>92</v>
      </c>
      <c r="F409">
        <v>195</v>
      </c>
      <c r="G409">
        <v>39</v>
      </c>
      <c r="H409">
        <v>36000</v>
      </c>
      <c r="I409" t="s">
        <v>23</v>
      </c>
    </row>
    <row r="410" spans="1:9" hidden="1" x14ac:dyDescent="0.25">
      <c r="A410">
        <v>16</v>
      </c>
      <c r="B410" t="s">
        <v>16</v>
      </c>
      <c r="C410">
        <v>2019</v>
      </c>
      <c r="D410">
        <v>195</v>
      </c>
      <c r="E410">
        <v>70</v>
      </c>
      <c r="F410">
        <v>221</v>
      </c>
      <c r="G410">
        <v>44</v>
      </c>
      <c r="H410">
        <v>36000</v>
      </c>
      <c r="I410" t="s">
        <v>23</v>
      </c>
    </row>
    <row r="411" spans="1:9" hidden="1" x14ac:dyDescent="0.25">
      <c r="A411">
        <v>17</v>
      </c>
      <c r="B411" t="s">
        <v>16</v>
      </c>
      <c r="C411">
        <v>2019</v>
      </c>
      <c r="D411">
        <v>221</v>
      </c>
      <c r="E411">
        <v>-30</v>
      </c>
      <c r="F411">
        <v>148</v>
      </c>
      <c r="G411">
        <v>43</v>
      </c>
      <c r="H411">
        <v>36000</v>
      </c>
      <c r="I411" t="s">
        <v>23</v>
      </c>
    </row>
    <row r="412" spans="1:9" hidden="1" x14ac:dyDescent="0.25">
      <c r="A412">
        <v>18</v>
      </c>
      <c r="B412" t="s">
        <v>16</v>
      </c>
      <c r="C412">
        <v>2019</v>
      </c>
      <c r="D412">
        <v>148</v>
      </c>
      <c r="E412">
        <v>-28</v>
      </c>
      <c r="F412">
        <v>84.5</v>
      </c>
      <c r="G412">
        <v>35.5</v>
      </c>
      <c r="H412">
        <v>36000</v>
      </c>
      <c r="I412" t="s">
        <v>23</v>
      </c>
    </row>
    <row r="413" spans="1:9" hidden="1" x14ac:dyDescent="0.25">
      <c r="A413">
        <v>19</v>
      </c>
      <c r="B413" t="s">
        <v>16</v>
      </c>
      <c r="C413">
        <v>2019</v>
      </c>
      <c r="D413">
        <v>84.5</v>
      </c>
      <c r="E413">
        <v>108</v>
      </c>
      <c r="F413">
        <v>132.5</v>
      </c>
      <c r="G413">
        <v>60</v>
      </c>
      <c r="H413">
        <v>36000</v>
      </c>
      <c r="I413" t="s">
        <v>23</v>
      </c>
    </row>
    <row r="414" spans="1:9" hidden="1" x14ac:dyDescent="0.25">
      <c r="A414">
        <v>20</v>
      </c>
      <c r="B414" t="s">
        <v>16</v>
      </c>
      <c r="C414">
        <v>2019</v>
      </c>
      <c r="D414">
        <v>132.5</v>
      </c>
      <c r="E414">
        <v>108</v>
      </c>
      <c r="F414">
        <v>165</v>
      </c>
      <c r="G414">
        <v>75.5</v>
      </c>
      <c r="H414">
        <v>36000</v>
      </c>
      <c r="I414" t="s">
        <v>23</v>
      </c>
    </row>
    <row r="415" spans="1:9" hidden="1" x14ac:dyDescent="0.25">
      <c r="A415">
        <v>21</v>
      </c>
      <c r="B415" t="s">
        <v>16</v>
      </c>
      <c r="C415">
        <v>2019</v>
      </c>
      <c r="D415">
        <v>165</v>
      </c>
      <c r="E415">
        <v>78</v>
      </c>
      <c r="F415">
        <v>175.5</v>
      </c>
      <c r="G415">
        <v>67.5</v>
      </c>
      <c r="H415">
        <v>36000</v>
      </c>
      <c r="I415" t="s">
        <v>23</v>
      </c>
    </row>
    <row r="416" spans="1:9" hidden="1" x14ac:dyDescent="0.25">
      <c r="A416">
        <v>22</v>
      </c>
      <c r="B416" t="s">
        <v>16</v>
      </c>
      <c r="C416">
        <v>2019</v>
      </c>
      <c r="D416">
        <v>175.5</v>
      </c>
      <c r="E416">
        <v>7</v>
      </c>
      <c r="F416">
        <v>143</v>
      </c>
      <c r="G416">
        <v>39.5</v>
      </c>
      <c r="H416">
        <v>36000</v>
      </c>
      <c r="I416" t="s">
        <v>23</v>
      </c>
    </row>
    <row r="417" spans="1:9" hidden="1" x14ac:dyDescent="0.25">
      <c r="A417">
        <v>23</v>
      </c>
      <c r="B417" t="s">
        <v>16</v>
      </c>
      <c r="C417">
        <v>2019</v>
      </c>
      <c r="D417">
        <v>143</v>
      </c>
      <c r="E417" t="s">
        <v>9</v>
      </c>
      <c r="F417">
        <v>107</v>
      </c>
      <c r="G417">
        <v>36</v>
      </c>
      <c r="H417">
        <v>36000</v>
      </c>
      <c r="I417" t="s">
        <v>23</v>
      </c>
    </row>
    <row r="418" spans="1:9" hidden="1" x14ac:dyDescent="0.25">
      <c r="A418">
        <v>24</v>
      </c>
      <c r="B418" t="s">
        <v>16</v>
      </c>
      <c r="C418">
        <v>2019</v>
      </c>
      <c r="D418">
        <v>107</v>
      </c>
      <c r="E418">
        <v>105</v>
      </c>
      <c r="F418">
        <v>166</v>
      </c>
      <c r="G418">
        <v>46</v>
      </c>
      <c r="H418">
        <v>36000</v>
      </c>
      <c r="I418" t="s">
        <v>23</v>
      </c>
    </row>
    <row r="419" spans="1:9" hidden="1" x14ac:dyDescent="0.25">
      <c r="A419">
        <v>25</v>
      </c>
      <c r="B419" t="s">
        <v>16</v>
      </c>
      <c r="C419">
        <v>2019</v>
      </c>
      <c r="D419">
        <v>166</v>
      </c>
      <c r="E419">
        <v>-14</v>
      </c>
      <c r="F419">
        <v>102</v>
      </c>
      <c r="G419">
        <v>50</v>
      </c>
      <c r="H419">
        <v>36000</v>
      </c>
      <c r="I419" t="s">
        <v>23</v>
      </c>
    </row>
    <row r="420" spans="1:9" hidden="1" x14ac:dyDescent="0.25">
      <c r="A420">
        <v>26</v>
      </c>
      <c r="B420" t="s">
        <v>16</v>
      </c>
      <c r="C420">
        <v>2019</v>
      </c>
      <c r="D420">
        <v>102</v>
      </c>
      <c r="E420">
        <v>107</v>
      </c>
      <c r="F420">
        <v>140</v>
      </c>
      <c r="G420">
        <v>69</v>
      </c>
      <c r="H420">
        <v>36000</v>
      </c>
      <c r="I420" t="s">
        <v>23</v>
      </c>
    </row>
    <row r="421" spans="1:9" hidden="1" x14ac:dyDescent="0.25">
      <c r="A421">
        <v>27</v>
      </c>
      <c r="B421" t="s">
        <v>16</v>
      </c>
      <c r="C421">
        <v>2019</v>
      </c>
      <c r="D421">
        <v>140</v>
      </c>
      <c r="E421">
        <v>107</v>
      </c>
      <c r="F421">
        <v>161.875</v>
      </c>
      <c r="G421">
        <v>85.125</v>
      </c>
      <c r="H421">
        <v>36000</v>
      </c>
      <c r="I421" t="s">
        <v>23</v>
      </c>
    </row>
    <row r="422" spans="1:9" hidden="1" x14ac:dyDescent="0.25">
      <c r="A422">
        <v>28</v>
      </c>
      <c r="B422" t="s">
        <v>16</v>
      </c>
      <c r="C422">
        <v>2019</v>
      </c>
      <c r="D422">
        <v>161.875</v>
      </c>
      <c r="E422">
        <v>80</v>
      </c>
      <c r="F422">
        <v>150</v>
      </c>
      <c r="G422">
        <v>91.875</v>
      </c>
      <c r="H422">
        <v>36000</v>
      </c>
      <c r="I422" t="s">
        <v>23</v>
      </c>
    </row>
    <row r="423" spans="1:9" hidden="1" x14ac:dyDescent="0.25">
      <c r="A423">
        <v>29</v>
      </c>
      <c r="B423" t="s">
        <v>16</v>
      </c>
      <c r="C423">
        <v>2019</v>
      </c>
      <c r="D423">
        <v>150</v>
      </c>
      <c r="E423">
        <v>98</v>
      </c>
      <c r="F423">
        <v>210</v>
      </c>
      <c r="G423">
        <v>38</v>
      </c>
      <c r="H423">
        <v>36000</v>
      </c>
      <c r="I423" t="s">
        <v>23</v>
      </c>
    </row>
    <row r="424" spans="1:9" hidden="1" x14ac:dyDescent="0.25">
      <c r="A424">
        <v>30</v>
      </c>
      <c r="B424" t="s">
        <v>16</v>
      </c>
      <c r="C424">
        <v>2019</v>
      </c>
      <c r="D424">
        <v>210</v>
      </c>
      <c r="E424" t="s">
        <v>9</v>
      </c>
      <c r="F424">
        <v>167</v>
      </c>
      <c r="G424">
        <v>43</v>
      </c>
      <c r="H424">
        <v>36000</v>
      </c>
      <c r="I424" t="s">
        <v>23</v>
      </c>
    </row>
    <row r="425" spans="1:9" hidden="1" x14ac:dyDescent="0.25">
      <c r="A425">
        <v>31</v>
      </c>
      <c r="B425" t="s">
        <v>16</v>
      </c>
      <c r="C425">
        <v>2019</v>
      </c>
      <c r="D425">
        <v>167</v>
      </c>
      <c r="E425">
        <v>100</v>
      </c>
      <c r="F425">
        <v>225</v>
      </c>
      <c r="G425">
        <v>42</v>
      </c>
      <c r="H425">
        <v>36000</v>
      </c>
      <c r="I425" t="s">
        <v>23</v>
      </c>
    </row>
    <row r="426" spans="1:9" x14ac:dyDescent="0.25">
      <c r="A426">
        <v>1</v>
      </c>
      <c r="B426" t="s">
        <v>17</v>
      </c>
      <c r="C426">
        <v>2019</v>
      </c>
      <c r="D426">
        <v>64</v>
      </c>
      <c r="E426">
        <v>100</v>
      </c>
      <c r="F426">
        <v>144</v>
      </c>
      <c r="G426">
        <v>20</v>
      </c>
      <c r="H426">
        <v>36000</v>
      </c>
      <c r="I426" t="s">
        <v>22</v>
      </c>
    </row>
    <row r="427" spans="1:9" x14ac:dyDescent="0.25">
      <c r="A427">
        <v>2</v>
      </c>
      <c r="B427" t="s">
        <v>17</v>
      </c>
      <c r="C427">
        <v>2019</v>
      </c>
      <c r="D427">
        <v>144</v>
      </c>
      <c r="E427" t="s">
        <v>9</v>
      </c>
      <c r="F427">
        <v>105</v>
      </c>
      <c r="G427">
        <v>39</v>
      </c>
      <c r="H427">
        <v>36000</v>
      </c>
      <c r="I427" t="s">
        <v>22</v>
      </c>
    </row>
    <row r="428" spans="1:9" x14ac:dyDescent="0.25">
      <c r="A428">
        <v>3</v>
      </c>
      <c r="B428" t="s">
        <v>17</v>
      </c>
      <c r="C428">
        <v>2019</v>
      </c>
      <c r="D428">
        <v>105</v>
      </c>
      <c r="E428" t="s">
        <v>9</v>
      </c>
      <c r="F428">
        <v>72</v>
      </c>
      <c r="G428">
        <v>33</v>
      </c>
      <c r="H428">
        <v>36000</v>
      </c>
      <c r="I428" t="s">
        <v>22</v>
      </c>
    </row>
    <row r="429" spans="1:9" x14ac:dyDescent="0.25">
      <c r="A429">
        <v>4</v>
      </c>
      <c r="B429" t="s">
        <v>17</v>
      </c>
      <c r="C429">
        <v>2019</v>
      </c>
      <c r="D429">
        <v>72</v>
      </c>
      <c r="E429" t="s">
        <v>9</v>
      </c>
      <c r="F429">
        <v>25</v>
      </c>
      <c r="G429">
        <v>47</v>
      </c>
      <c r="H429">
        <v>36000</v>
      </c>
      <c r="I429" t="s">
        <v>22</v>
      </c>
    </row>
    <row r="430" spans="1:9" x14ac:dyDescent="0.25">
      <c r="A430">
        <v>5</v>
      </c>
      <c r="B430" t="s">
        <v>17</v>
      </c>
      <c r="C430">
        <v>2019</v>
      </c>
      <c r="D430">
        <v>25</v>
      </c>
      <c r="E430">
        <v>30</v>
      </c>
      <c r="F430">
        <v>43.5</v>
      </c>
      <c r="G430">
        <v>11.5</v>
      </c>
      <c r="H430">
        <v>36000</v>
      </c>
      <c r="I430" t="s">
        <v>22</v>
      </c>
    </row>
    <row r="431" spans="1:9" x14ac:dyDescent="0.25">
      <c r="A431">
        <v>6</v>
      </c>
      <c r="B431" t="s">
        <v>17</v>
      </c>
      <c r="C431">
        <v>2019</v>
      </c>
      <c r="D431">
        <v>43.5</v>
      </c>
      <c r="E431" t="s">
        <v>9</v>
      </c>
      <c r="F431">
        <v>9</v>
      </c>
      <c r="G431">
        <v>34.5</v>
      </c>
      <c r="H431">
        <v>36000</v>
      </c>
      <c r="I431" t="s">
        <v>22</v>
      </c>
    </row>
    <row r="432" spans="1:9" x14ac:dyDescent="0.25">
      <c r="A432">
        <v>7</v>
      </c>
      <c r="B432" t="s">
        <v>17</v>
      </c>
      <c r="C432">
        <v>2019</v>
      </c>
      <c r="D432">
        <v>9</v>
      </c>
      <c r="E432">
        <v>60</v>
      </c>
      <c r="F432">
        <v>14.5</v>
      </c>
      <c r="G432">
        <v>54.5</v>
      </c>
      <c r="H432">
        <v>36000</v>
      </c>
      <c r="I432" t="s">
        <v>22</v>
      </c>
    </row>
    <row r="433" spans="1:9" x14ac:dyDescent="0.25">
      <c r="A433">
        <v>8</v>
      </c>
      <c r="B433" t="s">
        <v>17</v>
      </c>
      <c r="C433">
        <v>2019</v>
      </c>
      <c r="D433">
        <v>14.5</v>
      </c>
      <c r="E433">
        <v>100</v>
      </c>
      <c r="F433">
        <v>101.5</v>
      </c>
      <c r="G433">
        <v>13</v>
      </c>
      <c r="H433">
        <v>36000</v>
      </c>
      <c r="I433" t="s">
        <v>22</v>
      </c>
    </row>
    <row r="434" spans="1:9" x14ac:dyDescent="0.25">
      <c r="A434">
        <v>9</v>
      </c>
      <c r="B434" t="s">
        <v>17</v>
      </c>
      <c r="C434">
        <v>2019</v>
      </c>
      <c r="D434">
        <v>101.5</v>
      </c>
      <c r="E434" t="s">
        <v>9</v>
      </c>
      <c r="F434">
        <v>82.5</v>
      </c>
      <c r="G434">
        <v>19</v>
      </c>
      <c r="H434">
        <v>36000</v>
      </c>
      <c r="I434" t="s">
        <v>22</v>
      </c>
    </row>
    <row r="435" spans="1:9" x14ac:dyDescent="0.25">
      <c r="A435">
        <v>10</v>
      </c>
      <c r="B435" t="s">
        <v>17</v>
      </c>
      <c r="C435">
        <v>2019</v>
      </c>
      <c r="D435">
        <v>82.5</v>
      </c>
      <c r="E435" t="s">
        <v>9</v>
      </c>
      <c r="F435">
        <v>53</v>
      </c>
      <c r="G435">
        <v>29.5</v>
      </c>
      <c r="H435">
        <v>36000</v>
      </c>
      <c r="I435" t="s">
        <v>22</v>
      </c>
    </row>
    <row r="436" spans="1:9" x14ac:dyDescent="0.25">
      <c r="A436">
        <v>11</v>
      </c>
      <c r="B436" t="s">
        <v>17</v>
      </c>
      <c r="C436">
        <v>2019</v>
      </c>
      <c r="D436">
        <v>53</v>
      </c>
      <c r="E436">
        <v>50</v>
      </c>
      <c r="F436">
        <v>70</v>
      </c>
      <c r="G436">
        <v>33</v>
      </c>
      <c r="H436">
        <v>36000</v>
      </c>
      <c r="I436" t="s">
        <v>22</v>
      </c>
    </row>
    <row r="437" spans="1:9" x14ac:dyDescent="0.25">
      <c r="A437">
        <v>12</v>
      </c>
      <c r="B437" t="s">
        <v>17</v>
      </c>
      <c r="C437">
        <v>2019</v>
      </c>
      <c r="D437">
        <v>70</v>
      </c>
      <c r="E437">
        <v>60</v>
      </c>
      <c r="F437">
        <v>120.875</v>
      </c>
      <c r="G437">
        <v>9.125</v>
      </c>
      <c r="H437">
        <v>36000</v>
      </c>
      <c r="I437" t="s">
        <v>22</v>
      </c>
    </row>
    <row r="438" spans="1:9" x14ac:dyDescent="0.25">
      <c r="A438">
        <v>13</v>
      </c>
      <c r="B438" t="s">
        <v>17</v>
      </c>
      <c r="C438">
        <v>2019</v>
      </c>
      <c r="D438">
        <v>120.875</v>
      </c>
      <c r="E438" t="s">
        <v>9</v>
      </c>
      <c r="F438">
        <v>102</v>
      </c>
      <c r="G438">
        <v>18.875</v>
      </c>
      <c r="H438">
        <v>36000</v>
      </c>
      <c r="I438" t="s">
        <v>22</v>
      </c>
    </row>
    <row r="439" spans="1:9" x14ac:dyDescent="0.25">
      <c r="A439">
        <v>14</v>
      </c>
      <c r="B439" t="s">
        <v>17</v>
      </c>
      <c r="C439">
        <v>2019</v>
      </c>
      <c r="D439">
        <v>102</v>
      </c>
      <c r="E439" t="s">
        <v>9</v>
      </c>
      <c r="F439">
        <v>76</v>
      </c>
      <c r="G439">
        <v>26</v>
      </c>
      <c r="H439">
        <v>36000</v>
      </c>
      <c r="I439" t="s">
        <v>22</v>
      </c>
    </row>
    <row r="440" spans="1:9" x14ac:dyDescent="0.25">
      <c r="A440">
        <v>15</v>
      </c>
      <c r="B440" t="s">
        <v>17</v>
      </c>
      <c r="C440">
        <v>2019</v>
      </c>
      <c r="D440">
        <v>76</v>
      </c>
      <c r="E440">
        <v>40</v>
      </c>
      <c r="F440">
        <v>105</v>
      </c>
      <c r="G440">
        <v>11</v>
      </c>
      <c r="H440">
        <v>36000</v>
      </c>
      <c r="I440" t="s">
        <v>22</v>
      </c>
    </row>
    <row r="441" spans="1:9" x14ac:dyDescent="0.25">
      <c r="A441">
        <v>16</v>
      </c>
      <c r="B441" t="s">
        <v>17</v>
      </c>
      <c r="C441">
        <v>2019</v>
      </c>
      <c r="D441">
        <v>105</v>
      </c>
      <c r="E441" t="s">
        <v>9</v>
      </c>
      <c r="F441">
        <v>78</v>
      </c>
      <c r="G441">
        <v>27</v>
      </c>
      <c r="H441">
        <v>36000</v>
      </c>
      <c r="I441" t="s">
        <v>22</v>
      </c>
    </row>
    <row r="442" spans="1:9" x14ac:dyDescent="0.25">
      <c r="A442">
        <v>17</v>
      </c>
      <c r="B442" t="s">
        <v>17</v>
      </c>
      <c r="C442">
        <v>2019</v>
      </c>
      <c r="D442">
        <v>78</v>
      </c>
      <c r="E442" t="s">
        <v>9</v>
      </c>
      <c r="F442">
        <v>40</v>
      </c>
      <c r="G442">
        <v>38</v>
      </c>
      <c r="H442">
        <v>36000</v>
      </c>
      <c r="I442" t="s">
        <v>22</v>
      </c>
    </row>
    <row r="443" spans="1:9" x14ac:dyDescent="0.25">
      <c r="A443">
        <v>18</v>
      </c>
      <c r="B443" t="s">
        <v>17</v>
      </c>
      <c r="C443">
        <v>2019</v>
      </c>
      <c r="D443">
        <v>40</v>
      </c>
      <c r="E443">
        <v>30</v>
      </c>
      <c r="F443">
        <v>35</v>
      </c>
      <c r="G443">
        <v>35</v>
      </c>
      <c r="H443">
        <v>36000</v>
      </c>
      <c r="I443" t="s">
        <v>22</v>
      </c>
    </row>
    <row r="444" spans="1:9" x14ac:dyDescent="0.25">
      <c r="A444">
        <v>19</v>
      </c>
      <c r="B444" t="s">
        <v>17</v>
      </c>
      <c r="C444">
        <v>2019</v>
      </c>
      <c r="D444">
        <v>35</v>
      </c>
      <c r="E444">
        <v>100</v>
      </c>
      <c r="F444">
        <v>101</v>
      </c>
      <c r="G444">
        <v>34</v>
      </c>
      <c r="H444">
        <v>36000</v>
      </c>
      <c r="I444" t="s">
        <v>22</v>
      </c>
    </row>
    <row r="445" spans="1:9" x14ac:dyDescent="0.25">
      <c r="A445">
        <v>20</v>
      </c>
      <c r="B445" t="s">
        <v>17</v>
      </c>
      <c r="C445">
        <v>2019</v>
      </c>
      <c r="D445">
        <v>101</v>
      </c>
      <c r="E445" t="s">
        <v>9</v>
      </c>
      <c r="F445">
        <v>90</v>
      </c>
      <c r="G445">
        <v>11</v>
      </c>
      <c r="H445">
        <v>36000</v>
      </c>
      <c r="I445" t="s">
        <v>22</v>
      </c>
    </row>
    <row r="446" spans="1:9" x14ac:dyDescent="0.25">
      <c r="A446">
        <v>21</v>
      </c>
      <c r="B446" t="s">
        <v>17</v>
      </c>
      <c r="C446">
        <v>2019</v>
      </c>
      <c r="D446">
        <v>90</v>
      </c>
      <c r="E446" t="s">
        <v>9</v>
      </c>
      <c r="F446">
        <v>75</v>
      </c>
      <c r="G446">
        <v>15</v>
      </c>
      <c r="H446">
        <v>36000</v>
      </c>
      <c r="I446" t="s">
        <v>22</v>
      </c>
    </row>
    <row r="447" spans="1:9" x14ac:dyDescent="0.25">
      <c r="A447">
        <v>22</v>
      </c>
      <c r="B447" t="s">
        <v>17</v>
      </c>
      <c r="C447">
        <v>2019</v>
      </c>
      <c r="D447">
        <v>75</v>
      </c>
      <c r="E447" t="s">
        <v>9</v>
      </c>
      <c r="F447">
        <v>60</v>
      </c>
      <c r="G447">
        <v>15</v>
      </c>
      <c r="H447">
        <v>36000</v>
      </c>
      <c r="I447" t="s">
        <v>22</v>
      </c>
    </row>
    <row r="448" spans="1:9" x14ac:dyDescent="0.25">
      <c r="A448">
        <v>23</v>
      </c>
      <c r="B448" t="s">
        <v>17</v>
      </c>
      <c r="C448">
        <v>2019</v>
      </c>
      <c r="D448">
        <v>60</v>
      </c>
      <c r="E448" t="s">
        <v>9</v>
      </c>
      <c r="F448">
        <v>40</v>
      </c>
      <c r="G448">
        <v>20</v>
      </c>
      <c r="H448">
        <v>36000</v>
      </c>
      <c r="I448" t="s">
        <v>22</v>
      </c>
    </row>
    <row r="449" spans="1:9" x14ac:dyDescent="0.25">
      <c r="A449">
        <v>24</v>
      </c>
      <c r="B449" t="s">
        <v>17</v>
      </c>
      <c r="C449">
        <v>2019</v>
      </c>
      <c r="D449">
        <v>40</v>
      </c>
      <c r="E449">
        <v>100</v>
      </c>
      <c r="F449">
        <v>126.5</v>
      </c>
      <c r="G449">
        <v>13.5</v>
      </c>
      <c r="H449">
        <v>36000</v>
      </c>
      <c r="I449" t="s">
        <v>22</v>
      </c>
    </row>
    <row r="450" spans="1:9" x14ac:dyDescent="0.25">
      <c r="A450">
        <v>25</v>
      </c>
      <c r="B450" t="s">
        <v>17</v>
      </c>
      <c r="C450">
        <v>2019</v>
      </c>
      <c r="D450">
        <v>126.5</v>
      </c>
      <c r="E450" t="s">
        <v>9</v>
      </c>
      <c r="F450">
        <v>99</v>
      </c>
      <c r="G450">
        <v>27.5</v>
      </c>
      <c r="H450">
        <v>36000</v>
      </c>
      <c r="I450" t="s">
        <v>22</v>
      </c>
    </row>
    <row r="451" spans="1:9" x14ac:dyDescent="0.25">
      <c r="A451">
        <v>26</v>
      </c>
      <c r="B451" t="s">
        <v>17</v>
      </c>
      <c r="C451">
        <v>2019</v>
      </c>
      <c r="D451">
        <v>99</v>
      </c>
      <c r="E451" t="s">
        <v>9</v>
      </c>
      <c r="F451">
        <v>89.25</v>
      </c>
      <c r="G451">
        <v>9.75</v>
      </c>
      <c r="H451">
        <v>36000</v>
      </c>
      <c r="I451" t="s">
        <v>22</v>
      </c>
    </row>
    <row r="452" spans="1:9" x14ac:dyDescent="0.25">
      <c r="A452">
        <v>27</v>
      </c>
      <c r="B452" t="s">
        <v>17</v>
      </c>
      <c r="C452">
        <v>2019</v>
      </c>
      <c r="D452">
        <v>89.25</v>
      </c>
      <c r="E452" t="s">
        <v>9</v>
      </c>
      <c r="F452">
        <v>74</v>
      </c>
      <c r="G452">
        <v>15.25</v>
      </c>
      <c r="H452">
        <v>36000</v>
      </c>
      <c r="I452" t="s">
        <v>22</v>
      </c>
    </row>
    <row r="453" spans="1:9" x14ac:dyDescent="0.25">
      <c r="A453">
        <v>28</v>
      </c>
      <c r="B453" t="s">
        <v>17</v>
      </c>
      <c r="C453">
        <v>2019</v>
      </c>
      <c r="D453">
        <v>74</v>
      </c>
      <c r="E453" t="s">
        <v>9</v>
      </c>
      <c r="F453">
        <v>59</v>
      </c>
      <c r="G453">
        <v>15</v>
      </c>
      <c r="H453">
        <v>36000</v>
      </c>
      <c r="I453" t="s">
        <v>22</v>
      </c>
    </row>
    <row r="454" spans="1:9" x14ac:dyDescent="0.25">
      <c r="A454">
        <v>29</v>
      </c>
      <c r="B454" t="s">
        <v>17</v>
      </c>
      <c r="C454">
        <v>2019</v>
      </c>
      <c r="D454">
        <v>59</v>
      </c>
      <c r="E454" t="s">
        <v>9</v>
      </c>
      <c r="F454">
        <v>48</v>
      </c>
      <c r="G454">
        <v>11</v>
      </c>
      <c r="H454">
        <v>36000</v>
      </c>
      <c r="I454" t="s">
        <v>22</v>
      </c>
    </row>
    <row r="455" spans="1:9" x14ac:dyDescent="0.25">
      <c r="A455">
        <v>30</v>
      </c>
      <c r="B455" t="s">
        <v>17</v>
      </c>
      <c r="C455">
        <v>2019</v>
      </c>
      <c r="D455">
        <v>48</v>
      </c>
      <c r="E455" t="s">
        <v>9</v>
      </c>
      <c r="F455">
        <v>28</v>
      </c>
      <c r="G455">
        <v>20</v>
      </c>
      <c r="H455">
        <v>36000</v>
      </c>
      <c r="I455" t="s">
        <v>22</v>
      </c>
    </row>
    <row r="456" spans="1:9" x14ac:dyDescent="0.25">
      <c r="A456">
        <v>31</v>
      </c>
      <c r="B456" t="s">
        <v>17</v>
      </c>
      <c r="C456">
        <v>2019</v>
      </c>
      <c r="D456">
        <v>28</v>
      </c>
      <c r="E456">
        <v>22</v>
      </c>
      <c r="F456">
        <v>11.5</v>
      </c>
      <c r="G456">
        <v>38.5</v>
      </c>
      <c r="H456">
        <v>36000</v>
      </c>
      <c r="I456" t="s">
        <v>22</v>
      </c>
    </row>
    <row r="457" spans="1:9" hidden="1" x14ac:dyDescent="0.25">
      <c r="A457">
        <v>1</v>
      </c>
      <c r="B457" t="s">
        <v>17</v>
      </c>
      <c r="C457">
        <v>2019</v>
      </c>
      <c r="D457">
        <v>225</v>
      </c>
      <c r="E457" t="s">
        <v>9</v>
      </c>
      <c r="F457">
        <v>182.5</v>
      </c>
      <c r="G457">
        <v>42.5</v>
      </c>
      <c r="H457">
        <v>36000</v>
      </c>
      <c r="I457" t="s">
        <v>23</v>
      </c>
    </row>
    <row r="458" spans="1:9" hidden="1" x14ac:dyDescent="0.25">
      <c r="A458">
        <v>2</v>
      </c>
      <c r="B458" t="s">
        <v>17</v>
      </c>
      <c r="C458">
        <v>2019</v>
      </c>
      <c r="D458">
        <v>182.5</v>
      </c>
      <c r="E458" t="s">
        <v>9</v>
      </c>
      <c r="F458">
        <v>120</v>
      </c>
      <c r="G458">
        <v>62.5</v>
      </c>
      <c r="H458">
        <v>36000</v>
      </c>
      <c r="I458" t="s">
        <v>23</v>
      </c>
    </row>
    <row r="459" spans="1:9" hidden="1" x14ac:dyDescent="0.25">
      <c r="A459">
        <v>3</v>
      </c>
      <c r="B459" t="s">
        <v>17</v>
      </c>
      <c r="C459">
        <v>2019</v>
      </c>
      <c r="D459">
        <v>120</v>
      </c>
      <c r="E459">
        <v>149</v>
      </c>
      <c r="F459">
        <v>197</v>
      </c>
      <c r="G459">
        <v>72</v>
      </c>
      <c r="H459">
        <v>36000</v>
      </c>
      <c r="I459" t="s">
        <v>23</v>
      </c>
    </row>
    <row r="460" spans="1:9" hidden="1" x14ac:dyDescent="0.25">
      <c r="A460">
        <v>4</v>
      </c>
      <c r="B460" t="s">
        <v>17</v>
      </c>
      <c r="C460">
        <v>2019</v>
      </c>
      <c r="D460">
        <v>197</v>
      </c>
      <c r="E460" t="s">
        <v>9</v>
      </c>
      <c r="F460">
        <v>128</v>
      </c>
      <c r="G460">
        <v>69</v>
      </c>
      <c r="H460">
        <v>36000</v>
      </c>
      <c r="I460" t="s">
        <v>23</v>
      </c>
    </row>
    <row r="461" spans="1:9" hidden="1" x14ac:dyDescent="0.25">
      <c r="A461">
        <v>5</v>
      </c>
      <c r="B461" t="s">
        <v>17</v>
      </c>
      <c r="C461">
        <v>2019</v>
      </c>
      <c r="D461">
        <v>128</v>
      </c>
      <c r="E461">
        <v>-30</v>
      </c>
      <c r="F461">
        <v>58.5</v>
      </c>
      <c r="G461">
        <v>39.5</v>
      </c>
      <c r="H461">
        <v>36000</v>
      </c>
      <c r="I461" t="s">
        <v>23</v>
      </c>
    </row>
    <row r="462" spans="1:9" hidden="1" x14ac:dyDescent="0.25">
      <c r="A462">
        <v>6</v>
      </c>
      <c r="B462" t="s">
        <v>17</v>
      </c>
      <c r="C462">
        <v>2019</v>
      </c>
      <c r="D462">
        <v>58.5</v>
      </c>
      <c r="E462">
        <v>75</v>
      </c>
      <c r="F462">
        <v>81.5</v>
      </c>
      <c r="G462">
        <v>52</v>
      </c>
      <c r="H462">
        <v>36000</v>
      </c>
      <c r="I462" t="s">
        <v>23</v>
      </c>
    </row>
    <row r="463" spans="1:9" hidden="1" x14ac:dyDescent="0.25">
      <c r="A463">
        <v>7</v>
      </c>
      <c r="B463" t="s">
        <v>17</v>
      </c>
      <c r="C463">
        <v>2019</v>
      </c>
      <c r="D463">
        <v>81.5</v>
      </c>
      <c r="E463">
        <v>20</v>
      </c>
      <c r="F463">
        <v>37</v>
      </c>
      <c r="G463">
        <v>64.5</v>
      </c>
      <c r="H463">
        <v>36000</v>
      </c>
      <c r="I463" t="s">
        <v>23</v>
      </c>
    </row>
    <row r="464" spans="1:9" hidden="1" x14ac:dyDescent="0.25">
      <c r="A464">
        <v>8</v>
      </c>
      <c r="B464" t="s">
        <v>17</v>
      </c>
      <c r="C464">
        <v>2019</v>
      </c>
      <c r="D464">
        <v>37</v>
      </c>
      <c r="E464">
        <v>70</v>
      </c>
      <c r="F464">
        <v>57.5</v>
      </c>
      <c r="G464">
        <v>49.5</v>
      </c>
      <c r="H464">
        <v>36000</v>
      </c>
      <c r="I464" t="s">
        <v>23</v>
      </c>
    </row>
    <row r="465" spans="1:9" hidden="1" x14ac:dyDescent="0.25">
      <c r="A465">
        <v>9</v>
      </c>
      <c r="B465" t="s">
        <v>17</v>
      </c>
      <c r="C465">
        <v>2019</v>
      </c>
      <c r="D465">
        <v>57.5</v>
      </c>
      <c r="E465">
        <v>80</v>
      </c>
      <c r="F465">
        <v>77</v>
      </c>
      <c r="G465">
        <v>60.5</v>
      </c>
      <c r="H465">
        <v>36000</v>
      </c>
      <c r="I465" t="s">
        <v>23</v>
      </c>
    </row>
    <row r="466" spans="1:9" hidden="1" x14ac:dyDescent="0.25">
      <c r="A466">
        <v>10</v>
      </c>
      <c r="B466" t="s">
        <v>17</v>
      </c>
      <c r="C466">
        <v>2019</v>
      </c>
      <c r="D466">
        <v>77</v>
      </c>
      <c r="E466">
        <v>150</v>
      </c>
      <c r="F466">
        <v>160</v>
      </c>
      <c r="G466">
        <v>67</v>
      </c>
      <c r="H466">
        <v>36000</v>
      </c>
      <c r="I466" t="s">
        <v>23</v>
      </c>
    </row>
    <row r="467" spans="1:9" hidden="1" x14ac:dyDescent="0.25">
      <c r="A467">
        <v>11</v>
      </c>
      <c r="B467" t="s">
        <v>17</v>
      </c>
      <c r="C467">
        <v>2019</v>
      </c>
      <c r="D467">
        <v>160</v>
      </c>
      <c r="E467">
        <v>100</v>
      </c>
      <c r="F467">
        <v>191</v>
      </c>
      <c r="G467">
        <v>69</v>
      </c>
      <c r="H467">
        <v>36000</v>
      </c>
      <c r="I467" t="s">
        <v>23</v>
      </c>
    </row>
    <row r="468" spans="1:9" hidden="1" x14ac:dyDescent="0.25">
      <c r="A468">
        <v>12</v>
      </c>
      <c r="B468" t="s">
        <v>17</v>
      </c>
      <c r="C468">
        <v>2019</v>
      </c>
      <c r="D468">
        <v>191</v>
      </c>
      <c r="E468">
        <v>40</v>
      </c>
      <c r="F468">
        <v>201</v>
      </c>
      <c r="G468">
        <v>30</v>
      </c>
      <c r="H468">
        <v>36000</v>
      </c>
      <c r="I468" t="s">
        <v>23</v>
      </c>
    </row>
    <row r="469" spans="1:9" hidden="1" x14ac:dyDescent="0.25">
      <c r="A469">
        <v>13</v>
      </c>
      <c r="B469" t="s">
        <v>17</v>
      </c>
      <c r="C469">
        <v>2019</v>
      </c>
      <c r="D469">
        <v>201</v>
      </c>
      <c r="E469" t="s">
        <v>9</v>
      </c>
      <c r="F469">
        <v>158</v>
      </c>
      <c r="G469">
        <v>43</v>
      </c>
      <c r="H469">
        <v>36000</v>
      </c>
      <c r="I469" t="s">
        <v>23</v>
      </c>
    </row>
    <row r="470" spans="1:9" hidden="1" x14ac:dyDescent="0.25">
      <c r="A470">
        <v>14</v>
      </c>
      <c r="B470" t="s">
        <v>17</v>
      </c>
      <c r="C470">
        <v>2019</v>
      </c>
      <c r="D470">
        <v>158</v>
      </c>
      <c r="E470">
        <v>101</v>
      </c>
      <c r="F470">
        <v>219.5</v>
      </c>
      <c r="G470">
        <v>39.5</v>
      </c>
      <c r="H470">
        <v>36000</v>
      </c>
      <c r="I470" t="s">
        <v>23</v>
      </c>
    </row>
    <row r="471" spans="1:9" hidden="1" x14ac:dyDescent="0.25">
      <c r="A471">
        <v>15</v>
      </c>
      <c r="B471" t="s">
        <v>17</v>
      </c>
      <c r="C471">
        <v>2019</v>
      </c>
      <c r="D471">
        <v>219.5</v>
      </c>
      <c r="E471">
        <v>-40</v>
      </c>
      <c r="F471">
        <v>141</v>
      </c>
      <c r="G471">
        <v>38.5</v>
      </c>
      <c r="H471">
        <v>36000</v>
      </c>
      <c r="I471" t="s">
        <v>23</v>
      </c>
    </row>
    <row r="472" spans="1:9" hidden="1" x14ac:dyDescent="0.25">
      <c r="A472">
        <v>16</v>
      </c>
      <c r="B472" t="s">
        <v>17</v>
      </c>
      <c r="C472">
        <v>2019</v>
      </c>
      <c r="D472">
        <v>141</v>
      </c>
      <c r="E472" t="s">
        <v>9</v>
      </c>
      <c r="F472">
        <v>82</v>
      </c>
      <c r="G472">
        <v>59</v>
      </c>
      <c r="H472">
        <v>36000</v>
      </c>
      <c r="I472" t="s">
        <v>23</v>
      </c>
    </row>
    <row r="473" spans="1:9" hidden="1" x14ac:dyDescent="0.25">
      <c r="A473">
        <v>17</v>
      </c>
      <c r="B473" t="s">
        <v>17</v>
      </c>
      <c r="C473">
        <v>2019</v>
      </c>
      <c r="D473">
        <v>82</v>
      </c>
      <c r="E473">
        <v>151</v>
      </c>
      <c r="F473">
        <v>171</v>
      </c>
      <c r="G473">
        <v>62</v>
      </c>
      <c r="H473">
        <v>36000</v>
      </c>
      <c r="I473" t="s">
        <v>23</v>
      </c>
    </row>
    <row r="474" spans="1:9" hidden="1" x14ac:dyDescent="0.25">
      <c r="A474">
        <v>18</v>
      </c>
      <c r="B474" t="s">
        <v>17</v>
      </c>
      <c r="C474">
        <v>2019</v>
      </c>
      <c r="D474">
        <v>171</v>
      </c>
      <c r="E474">
        <v>-30</v>
      </c>
      <c r="F474">
        <v>79</v>
      </c>
      <c r="G474">
        <v>62</v>
      </c>
      <c r="H474">
        <v>36000</v>
      </c>
      <c r="I474" t="s">
        <v>23</v>
      </c>
    </row>
    <row r="475" spans="1:9" hidden="1" x14ac:dyDescent="0.25">
      <c r="A475">
        <v>19</v>
      </c>
      <c r="B475" t="s">
        <v>17</v>
      </c>
      <c r="C475">
        <v>2019</v>
      </c>
      <c r="D475">
        <v>79</v>
      </c>
      <c r="E475">
        <v>100</v>
      </c>
      <c r="F475">
        <v>117</v>
      </c>
      <c r="G475">
        <v>62</v>
      </c>
      <c r="H475">
        <v>36000</v>
      </c>
      <c r="I475" t="s">
        <v>23</v>
      </c>
    </row>
    <row r="476" spans="1:9" hidden="1" x14ac:dyDescent="0.25">
      <c r="A476">
        <v>20</v>
      </c>
      <c r="B476" t="s">
        <v>17</v>
      </c>
      <c r="C476">
        <v>2019</v>
      </c>
      <c r="D476">
        <v>117</v>
      </c>
      <c r="E476">
        <v>66</v>
      </c>
      <c r="F476">
        <v>146</v>
      </c>
      <c r="G476">
        <v>37</v>
      </c>
      <c r="H476">
        <v>36000</v>
      </c>
      <c r="I476" t="s">
        <v>23</v>
      </c>
    </row>
    <row r="477" spans="1:9" hidden="1" x14ac:dyDescent="0.25">
      <c r="A477">
        <v>21</v>
      </c>
      <c r="B477" t="s">
        <v>17</v>
      </c>
      <c r="C477">
        <v>2019</v>
      </c>
      <c r="D477">
        <v>146</v>
      </c>
      <c r="E477">
        <v>70</v>
      </c>
      <c r="F477">
        <v>180</v>
      </c>
      <c r="G477">
        <v>36</v>
      </c>
      <c r="H477">
        <v>36000</v>
      </c>
      <c r="I477" t="s">
        <v>23</v>
      </c>
    </row>
    <row r="478" spans="1:9" hidden="1" x14ac:dyDescent="0.25">
      <c r="A478">
        <v>22</v>
      </c>
      <c r="B478" t="s">
        <v>17</v>
      </c>
      <c r="C478">
        <v>2019</v>
      </c>
      <c r="D478">
        <v>180</v>
      </c>
      <c r="E478">
        <v>69</v>
      </c>
      <c r="F478">
        <v>222</v>
      </c>
      <c r="G478">
        <v>27</v>
      </c>
      <c r="H478">
        <v>36000</v>
      </c>
      <c r="I478" t="s">
        <v>23</v>
      </c>
    </row>
    <row r="479" spans="1:9" hidden="1" x14ac:dyDescent="0.25">
      <c r="A479">
        <v>23</v>
      </c>
      <c r="B479" t="s">
        <v>17</v>
      </c>
      <c r="C479">
        <v>2019</v>
      </c>
      <c r="D479">
        <v>222</v>
      </c>
      <c r="E479" t="s">
        <v>9</v>
      </c>
      <c r="F479">
        <v>165</v>
      </c>
      <c r="G479">
        <v>57</v>
      </c>
      <c r="H479">
        <v>36000</v>
      </c>
      <c r="I479" t="s">
        <v>23</v>
      </c>
    </row>
    <row r="480" spans="1:9" hidden="1" x14ac:dyDescent="0.25">
      <c r="A480">
        <v>24</v>
      </c>
      <c r="B480" t="s">
        <v>17</v>
      </c>
      <c r="C480">
        <v>2019</v>
      </c>
      <c r="D480">
        <v>165</v>
      </c>
      <c r="E480" t="s">
        <v>9</v>
      </c>
      <c r="F480">
        <v>104</v>
      </c>
      <c r="G480">
        <v>61</v>
      </c>
      <c r="H480">
        <v>36000</v>
      </c>
      <c r="I480" t="s">
        <v>23</v>
      </c>
    </row>
    <row r="481" spans="1:9" hidden="1" x14ac:dyDescent="0.25">
      <c r="A481">
        <v>25</v>
      </c>
      <c r="B481" t="s">
        <v>17</v>
      </c>
      <c r="C481">
        <v>2019</v>
      </c>
      <c r="D481">
        <v>104</v>
      </c>
      <c r="E481">
        <v>100</v>
      </c>
      <c r="F481">
        <v>140.5</v>
      </c>
      <c r="G481">
        <v>63.5</v>
      </c>
      <c r="H481">
        <v>36000</v>
      </c>
      <c r="I481" t="s">
        <v>23</v>
      </c>
    </row>
    <row r="482" spans="1:9" hidden="1" x14ac:dyDescent="0.25">
      <c r="A482">
        <v>26</v>
      </c>
      <c r="B482" t="s">
        <v>17</v>
      </c>
      <c r="C482">
        <v>2019</v>
      </c>
      <c r="D482">
        <v>140.5</v>
      </c>
      <c r="E482">
        <v>99</v>
      </c>
      <c r="F482">
        <v>207</v>
      </c>
      <c r="G482">
        <v>32.5</v>
      </c>
      <c r="H482">
        <v>36000</v>
      </c>
      <c r="I482" t="s">
        <v>23</v>
      </c>
    </row>
    <row r="483" spans="1:9" hidden="1" x14ac:dyDescent="0.25">
      <c r="A483">
        <v>27</v>
      </c>
      <c r="B483" t="s">
        <v>17</v>
      </c>
      <c r="C483">
        <v>2019</v>
      </c>
      <c r="D483">
        <v>207</v>
      </c>
      <c r="E483" t="s">
        <v>9</v>
      </c>
      <c r="F483">
        <v>173</v>
      </c>
      <c r="G483">
        <v>34</v>
      </c>
      <c r="H483">
        <v>36000</v>
      </c>
      <c r="I483" t="s">
        <v>23</v>
      </c>
    </row>
    <row r="484" spans="1:9" hidden="1" x14ac:dyDescent="0.25">
      <c r="A484">
        <v>28</v>
      </c>
      <c r="B484" t="s">
        <v>17</v>
      </c>
      <c r="C484">
        <v>2019</v>
      </c>
      <c r="D484">
        <v>173</v>
      </c>
      <c r="E484">
        <v>100</v>
      </c>
      <c r="F484">
        <v>241</v>
      </c>
      <c r="G484">
        <v>32</v>
      </c>
      <c r="H484">
        <v>36000</v>
      </c>
      <c r="I484" t="s">
        <v>23</v>
      </c>
    </row>
    <row r="485" spans="1:9" hidden="1" x14ac:dyDescent="0.25">
      <c r="A485">
        <v>29</v>
      </c>
      <c r="B485" t="s">
        <v>17</v>
      </c>
      <c r="C485">
        <v>2019</v>
      </c>
      <c r="D485">
        <v>241</v>
      </c>
      <c r="E485" t="s">
        <v>9</v>
      </c>
      <c r="F485">
        <v>205</v>
      </c>
      <c r="G485">
        <v>36</v>
      </c>
      <c r="H485">
        <v>36000</v>
      </c>
      <c r="I485" t="s">
        <v>23</v>
      </c>
    </row>
    <row r="486" spans="1:9" hidden="1" x14ac:dyDescent="0.25">
      <c r="A486">
        <v>30</v>
      </c>
      <c r="B486" t="s">
        <v>17</v>
      </c>
      <c r="C486">
        <v>2019</v>
      </c>
      <c r="D486">
        <v>205</v>
      </c>
      <c r="E486" t="s">
        <v>9</v>
      </c>
      <c r="F486">
        <v>147.5</v>
      </c>
      <c r="G486">
        <v>57.5</v>
      </c>
      <c r="H486">
        <v>36000</v>
      </c>
      <c r="I486" t="s">
        <v>23</v>
      </c>
    </row>
    <row r="487" spans="1:9" hidden="1" x14ac:dyDescent="0.25">
      <c r="A487">
        <v>31</v>
      </c>
      <c r="B487" t="s">
        <v>17</v>
      </c>
      <c r="C487">
        <v>2019</v>
      </c>
      <c r="D487">
        <v>147.5</v>
      </c>
      <c r="E487">
        <v>-22</v>
      </c>
      <c r="F487">
        <v>59</v>
      </c>
      <c r="G487">
        <v>66.5</v>
      </c>
      <c r="H487">
        <v>36000</v>
      </c>
      <c r="I487" t="s">
        <v>23</v>
      </c>
    </row>
    <row r="488" spans="1:9" x14ac:dyDescent="0.25">
      <c r="A488">
        <v>1</v>
      </c>
      <c r="B488" t="s">
        <v>10</v>
      </c>
      <c r="C488">
        <v>2019</v>
      </c>
      <c r="D488">
        <v>11.5</v>
      </c>
      <c r="E488">
        <v>50</v>
      </c>
      <c r="F488">
        <v>26</v>
      </c>
      <c r="G488">
        <v>35.5</v>
      </c>
      <c r="H488">
        <v>36000</v>
      </c>
      <c r="I488" t="s">
        <v>22</v>
      </c>
    </row>
    <row r="489" spans="1:9" x14ac:dyDescent="0.25">
      <c r="A489">
        <v>2</v>
      </c>
      <c r="B489" t="s">
        <v>10</v>
      </c>
      <c r="C489">
        <v>2019</v>
      </c>
      <c r="D489">
        <v>26</v>
      </c>
      <c r="E489" t="s">
        <v>9</v>
      </c>
      <c r="F489">
        <v>14.5</v>
      </c>
      <c r="G489">
        <v>11.5</v>
      </c>
      <c r="H489">
        <v>36000</v>
      </c>
      <c r="I489" t="s">
        <v>22</v>
      </c>
    </row>
    <row r="490" spans="1:9" x14ac:dyDescent="0.25">
      <c r="A490">
        <v>3</v>
      </c>
      <c r="B490" t="s">
        <v>10</v>
      </c>
      <c r="C490">
        <v>2019</v>
      </c>
      <c r="D490">
        <v>14.5</v>
      </c>
      <c r="E490">
        <v>40</v>
      </c>
      <c r="F490">
        <v>36.125</v>
      </c>
      <c r="G490">
        <v>18.375</v>
      </c>
      <c r="H490">
        <v>36000</v>
      </c>
      <c r="I490" t="s">
        <v>22</v>
      </c>
    </row>
    <row r="491" spans="1:9" x14ac:dyDescent="0.25">
      <c r="A491">
        <v>4</v>
      </c>
      <c r="B491" t="s">
        <v>10</v>
      </c>
      <c r="C491">
        <v>2019</v>
      </c>
      <c r="D491">
        <v>36.125</v>
      </c>
      <c r="E491" t="s">
        <v>9</v>
      </c>
      <c r="F491">
        <v>16</v>
      </c>
      <c r="G491">
        <v>20.125</v>
      </c>
      <c r="H491">
        <v>36000</v>
      </c>
      <c r="I491" t="s">
        <v>22</v>
      </c>
    </row>
    <row r="492" spans="1:9" x14ac:dyDescent="0.25">
      <c r="A492">
        <v>5</v>
      </c>
      <c r="B492" t="s">
        <v>10</v>
      </c>
      <c r="C492">
        <v>2019</v>
      </c>
      <c r="D492">
        <v>16</v>
      </c>
      <c r="E492">
        <v>100</v>
      </c>
      <c r="F492">
        <v>99.25</v>
      </c>
      <c r="G492">
        <v>16.75</v>
      </c>
      <c r="H492">
        <v>36000</v>
      </c>
      <c r="I492" t="s">
        <v>22</v>
      </c>
    </row>
    <row r="493" spans="1:9" x14ac:dyDescent="0.25">
      <c r="A493">
        <v>6</v>
      </c>
      <c r="B493" t="s">
        <v>10</v>
      </c>
      <c r="C493">
        <v>2019</v>
      </c>
      <c r="D493">
        <v>99.25</v>
      </c>
      <c r="E493" t="s">
        <v>9</v>
      </c>
      <c r="F493">
        <v>75.625</v>
      </c>
      <c r="G493">
        <v>23.625</v>
      </c>
      <c r="H493">
        <v>36000</v>
      </c>
      <c r="I493" t="s">
        <v>22</v>
      </c>
    </row>
    <row r="494" spans="1:9" x14ac:dyDescent="0.25">
      <c r="A494">
        <v>7</v>
      </c>
      <c r="B494" t="s">
        <v>10</v>
      </c>
      <c r="C494">
        <v>2019</v>
      </c>
      <c r="D494">
        <v>75.625</v>
      </c>
      <c r="E494" t="s">
        <v>9</v>
      </c>
      <c r="F494">
        <v>37.75</v>
      </c>
      <c r="G494">
        <v>37.875</v>
      </c>
      <c r="H494">
        <v>36000</v>
      </c>
      <c r="I494" t="s">
        <v>22</v>
      </c>
    </row>
    <row r="495" spans="1:9" x14ac:dyDescent="0.25">
      <c r="A495">
        <v>8</v>
      </c>
      <c r="B495" t="s">
        <v>10</v>
      </c>
      <c r="C495">
        <v>2019</v>
      </c>
      <c r="D495">
        <v>37.75</v>
      </c>
      <c r="E495">
        <v>30</v>
      </c>
      <c r="F495">
        <v>36.5</v>
      </c>
      <c r="G495">
        <v>31.25</v>
      </c>
      <c r="H495">
        <v>36000</v>
      </c>
      <c r="I495" t="s">
        <v>22</v>
      </c>
    </row>
    <row r="496" spans="1:9" x14ac:dyDescent="0.25">
      <c r="A496">
        <v>9</v>
      </c>
      <c r="B496" t="s">
        <v>10</v>
      </c>
      <c r="C496">
        <v>2019</v>
      </c>
      <c r="D496">
        <v>36.5</v>
      </c>
      <c r="E496">
        <v>100</v>
      </c>
      <c r="F496">
        <v>124.25</v>
      </c>
      <c r="G496">
        <v>12.25</v>
      </c>
      <c r="H496">
        <v>36000</v>
      </c>
      <c r="I496" t="s">
        <v>22</v>
      </c>
    </row>
    <row r="497" spans="1:9" x14ac:dyDescent="0.25">
      <c r="A497">
        <v>10</v>
      </c>
      <c r="B497" t="s">
        <v>10</v>
      </c>
      <c r="C497">
        <v>2019</v>
      </c>
      <c r="D497">
        <v>124.25</v>
      </c>
      <c r="E497" t="s">
        <v>9</v>
      </c>
      <c r="F497">
        <v>109</v>
      </c>
      <c r="G497">
        <v>15.25</v>
      </c>
      <c r="H497">
        <v>36000</v>
      </c>
      <c r="I497" t="s">
        <v>22</v>
      </c>
    </row>
    <row r="498" spans="1:9" x14ac:dyDescent="0.25">
      <c r="A498">
        <v>11</v>
      </c>
      <c r="B498" t="s">
        <v>10</v>
      </c>
      <c r="C498">
        <v>2019</v>
      </c>
      <c r="D498">
        <v>109</v>
      </c>
      <c r="E498" t="s">
        <v>9</v>
      </c>
      <c r="F498">
        <v>86.5</v>
      </c>
      <c r="G498">
        <v>22.5</v>
      </c>
      <c r="H498">
        <v>36000</v>
      </c>
      <c r="I498" t="s">
        <v>22</v>
      </c>
    </row>
    <row r="499" spans="1:9" x14ac:dyDescent="0.25">
      <c r="A499">
        <v>12</v>
      </c>
      <c r="B499" t="s">
        <v>10</v>
      </c>
      <c r="C499">
        <v>2019</v>
      </c>
      <c r="D499">
        <v>86.5</v>
      </c>
      <c r="E499" t="s">
        <v>9</v>
      </c>
      <c r="F499">
        <v>71.5</v>
      </c>
      <c r="G499">
        <v>15</v>
      </c>
      <c r="H499">
        <v>36000</v>
      </c>
      <c r="I499" t="s">
        <v>22</v>
      </c>
    </row>
    <row r="500" spans="1:9" x14ac:dyDescent="0.25">
      <c r="A500">
        <v>13</v>
      </c>
      <c r="B500" t="s">
        <v>10</v>
      </c>
      <c r="C500">
        <v>2019</v>
      </c>
      <c r="D500">
        <v>71.5</v>
      </c>
      <c r="E500" t="s">
        <v>9</v>
      </c>
      <c r="F500">
        <v>56.875</v>
      </c>
      <c r="G500">
        <v>14.625</v>
      </c>
      <c r="H500">
        <v>36000</v>
      </c>
      <c r="I500" t="s">
        <v>22</v>
      </c>
    </row>
    <row r="501" spans="1:9" x14ac:dyDescent="0.25">
      <c r="A501">
        <v>14</v>
      </c>
      <c r="B501" t="s">
        <v>10</v>
      </c>
      <c r="C501">
        <v>2019</v>
      </c>
      <c r="D501">
        <v>56.875</v>
      </c>
      <c r="E501">
        <v>40</v>
      </c>
      <c r="F501">
        <v>56</v>
      </c>
      <c r="G501">
        <v>40.875</v>
      </c>
      <c r="H501">
        <v>36000</v>
      </c>
      <c r="I501" t="s">
        <v>22</v>
      </c>
    </row>
    <row r="502" spans="1:9" x14ac:dyDescent="0.25">
      <c r="A502">
        <v>15</v>
      </c>
      <c r="B502" t="s">
        <v>10</v>
      </c>
      <c r="C502">
        <v>2019</v>
      </c>
      <c r="D502">
        <v>56</v>
      </c>
      <c r="E502">
        <v>20</v>
      </c>
      <c r="F502">
        <v>41.5</v>
      </c>
      <c r="G502">
        <v>34.5</v>
      </c>
      <c r="H502">
        <v>36000</v>
      </c>
      <c r="I502" t="s">
        <v>22</v>
      </c>
    </row>
    <row r="503" spans="1:9" x14ac:dyDescent="0.25">
      <c r="A503">
        <v>16</v>
      </c>
      <c r="B503" t="s">
        <v>10</v>
      </c>
      <c r="C503">
        <v>2019</v>
      </c>
      <c r="D503">
        <v>41.5</v>
      </c>
      <c r="E503">
        <v>100</v>
      </c>
      <c r="F503">
        <v>132.5</v>
      </c>
      <c r="G503">
        <v>9</v>
      </c>
      <c r="H503">
        <v>36000</v>
      </c>
      <c r="I503" t="s">
        <v>22</v>
      </c>
    </row>
    <row r="504" spans="1:9" x14ac:dyDescent="0.25">
      <c r="A504">
        <v>17</v>
      </c>
      <c r="B504" t="s">
        <v>10</v>
      </c>
      <c r="C504">
        <v>2019</v>
      </c>
      <c r="D504">
        <v>132.5</v>
      </c>
      <c r="E504" t="s">
        <v>9</v>
      </c>
      <c r="F504">
        <v>116.5</v>
      </c>
      <c r="G504">
        <v>16</v>
      </c>
      <c r="H504">
        <v>36000</v>
      </c>
      <c r="I504" t="s">
        <v>22</v>
      </c>
    </row>
    <row r="505" spans="1:9" x14ac:dyDescent="0.25">
      <c r="A505">
        <v>18</v>
      </c>
      <c r="B505" t="s">
        <v>10</v>
      </c>
      <c r="C505">
        <v>2019</v>
      </c>
      <c r="D505">
        <v>116.5</v>
      </c>
      <c r="E505" t="s">
        <v>9</v>
      </c>
      <c r="F505">
        <v>100.25</v>
      </c>
      <c r="G505">
        <v>16.25</v>
      </c>
      <c r="H505">
        <v>36000</v>
      </c>
      <c r="I505" t="s">
        <v>22</v>
      </c>
    </row>
    <row r="506" spans="1:9" x14ac:dyDescent="0.25">
      <c r="A506">
        <v>19</v>
      </c>
      <c r="B506" t="s">
        <v>10</v>
      </c>
      <c r="C506">
        <v>2019</v>
      </c>
      <c r="D506">
        <v>100.25</v>
      </c>
      <c r="E506">
        <v>60</v>
      </c>
      <c r="F506">
        <v>144</v>
      </c>
      <c r="G506">
        <v>16.25</v>
      </c>
      <c r="H506">
        <v>36000</v>
      </c>
      <c r="I506" t="s">
        <v>22</v>
      </c>
    </row>
    <row r="507" spans="1:9" x14ac:dyDescent="0.25">
      <c r="A507">
        <v>20</v>
      </c>
      <c r="B507" t="s">
        <v>10</v>
      </c>
      <c r="C507">
        <v>2019</v>
      </c>
      <c r="D507">
        <v>144</v>
      </c>
      <c r="E507" t="s">
        <v>9</v>
      </c>
      <c r="F507">
        <v>123</v>
      </c>
      <c r="G507">
        <v>21</v>
      </c>
      <c r="H507">
        <v>36000</v>
      </c>
      <c r="I507" t="s">
        <v>22</v>
      </c>
    </row>
    <row r="508" spans="1:9" x14ac:dyDescent="0.25">
      <c r="A508">
        <v>21</v>
      </c>
      <c r="B508" t="s">
        <v>10</v>
      </c>
      <c r="C508">
        <v>2019</v>
      </c>
      <c r="D508">
        <v>123</v>
      </c>
      <c r="E508" t="s">
        <v>9</v>
      </c>
      <c r="F508">
        <v>77.875</v>
      </c>
      <c r="G508">
        <v>45.125</v>
      </c>
      <c r="H508">
        <v>36000</v>
      </c>
      <c r="I508" t="s">
        <v>22</v>
      </c>
    </row>
    <row r="509" spans="1:9" x14ac:dyDescent="0.25">
      <c r="A509">
        <v>22</v>
      </c>
      <c r="B509" t="s">
        <v>10</v>
      </c>
      <c r="C509">
        <v>2019</v>
      </c>
      <c r="D509">
        <v>77.875</v>
      </c>
      <c r="E509" t="s">
        <v>9</v>
      </c>
      <c r="F509">
        <v>48.375</v>
      </c>
      <c r="G509">
        <v>29.5</v>
      </c>
      <c r="H509">
        <v>36000</v>
      </c>
      <c r="I509" t="s">
        <v>22</v>
      </c>
    </row>
    <row r="510" spans="1:9" x14ac:dyDescent="0.25">
      <c r="A510">
        <v>23</v>
      </c>
      <c r="B510" t="s">
        <v>10</v>
      </c>
      <c r="C510">
        <v>2019</v>
      </c>
      <c r="D510">
        <v>48.375</v>
      </c>
      <c r="E510" t="s">
        <v>9</v>
      </c>
      <c r="F510">
        <v>38</v>
      </c>
      <c r="G510">
        <v>10.375</v>
      </c>
      <c r="H510">
        <v>36000</v>
      </c>
      <c r="I510" t="s">
        <v>22</v>
      </c>
    </row>
    <row r="511" spans="1:9" x14ac:dyDescent="0.25">
      <c r="A511">
        <v>24</v>
      </c>
      <c r="B511" t="s">
        <v>10</v>
      </c>
      <c r="C511">
        <v>2019</v>
      </c>
      <c r="D511">
        <v>38</v>
      </c>
      <c r="E511" t="s">
        <v>9</v>
      </c>
      <c r="F511">
        <v>28.5</v>
      </c>
      <c r="G511">
        <v>9.5</v>
      </c>
      <c r="H511">
        <v>36000</v>
      </c>
      <c r="I511" t="s">
        <v>22</v>
      </c>
    </row>
    <row r="512" spans="1:9" x14ac:dyDescent="0.25">
      <c r="A512">
        <v>25</v>
      </c>
      <c r="B512" t="s">
        <v>10</v>
      </c>
      <c r="C512">
        <v>2019</v>
      </c>
      <c r="D512">
        <v>28.5</v>
      </c>
      <c r="E512" t="s">
        <v>9</v>
      </c>
      <c r="F512">
        <v>13.625</v>
      </c>
      <c r="G512">
        <v>14.875</v>
      </c>
      <c r="H512">
        <v>36000</v>
      </c>
      <c r="I512" t="s">
        <v>22</v>
      </c>
    </row>
    <row r="513" spans="1:9" x14ac:dyDescent="0.25">
      <c r="A513">
        <v>26</v>
      </c>
      <c r="B513" t="s">
        <v>10</v>
      </c>
      <c r="C513">
        <v>2019</v>
      </c>
      <c r="D513">
        <v>13.625</v>
      </c>
      <c r="E513">
        <v>120</v>
      </c>
      <c r="F513">
        <v>123.875</v>
      </c>
      <c r="G513">
        <v>9.75</v>
      </c>
      <c r="H513">
        <v>36000</v>
      </c>
      <c r="I513" t="s">
        <v>22</v>
      </c>
    </row>
    <row r="514" spans="1:9" x14ac:dyDescent="0.25">
      <c r="A514">
        <v>27</v>
      </c>
      <c r="B514" t="s">
        <v>10</v>
      </c>
      <c r="C514">
        <v>2019</v>
      </c>
      <c r="D514">
        <v>123.875</v>
      </c>
      <c r="E514" t="s">
        <v>9</v>
      </c>
      <c r="F514">
        <v>104.375</v>
      </c>
      <c r="G514">
        <v>19.5</v>
      </c>
      <c r="H514">
        <v>36000</v>
      </c>
      <c r="I514" t="s">
        <v>22</v>
      </c>
    </row>
    <row r="515" spans="1:9" x14ac:dyDescent="0.25">
      <c r="A515">
        <v>28</v>
      </c>
      <c r="B515" t="s">
        <v>10</v>
      </c>
      <c r="C515">
        <v>2019</v>
      </c>
      <c r="D515">
        <v>104.375</v>
      </c>
      <c r="E515" t="s">
        <v>9</v>
      </c>
      <c r="F515">
        <v>70.625</v>
      </c>
      <c r="G515">
        <v>33.75</v>
      </c>
      <c r="H515">
        <v>36000</v>
      </c>
      <c r="I515" t="s">
        <v>22</v>
      </c>
    </row>
    <row r="516" spans="1:9" x14ac:dyDescent="0.25">
      <c r="A516">
        <v>29</v>
      </c>
      <c r="B516" t="s">
        <v>10</v>
      </c>
      <c r="C516">
        <v>2019</v>
      </c>
      <c r="D516">
        <v>70.625</v>
      </c>
      <c r="E516" t="s">
        <v>9</v>
      </c>
      <c r="F516">
        <v>28.125</v>
      </c>
      <c r="G516">
        <v>42.5</v>
      </c>
      <c r="H516">
        <v>36000</v>
      </c>
      <c r="I516" t="s">
        <v>22</v>
      </c>
    </row>
    <row r="517" spans="1:9" x14ac:dyDescent="0.25">
      <c r="A517">
        <v>30</v>
      </c>
      <c r="B517" t="s">
        <v>10</v>
      </c>
      <c r="C517">
        <v>2019</v>
      </c>
      <c r="D517">
        <v>28.125</v>
      </c>
      <c r="E517">
        <v>100</v>
      </c>
      <c r="F517">
        <v>113</v>
      </c>
      <c r="G517">
        <v>15.125</v>
      </c>
      <c r="H517">
        <v>36000</v>
      </c>
      <c r="I517" t="s">
        <v>22</v>
      </c>
    </row>
    <row r="518" spans="1:9" hidden="1" x14ac:dyDescent="0.25">
      <c r="A518">
        <v>1</v>
      </c>
      <c r="B518" t="s">
        <v>10</v>
      </c>
      <c r="C518">
        <v>2019</v>
      </c>
      <c r="D518">
        <v>59</v>
      </c>
      <c r="E518">
        <v>100</v>
      </c>
      <c r="F518">
        <v>98.5</v>
      </c>
      <c r="G518">
        <v>60.5</v>
      </c>
      <c r="H518">
        <v>36000</v>
      </c>
      <c r="I518" t="s">
        <v>23</v>
      </c>
    </row>
    <row r="519" spans="1:9" hidden="1" x14ac:dyDescent="0.25">
      <c r="A519">
        <v>2</v>
      </c>
      <c r="B519" t="s">
        <v>10</v>
      </c>
      <c r="C519">
        <v>2019</v>
      </c>
      <c r="D519">
        <v>98.5</v>
      </c>
      <c r="E519">
        <v>100</v>
      </c>
      <c r="F519">
        <v>166</v>
      </c>
      <c r="G519">
        <v>32.5</v>
      </c>
      <c r="H519">
        <v>36000</v>
      </c>
      <c r="I519" t="s">
        <v>23</v>
      </c>
    </row>
    <row r="520" spans="1:9" hidden="1" x14ac:dyDescent="0.25">
      <c r="A520">
        <v>3</v>
      </c>
      <c r="B520" t="s">
        <v>10</v>
      </c>
      <c r="C520">
        <v>2019</v>
      </c>
      <c r="D520">
        <v>166</v>
      </c>
      <c r="E520">
        <v>60</v>
      </c>
      <c r="F520">
        <v>194.875</v>
      </c>
      <c r="G520">
        <v>31.125</v>
      </c>
      <c r="H520">
        <v>36000</v>
      </c>
      <c r="I520" t="s">
        <v>23</v>
      </c>
    </row>
    <row r="521" spans="1:9" hidden="1" x14ac:dyDescent="0.25">
      <c r="A521">
        <v>4</v>
      </c>
      <c r="B521" t="s">
        <v>10</v>
      </c>
      <c r="C521">
        <v>2019</v>
      </c>
      <c r="D521">
        <v>194.875</v>
      </c>
      <c r="E521" t="s">
        <v>9</v>
      </c>
      <c r="F521">
        <v>164.375</v>
      </c>
      <c r="G521">
        <v>30.5</v>
      </c>
      <c r="H521">
        <v>36000</v>
      </c>
      <c r="I521" t="s">
        <v>23</v>
      </c>
    </row>
    <row r="522" spans="1:9" hidden="1" x14ac:dyDescent="0.25">
      <c r="A522">
        <v>5</v>
      </c>
      <c r="B522" t="s">
        <v>10</v>
      </c>
      <c r="C522">
        <v>2019</v>
      </c>
      <c r="D522">
        <v>164.375</v>
      </c>
      <c r="E522" t="s">
        <v>9</v>
      </c>
      <c r="F522">
        <v>126.5</v>
      </c>
      <c r="G522">
        <v>37.875</v>
      </c>
      <c r="H522">
        <v>36000</v>
      </c>
      <c r="I522" t="s">
        <v>23</v>
      </c>
    </row>
    <row r="523" spans="1:9" hidden="1" x14ac:dyDescent="0.25">
      <c r="A523">
        <v>6</v>
      </c>
      <c r="B523" t="s">
        <v>10</v>
      </c>
      <c r="C523">
        <v>2019</v>
      </c>
      <c r="D523">
        <v>126.5</v>
      </c>
      <c r="E523">
        <v>100</v>
      </c>
      <c r="F523">
        <v>174.5</v>
      </c>
      <c r="G523">
        <v>52</v>
      </c>
      <c r="H523">
        <v>36000</v>
      </c>
      <c r="I523" t="s">
        <v>23</v>
      </c>
    </row>
    <row r="524" spans="1:9" hidden="1" x14ac:dyDescent="0.25">
      <c r="A524">
        <v>7</v>
      </c>
      <c r="B524" t="s">
        <v>10</v>
      </c>
      <c r="C524">
        <v>2019</v>
      </c>
      <c r="D524">
        <v>174.5</v>
      </c>
      <c r="E524">
        <v>100</v>
      </c>
      <c r="F524">
        <v>214</v>
      </c>
      <c r="G524">
        <v>60.5</v>
      </c>
      <c r="H524">
        <v>36000</v>
      </c>
      <c r="I524" t="s">
        <v>23</v>
      </c>
    </row>
    <row r="525" spans="1:9" hidden="1" x14ac:dyDescent="0.25">
      <c r="A525">
        <v>8</v>
      </c>
      <c r="B525" t="s">
        <v>10</v>
      </c>
      <c r="C525">
        <v>2019</v>
      </c>
      <c r="D525">
        <v>214</v>
      </c>
      <c r="E525">
        <v>-30</v>
      </c>
      <c r="F525">
        <v>124.5</v>
      </c>
      <c r="G525">
        <v>59.5</v>
      </c>
      <c r="H525">
        <v>36000</v>
      </c>
      <c r="I525" t="s">
        <v>23</v>
      </c>
    </row>
    <row r="526" spans="1:9" hidden="1" x14ac:dyDescent="0.25">
      <c r="A526">
        <v>9</v>
      </c>
      <c r="B526" t="s">
        <v>10</v>
      </c>
      <c r="C526">
        <v>2019</v>
      </c>
      <c r="D526">
        <v>124.5</v>
      </c>
      <c r="E526" t="s">
        <v>9</v>
      </c>
      <c r="F526">
        <v>99.875</v>
      </c>
      <c r="G526">
        <v>24.625</v>
      </c>
      <c r="H526">
        <v>36000</v>
      </c>
      <c r="I526" t="s">
        <v>23</v>
      </c>
    </row>
    <row r="527" spans="1:9" hidden="1" x14ac:dyDescent="0.25">
      <c r="A527">
        <v>10</v>
      </c>
      <c r="B527" t="s">
        <v>10</v>
      </c>
      <c r="C527">
        <v>2019</v>
      </c>
      <c r="D527">
        <v>99.875</v>
      </c>
      <c r="E527">
        <v>113</v>
      </c>
      <c r="F527">
        <v>178</v>
      </c>
      <c r="G527">
        <v>34.875</v>
      </c>
      <c r="H527">
        <v>36000</v>
      </c>
      <c r="I527" t="s">
        <v>23</v>
      </c>
    </row>
    <row r="528" spans="1:9" hidden="1" x14ac:dyDescent="0.25">
      <c r="A528">
        <v>11</v>
      </c>
      <c r="B528" t="s">
        <v>10</v>
      </c>
      <c r="C528">
        <v>2019</v>
      </c>
      <c r="D528">
        <v>178</v>
      </c>
      <c r="E528" t="s">
        <v>9</v>
      </c>
      <c r="F528">
        <v>147.5</v>
      </c>
      <c r="G528">
        <v>30.5</v>
      </c>
      <c r="H528">
        <v>36000</v>
      </c>
      <c r="I528" t="s">
        <v>23</v>
      </c>
    </row>
    <row r="529" spans="1:9" hidden="1" x14ac:dyDescent="0.25">
      <c r="A529">
        <v>12</v>
      </c>
      <c r="B529" t="s">
        <v>10</v>
      </c>
      <c r="C529">
        <v>2019</v>
      </c>
      <c r="D529">
        <v>147.5</v>
      </c>
      <c r="E529" t="s">
        <v>9</v>
      </c>
      <c r="F529">
        <v>112.5</v>
      </c>
      <c r="G529">
        <v>35</v>
      </c>
      <c r="H529">
        <v>36000</v>
      </c>
      <c r="I529" t="s">
        <v>23</v>
      </c>
    </row>
    <row r="530" spans="1:9" hidden="1" x14ac:dyDescent="0.25">
      <c r="A530">
        <v>13</v>
      </c>
      <c r="B530" t="s">
        <v>10</v>
      </c>
      <c r="C530">
        <v>2019</v>
      </c>
      <c r="D530">
        <v>112.5</v>
      </c>
      <c r="E530" t="s">
        <v>9</v>
      </c>
      <c r="F530">
        <v>54</v>
      </c>
      <c r="G530">
        <v>58.5</v>
      </c>
      <c r="H530">
        <v>36000</v>
      </c>
      <c r="I530" t="s">
        <v>23</v>
      </c>
    </row>
    <row r="531" spans="1:9" hidden="1" x14ac:dyDescent="0.25">
      <c r="A531">
        <v>14</v>
      </c>
      <c r="B531" t="s">
        <v>10</v>
      </c>
      <c r="C531">
        <v>2019</v>
      </c>
      <c r="D531">
        <v>54</v>
      </c>
      <c r="E531">
        <v>71</v>
      </c>
      <c r="F531">
        <v>52</v>
      </c>
      <c r="G531">
        <v>73</v>
      </c>
      <c r="H531">
        <v>36000</v>
      </c>
      <c r="I531" t="s">
        <v>23</v>
      </c>
    </row>
    <row r="532" spans="1:9" hidden="1" x14ac:dyDescent="0.25">
      <c r="A532">
        <v>15</v>
      </c>
      <c r="B532" t="s">
        <v>10</v>
      </c>
      <c r="C532">
        <v>2019</v>
      </c>
      <c r="D532">
        <v>52</v>
      </c>
      <c r="E532">
        <v>90</v>
      </c>
      <c r="F532">
        <v>73</v>
      </c>
      <c r="G532">
        <v>69</v>
      </c>
      <c r="H532">
        <v>36000</v>
      </c>
      <c r="I532" t="s">
        <v>23</v>
      </c>
    </row>
    <row r="533" spans="1:9" hidden="1" x14ac:dyDescent="0.25">
      <c r="A533">
        <v>16</v>
      </c>
      <c r="B533" t="s">
        <v>10</v>
      </c>
      <c r="C533">
        <v>2019</v>
      </c>
      <c r="D533">
        <v>73</v>
      </c>
      <c r="E533">
        <v>151</v>
      </c>
      <c r="F533">
        <v>197</v>
      </c>
      <c r="G533">
        <v>27</v>
      </c>
      <c r="H533">
        <v>36000</v>
      </c>
      <c r="I533" t="s">
        <v>23</v>
      </c>
    </row>
    <row r="534" spans="1:9" hidden="1" x14ac:dyDescent="0.25">
      <c r="A534">
        <v>17</v>
      </c>
      <c r="B534" t="s">
        <v>10</v>
      </c>
      <c r="C534">
        <v>2019</v>
      </c>
      <c r="D534">
        <v>197</v>
      </c>
      <c r="E534" t="s">
        <v>9</v>
      </c>
      <c r="F534">
        <v>165</v>
      </c>
      <c r="G534">
        <v>32</v>
      </c>
      <c r="H534">
        <v>36000</v>
      </c>
      <c r="I534" t="s">
        <v>23</v>
      </c>
    </row>
    <row r="535" spans="1:9" hidden="1" x14ac:dyDescent="0.25">
      <c r="A535">
        <v>18</v>
      </c>
      <c r="B535" t="s">
        <v>10</v>
      </c>
      <c r="C535">
        <v>2019</v>
      </c>
      <c r="D535">
        <v>165</v>
      </c>
      <c r="E535">
        <v>100</v>
      </c>
      <c r="F535">
        <v>223</v>
      </c>
      <c r="G535">
        <v>42</v>
      </c>
      <c r="H535">
        <v>36000</v>
      </c>
      <c r="I535" t="s">
        <v>23</v>
      </c>
    </row>
    <row r="536" spans="1:9" hidden="1" x14ac:dyDescent="0.25">
      <c r="A536">
        <v>19</v>
      </c>
      <c r="B536" t="s">
        <v>10</v>
      </c>
      <c r="C536">
        <v>2019</v>
      </c>
      <c r="D536">
        <v>223</v>
      </c>
      <c r="E536">
        <v>40</v>
      </c>
      <c r="F536">
        <v>226</v>
      </c>
      <c r="G536">
        <v>37</v>
      </c>
      <c r="H536">
        <v>36000</v>
      </c>
      <c r="I536" t="s">
        <v>23</v>
      </c>
    </row>
    <row r="537" spans="1:9" hidden="1" x14ac:dyDescent="0.25">
      <c r="A537">
        <v>20</v>
      </c>
      <c r="B537" t="s">
        <v>10</v>
      </c>
      <c r="C537">
        <v>2019</v>
      </c>
      <c r="D537">
        <v>226</v>
      </c>
      <c r="E537">
        <v>50</v>
      </c>
      <c r="F537">
        <v>224</v>
      </c>
      <c r="G537">
        <v>52</v>
      </c>
      <c r="H537">
        <v>36000</v>
      </c>
      <c r="I537" t="s">
        <v>23</v>
      </c>
    </row>
    <row r="538" spans="1:9" hidden="1" x14ac:dyDescent="0.25">
      <c r="A538">
        <v>21</v>
      </c>
      <c r="B538" t="s">
        <v>10</v>
      </c>
      <c r="C538">
        <v>2019</v>
      </c>
      <c r="D538">
        <v>224</v>
      </c>
      <c r="E538">
        <v>50</v>
      </c>
      <c r="F538">
        <v>191</v>
      </c>
      <c r="G538">
        <v>83</v>
      </c>
      <c r="H538">
        <v>36000</v>
      </c>
      <c r="I538" t="s">
        <v>23</v>
      </c>
    </row>
    <row r="539" spans="1:9" hidden="1" x14ac:dyDescent="0.25">
      <c r="A539">
        <v>22</v>
      </c>
      <c r="B539" t="s">
        <v>10</v>
      </c>
      <c r="C539">
        <v>2019</v>
      </c>
      <c r="D539">
        <v>191</v>
      </c>
      <c r="E539">
        <v>50</v>
      </c>
      <c r="F539">
        <v>177</v>
      </c>
      <c r="G539">
        <v>64</v>
      </c>
      <c r="H539">
        <v>36000</v>
      </c>
      <c r="I539" t="s">
        <v>23</v>
      </c>
    </row>
    <row r="540" spans="1:9" hidden="1" x14ac:dyDescent="0.25">
      <c r="A540">
        <v>23</v>
      </c>
      <c r="B540" t="s">
        <v>10</v>
      </c>
      <c r="C540">
        <v>2019</v>
      </c>
      <c r="D540">
        <v>177</v>
      </c>
      <c r="E540">
        <v>100</v>
      </c>
      <c r="F540">
        <v>239</v>
      </c>
      <c r="G540">
        <v>38</v>
      </c>
      <c r="H540">
        <v>36000</v>
      </c>
      <c r="I540" t="s">
        <v>23</v>
      </c>
    </row>
    <row r="541" spans="1:9" hidden="1" x14ac:dyDescent="0.25">
      <c r="A541">
        <v>24</v>
      </c>
      <c r="B541" t="s">
        <v>10</v>
      </c>
      <c r="C541">
        <v>2019</v>
      </c>
      <c r="D541">
        <v>239</v>
      </c>
      <c r="E541" t="s">
        <v>9</v>
      </c>
      <c r="F541">
        <v>200</v>
      </c>
      <c r="G541">
        <v>39</v>
      </c>
      <c r="H541">
        <v>36000</v>
      </c>
      <c r="I541" t="s">
        <v>23</v>
      </c>
    </row>
    <row r="542" spans="1:9" hidden="1" x14ac:dyDescent="0.25">
      <c r="A542">
        <v>25</v>
      </c>
      <c r="B542" t="s">
        <v>10</v>
      </c>
      <c r="C542">
        <v>2019</v>
      </c>
      <c r="D542">
        <v>200</v>
      </c>
      <c r="E542">
        <v>145</v>
      </c>
      <c r="F542">
        <v>308</v>
      </c>
      <c r="G542">
        <v>37</v>
      </c>
      <c r="H542">
        <v>36000</v>
      </c>
      <c r="I542" t="s">
        <v>23</v>
      </c>
    </row>
    <row r="543" spans="1:9" hidden="1" x14ac:dyDescent="0.25">
      <c r="A543">
        <v>26</v>
      </c>
      <c r="B543" t="s">
        <v>10</v>
      </c>
      <c r="C543">
        <v>2019</v>
      </c>
      <c r="D543">
        <v>308</v>
      </c>
      <c r="E543">
        <v>-120</v>
      </c>
      <c r="F543">
        <v>150</v>
      </c>
      <c r="G543">
        <v>38</v>
      </c>
      <c r="H543">
        <v>36000</v>
      </c>
      <c r="I543" t="s">
        <v>23</v>
      </c>
    </row>
    <row r="544" spans="1:9" hidden="1" x14ac:dyDescent="0.25">
      <c r="A544">
        <v>27</v>
      </c>
      <c r="B544" t="s">
        <v>10</v>
      </c>
      <c r="C544">
        <v>2019</v>
      </c>
      <c r="D544">
        <v>150</v>
      </c>
      <c r="E544" t="s">
        <v>9</v>
      </c>
      <c r="F544">
        <v>95</v>
      </c>
      <c r="G544">
        <v>55</v>
      </c>
      <c r="H544">
        <v>36000</v>
      </c>
      <c r="I544" t="s">
        <v>23</v>
      </c>
    </row>
    <row r="545" spans="1:9" hidden="1" x14ac:dyDescent="0.25">
      <c r="A545">
        <v>28</v>
      </c>
      <c r="B545" t="s">
        <v>10</v>
      </c>
      <c r="C545">
        <v>2019</v>
      </c>
      <c r="D545">
        <v>95</v>
      </c>
      <c r="E545">
        <v>110</v>
      </c>
      <c r="F545">
        <v>130</v>
      </c>
      <c r="G545">
        <v>75</v>
      </c>
      <c r="H545">
        <v>36000</v>
      </c>
      <c r="I545" t="s">
        <v>23</v>
      </c>
    </row>
    <row r="546" spans="1:9" hidden="1" x14ac:dyDescent="0.25">
      <c r="A546">
        <v>29</v>
      </c>
      <c r="B546" t="s">
        <v>10</v>
      </c>
      <c r="C546">
        <v>2019</v>
      </c>
      <c r="D546">
        <v>130</v>
      </c>
      <c r="E546">
        <v>100</v>
      </c>
      <c r="F546">
        <v>158</v>
      </c>
      <c r="G546">
        <v>72</v>
      </c>
      <c r="H546">
        <v>36000</v>
      </c>
      <c r="I546" t="s">
        <v>23</v>
      </c>
    </row>
    <row r="547" spans="1:9" hidden="1" x14ac:dyDescent="0.25">
      <c r="A547">
        <v>30</v>
      </c>
      <c r="B547" t="s">
        <v>10</v>
      </c>
      <c r="C547">
        <v>2019</v>
      </c>
      <c r="D547">
        <v>158</v>
      </c>
      <c r="E547" t="s">
        <v>9</v>
      </c>
      <c r="F547">
        <v>111.5</v>
      </c>
      <c r="G547">
        <v>46.5</v>
      </c>
      <c r="H547">
        <v>36000</v>
      </c>
      <c r="I547" t="s">
        <v>23</v>
      </c>
    </row>
    <row r="548" spans="1:9" hidden="1" x14ac:dyDescent="0.25">
      <c r="A548">
        <v>31</v>
      </c>
      <c r="B548" t="s">
        <v>10</v>
      </c>
      <c r="C548">
        <v>2019</v>
      </c>
      <c r="D548">
        <v>111.5</v>
      </c>
      <c r="E548" t="s">
        <v>9</v>
      </c>
      <c r="F548" t="s">
        <v>9</v>
      </c>
      <c r="G548">
        <v>111.5</v>
      </c>
      <c r="H548">
        <v>36000</v>
      </c>
      <c r="I548" t="s">
        <v>23</v>
      </c>
    </row>
    <row r="549" spans="1:9" x14ac:dyDescent="0.25">
      <c r="A549">
        <v>1</v>
      </c>
      <c r="B549" t="s">
        <v>18</v>
      </c>
      <c r="C549">
        <v>2019</v>
      </c>
      <c r="D549">
        <v>113</v>
      </c>
      <c r="E549" t="s">
        <v>9</v>
      </c>
      <c r="F549">
        <v>99.75</v>
      </c>
      <c r="G549">
        <v>13.25</v>
      </c>
      <c r="H549">
        <v>36000</v>
      </c>
      <c r="I549" t="s">
        <v>22</v>
      </c>
    </row>
    <row r="550" spans="1:9" x14ac:dyDescent="0.25">
      <c r="A550">
        <v>2</v>
      </c>
      <c r="B550" t="s">
        <v>18</v>
      </c>
      <c r="C550">
        <v>2019</v>
      </c>
      <c r="D550">
        <v>99.75</v>
      </c>
      <c r="E550" t="s">
        <v>9</v>
      </c>
      <c r="F550">
        <v>80.5</v>
      </c>
      <c r="G550">
        <v>19.25</v>
      </c>
      <c r="H550">
        <v>36000</v>
      </c>
      <c r="I550" t="s">
        <v>22</v>
      </c>
    </row>
    <row r="551" spans="1:9" x14ac:dyDescent="0.25">
      <c r="A551">
        <v>3</v>
      </c>
      <c r="B551" t="s">
        <v>18</v>
      </c>
      <c r="C551">
        <v>2019</v>
      </c>
      <c r="D551">
        <v>80.5</v>
      </c>
      <c r="E551" t="s">
        <v>9</v>
      </c>
      <c r="F551">
        <v>58.75</v>
      </c>
      <c r="G551">
        <v>21.75</v>
      </c>
      <c r="H551">
        <v>36000</v>
      </c>
      <c r="I551" t="s">
        <v>22</v>
      </c>
    </row>
    <row r="552" spans="1:9" x14ac:dyDescent="0.25">
      <c r="A552">
        <v>4</v>
      </c>
      <c r="B552" t="s">
        <v>18</v>
      </c>
      <c r="C552">
        <v>2019</v>
      </c>
      <c r="D552">
        <v>58.75</v>
      </c>
      <c r="E552" t="s">
        <v>9</v>
      </c>
      <c r="F552">
        <v>27.75</v>
      </c>
      <c r="G552">
        <v>31</v>
      </c>
      <c r="H552">
        <v>36000</v>
      </c>
      <c r="I552" t="s">
        <v>22</v>
      </c>
    </row>
    <row r="553" spans="1:9" x14ac:dyDescent="0.25">
      <c r="A553">
        <v>5</v>
      </c>
      <c r="B553" t="s">
        <v>18</v>
      </c>
      <c r="C553">
        <v>2019</v>
      </c>
      <c r="D553">
        <v>27.75</v>
      </c>
      <c r="E553">
        <v>50</v>
      </c>
      <c r="F553">
        <v>22</v>
      </c>
      <c r="G553">
        <v>55.75</v>
      </c>
      <c r="H553">
        <v>36000</v>
      </c>
      <c r="I553" t="s">
        <v>22</v>
      </c>
    </row>
    <row r="554" spans="1:9" x14ac:dyDescent="0.25">
      <c r="A554">
        <v>6</v>
      </c>
      <c r="B554" t="s">
        <v>18</v>
      </c>
      <c r="C554">
        <v>2019</v>
      </c>
      <c r="D554">
        <v>22</v>
      </c>
      <c r="E554">
        <v>50</v>
      </c>
      <c r="F554">
        <v>16</v>
      </c>
      <c r="G554">
        <v>56</v>
      </c>
      <c r="H554">
        <v>36000</v>
      </c>
      <c r="I554" t="s">
        <v>22</v>
      </c>
    </row>
    <row r="555" spans="1:9" x14ac:dyDescent="0.25">
      <c r="A555">
        <v>7</v>
      </c>
      <c r="B555" t="s">
        <v>18</v>
      </c>
      <c r="C555">
        <v>2019</v>
      </c>
      <c r="D555">
        <v>16</v>
      </c>
      <c r="E555">
        <v>100</v>
      </c>
      <c r="F555">
        <v>90</v>
      </c>
      <c r="G555">
        <v>26</v>
      </c>
      <c r="H555">
        <v>36000</v>
      </c>
      <c r="I555" t="s">
        <v>22</v>
      </c>
    </row>
    <row r="556" spans="1:9" x14ac:dyDescent="0.25">
      <c r="A556">
        <v>8</v>
      </c>
      <c r="B556" t="s">
        <v>18</v>
      </c>
      <c r="C556">
        <v>2019</v>
      </c>
      <c r="D556">
        <v>90</v>
      </c>
      <c r="E556" t="s">
        <v>9</v>
      </c>
      <c r="F556">
        <v>40</v>
      </c>
      <c r="G556">
        <v>50</v>
      </c>
      <c r="H556">
        <v>36000</v>
      </c>
      <c r="I556" t="s">
        <v>22</v>
      </c>
    </row>
    <row r="557" spans="1:9" x14ac:dyDescent="0.25">
      <c r="A557">
        <v>9</v>
      </c>
      <c r="B557" t="s">
        <v>18</v>
      </c>
      <c r="C557">
        <v>2019</v>
      </c>
      <c r="D557">
        <v>40</v>
      </c>
      <c r="E557">
        <v>30</v>
      </c>
      <c r="F557">
        <v>18</v>
      </c>
      <c r="G557">
        <v>52</v>
      </c>
      <c r="H557">
        <v>36000</v>
      </c>
      <c r="I557" t="s">
        <v>22</v>
      </c>
    </row>
    <row r="558" spans="1:9" x14ac:dyDescent="0.25">
      <c r="A558">
        <v>10</v>
      </c>
      <c r="B558" t="s">
        <v>18</v>
      </c>
      <c r="C558">
        <v>2019</v>
      </c>
      <c r="D558">
        <v>18</v>
      </c>
      <c r="E558">
        <v>150</v>
      </c>
      <c r="F558">
        <v>130</v>
      </c>
      <c r="G558">
        <v>38</v>
      </c>
      <c r="H558">
        <v>36000</v>
      </c>
      <c r="I558" t="s">
        <v>22</v>
      </c>
    </row>
    <row r="559" spans="1:9" x14ac:dyDescent="0.25">
      <c r="A559">
        <v>11</v>
      </c>
      <c r="B559" t="s">
        <v>18</v>
      </c>
      <c r="C559">
        <v>2019</v>
      </c>
      <c r="D559">
        <v>130</v>
      </c>
      <c r="E559" t="s">
        <v>9</v>
      </c>
      <c r="F559">
        <v>86.75</v>
      </c>
      <c r="G559">
        <v>43.25</v>
      </c>
      <c r="H559">
        <v>36000</v>
      </c>
      <c r="I559" t="s">
        <v>22</v>
      </c>
    </row>
    <row r="560" spans="1:9" x14ac:dyDescent="0.25">
      <c r="A560">
        <v>12</v>
      </c>
      <c r="B560" t="s">
        <v>18</v>
      </c>
      <c r="C560">
        <v>2019</v>
      </c>
      <c r="D560">
        <v>86.75</v>
      </c>
      <c r="E560" t="s">
        <v>9</v>
      </c>
      <c r="F560">
        <v>46</v>
      </c>
      <c r="G560">
        <v>40.75</v>
      </c>
      <c r="H560">
        <v>36000</v>
      </c>
      <c r="I560" t="s">
        <v>22</v>
      </c>
    </row>
    <row r="561" spans="1:9" x14ac:dyDescent="0.25">
      <c r="A561">
        <v>13</v>
      </c>
      <c r="B561" t="s">
        <v>18</v>
      </c>
      <c r="C561">
        <v>2019</v>
      </c>
      <c r="D561">
        <v>46</v>
      </c>
      <c r="E561">
        <v>60</v>
      </c>
      <c r="F561">
        <v>53.875</v>
      </c>
      <c r="G561">
        <v>52.125</v>
      </c>
      <c r="H561">
        <v>36000</v>
      </c>
      <c r="I561" t="s">
        <v>22</v>
      </c>
    </row>
    <row r="562" spans="1:9" x14ac:dyDescent="0.25">
      <c r="A562">
        <v>14</v>
      </c>
      <c r="B562" t="s">
        <v>18</v>
      </c>
      <c r="C562">
        <v>2019</v>
      </c>
      <c r="D562">
        <v>53.875</v>
      </c>
      <c r="E562">
        <v>50</v>
      </c>
      <c r="F562">
        <v>57.5</v>
      </c>
      <c r="G562">
        <v>46.375</v>
      </c>
      <c r="H562">
        <v>36000</v>
      </c>
      <c r="I562" t="s">
        <v>22</v>
      </c>
    </row>
    <row r="563" spans="1:9" x14ac:dyDescent="0.25">
      <c r="A563">
        <v>15</v>
      </c>
      <c r="B563" t="s">
        <v>18</v>
      </c>
      <c r="C563">
        <v>2019</v>
      </c>
      <c r="D563">
        <v>57.5</v>
      </c>
      <c r="E563" t="s">
        <v>9</v>
      </c>
      <c r="F563">
        <v>36.25</v>
      </c>
      <c r="G563">
        <v>21.25</v>
      </c>
      <c r="H563">
        <v>36000</v>
      </c>
      <c r="I563" t="s">
        <v>22</v>
      </c>
    </row>
    <row r="564" spans="1:9" x14ac:dyDescent="0.25">
      <c r="A564">
        <v>16</v>
      </c>
      <c r="B564" t="s">
        <v>18</v>
      </c>
      <c r="C564">
        <v>2019</v>
      </c>
      <c r="D564">
        <v>36.25</v>
      </c>
      <c r="E564">
        <v>20</v>
      </c>
      <c r="F564">
        <v>28.625</v>
      </c>
      <c r="G564">
        <v>27.625</v>
      </c>
      <c r="H564">
        <v>36000</v>
      </c>
      <c r="I564" t="s">
        <v>22</v>
      </c>
    </row>
    <row r="565" spans="1:9" x14ac:dyDescent="0.25">
      <c r="A565">
        <v>17</v>
      </c>
      <c r="B565" t="s">
        <v>18</v>
      </c>
      <c r="C565">
        <v>2019</v>
      </c>
      <c r="D565">
        <v>28.625</v>
      </c>
      <c r="E565">
        <v>120</v>
      </c>
      <c r="F565">
        <v>129.625</v>
      </c>
      <c r="G565">
        <v>19</v>
      </c>
      <c r="H565">
        <v>36000</v>
      </c>
      <c r="I565" t="s">
        <v>22</v>
      </c>
    </row>
    <row r="566" spans="1:9" x14ac:dyDescent="0.25">
      <c r="A566">
        <v>18</v>
      </c>
      <c r="B566" t="s">
        <v>18</v>
      </c>
      <c r="C566">
        <v>2019</v>
      </c>
      <c r="D566">
        <v>129.625</v>
      </c>
      <c r="E566" t="s">
        <v>9</v>
      </c>
      <c r="F566">
        <v>103.375</v>
      </c>
      <c r="G566">
        <v>26.25</v>
      </c>
      <c r="H566">
        <v>36000</v>
      </c>
      <c r="I566" t="s">
        <v>22</v>
      </c>
    </row>
    <row r="567" spans="1:9" x14ac:dyDescent="0.25">
      <c r="A567">
        <v>19</v>
      </c>
      <c r="B567" t="s">
        <v>18</v>
      </c>
      <c r="C567">
        <v>2019</v>
      </c>
      <c r="D567">
        <v>103.375</v>
      </c>
      <c r="E567" t="s">
        <v>9</v>
      </c>
      <c r="F567">
        <v>65.75</v>
      </c>
      <c r="G567">
        <v>37.625</v>
      </c>
      <c r="H567">
        <v>36000</v>
      </c>
      <c r="I567" t="s">
        <v>22</v>
      </c>
    </row>
    <row r="568" spans="1:9" x14ac:dyDescent="0.25">
      <c r="A568">
        <v>20</v>
      </c>
      <c r="B568" t="s">
        <v>18</v>
      </c>
      <c r="C568">
        <v>2019</v>
      </c>
      <c r="D568">
        <v>65.75</v>
      </c>
      <c r="E568">
        <v>40</v>
      </c>
      <c r="F568">
        <v>55</v>
      </c>
      <c r="G568">
        <v>50.75</v>
      </c>
      <c r="H568">
        <v>36000</v>
      </c>
      <c r="I568" t="s">
        <v>22</v>
      </c>
    </row>
    <row r="569" spans="1:9" x14ac:dyDescent="0.25">
      <c r="A569">
        <v>21</v>
      </c>
      <c r="B569" t="s">
        <v>18</v>
      </c>
      <c r="C569">
        <v>2019</v>
      </c>
      <c r="D569">
        <v>55</v>
      </c>
      <c r="E569" t="s">
        <v>9</v>
      </c>
      <c r="F569">
        <v>43.75</v>
      </c>
      <c r="G569">
        <v>11.25</v>
      </c>
      <c r="H569">
        <v>36000</v>
      </c>
      <c r="I569" t="s">
        <v>22</v>
      </c>
    </row>
    <row r="570" spans="1:9" x14ac:dyDescent="0.25">
      <c r="A570">
        <v>22</v>
      </c>
      <c r="B570" t="s">
        <v>18</v>
      </c>
      <c r="C570">
        <v>2019</v>
      </c>
      <c r="D570">
        <v>43.75</v>
      </c>
      <c r="E570">
        <v>80</v>
      </c>
      <c r="F570">
        <v>106</v>
      </c>
      <c r="G570">
        <v>17.75</v>
      </c>
      <c r="H570">
        <v>36000</v>
      </c>
      <c r="I570" t="s">
        <v>22</v>
      </c>
    </row>
    <row r="571" spans="1:9" x14ac:dyDescent="0.25">
      <c r="A571">
        <v>23</v>
      </c>
      <c r="B571" t="s">
        <v>18</v>
      </c>
      <c r="C571">
        <v>2019</v>
      </c>
      <c r="D571">
        <v>106</v>
      </c>
      <c r="E571" t="s">
        <v>9</v>
      </c>
      <c r="F571">
        <v>81</v>
      </c>
      <c r="G571">
        <v>25</v>
      </c>
      <c r="H571">
        <v>36000</v>
      </c>
      <c r="I571" t="s">
        <v>22</v>
      </c>
    </row>
    <row r="572" spans="1:9" x14ac:dyDescent="0.25">
      <c r="A572">
        <v>24</v>
      </c>
      <c r="B572" t="s">
        <v>18</v>
      </c>
      <c r="C572">
        <v>2019</v>
      </c>
      <c r="D572">
        <v>81</v>
      </c>
      <c r="E572">
        <v>80</v>
      </c>
      <c r="F572">
        <v>141.375</v>
      </c>
      <c r="G572">
        <v>19.625</v>
      </c>
      <c r="H572">
        <v>36000</v>
      </c>
      <c r="I572" t="s">
        <v>22</v>
      </c>
    </row>
    <row r="573" spans="1:9" x14ac:dyDescent="0.25">
      <c r="A573">
        <v>25</v>
      </c>
      <c r="B573" t="s">
        <v>18</v>
      </c>
      <c r="C573">
        <v>2019</v>
      </c>
      <c r="D573">
        <v>141.375</v>
      </c>
      <c r="E573" t="s">
        <v>9</v>
      </c>
      <c r="F573">
        <v>123</v>
      </c>
      <c r="G573">
        <v>18.375</v>
      </c>
      <c r="H573">
        <v>36000</v>
      </c>
      <c r="I573" t="s">
        <v>22</v>
      </c>
    </row>
    <row r="574" spans="1:9" x14ac:dyDescent="0.25">
      <c r="A574">
        <v>26</v>
      </c>
      <c r="B574" t="s">
        <v>18</v>
      </c>
      <c r="C574">
        <v>2019</v>
      </c>
      <c r="D574">
        <v>123</v>
      </c>
      <c r="E574" t="s">
        <v>9</v>
      </c>
      <c r="F574">
        <v>77.5</v>
      </c>
      <c r="G574">
        <v>45.5</v>
      </c>
      <c r="H574">
        <v>36000</v>
      </c>
      <c r="I574" t="s">
        <v>22</v>
      </c>
    </row>
    <row r="575" spans="1:9" x14ac:dyDescent="0.25">
      <c r="A575">
        <v>27</v>
      </c>
      <c r="B575" t="s">
        <v>18</v>
      </c>
      <c r="C575">
        <v>2019</v>
      </c>
      <c r="D575">
        <v>77.5</v>
      </c>
      <c r="E575" t="s">
        <v>9</v>
      </c>
      <c r="F575">
        <v>41.5</v>
      </c>
      <c r="G575">
        <v>36</v>
      </c>
      <c r="H575">
        <v>36000</v>
      </c>
      <c r="I575" t="s">
        <v>22</v>
      </c>
    </row>
    <row r="576" spans="1:9" x14ac:dyDescent="0.25">
      <c r="A576">
        <v>28</v>
      </c>
      <c r="B576" t="s">
        <v>18</v>
      </c>
      <c r="C576">
        <v>2019</v>
      </c>
      <c r="D576">
        <v>41.5</v>
      </c>
      <c r="E576">
        <v>50</v>
      </c>
      <c r="F576">
        <v>81.75</v>
      </c>
      <c r="G576">
        <v>9.75</v>
      </c>
      <c r="H576">
        <v>36000</v>
      </c>
      <c r="I576" t="s">
        <v>22</v>
      </c>
    </row>
    <row r="577" spans="1:9" x14ac:dyDescent="0.25">
      <c r="A577">
        <v>29</v>
      </c>
      <c r="B577" t="s">
        <v>18</v>
      </c>
      <c r="C577">
        <v>2019</v>
      </c>
      <c r="D577">
        <v>81.75</v>
      </c>
      <c r="E577" t="s">
        <v>9</v>
      </c>
      <c r="F577">
        <v>64</v>
      </c>
      <c r="G577">
        <v>17.75</v>
      </c>
      <c r="H577">
        <v>36000</v>
      </c>
      <c r="I577" t="s">
        <v>22</v>
      </c>
    </row>
    <row r="578" spans="1:9" x14ac:dyDescent="0.25">
      <c r="A578">
        <v>30</v>
      </c>
      <c r="B578" t="s">
        <v>18</v>
      </c>
      <c r="C578">
        <v>2019</v>
      </c>
      <c r="D578">
        <v>64</v>
      </c>
      <c r="E578">
        <v>179</v>
      </c>
      <c r="F578">
        <v>226</v>
      </c>
      <c r="G578">
        <v>17</v>
      </c>
      <c r="H578">
        <v>36000</v>
      </c>
      <c r="I578" t="s">
        <v>22</v>
      </c>
    </row>
    <row r="579" spans="1:9" x14ac:dyDescent="0.25">
      <c r="A579">
        <v>31</v>
      </c>
      <c r="B579" t="s">
        <v>18</v>
      </c>
      <c r="C579">
        <v>2019</v>
      </c>
      <c r="D579">
        <v>226</v>
      </c>
      <c r="E579" t="s">
        <v>9</v>
      </c>
      <c r="F579">
        <v>120</v>
      </c>
      <c r="G579">
        <v>106</v>
      </c>
      <c r="H579">
        <v>36000</v>
      </c>
      <c r="I579" t="s">
        <v>22</v>
      </c>
    </row>
    <row r="580" spans="1:9" hidden="1" x14ac:dyDescent="0.25">
      <c r="A580">
        <v>1</v>
      </c>
      <c r="B580" t="s">
        <v>18</v>
      </c>
      <c r="C580">
        <v>2019</v>
      </c>
      <c r="D580">
        <v>111.5</v>
      </c>
      <c r="E580" t="s">
        <v>9</v>
      </c>
      <c r="F580">
        <v>78.5</v>
      </c>
      <c r="G580">
        <v>33</v>
      </c>
      <c r="H580">
        <v>36000</v>
      </c>
      <c r="I580" t="s">
        <v>23</v>
      </c>
    </row>
    <row r="581" spans="1:9" hidden="1" x14ac:dyDescent="0.25">
      <c r="A581">
        <v>2</v>
      </c>
      <c r="B581" t="s">
        <v>18</v>
      </c>
      <c r="C581">
        <v>2019</v>
      </c>
      <c r="D581">
        <v>78.5</v>
      </c>
      <c r="E581">
        <v>150</v>
      </c>
      <c r="F581">
        <v>193.5</v>
      </c>
      <c r="G581">
        <v>35</v>
      </c>
      <c r="H581">
        <v>36000</v>
      </c>
      <c r="I581" t="s">
        <v>23</v>
      </c>
    </row>
    <row r="582" spans="1:9" hidden="1" x14ac:dyDescent="0.25">
      <c r="A582">
        <v>3</v>
      </c>
      <c r="B582" t="s">
        <v>18</v>
      </c>
      <c r="C582">
        <v>2019</v>
      </c>
      <c r="D582">
        <v>193.5</v>
      </c>
      <c r="E582">
        <v>51</v>
      </c>
      <c r="F582">
        <v>197</v>
      </c>
      <c r="G582">
        <v>47.5</v>
      </c>
      <c r="H582">
        <v>36000</v>
      </c>
      <c r="I582" t="s">
        <v>23</v>
      </c>
    </row>
    <row r="583" spans="1:9" hidden="1" x14ac:dyDescent="0.25">
      <c r="A583">
        <v>4</v>
      </c>
      <c r="B583" t="s">
        <v>18</v>
      </c>
      <c r="C583">
        <v>2019</v>
      </c>
      <c r="D583">
        <v>197</v>
      </c>
      <c r="E583" t="s">
        <v>9</v>
      </c>
      <c r="F583">
        <v>137</v>
      </c>
      <c r="G583">
        <v>60</v>
      </c>
      <c r="H583">
        <v>36000</v>
      </c>
      <c r="I583" t="s">
        <v>23</v>
      </c>
    </row>
    <row r="584" spans="1:9" hidden="1" x14ac:dyDescent="0.25">
      <c r="A584">
        <v>5</v>
      </c>
      <c r="B584" t="s">
        <v>18</v>
      </c>
      <c r="C584">
        <v>2019</v>
      </c>
      <c r="D584">
        <v>137</v>
      </c>
      <c r="E584">
        <v>50</v>
      </c>
      <c r="F584">
        <v>106</v>
      </c>
      <c r="G584">
        <v>81</v>
      </c>
      <c r="H584">
        <v>36000</v>
      </c>
      <c r="I584" t="s">
        <v>23</v>
      </c>
    </row>
    <row r="585" spans="1:9" hidden="1" x14ac:dyDescent="0.25">
      <c r="A585">
        <v>6</v>
      </c>
      <c r="B585" t="s">
        <v>18</v>
      </c>
      <c r="C585">
        <v>2019</v>
      </c>
      <c r="D585">
        <v>106</v>
      </c>
      <c r="E585">
        <v>88</v>
      </c>
      <c r="F585">
        <v>116</v>
      </c>
      <c r="G585">
        <v>78</v>
      </c>
      <c r="H585">
        <v>36000</v>
      </c>
      <c r="I585" t="s">
        <v>23</v>
      </c>
    </row>
    <row r="586" spans="1:9" hidden="1" x14ac:dyDescent="0.25">
      <c r="A586">
        <v>7</v>
      </c>
      <c r="B586" t="s">
        <v>18</v>
      </c>
      <c r="C586">
        <v>2019</v>
      </c>
      <c r="D586">
        <v>116</v>
      </c>
      <c r="E586">
        <v>11</v>
      </c>
      <c r="F586">
        <v>85</v>
      </c>
      <c r="G586">
        <v>42</v>
      </c>
      <c r="H586">
        <v>36000</v>
      </c>
      <c r="I586" t="s">
        <v>23</v>
      </c>
    </row>
    <row r="587" spans="1:9" hidden="1" x14ac:dyDescent="0.25">
      <c r="A587">
        <v>8</v>
      </c>
      <c r="B587" t="s">
        <v>18</v>
      </c>
      <c r="C587">
        <v>2019</v>
      </c>
      <c r="D587">
        <v>85</v>
      </c>
      <c r="E587" t="s">
        <v>9</v>
      </c>
      <c r="F587">
        <v>19</v>
      </c>
      <c r="G587">
        <v>66</v>
      </c>
      <c r="H587">
        <v>36000</v>
      </c>
      <c r="I587" t="s">
        <v>23</v>
      </c>
    </row>
    <row r="588" spans="1:9" hidden="1" x14ac:dyDescent="0.25">
      <c r="A588">
        <v>9</v>
      </c>
      <c r="B588" t="s">
        <v>18</v>
      </c>
      <c r="C588">
        <v>2019</v>
      </c>
      <c r="D588">
        <v>19</v>
      </c>
      <c r="E588">
        <v>90</v>
      </c>
      <c r="F588">
        <v>47.5</v>
      </c>
      <c r="G588">
        <v>61.5</v>
      </c>
      <c r="H588">
        <v>36000</v>
      </c>
      <c r="I588" t="s">
        <v>23</v>
      </c>
    </row>
    <row r="589" spans="1:9" hidden="1" x14ac:dyDescent="0.25">
      <c r="A589">
        <v>10</v>
      </c>
      <c r="B589" t="s">
        <v>18</v>
      </c>
      <c r="C589">
        <v>2019</v>
      </c>
      <c r="D589">
        <v>47.5</v>
      </c>
      <c r="E589">
        <v>140</v>
      </c>
      <c r="F589">
        <v>140.5</v>
      </c>
      <c r="G589">
        <v>47</v>
      </c>
      <c r="H589">
        <v>36000</v>
      </c>
      <c r="I589" t="s">
        <v>23</v>
      </c>
    </row>
    <row r="590" spans="1:9" hidden="1" x14ac:dyDescent="0.25">
      <c r="A590">
        <v>11</v>
      </c>
      <c r="B590" t="s">
        <v>18</v>
      </c>
      <c r="C590">
        <v>2019</v>
      </c>
      <c r="D590">
        <v>140.5</v>
      </c>
      <c r="E590">
        <v>151</v>
      </c>
      <c r="F590">
        <v>221.5</v>
      </c>
      <c r="G590">
        <v>70</v>
      </c>
      <c r="H590">
        <v>36000</v>
      </c>
      <c r="I590" t="s">
        <v>23</v>
      </c>
    </row>
    <row r="591" spans="1:9" hidden="1" x14ac:dyDescent="0.25">
      <c r="A591">
        <v>12</v>
      </c>
      <c r="B591" t="s">
        <v>18</v>
      </c>
      <c r="C591">
        <v>2019</v>
      </c>
      <c r="D591">
        <v>221.5</v>
      </c>
      <c r="E591" t="s">
        <v>9</v>
      </c>
      <c r="F591">
        <v>143</v>
      </c>
      <c r="G591">
        <v>78.5</v>
      </c>
      <c r="H591">
        <v>36000</v>
      </c>
      <c r="I591" t="s">
        <v>23</v>
      </c>
    </row>
    <row r="592" spans="1:9" hidden="1" x14ac:dyDescent="0.25">
      <c r="A592">
        <v>13</v>
      </c>
      <c r="B592" t="s">
        <v>18</v>
      </c>
      <c r="C592">
        <v>2019</v>
      </c>
      <c r="D592">
        <v>143</v>
      </c>
      <c r="E592">
        <v>90</v>
      </c>
      <c r="F592">
        <v>154</v>
      </c>
      <c r="G592">
        <v>79</v>
      </c>
      <c r="H592">
        <v>36000</v>
      </c>
      <c r="I592" t="s">
        <v>23</v>
      </c>
    </row>
    <row r="593" spans="1:9" hidden="1" x14ac:dyDescent="0.25">
      <c r="A593">
        <v>14</v>
      </c>
      <c r="B593" t="s">
        <v>18</v>
      </c>
      <c r="C593">
        <v>2019</v>
      </c>
      <c r="D593">
        <v>154</v>
      </c>
      <c r="E593">
        <v>-50</v>
      </c>
      <c r="F593">
        <v>45</v>
      </c>
      <c r="G593">
        <v>59</v>
      </c>
      <c r="H593">
        <v>36000</v>
      </c>
      <c r="I593" t="s">
        <v>23</v>
      </c>
    </row>
    <row r="594" spans="1:9" hidden="1" x14ac:dyDescent="0.25">
      <c r="A594">
        <v>15</v>
      </c>
      <c r="B594" t="s">
        <v>18</v>
      </c>
      <c r="C594">
        <v>2019</v>
      </c>
      <c r="D594">
        <v>45</v>
      </c>
      <c r="E594">
        <v>200</v>
      </c>
      <c r="F594">
        <v>213</v>
      </c>
      <c r="G594">
        <v>32</v>
      </c>
      <c r="H594">
        <v>36000</v>
      </c>
      <c r="I594" t="s">
        <v>23</v>
      </c>
    </row>
    <row r="595" spans="1:9" hidden="1" x14ac:dyDescent="0.25">
      <c r="A595">
        <v>16</v>
      </c>
      <c r="B595" t="s">
        <v>18</v>
      </c>
      <c r="C595">
        <v>2019</v>
      </c>
      <c r="D595">
        <v>213</v>
      </c>
      <c r="E595">
        <v>80</v>
      </c>
      <c r="F595">
        <v>253</v>
      </c>
      <c r="G595">
        <v>40</v>
      </c>
      <c r="H595">
        <v>36000</v>
      </c>
      <c r="I595" t="s">
        <v>23</v>
      </c>
    </row>
    <row r="596" spans="1:9" hidden="1" x14ac:dyDescent="0.25">
      <c r="A596">
        <v>17</v>
      </c>
      <c r="B596" t="s">
        <v>18</v>
      </c>
      <c r="C596">
        <v>2019</v>
      </c>
      <c r="D596">
        <v>253</v>
      </c>
      <c r="E596">
        <v>-120</v>
      </c>
      <c r="F596">
        <v>100</v>
      </c>
      <c r="G596">
        <v>33</v>
      </c>
      <c r="H596">
        <v>36000</v>
      </c>
      <c r="I596" t="s">
        <v>23</v>
      </c>
    </row>
    <row r="597" spans="1:9" hidden="1" x14ac:dyDescent="0.25">
      <c r="A597">
        <v>18</v>
      </c>
      <c r="B597" t="s">
        <v>18</v>
      </c>
      <c r="C597">
        <v>2019</v>
      </c>
      <c r="D597">
        <v>100</v>
      </c>
      <c r="E597">
        <v>150</v>
      </c>
      <c r="F597">
        <v>195.75</v>
      </c>
      <c r="G597">
        <v>54.25</v>
      </c>
      <c r="H597">
        <v>36000</v>
      </c>
      <c r="I597" t="s">
        <v>23</v>
      </c>
    </row>
    <row r="598" spans="1:9" hidden="1" x14ac:dyDescent="0.25">
      <c r="A598">
        <v>19</v>
      </c>
      <c r="B598" t="s">
        <v>18</v>
      </c>
      <c r="C598">
        <v>2019</v>
      </c>
      <c r="D598">
        <v>195.75</v>
      </c>
      <c r="E598">
        <v>150</v>
      </c>
      <c r="F598">
        <v>276.25</v>
      </c>
      <c r="G598">
        <v>69.5</v>
      </c>
      <c r="H598">
        <v>36000</v>
      </c>
      <c r="I598" t="s">
        <v>23</v>
      </c>
    </row>
    <row r="599" spans="1:9" hidden="1" x14ac:dyDescent="0.25">
      <c r="A599">
        <v>20</v>
      </c>
      <c r="B599" t="s">
        <v>18</v>
      </c>
      <c r="C599">
        <v>2019</v>
      </c>
      <c r="D599">
        <v>276.25</v>
      </c>
      <c r="E599">
        <v>-40</v>
      </c>
      <c r="F599">
        <v>174.5</v>
      </c>
      <c r="G599">
        <v>61.75</v>
      </c>
      <c r="H599">
        <v>36000</v>
      </c>
      <c r="I599" t="s">
        <v>23</v>
      </c>
    </row>
    <row r="600" spans="1:9" hidden="1" x14ac:dyDescent="0.25">
      <c r="A600">
        <v>21</v>
      </c>
      <c r="B600" t="s">
        <v>18</v>
      </c>
      <c r="C600">
        <v>2019</v>
      </c>
      <c r="D600">
        <v>174.5</v>
      </c>
      <c r="E600">
        <v>20</v>
      </c>
      <c r="F600">
        <v>162.5</v>
      </c>
      <c r="G600">
        <v>32</v>
      </c>
      <c r="H600">
        <v>36000</v>
      </c>
      <c r="I600" t="s">
        <v>23</v>
      </c>
    </row>
    <row r="601" spans="1:9" hidden="1" x14ac:dyDescent="0.25">
      <c r="A601">
        <v>22</v>
      </c>
      <c r="B601" t="s">
        <v>18</v>
      </c>
      <c r="C601">
        <v>2019</v>
      </c>
      <c r="D601">
        <v>162.5</v>
      </c>
      <c r="E601" t="s">
        <v>9</v>
      </c>
      <c r="F601">
        <v>134</v>
      </c>
      <c r="G601">
        <v>28.5</v>
      </c>
      <c r="H601">
        <v>36000</v>
      </c>
      <c r="I601" t="s">
        <v>23</v>
      </c>
    </row>
    <row r="602" spans="1:9" hidden="1" x14ac:dyDescent="0.25">
      <c r="A602">
        <v>23</v>
      </c>
      <c r="B602" t="s">
        <v>18</v>
      </c>
      <c r="C602">
        <v>2019</v>
      </c>
      <c r="D602">
        <v>134</v>
      </c>
      <c r="E602">
        <v>150</v>
      </c>
      <c r="F602">
        <v>244</v>
      </c>
      <c r="G602">
        <v>40</v>
      </c>
      <c r="H602">
        <v>36000</v>
      </c>
      <c r="I602" t="s">
        <v>23</v>
      </c>
    </row>
    <row r="603" spans="1:9" hidden="1" x14ac:dyDescent="0.25">
      <c r="A603">
        <v>24</v>
      </c>
      <c r="B603" t="s">
        <v>18</v>
      </c>
      <c r="C603">
        <v>2019</v>
      </c>
      <c r="D603">
        <v>244</v>
      </c>
      <c r="E603">
        <v>20</v>
      </c>
      <c r="F603">
        <v>217</v>
      </c>
      <c r="G603">
        <v>47</v>
      </c>
      <c r="H603">
        <v>36000</v>
      </c>
      <c r="I603" t="s">
        <v>23</v>
      </c>
    </row>
    <row r="604" spans="1:9" hidden="1" x14ac:dyDescent="0.25">
      <c r="A604">
        <v>25</v>
      </c>
      <c r="B604" t="s">
        <v>18</v>
      </c>
      <c r="C604">
        <v>2019</v>
      </c>
      <c r="D604">
        <v>217</v>
      </c>
      <c r="E604" t="s">
        <v>9</v>
      </c>
      <c r="F604">
        <v>165</v>
      </c>
      <c r="G604">
        <v>52</v>
      </c>
      <c r="H604">
        <v>36000</v>
      </c>
      <c r="I604" t="s">
        <v>23</v>
      </c>
    </row>
    <row r="605" spans="1:9" hidden="1" x14ac:dyDescent="0.25">
      <c r="A605">
        <v>26</v>
      </c>
      <c r="B605" t="s">
        <v>18</v>
      </c>
      <c r="C605">
        <v>2019</v>
      </c>
      <c r="D605">
        <v>165</v>
      </c>
      <c r="E605">
        <v>52</v>
      </c>
      <c r="F605">
        <v>132</v>
      </c>
      <c r="G605">
        <v>85</v>
      </c>
      <c r="H605">
        <v>36000</v>
      </c>
      <c r="I605" t="s">
        <v>23</v>
      </c>
    </row>
    <row r="606" spans="1:9" hidden="1" x14ac:dyDescent="0.25">
      <c r="A606">
        <v>27</v>
      </c>
      <c r="B606" t="s">
        <v>18</v>
      </c>
      <c r="C606">
        <v>2019</v>
      </c>
      <c r="D606">
        <v>132</v>
      </c>
      <c r="E606">
        <v>150</v>
      </c>
      <c r="F606">
        <v>208.5</v>
      </c>
      <c r="G606">
        <v>73.5</v>
      </c>
      <c r="H606">
        <v>36000</v>
      </c>
      <c r="I606" t="s">
        <v>23</v>
      </c>
    </row>
    <row r="607" spans="1:9" hidden="1" x14ac:dyDescent="0.25">
      <c r="A607">
        <v>28</v>
      </c>
      <c r="B607" t="s">
        <v>18</v>
      </c>
      <c r="C607">
        <v>2019</v>
      </c>
      <c r="D607">
        <v>208.5</v>
      </c>
      <c r="E607">
        <v>84</v>
      </c>
      <c r="F607">
        <v>252.5</v>
      </c>
      <c r="G607">
        <v>40</v>
      </c>
      <c r="H607">
        <v>36000</v>
      </c>
      <c r="I607" t="s">
        <v>23</v>
      </c>
    </row>
    <row r="608" spans="1:9" hidden="1" x14ac:dyDescent="0.25">
      <c r="A608">
        <v>29</v>
      </c>
      <c r="B608" t="s">
        <v>18</v>
      </c>
      <c r="C608">
        <v>2019</v>
      </c>
      <c r="D608">
        <v>252.5</v>
      </c>
      <c r="E608" t="s">
        <v>9</v>
      </c>
      <c r="F608">
        <v>218.5</v>
      </c>
      <c r="G608">
        <v>34</v>
      </c>
      <c r="H608">
        <v>36000</v>
      </c>
      <c r="I608" t="s">
        <v>23</v>
      </c>
    </row>
    <row r="609" spans="1:9" hidden="1" x14ac:dyDescent="0.25">
      <c r="A609">
        <v>30</v>
      </c>
      <c r="B609" t="s">
        <v>18</v>
      </c>
      <c r="C609">
        <v>2019</v>
      </c>
      <c r="D609">
        <v>218.5</v>
      </c>
      <c r="E609">
        <v>120</v>
      </c>
      <c r="F609">
        <v>293.5</v>
      </c>
      <c r="G609">
        <v>45</v>
      </c>
      <c r="H609">
        <v>36000</v>
      </c>
      <c r="I609" t="s">
        <v>23</v>
      </c>
    </row>
    <row r="610" spans="1:9" hidden="1" x14ac:dyDescent="0.25">
      <c r="A610">
        <v>31</v>
      </c>
      <c r="B610" t="s">
        <v>18</v>
      </c>
      <c r="C610">
        <v>2019</v>
      </c>
      <c r="D610">
        <v>293.5</v>
      </c>
      <c r="E610" t="s">
        <v>9</v>
      </c>
      <c r="F610">
        <v>149.5</v>
      </c>
      <c r="G610">
        <v>144</v>
      </c>
      <c r="H610">
        <v>36000</v>
      </c>
      <c r="I610" t="s">
        <v>23</v>
      </c>
    </row>
    <row r="611" spans="1:9" x14ac:dyDescent="0.25">
      <c r="A611">
        <v>1</v>
      </c>
      <c r="B611" t="s">
        <v>19</v>
      </c>
      <c r="C611">
        <v>2019</v>
      </c>
      <c r="D611">
        <v>120</v>
      </c>
      <c r="E611" t="s">
        <v>9</v>
      </c>
      <c r="F611">
        <v>91.5</v>
      </c>
      <c r="G611">
        <v>28.5</v>
      </c>
      <c r="H611">
        <v>36000</v>
      </c>
      <c r="I611" t="s">
        <v>22</v>
      </c>
    </row>
    <row r="612" spans="1:9" x14ac:dyDescent="0.25">
      <c r="A612">
        <v>2</v>
      </c>
      <c r="B612" t="s">
        <v>19</v>
      </c>
      <c r="C612">
        <v>2019</v>
      </c>
      <c r="D612">
        <v>91.5</v>
      </c>
      <c r="E612" t="s">
        <v>9</v>
      </c>
      <c r="F612">
        <v>48.375</v>
      </c>
      <c r="G612">
        <v>43.125</v>
      </c>
      <c r="H612">
        <v>36000</v>
      </c>
      <c r="I612" t="s">
        <v>22</v>
      </c>
    </row>
    <row r="613" spans="1:9" x14ac:dyDescent="0.25">
      <c r="A613">
        <v>3</v>
      </c>
      <c r="B613" t="s">
        <v>19</v>
      </c>
      <c r="C613">
        <v>2019</v>
      </c>
      <c r="D613">
        <v>48.375</v>
      </c>
      <c r="E613">
        <v>40</v>
      </c>
      <c r="F613">
        <v>30</v>
      </c>
      <c r="G613">
        <v>58.375</v>
      </c>
      <c r="H613">
        <v>36000</v>
      </c>
      <c r="I613" t="s">
        <v>22</v>
      </c>
    </row>
    <row r="614" spans="1:9" x14ac:dyDescent="0.25">
      <c r="A614">
        <v>4</v>
      </c>
      <c r="B614" t="s">
        <v>19</v>
      </c>
      <c r="C614">
        <v>2019</v>
      </c>
      <c r="D614">
        <v>30</v>
      </c>
      <c r="E614">
        <v>30</v>
      </c>
      <c r="F614">
        <v>16.75</v>
      </c>
      <c r="G614">
        <v>43.25</v>
      </c>
      <c r="H614">
        <v>36000</v>
      </c>
      <c r="I614" t="s">
        <v>22</v>
      </c>
    </row>
    <row r="615" spans="1:9" x14ac:dyDescent="0.25">
      <c r="A615">
        <v>5</v>
      </c>
      <c r="B615" t="s">
        <v>19</v>
      </c>
      <c r="C615">
        <v>2019</v>
      </c>
      <c r="D615">
        <v>16.75</v>
      </c>
      <c r="E615">
        <v>44</v>
      </c>
      <c r="F615">
        <v>40</v>
      </c>
      <c r="G615">
        <v>20.75</v>
      </c>
      <c r="H615">
        <v>36000</v>
      </c>
      <c r="I615" t="s">
        <v>22</v>
      </c>
    </row>
    <row r="616" spans="1:9" x14ac:dyDescent="0.25">
      <c r="A616">
        <v>6</v>
      </c>
      <c r="B616" t="s">
        <v>19</v>
      </c>
      <c r="C616">
        <v>2019</v>
      </c>
      <c r="D616">
        <v>40</v>
      </c>
      <c r="E616" t="s">
        <v>9</v>
      </c>
      <c r="F616">
        <v>13</v>
      </c>
      <c r="G616">
        <v>27</v>
      </c>
      <c r="H616">
        <v>36000</v>
      </c>
      <c r="I616" t="s">
        <v>22</v>
      </c>
    </row>
    <row r="617" spans="1:9" x14ac:dyDescent="0.25">
      <c r="A617">
        <v>7</v>
      </c>
      <c r="B617" t="s">
        <v>19</v>
      </c>
      <c r="C617">
        <v>2019</v>
      </c>
      <c r="D617">
        <v>13</v>
      </c>
      <c r="E617">
        <v>27</v>
      </c>
      <c r="F617">
        <v>32.5</v>
      </c>
      <c r="G617">
        <v>7.5</v>
      </c>
      <c r="H617">
        <v>36000</v>
      </c>
      <c r="I617" t="s">
        <v>22</v>
      </c>
    </row>
    <row r="618" spans="1:9" x14ac:dyDescent="0.25">
      <c r="A618">
        <v>8</v>
      </c>
      <c r="B618" t="s">
        <v>19</v>
      </c>
      <c r="C618">
        <v>2019</v>
      </c>
      <c r="D618">
        <v>32.5</v>
      </c>
      <c r="E618">
        <v>8</v>
      </c>
      <c r="F618">
        <v>14</v>
      </c>
      <c r="G618">
        <v>26.5</v>
      </c>
      <c r="H618">
        <v>36000</v>
      </c>
      <c r="I618" t="s">
        <v>22</v>
      </c>
    </row>
    <row r="619" spans="1:9" x14ac:dyDescent="0.25">
      <c r="A619">
        <v>9</v>
      </c>
      <c r="B619" t="s">
        <v>19</v>
      </c>
      <c r="C619">
        <v>2019</v>
      </c>
      <c r="D619">
        <v>14</v>
      </c>
      <c r="E619">
        <v>46</v>
      </c>
      <c r="F619">
        <v>18</v>
      </c>
      <c r="G619">
        <v>42</v>
      </c>
      <c r="H619">
        <v>36000</v>
      </c>
      <c r="I619" t="s">
        <v>22</v>
      </c>
    </row>
    <row r="620" spans="1:9" x14ac:dyDescent="0.25">
      <c r="A620">
        <v>10</v>
      </c>
      <c r="B620" t="s">
        <v>19</v>
      </c>
      <c r="C620">
        <v>2019</v>
      </c>
      <c r="D620">
        <v>18</v>
      </c>
      <c r="E620">
        <v>52</v>
      </c>
      <c r="F620">
        <v>18</v>
      </c>
      <c r="G620">
        <v>52</v>
      </c>
      <c r="H620">
        <v>36000</v>
      </c>
      <c r="I620" t="s">
        <v>22</v>
      </c>
    </row>
    <row r="621" spans="1:9" x14ac:dyDescent="0.25">
      <c r="A621">
        <v>11</v>
      </c>
      <c r="B621" t="s">
        <v>19</v>
      </c>
      <c r="C621">
        <v>2019</v>
      </c>
      <c r="D621">
        <v>18</v>
      </c>
      <c r="E621">
        <v>42</v>
      </c>
      <c r="F621">
        <v>22</v>
      </c>
      <c r="G621">
        <v>38</v>
      </c>
      <c r="H621">
        <v>36000</v>
      </c>
      <c r="I621" t="s">
        <v>22</v>
      </c>
    </row>
    <row r="622" spans="1:9" x14ac:dyDescent="0.25">
      <c r="A622">
        <v>12</v>
      </c>
      <c r="B622" t="s">
        <v>19</v>
      </c>
      <c r="C622">
        <v>2019</v>
      </c>
      <c r="D622">
        <v>22</v>
      </c>
      <c r="E622">
        <v>8</v>
      </c>
      <c r="F622">
        <v>11.625</v>
      </c>
      <c r="G622">
        <v>18.375</v>
      </c>
      <c r="H622">
        <v>36000</v>
      </c>
      <c r="I622" t="s">
        <v>22</v>
      </c>
    </row>
    <row r="623" spans="1:9" x14ac:dyDescent="0.25">
      <c r="A623">
        <v>13</v>
      </c>
      <c r="B623" t="s">
        <v>19</v>
      </c>
      <c r="C623">
        <v>2019</v>
      </c>
      <c r="D623">
        <v>11.625</v>
      </c>
      <c r="E623">
        <v>19</v>
      </c>
      <c r="F623">
        <v>12</v>
      </c>
      <c r="G623">
        <v>18.625</v>
      </c>
      <c r="H623">
        <v>36000</v>
      </c>
      <c r="I623" t="s">
        <v>22</v>
      </c>
    </row>
    <row r="624" spans="1:9" x14ac:dyDescent="0.25">
      <c r="A624">
        <v>14</v>
      </c>
      <c r="B624" t="s">
        <v>19</v>
      </c>
      <c r="C624">
        <v>2019</v>
      </c>
      <c r="D624">
        <v>12</v>
      </c>
      <c r="E624">
        <v>88</v>
      </c>
      <c r="F624">
        <v>87</v>
      </c>
      <c r="G624">
        <v>13</v>
      </c>
      <c r="H624">
        <v>36000</v>
      </c>
      <c r="I624" t="s">
        <v>22</v>
      </c>
    </row>
    <row r="625" spans="1:9" x14ac:dyDescent="0.25">
      <c r="A625">
        <v>15</v>
      </c>
      <c r="B625" t="s">
        <v>19</v>
      </c>
      <c r="C625">
        <v>2019</v>
      </c>
      <c r="D625">
        <v>87</v>
      </c>
      <c r="E625" t="s">
        <v>9</v>
      </c>
      <c r="F625">
        <v>57.5</v>
      </c>
      <c r="G625">
        <v>29.5</v>
      </c>
      <c r="H625">
        <v>36000</v>
      </c>
      <c r="I625" t="s">
        <v>22</v>
      </c>
    </row>
    <row r="626" spans="1:9" x14ac:dyDescent="0.25">
      <c r="A626">
        <v>16</v>
      </c>
      <c r="B626" t="s">
        <v>19</v>
      </c>
      <c r="C626">
        <v>2019</v>
      </c>
      <c r="D626">
        <v>57.5</v>
      </c>
      <c r="E626">
        <v>30</v>
      </c>
      <c r="F626">
        <v>37.75</v>
      </c>
      <c r="G626">
        <v>49.75</v>
      </c>
      <c r="H626">
        <v>36000</v>
      </c>
      <c r="I626" t="s">
        <v>22</v>
      </c>
    </row>
    <row r="627" spans="1:9" x14ac:dyDescent="0.25">
      <c r="A627">
        <v>17</v>
      </c>
      <c r="B627" t="s">
        <v>19</v>
      </c>
      <c r="C627">
        <v>2019</v>
      </c>
      <c r="D627">
        <v>37.75</v>
      </c>
      <c r="E627">
        <v>100</v>
      </c>
      <c r="F627">
        <v>86</v>
      </c>
      <c r="G627">
        <v>51.75</v>
      </c>
      <c r="H627">
        <v>36000</v>
      </c>
      <c r="I627" t="s">
        <v>22</v>
      </c>
    </row>
    <row r="628" spans="1:9" x14ac:dyDescent="0.25">
      <c r="A628">
        <v>18</v>
      </c>
      <c r="B628" t="s">
        <v>19</v>
      </c>
      <c r="C628">
        <v>2019</v>
      </c>
      <c r="D628">
        <v>86</v>
      </c>
      <c r="E628" t="s">
        <v>9</v>
      </c>
      <c r="F628">
        <v>72.5</v>
      </c>
      <c r="G628">
        <v>13.5</v>
      </c>
      <c r="H628">
        <v>36000</v>
      </c>
      <c r="I628" t="s">
        <v>22</v>
      </c>
    </row>
    <row r="629" spans="1:9" x14ac:dyDescent="0.25">
      <c r="A629">
        <v>19</v>
      </c>
      <c r="B629" t="s">
        <v>19</v>
      </c>
      <c r="C629">
        <v>2019</v>
      </c>
      <c r="D629">
        <v>72.5</v>
      </c>
      <c r="E629" t="s">
        <v>9</v>
      </c>
      <c r="F629">
        <v>55.5</v>
      </c>
      <c r="G629">
        <v>17</v>
      </c>
      <c r="H629">
        <v>36000</v>
      </c>
      <c r="I629" t="s">
        <v>22</v>
      </c>
    </row>
    <row r="630" spans="1:9" x14ac:dyDescent="0.25">
      <c r="A630">
        <v>20</v>
      </c>
      <c r="B630" t="s">
        <v>19</v>
      </c>
      <c r="C630">
        <v>2019</v>
      </c>
      <c r="D630">
        <v>55.5</v>
      </c>
      <c r="E630">
        <v>100</v>
      </c>
      <c r="F630">
        <v>135.75</v>
      </c>
      <c r="G630">
        <v>19.75</v>
      </c>
      <c r="H630">
        <v>36000</v>
      </c>
      <c r="I630" t="s">
        <v>22</v>
      </c>
    </row>
    <row r="631" spans="1:9" x14ac:dyDescent="0.25">
      <c r="A631">
        <v>21</v>
      </c>
      <c r="B631" t="s">
        <v>19</v>
      </c>
      <c r="C631">
        <v>2019</v>
      </c>
      <c r="D631">
        <v>135.75</v>
      </c>
      <c r="E631" t="s">
        <v>9</v>
      </c>
      <c r="F631">
        <v>111</v>
      </c>
      <c r="G631">
        <v>24.75</v>
      </c>
      <c r="H631">
        <v>36000</v>
      </c>
      <c r="I631" t="s">
        <v>22</v>
      </c>
    </row>
    <row r="632" spans="1:9" x14ac:dyDescent="0.25">
      <c r="A632">
        <v>22</v>
      </c>
      <c r="B632" t="s">
        <v>19</v>
      </c>
      <c r="C632">
        <v>2019</v>
      </c>
      <c r="D632">
        <v>111</v>
      </c>
      <c r="E632" t="s">
        <v>9</v>
      </c>
      <c r="F632">
        <v>88.875</v>
      </c>
      <c r="G632">
        <v>22.125</v>
      </c>
      <c r="H632">
        <v>36000</v>
      </c>
      <c r="I632" t="s">
        <v>22</v>
      </c>
    </row>
    <row r="633" spans="1:9" x14ac:dyDescent="0.25">
      <c r="A633">
        <v>23</v>
      </c>
      <c r="B633" t="s">
        <v>19</v>
      </c>
      <c r="C633">
        <v>2019</v>
      </c>
      <c r="D633">
        <v>88.875</v>
      </c>
      <c r="E633" t="s">
        <v>9</v>
      </c>
      <c r="F633">
        <v>54.875</v>
      </c>
      <c r="G633">
        <v>34</v>
      </c>
      <c r="H633">
        <v>36000</v>
      </c>
      <c r="I633" t="s">
        <v>22</v>
      </c>
    </row>
    <row r="634" spans="1:9" x14ac:dyDescent="0.25">
      <c r="A634">
        <v>24</v>
      </c>
      <c r="B634" t="s">
        <v>19</v>
      </c>
      <c r="C634">
        <v>2019</v>
      </c>
      <c r="D634">
        <v>54.875</v>
      </c>
      <c r="E634">
        <v>70</v>
      </c>
      <c r="F634">
        <v>81</v>
      </c>
      <c r="G634">
        <v>43.875</v>
      </c>
      <c r="H634">
        <v>36000</v>
      </c>
      <c r="I634" t="s">
        <v>22</v>
      </c>
    </row>
    <row r="635" spans="1:9" x14ac:dyDescent="0.25">
      <c r="A635">
        <v>25</v>
      </c>
      <c r="B635" t="s">
        <v>19</v>
      </c>
      <c r="C635">
        <v>2019</v>
      </c>
      <c r="D635">
        <v>81</v>
      </c>
      <c r="E635" t="s">
        <v>9</v>
      </c>
      <c r="F635">
        <v>70.625</v>
      </c>
      <c r="G635">
        <v>10.375</v>
      </c>
      <c r="H635">
        <v>36000</v>
      </c>
      <c r="I635" t="s">
        <v>22</v>
      </c>
    </row>
    <row r="636" spans="1:9" x14ac:dyDescent="0.25">
      <c r="A636">
        <v>26</v>
      </c>
      <c r="B636" t="s">
        <v>19</v>
      </c>
      <c r="C636">
        <v>2019</v>
      </c>
      <c r="D636">
        <v>70.625</v>
      </c>
      <c r="E636" t="s">
        <v>9</v>
      </c>
      <c r="F636">
        <v>47</v>
      </c>
      <c r="G636">
        <v>23.625</v>
      </c>
      <c r="H636">
        <v>36000</v>
      </c>
      <c r="I636" t="s">
        <v>22</v>
      </c>
    </row>
    <row r="637" spans="1:9" x14ac:dyDescent="0.25">
      <c r="A637">
        <v>27</v>
      </c>
      <c r="B637" t="s">
        <v>19</v>
      </c>
      <c r="C637">
        <v>2019</v>
      </c>
      <c r="D637">
        <v>47</v>
      </c>
      <c r="E637" t="s">
        <v>9</v>
      </c>
      <c r="F637">
        <v>29</v>
      </c>
      <c r="G637">
        <v>18</v>
      </c>
      <c r="H637">
        <v>36000</v>
      </c>
      <c r="I637" t="s">
        <v>22</v>
      </c>
    </row>
    <row r="638" spans="1:9" x14ac:dyDescent="0.25">
      <c r="A638">
        <v>28</v>
      </c>
      <c r="B638" t="s">
        <v>19</v>
      </c>
      <c r="C638">
        <v>2019</v>
      </c>
      <c r="D638">
        <v>29</v>
      </c>
      <c r="E638">
        <v>100</v>
      </c>
      <c r="F638">
        <v>112</v>
      </c>
      <c r="G638">
        <v>17</v>
      </c>
      <c r="H638">
        <v>36000</v>
      </c>
      <c r="I638" t="s">
        <v>22</v>
      </c>
    </row>
    <row r="639" spans="1:9" x14ac:dyDescent="0.25">
      <c r="A639">
        <v>29</v>
      </c>
      <c r="B639" t="s">
        <v>19</v>
      </c>
      <c r="C639">
        <v>2019</v>
      </c>
      <c r="D639">
        <v>112</v>
      </c>
      <c r="E639" t="s">
        <v>9</v>
      </c>
      <c r="F639">
        <v>79.5</v>
      </c>
      <c r="G639">
        <v>32.5</v>
      </c>
      <c r="H639">
        <v>36000</v>
      </c>
      <c r="I639" t="s">
        <v>22</v>
      </c>
    </row>
    <row r="640" spans="1:9" x14ac:dyDescent="0.25">
      <c r="A640">
        <v>30</v>
      </c>
      <c r="B640" t="s">
        <v>19</v>
      </c>
      <c r="C640">
        <v>2019</v>
      </c>
      <c r="D640">
        <v>79.5</v>
      </c>
      <c r="E640" t="s">
        <v>9</v>
      </c>
      <c r="F640">
        <v>42.5</v>
      </c>
      <c r="G640">
        <v>37</v>
      </c>
      <c r="H640">
        <v>36000</v>
      </c>
      <c r="I640" t="s">
        <v>22</v>
      </c>
    </row>
    <row r="641" spans="1:9" hidden="1" x14ac:dyDescent="0.25">
      <c r="A641">
        <v>1</v>
      </c>
      <c r="B641" t="s">
        <v>19</v>
      </c>
      <c r="C641">
        <v>2019</v>
      </c>
      <c r="D641">
        <v>149.5</v>
      </c>
      <c r="E641" t="s">
        <v>9</v>
      </c>
      <c r="F641">
        <v>103.5</v>
      </c>
      <c r="G641">
        <v>46</v>
      </c>
      <c r="H641">
        <v>36000</v>
      </c>
      <c r="I641" t="s">
        <v>23</v>
      </c>
    </row>
    <row r="642" spans="1:9" hidden="1" x14ac:dyDescent="0.25">
      <c r="A642">
        <v>2</v>
      </c>
      <c r="B642" t="s">
        <v>19</v>
      </c>
      <c r="C642">
        <v>2019</v>
      </c>
      <c r="D642">
        <v>103.5</v>
      </c>
      <c r="E642">
        <v>150</v>
      </c>
      <c r="F642">
        <v>168.5</v>
      </c>
      <c r="G642">
        <v>85</v>
      </c>
      <c r="H642">
        <v>36000</v>
      </c>
      <c r="I642" t="s">
        <v>23</v>
      </c>
    </row>
    <row r="643" spans="1:9" hidden="1" x14ac:dyDescent="0.25">
      <c r="A643">
        <v>3</v>
      </c>
      <c r="B643" t="s">
        <v>19</v>
      </c>
      <c r="C643">
        <v>2019</v>
      </c>
      <c r="D643">
        <v>168.5</v>
      </c>
      <c r="E643">
        <v>60</v>
      </c>
      <c r="F643">
        <v>150.5</v>
      </c>
      <c r="G643">
        <v>78</v>
      </c>
      <c r="H643">
        <v>36000</v>
      </c>
      <c r="I643" t="s">
        <v>23</v>
      </c>
    </row>
    <row r="644" spans="1:9" hidden="1" x14ac:dyDescent="0.25">
      <c r="A644">
        <v>4</v>
      </c>
      <c r="B644" t="s">
        <v>19</v>
      </c>
      <c r="C644">
        <v>2019</v>
      </c>
      <c r="D644">
        <v>150.5</v>
      </c>
      <c r="E644">
        <v>70</v>
      </c>
      <c r="F644">
        <v>161.5</v>
      </c>
      <c r="G644">
        <v>59</v>
      </c>
      <c r="H644">
        <v>36000</v>
      </c>
      <c r="I644" t="s">
        <v>23</v>
      </c>
    </row>
    <row r="645" spans="1:9" hidden="1" x14ac:dyDescent="0.25">
      <c r="A645">
        <v>5</v>
      </c>
      <c r="B645" t="s">
        <v>19</v>
      </c>
      <c r="C645">
        <v>2019</v>
      </c>
      <c r="D645">
        <v>161.5</v>
      </c>
      <c r="E645">
        <v>56</v>
      </c>
      <c r="F645">
        <v>176.5</v>
      </c>
      <c r="G645">
        <v>41</v>
      </c>
      <c r="H645">
        <v>36000</v>
      </c>
      <c r="I645" t="s">
        <v>23</v>
      </c>
    </row>
    <row r="646" spans="1:9" hidden="1" x14ac:dyDescent="0.25">
      <c r="A646">
        <v>6</v>
      </c>
      <c r="B646" t="s">
        <v>19</v>
      </c>
      <c r="C646">
        <v>2019</v>
      </c>
      <c r="D646">
        <v>176.5</v>
      </c>
      <c r="E646">
        <v>101</v>
      </c>
      <c r="F646">
        <v>233.5</v>
      </c>
      <c r="G646">
        <v>44</v>
      </c>
      <c r="H646">
        <v>36000</v>
      </c>
      <c r="I646" t="s">
        <v>23</v>
      </c>
    </row>
    <row r="647" spans="1:9" hidden="1" x14ac:dyDescent="0.25">
      <c r="A647">
        <v>7</v>
      </c>
      <c r="B647" t="s">
        <v>19</v>
      </c>
      <c r="C647">
        <v>2019</v>
      </c>
      <c r="D647">
        <v>233.5</v>
      </c>
      <c r="E647">
        <v>-27</v>
      </c>
      <c r="F647">
        <v>163</v>
      </c>
      <c r="G647">
        <v>43.5</v>
      </c>
      <c r="H647">
        <v>36000</v>
      </c>
      <c r="I647" t="s">
        <v>23</v>
      </c>
    </row>
    <row r="648" spans="1:9" hidden="1" x14ac:dyDescent="0.25">
      <c r="A648">
        <v>8</v>
      </c>
      <c r="B648" t="s">
        <v>19</v>
      </c>
      <c r="C648">
        <v>2019</v>
      </c>
      <c r="D648">
        <v>163</v>
      </c>
      <c r="E648">
        <v>92</v>
      </c>
      <c r="F648">
        <v>192</v>
      </c>
      <c r="G648">
        <v>63</v>
      </c>
      <c r="H648">
        <v>36000</v>
      </c>
      <c r="I648" t="s">
        <v>23</v>
      </c>
    </row>
    <row r="649" spans="1:9" hidden="1" x14ac:dyDescent="0.25">
      <c r="A649">
        <v>9</v>
      </c>
      <c r="B649" t="s">
        <v>19</v>
      </c>
      <c r="C649">
        <v>2019</v>
      </c>
      <c r="D649">
        <v>192</v>
      </c>
      <c r="E649">
        <v>-46</v>
      </c>
      <c r="F649">
        <v>82</v>
      </c>
      <c r="G649">
        <v>64</v>
      </c>
      <c r="H649">
        <v>36000</v>
      </c>
      <c r="I649" t="s">
        <v>23</v>
      </c>
    </row>
    <row r="650" spans="1:9" hidden="1" x14ac:dyDescent="0.25">
      <c r="A650">
        <v>10</v>
      </c>
      <c r="B650" t="s">
        <v>19</v>
      </c>
      <c r="C650">
        <v>2019</v>
      </c>
      <c r="D650">
        <v>82</v>
      </c>
      <c r="E650">
        <v>48</v>
      </c>
      <c r="F650">
        <v>46</v>
      </c>
      <c r="G650">
        <v>84</v>
      </c>
      <c r="H650">
        <v>36000</v>
      </c>
      <c r="I650" t="s">
        <v>23</v>
      </c>
    </row>
    <row r="651" spans="1:9" hidden="1" x14ac:dyDescent="0.25">
      <c r="A651">
        <v>11</v>
      </c>
      <c r="B651" t="s">
        <v>19</v>
      </c>
      <c r="C651">
        <v>2019</v>
      </c>
      <c r="D651">
        <v>46</v>
      </c>
      <c r="E651">
        <v>58</v>
      </c>
      <c r="F651">
        <v>44</v>
      </c>
      <c r="G651">
        <v>60</v>
      </c>
      <c r="H651">
        <v>36000</v>
      </c>
      <c r="I651" t="s">
        <v>23</v>
      </c>
    </row>
    <row r="652" spans="1:9" hidden="1" x14ac:dyDescent="0.25">
      <c r="A652">
        <v>12</v>
      </c>
      <c r="B652" t="s">
        <v>19</v>
      </c>
      <c r="C652">
        <v>2019</v>
      </c>
      <c r="D652">
        <v>44</v>
      </c>
      <c r="E652">
        <v>142</v>
      </c>
      <c r="F652">
        <v>143.5</v>
      </c>
      <c r="G652">
        <v>42.5</v>
      </c>
      <c r="H652">
        <v>36000</v>
      </c>
      <c r="I652" t="s">
        <v>23</v>
      </c>
    </row>
    <row r="653" spans="1:9" hidden="1" x14ac:dyDescent="0.25">
      <c r="A653">
        <v>13</v>
      </c>
      <c r="B653" t="s">
        <v>19</v>
      </c>
      <c r="C653">
        <v>2019</v>
      </c>
      <c r="D653">
        <v>143.5</v>
      </c>
      <c r="E653">
        <v>123</v>
      </c>
      <c r="F653">
        <v>223</v>
      </c>
      <c r="G653">
        <v>43.5</v>
      </c>
      <c r="H653">
        <v>36000</v>
      </c>
      <c r="I653" t="s">
        <v>23</v>
      </c>
    </row>
    <row r="654" spans="1:9" hidden="1" x14ac:dyDescent="0.25">
      <c r="A654">
        <v>14</v>
      </c>
      <c r="B654" t="s">
        <v>19</v>
      </c>
      <c r="C654">
        <v>2019</v>
      </c>
      <c r="D654">
        <v>223</v>
      </c>
      <c r="E654">
        <v>-88</v>
      </c>
      <c r="F654">
        <v>94</v>
      </c>
      <c r="G654">
        <v>41</v>
      </c>
      <c r="H654">
        <v>36000</v>
      </c>
      <c r="I654" t="s">
        <v>23</v>
      </c>
    </row>
    <row r="655" spans="1:9" hidden="1" x14ac:dyDescent="0.25">
      <c r="A655">
        <v>15</v>
      </c>
      <c r="B655" t="s">
        <v>19</v>
      </c>
      <c r="C655">
        <v>2019</v>
      </c>
      <c r="D655">
        <v>94</v>
      </c>
      <c r="E655" t="s">
        <v>9</v>
      </c>
      <c r="F655">
        <v>35</v>
      </c>
      <c r="G655">
        <v>59</v>
      </c>
      <c r="H655">
        <v>36000</v>
      </c>
      <c r="I655" t="s">
        <v>23</v>
      </c>
    </row>
    <row r="656" spans="1:9" hidden="1" x14ac:dyDescent="0.25">
      <c r="A656">
        <v>16</v>
      </c>
      <c r="B656" t="s">
        <v>19</v>
      </c>
      <c r="C656">
        <v>2019</v>
      </c>
      <c r="D656">
        <v>35</v>
      </c>
      <c r="E656">
        <v>82</v>
      </c>
      <c r="F656">
        <v>42</v>
      </c>
      <c r="G656">
        <v>75</v>
      </c>
      <c r="H656">
        <v>36000</v>
      </c>
      <c r="I656" t="s">
        <v>23</v>
      </c>
    </row>
    <row r="657" spans="1:9" hidden="1" x14ac:dyDescent="0.25">
      <c r="A657">
        <v>17</v>
      </c>
      <c r="B657" t="s">
        <v>19</v>
      </c>
      <c r="C657">
        <v>2019</v>
      </c>
      <c r="D657">
        <v>42</v>
      </c>
      <c r="E657">
        <v>154</v>
      </c>
      <c r="F657">
        <v>126</v>
      </c>
      <c r="G657">
        <v>70</v>
      </c>
      <c r="H657">
        <v>36000</v>
      </c>
      <c r="I657" t="s">
        <v>23</v>
      </c>
    </row>
    <row r="658" spans="1:9" hidden="1" x14ac:dyDescent="0.25">
      <c r="A658">
        <v>18</v>
      </c>
      <c r="B658" t="s">
        <v>19</v>
      </c>
      <c r="C658">
        <v>2019</v>
      </c>
      <c r="D658">
        <v>126</v>
      </c>
      <c r="E658">
        <v>145</v>
      </c>
      <c r="F658">
        <v>235</v>
      </c>
      <c r="G658">
        <v>36</v>
      </c>
      <c r="H658">
        <v>36000</v>
      </c>
      <c r="I658" t="s">
        <v>23</v>
      </c>
    </row>
    <row r="659" spans="1:9" hidden="1" x14ac:dyDescent="0.25">
      <c r="A659">
        <v>19</v>
      </c>
      <c r="B659" t="s">
        <v>19</v>
      </c>
      <c r="C659">
        <v>2019</v>
      </c>
      <c r="D659">
        <v>235</v>
      </c>
      <c r="E659" t="s">
        <v>9</v>
      </c>
      <c r="F659">
        <v>197.5</v>
      </c>
      <c r="G659">
        <v>37.5</v>
      </c>
      <c r="H659">
        <v>36000</v>
      </c>
      <c r="I659" t="s">
        <v>23</v>
      </c>
    </row>
    <row r="660" spans="1:9" hidden="1" x14ac:dyDescent="0.25">
      <c r="A660">
        <v>20</v>
      </c>
      <c r="B660" t="s">
        <v>19</v>
      </c>
      <c r="C660">
        <v>2019</v>
      </c>
      <c r="D660">
        <v>197.5</v>
      </c>
      <c r="E660" t="s">
        <v>9</v>
      </c>
      <c r="F660">
        <v>156.375</v>
      </c>
      <c r="G660">
        <v>41.125</v>
      </c>
      <c r="H660">
        <v>36000</v>
      </c>
      <c r="I660" t="s">
        <v>23</v>
      </c>
    </row>
    <row r="661" spans="1:9" hidden="1" x14ac:dyDescent="0.25">
      <c r="A661">
        <v>21</v>
      </c>
      <c r="B661" t="s">
        <v>19</v>
      </c>
      <c r="C661">
        <v>2019</v>
      </c>
      <c r="D661">
        <v>156.375</v>
      </c>
      <c r="E661">
        <v>210</v>
      </c>
      <c r="F661">
        <v>331</v>
      </c>
      <c r="G661">
        <v>35.375</v>
      </c>
      <c r="H661">
        <v>36000</v>
      </c>
      <c r="I661" t="s">
        <v>23</v>
      </c>
    </row>
    <row r="662" spans="1:9" hidden="1" x14ac:dyDescent="0.25">
      <c r="A662">
        <v>22</v>
      </c>
      <c r="B662" t="s">
        <v>19</v>
      </c>
      <c r="C662">
        <v>2019</v>
      </c>
      <c r="D662">
        <v>331</v>
      </c>
      <c r="E662" t="s">
        <v>9</v>
      </c>
      <c r="F662">
        <v>272</v>
      </c>
      <c r="G662">
        <v>59</v>
      </c>
      <c r="H662">
        <v>36000</v>
      </c>
      <c r="I662" t="s">
        <v>23</v>
      </c>
    </row>
    <row r="663" spans="1:9" hidden="1" x14ac:dyDescent="0.25">
      <c r="A663">
        <v>23</v>
      </c>
      <c r="B663" t="s">
        <v>19</v>
      </c>
      <c r="C663">
        <v>2019</v>
      </c>
      <c r="D663">
        <v>272</v>
      </c>
      <c r="E663" t="s">
        <v>9</v>
      </c>
      <c r="F663">
        <v>199</v>
      </c>
      <c r="G663">
        <v>73</v>
      </c>
      <c r="H663">
        <v>36000</v>
      </c>
      <c r="I663" t="s">
        <v>23</v>
      </c>
    </row>
    <row r="664" spans="1:9" hidden="1" x14ac:dyDescent="0.25">
      <c r="A664">
        <v>24</v>
      </c>
      <c r="B664" t="s">
        <v>19</v>
      </c>
      <c r="C664">
        <v>2019</v>
      </c>
      <c r="D664">
        <v>199</v>
      </c>
      <c r="E664">
        <v>80</v>
      </c>
      <c r="F664">
        <v>210.5</v>
      </c>
      <c r="G664">
        <v>68.5</v>
      </c>
      <c r="H664">
        <v>36000</v>
      </c>
      <c r="I664" t="s">
        <v>23</v>
      </c>
    </row>
    <row r="665" spans="1:9" hidden="1" x14ac:dyDescent="0.25">
      <c r="A665">
        <v>25</v>
      </c>
      <c r="B665" t="s">
        <v>19</v>
      </c>
      <c r="C665">
        <v>2019</v>
      </c>
      <c r="D665">
        <v>210.5</v>
      </c>
      <c r="E665" t="s">
        <v>9</v>
      </c>
      <c r="F665">
        <v>165.5</v>
      </c>
      <c r="G665">
        <v>45</v>
      </c>
      <c r="H665">
        <v>36000</v>
      </c>
      <c r="I665" t="s">
        <v>23</v>
      </c>
    </row>
    <row r="666" spans="1:9" hidden="1" x14ac:dyDescent="0.25">
      <c r="A666">
        <v>26</v>
      </c>
      <c r="B666" t="s">
        <v>19</v>
      </c>
      <c r="C666">
        <v>2019</v>
      </c>
      <c r="D666">
        <v>165.5</v>
      </c>
      <c r="E666" t="s">
        <v>9</v>
      </c>
      <c r="F666">
        <v>114</v>
      </c>
      <c r="G666">
        <v>51.5</v>
      </c>
      <c r="H666">
        <v>36000</v>
      </c>
      <c r="I666" t="s">
        <v>23</v>
      </c>
    </row>
    <row r="667" spans="1:9" hidden="1" x14ac:dyDescent="0.25">
      <c r="A667">
        <v>27</v>
      </c>
      <c r="B667" t="s">
        <v>19</v>
      </c>
      <c r="C667">
        <v>2019</v>
      </c>
      <c r="D667">
        <v>114</v>
      </c>
      <c r="E667">
        <v>150</v>
      </c>
      <c r="F667">
        <v>220</v>
      </c>
      <c r="G667">
        <v>44</v>
      </c>
      <c r="H667">
        <v>36000</v>
      </c>
      <c r="I667" t="s">
        <v>23</v>
      </c>
    </row>
    <row r="668" spans="1:9" hidden="1" x14ac:dyDescent="0.25">
      <c r="A668">
        <v>28</v>
      </c>
      <c r="B668" t="s">
        <v>19</v>
      </c>
      <c r="C668">
        <v>2019</v>
      </c>
      <c r="D668">
        <v>220</v>
      </c>
      <c r="E668">
        <v>-100</v>
      </c>
      <c r="F668">
        <v>71</v>
      </c>
      <c r="G668">
        <v>49</v>
      </c>
      <c r="H668">
        <v>36000</v>
      </c>
      <c r="I668" t="s">
        <v>23</v>
      </c>
    </row>
    <row r="669" spans="1:9" hidden="1" x14ac:dyDescent="0.25">
      <c r="A669">
        <v>29</v>
      </c>
      <c r="B669" t="s">
        <v>19</v>
      </c>
      <c r="C669">
        <v>2019</v>
      </c>
      <c r="D669">
        <v>71</v>
      </c>
      <c r="E669">
        <v>150</v>
      </c>
      <c r="F669">
        <v>119.5</v>
      </c>
      <c r="G669">
        <v>101.5</v>
      </c>
      <c r="H669">
        <v>36000</v>
      </c>
      <c r="I669" t="s">
        <v>23</v>
      </c>
    </row>
    <row r="670" spans="1:9" hidden="1" x14ac:dyDescent="0.25">
      <c r="A670">
        <v>30</v>
      </c>
      <c r="B670" t="s">
        <v>19</v>
      </c>
      <c r="C670">
        <v>2019</v>
      </c>
      <c r="D670">
        <v>119.5</v>
      </c>
      <c r="E670">
        <v>100</v>
      </c>
      <c r="F670">
        <v>127.5</v>
      </c>
      <c r="G670">
        <v>92</v>
      </c>
      <c r="H670">
        <v>36000</v>
      </c>
      <c r="I670" t="s">
        <v>23</v>
      </c>
    </row>
    <row r="671" spans="1:9" x14ac:dyDescent="0.25">
      <c r="A671">
        <v>1</v>
      </c>
      <c r="B671" t="s">
        <v>20</v>
      </c>
      <c r="C671">
        <v>2019</v>
      </c>
      <c r="D671">
        <v>42.5</v>
      </c>
      <c r="E671">
        <v>20</v>
      </c>
      <c r="F671">
        <v>11.375</v>
      </c>
      <c r="G671">
        <v>51.125</v>
      </c>
      <c r="H671">
        <v>36000</v>
      </c>
      <c r="I671" t="s">
        <v>22</v>
      </c>
    </row>
    <row r="672" spans="1:9" x14ac:dyDescent="0.25">
      <c r="A672">
        <v>2</v>
      </c>
      <c r="B672" t="s">
        <v>20</v>
      </c>
      <c r="C672">
        <v>2019</v>
      </c>
      <c r="D672">
        <v>11.375</v>
      </c>
      <c r="E672">
        <v>100</v>
      </c>
      <c r="F672">
        <v>94.375</v>
      </c>
      <c r="G672">
        <v>17</v>
      </c>
      <c r="H672">
        <v>36000</v>
      </c>
      <c r="I672" t="s">
        <v>22</v>
      </c>
    </row>
    <row r="673" spans="1:9" x14ac:dyDescent="0.25">
      <c r="A673">
        <v>3</v>
      </c>
      <c r="B673" t="s">
        <v>20</v>
      </c>
      <c r="C673">
        <v>2019</v>
      </c>
      <c r="D673">
        <v>94.375</v>
      </c>
      <c r="E673" t="s">
        <v>9</v>
      </c>
      <c r="F673">
        <v>75</v>
      </c>
      <c r="G673">
        <v>19.375</v>
      </c>
      <c r="H673">
        <v>36000</v>
      </c>
      <c r="I673" t="s">
        <v>22</v>
      </c>
    </row>
    <row r="674" spans="1:9" x14ac:dyDescent="0.25">
      <c r="A674">
        <v>4</v>
      </c>
      <c r="B674" t="s">
        <v>20</v>
      </c>
      <c r="C674">
        <v>2019</v>
      </c>
      <c r="D674">
        <v>75</v>
      </c>
      <c r="E674" t="s">
        <v>9</v>
      </c>
      <c r="F674">
        <v>45.25</v>
      </c>
      <c r="G674">
        <v>29.75</v>
      </c>
      <c r="H674">
        <v>36000</v>
      </c>
      <c r="I674" t="s">
        <v>22</v>
      </c>
    </row>
    <row r="675" spans="1:9" x14ac:dyDescent="0.25">
      <c r="A675">
        <v>5</v>
      </c>
      <c r="B675" t="s">
        <v>20</v>
      </c>
      <c r="C675">
        <v>2019</v>
      </c>
      <c r="D675">
        <v>45.25</v>
      </c>
      <c r="E675">
        <v>150</v>
      </c>
      <c r="F675">
        <v>175.25</v>
      </c>
      <c r="G675">
        <v>20</v>
      </c>
      <c r="H675">
        <v>36000</v>
      </c>
      <c r="I675" t="s">
        <v>22</v>
      </c>
    </row>
    <row r="676" spans="1:9" x14ac:dyDescent="0.25">
      <c r="A676">
        <v>6</v>
      </c>
      <c r="B676" t="s">
        <v>20</v>
      </c>
      <c r="C676">
        <v>2019</v>
      </c>
      <c r="D676">
        <v>175.25</v>
      </c>
      <c r="E676" t="s">
        <v>9</v>
      </c>
      <c r="F676">
        <v>151.75</v>
      </c>
      <c r="G676">
        <v>23.5</v>
      </c>
      <c r="H676">
        <v>36000</v>
      </c>
      <c r="I676" t="s">
        <v>22</v>
      </c>
    </row>
    <row r="677" spans="1:9" x14ac:dyDescent="0.25">
      <c r="A677">
        <v>7</v>
      </c>
      <c r="B677" t="s">
        <v>20</v>
      </c>
      <c r="C677">
        <v>2019</v>
      </c>
      <c r="D677">
        <v>151.75</v>
      </c>
      <c r="E677" t="s">
        <v>9</v>
      </c>
      <c r="F677">
        <v>125.5</v>
      </c>
      <c r="G677">
        <v>26.25</v>
      </c>
      <c r="H677">
        <v>36000</v>
      </c>
      <c r="I677" t="s">
        <v>22</v>
      </c>
    </row>
    <row r="678" spans="1:9" x14ac:dyDescent="0.25">
      <c r="A678">
        <v>8</v>
      </c>
      <c r="B678" t="s">
        <v>20</v>
      </c>
      <c r="C678">
        <v>2019</v>
      </c>
      <c r="D678">
        <v>125.5</v>
      </c>
      <c r="E678" t="s">
        <v>9</v>
      </c>
      <c r="F678">
        <v>76</v>
      </c>
      <c r="G678">
        <v>49.5</v>
      </c>
      <c r="H678">
        <v>36000</v>
      </c>
      <c r="I678" t="s">
        <v>22</v>
      </c>
    </row>
    <row r="679" spans="1:9" x14ac:dyDescent="0.25">
      <c r="A679">
        <v>9</v>
      </c>
      <c r="B679" t="s">
        <v>20</v>
      </c>
      <c r="C679">
        <v>2019</v>
      </c>
      <c r="D679">
        <v>76</v>
      </c>
      <c r="E679">
        <v>30</v>
      </c>
      <c r="F679">
        <v>87.75</v>
      </c>
      <c r="G679">
        <v>18.25</v>
      </c>
      <c r="H679">
        <v>36000</v>
      </c>
      <c r="I679" t="s">
        <v>22</v>
      </c>
    </row>
    <row r="680" spans="1:9" x14ac:dyDescent="0.25">
      <c r="A680">
        <v>10</v>
      </c>
      <c r="B680" t="s">
        <v>20</v>
      </c>
      <c r="C680">
        <v>2019</v>
      </c>
      <c r="D680">
        <v>87.75</v>
      </c>
      <c r="E680" t="s">
        <v>9</v>
      </c>
      <c r="F680">
        <v>60</v>
      </c>
      <c r="G680">
        <v>27.75</v>
      </c>
      <c r="H680">
        <v>36000</v>
      </c>
      <c r="I680" t="s">
        <v>22</v>
      </c>
    </row>
    <row r="681" spans="1:9" x14ac:dyDescent="0.25">
      <c r="A681">
        <v>11</v>
      </c>
      <c r="B681" t="s">
        <v>20</v>
      </c>
      <c r="C681">
        <v>2019</v>
      </c>
      <c r="D681">
        <v>60</v>
      </c>
      <c r="E681" t="s">
        <v>9</v>
      </c>
      <c r="F681">
        <v>20</v>
      </c>
      <c r="G681">
        <v>40</v>
      </c>
      <c r="H681">
        <v>36000</v>
      </c>
      <c r="I681" t="s">
        <v>22</v>
      </c>
    </row>
    <row r="682" spans="1:9" x14ac:dyDescent="0.25">
      <c r="A682">
        <v>12</v>
      </c>
      <c r="B682" t="s">
        <v>20</v>
      </c>
      <c r="C682">
        <v>2019</v>
      </c>
      <c r="D682">
        <v>20</v>
      </c>
      <c r="E682">
        <v>50</v>
      </c>
      <c r="F682">
        <v>53</v>
      </c>
      <c r="G682">
        <v>17</v>
      </c>
      <c r="H682">
        <v>36000</v>
      </c>
      <c r="I682" t="s">
        <v>22</v>
      </c>
    </row>
    <row r="683" spans="1:9" x14ac:dyDescent="0.25">
      <c r="A683">
        <v>13</v>
      </c>
      <c r="B683" t="s">
        <v>20</v>
      </c>
      <c r="C683">
        <v>2019</v>
      </c>
      <c r="D683">
        <v>53</v>
      </c>
      <c r="E683" t="s">
        <v>9</v>
      </c>
      <c r="F683">
        <v>15</v>
      </c>
      <c r="G683">
        <v>38</v>
      </c>
      <c r="H683">
        <v>36000</v>
      </c>
      <c r="I683" t="s">
        <v>22</v>
      </c>
    </row>
    <row r="684" spans="1:9" x14ac:dyDescent="0.25">
      <c r="A684">
        <v>14</v>
      </c>
      <c r="B684" t="s">
        <v>20</v>
      </c>
      <c r="C684">
        <v>2019</v>
      </c>
      <c r="D684">
        <v>15</v>
      </c>
      <c r="E684">
        <v>120</v>
      </c>
      <c r="F684">
        <v>80.5</v>
      </c>
      <c r="G684">
        <v>54.5</v>
      </c>
      <c r="H684">
        <v>36000</v>
      </c>
      <c r="I684" t="s">
        <v>22</v>
      </c>
    </row>
    <row r="685" spans="1:9" x14ac:dyDescent="0.25">
      <c r="A685">
        <v>15</v>
      </c>
      <c r="B685" t="s">
        <v>20</v>
      </c>
      <c r="C685">
        <v>2019</v>
      </c>
      <c r="D685">
        <v>80.5</v>
      </c>
      <c r="E685" t="s">
        <v>9</v>
      </c>
      <c r="F685">
        <v>30</v>
      </c>
      <c r="G685">
        <v>50.5</v>
      </c>
      <c r="H685">
        <v>36000</v>
      </c>
      <c r="I685" t="s">
        <v>22</v>
      </c>
    </row>
    <row r="686" spans="1:9" x14ac:dyDescent="0.25">
      <c r="A686">
        <v>16</v>
      </c>
      <c r="B686" t="s">
        <v>20</v>
      </c>
      <c r="C686">
        <v>2019</v>
      </c>
      <c r="D686">
        <v>30</v>
      </c>
      <c r="E686">
        <v>120</v>
      </c>
      <c r="F686">
        <v>135.25</v>
      </c>
      <c r="G686">
        <v>14.75</v>
      </c>
      <c r="H686">
        <v>36000</v>
      </c>
      <c r="I686" t="s">
        <v>22</v>
      </c>
    </row>
    <row r="687" spans="1:9" x14ac:dyDescent="0.25">
      <c r="A687">
        <v>17</v>
      </c>
      <c r="B687" t="s">
        <v>20</v>
      </c>
      <c r="C687">
        <v>2019</v>
      </c>
      <c r="D687">
        <v>135.25</v>
      </c>
      <c r="E687" t="s">
        <v>9</v>
      </c>
      <c r="F687">
        <v>107.25</v>
      </c>
      <c r="G687">
        <v>28</v>
      </c>
      <c r="H687">
        <v>36000</v>
      </c>
      <c r="I687" t="s">
        <v>22</v>
      </c>
    </row>
    <row r="688" spans="1:9" x14ac:dyDescent="0.25">
      <c r="A688">
        <v>18</v>
      </c>
      <c r="B688" t="s">
        <v>20</v>
      </c>
      <c r="C688">
        <v>2019</v>
      </c>
      <c r="D688">
        <v>107.25</v>
      </c>
      <c r="E688" t="s">
        <v>9</v>
      </c>
      <c r="F688">
        <v>73.5</v>
      </c>
      <c r="G688">
        <v>33.75</v>
      </c>
      <c r="H688">
        <v>36000</v>
      </c>
      <c r="I688" t="s">
        <v>22</v>
      </c>
    </row>
    <row r="689" spans="1:9" x14ac:dyDescent="0.25">
      <c r="A689">
        <v>19</v>
      </c>
      <c r="B689" t="s">
        <v>20</v>
      </c>
      <c r="C689">
        <v>2019</v>
      </c>
      <c r="D689">
        <v>73.5</v>
      </c>
      <c r="E689">
        <v>120</v>
      </c>
      <c r="F689">
        <v>169</v>
      </c>
      <c r="G689">
        <v>24.5</v>
      </c>
      <c r="H689">
        <v>36000</v>
      </c>
      <c r="I689" t="s">
        <v>22</v>
      </c>
    </row>
    <row r="690" spans="1:9" x14ac:dyDescent="0.25">
      <c r="A690">
        <v>20</v>
      </c>
      <c r="B690" t="s">
        <v>20</v>
      </c>
      <c r="C690">
        <v>2019</v>
      </c>
      <c r="D690">
        <v>169</v>
      </c>
      <c r="E690" t="s">
        <v>9</v>
      </c>
      <c r="F690">
        <v>131.25</v>
      </c>
      <c r="G690">
        <v>37.75</v>
      </c>
      <c r="H690">
        <v>36000</v>
      </c>
      <c r="I690" t="s">
        <v>22</v>
      </c>
    </row>
    <row r="691" spans="1:9" x14ac:dyDescent="0.25">
      <c r="A691">
        <v>21</v>
      </c>
      <c r="B691" t="s">
        <v>20</v>
      </c>
      <c r="C691">
        <v>2019</v>
      </c>
      <c r="D691">
        <v>131.25</v>
      </c>
      <c r="E691" t="s">
        <v>9</v>
      </c>
      <c r="F691">
        <v>87.5</v>
      </c>
      <c r="G691">
        <v>43.75</v>
      </c>
      <c r="H691">
        <v>36000</v>
      </c>
      <c r="I691" t="s">
        <v>22</v>
      </c>
    </row>
    <row r="692" spans="1:9" x14ac:dyDescent="0.25">
      <c r="A692">
        <v>22</v>
      </c>
      <c r="B692" t="s">
        <v>20</v>
      </c>
      <c r="C692">
        <v>2019</v>
      </c>
      <c r="D692">
        <v>87.5</v>
      </c>
      <c r="E692" t="s">
        <v>9</v>
      </c>
      <c r="F692">
        <v>41.5</v>
      </c>
      <c r="G692">
        <v>46</v>
      </c>
      <c r="H692">
        <v>36000</v>
      </c>
      <c r="I692" t="s">
        <v>22</v>
      </c>
    </row>
    <row r="693" spans="1:9" x14ac:dyDescent="0.25">
      <c r="A693">
        <v>23</v>
      </c>
      <c r="B693" t="s">
        <v>20</v>
      </c>
      <c r="C693">
        <v>2019</v>
      </c>
      <c r="D693">
        <v>41.5</v>
      </c>
      <c r="E693">
        <v>100</v>
      </c>
      <c r="F693">
        <v>109.75</v>
      </c>
      <c r="G693">
        <v>31.75</v>
      </c>
      <c r="H693">
        <v>36000</v>
      </c>
      <c r="I693" t="s">
        <v>22</v>
      </c>
    </row>
    <row r="694" spans="1:9" x14ac:dyDescent="0.25">
      <c r="A694">
        <v>24</v>
      </c>
      <c r="B694" t="s">
        <v>20</v>
      </c>
      <c r="C694">
        <v>2019</v>
      </c>
      <c r="D694">
        <v>109.75</v>
      </c>
      <c r="E694" t="s">
        <v>9</v>
      </c>
      <c r="F694">
        <v>97.75</v>
      </c>
      <c r="G694">
        <v>12</v>
      </c>
      <c r="H694">
        <v>36000</v>
      </c>
      <c r="I694" t="s">
        <v>22</v>
      </c>
    </row>
    <row r="695" spans="1:9" x14ac:dyDescent="0.25">
      <c r="A695">
        <v>25</v>
      </c>
      <c r="B695" t="s">
        <v>20</v>
      </c>
      <c r="C695">
        <v>2019</v>
      </c>
      <c r="D695">
        <v>97.75</v>
      </c>
      <c r="E695" t="s">
        <v>9</v>
      </c>
      <c r="F695">
        <v>33</v>
      </c>
      <c r="G695">
        <v>64.75</v>
      </c>
      <c r="H695">
        <v>36000</v>
      </c>
      <c r="I695" t="s">
        <v>22</v>
      </c>
    </row>
    <row r="696" spans="1:9" x14ac:dyDescent="0.25">
      <c r="A696">
        <v>26</v>
      </c>
      <c r="B696" t="s">
        <v>20</v>
      </c>
      <c r="C696">
        <v>2019</v>
      </c>
      <c r="D696">
        <v>33</v>
      </c>
      <c r="E696">
        <v>120</v>
      </c>
      <c r="F696">
        <v>106.5</v>
      </c>
      <c r="G696">
        <v>46.5</v>
      </c>
      <c r="H696">
        <v>36000</v>
      </c>
      <c r="I696" t="s">
        <v>22</v>
      </c>
    </row>
    <row r="697" spans="1:9" x14ac:dyDescent="0.25">
      <c r="A697">
        <v>27</v>
      </c>
      <c r="B697" t="s">
        <v>20</v>
      </c>
      <c r="C697">
        <v>2019</v>
      </c>
      <c r="D697">
        <v>106.5</v>
      </c>
      <c r="E697" t="s">
        <v>9</v>
      </c>
      <c r="F697">
        <v>67.5</v>
      </c>
      <c r="G697">
        <v>39</v>
      </c>
      <c r="H697">
        <v>36000</v>
      </c>
      <c r="I697" t="s">
        <v>22</v>
      </c>
    </row>
    <row r="698" spans="1:9" x14ac:dyDescent="0.25">
      <c r="A698">
        <v>28</v>
      </c>
      <c r="B698" t="s">
        <v>20</v>
      </c>
      <c r="C698">
        <v>2019</v>
      </c>
      <c r="D698">
        <v>67.5</v>
      </c>
      <c r="E698" t="s">
        <v>9</v>
      </c>
      <c r="F698">
        <v>23.75</v>
      </c>
      <c r="G698">
        <v>43.75</v>
      </c>
      <c r="H698">
        <v>36000</v>
      </c>
      <c r="I698" t="s">
        <v>22</v>
      </c>
    </row>
    <row r="699" spans="1:9" x14ac:dyDescent="0.25">
      <c r="A699">
        <v>29</v>
      </c>
      <c r="B699" t="s">
        <v>20</v>
      </c>
      <c r="C699">
        <v>2019</v>
      </c>
      <c r="D699">
        <v>23.75</v>
      </c>
      <c r="E699">
        <v>150</v>
      </c>
      <c r="F699">
        <v>116.875</v>
      </c>
      <c r="G699">
        <v>56.875</v>
      </c>
      <c r="H699">
        <v>36000</v>
      </c>
      <c r="I699" t="s">
        <v>22</v>
      </c>
    </row>
    <row r="700" spans="1:9" x14ac:dyDescent="0.25">
      <c r="A700">
        <v>30</v>
      </c>
      <c r="B700" t="s">
        <v>20</v>
      </c>
      <c r="C700">
        <v>2019</v>
      </c>
      <c r="D700">
        <v>116.875</v>
      </c>
      <c r="E700" t="s">
        <v>9</v>
      </c>
      <c r="F700">
        <v>70</v>
      </c>
      <c r="G700">
        <v>46.875</v>
      </c>
      <c r="H700">
        <v>36000</v>
      </c>
      <c r="I700" t="s">
        <v>22</v>
      </c>
    </row>
    <row r="701" spans="1:9" x14ac:dyDescent="0.25">
      <c r="A701">
        <v>31</v>
      </c>
      <c r="B701" t="s">
        <v>20</v>
      </c>
      <c r="C701">
        <v>2019</v>
      </c>
      <c r="D701">
        <v>70</v>
      </c>
      <c r="E701" t="s">
        <v>9</v>
      </c>
      <c r="F701">
        <v>70</v>
      </c>
      <c r="G701">
        <v>0</v>
      </c>
      <c r="H701">
        <v>36000</v>
      </c>
      <c r="I701" t="s">
        <v>22</v>
      </c>
    </row>
    <row r="702" spans="1:9" hidden="1" x14ac:dyDescent="0.25">
      <c r="A702">
        <v>1</v>
      </c>
      <c r="B702" t="s">
        <v>20</v>
      </c>
      <c r="C702">
        <v>2019</v>
      </c>
      <c r="D702">
        <v>127.5</v>
      </c>
      <c r="E702">
        <v>60</v>
      </c>
      <c r="F702">
        <v>99.5</v>
      </c>
      <c r="G702">
        <v>88</v>
      </c>
      <c r="H702">
        <v>36000</v>
      </c>
      <c r="I702" t="s">
        <v>23</v>
      </c>
    </row>
    <row r="703" spans="1:9" hidden="1" x14ac:dyDescent="0.25">
      <c r="A703">
        <v>2</v>
      </c>
      <c r="B703" t="s">
        <v>20</v>
      </c>
      <c r="C703">
        <v>2019</v>
      </c>
      <c r="D703">
        <v>99.5</v>
      </c>
      <c r="E703">
        <v>20</v>
      </c>
      <c r="F703">
        <v>58.5</v>
      </c>
      <c r="G703">
        <v>61</v>
      </c>
      <c r="H703">
        <v>36000</v>
      </c>
      <c r="I703" t="s">
        <v>23</v>
      </c>
    </row>
    <row r="704" spans="1:9" hidden="1" x14ac:dyDescent="0.25">
      <c r="A704">
        <v>3</v>
      </c>
      <c r="B704" t="s">
        <v>20</v>
      </c>
      <c r="C704">
        <v>2019</v>
      </c>
      <c r="D704">
        <v>58.5</v>
      </c>
      <c r="E704">
        <v>300</v>
      </c>
      <c r="F704">
        <v>304</v>
      </c>
      <c r="G704">
        <v>54.5</v>
      </c>
      <c r="H704">
        <v>36000</v>
      </c>
      <c r="I704" t="s">
        <v>23</v>
      </c>
    </row>
    <row r="705" spans="1:9" hidden="1" x14ac:dyDescent="0.25">
      <c r="A705">
        <v>4</v>
      </c>
      <c r="B705" t="s">
        <v>20</v>
      </c>
      <c r="C705">
        <v>2019</v>
      </c>
      <c r="D705">
        <v>304</v>
      </c>
      <c r="E705" t="s">
        <v>9</v>
      </c>
      <c r="F705">
        <v>249.875</v>
      </c>
      <c r="G705">
        <v>54.125</v>
      </c>
      <c r="H705">
        <v>36000</v>
      </c>
      <c r="I705" t="s">
        <v>23</v>
      </c>
    </row>
    <row r="706" spans="1:9" hidden="1" x14ac:dyDescent="0.25">
      <c r="A706">
        <v>5</v>
      </c>
      <c r="B706" t="s">
        <v>20</v>
      </c>
      <c r="C706">
        <v>2019</v>
      </c>
      <c r="D706">
        <v>249.875</v>
      </c>
      <c r="E706">
        <v>-150</v>
      </c>
      <c r="F706">
        <v>30.875</v>
      </c>
      <c r="G706">
        <v>69</v>
      </c>
      <c r="H706">
        <v>36000</v>
      </c>
      <c r="I706" t="s">
        <v>23</v>
      </c>
    </row>
    <row r="707" spans="1:9" hidden="1" x14ac:dyDescent="0.25">
      <c r="A707">
        <v>6</v>
      </c>
      <c r="B707" t="s">
        <v>20</v>
      </c>
      <c r="C707">
        <v>2019</v>
      </c>
      <c r="D707">
        <v>30.875</v>
      </c>
      <c r="E707">
        <v>200</v>
      </c>
      <c r="F707">
        <v>168</v>
      </c>
      <c r="G707">
        <v>62.875</v>
      </c>
      <c r="H707">
        <v>36000</v>
      </c>
      <c r="I707" t="s">
        <v>23</v>
      </c>
    </row>
    <row r="708" spans="1:9" hidden="1" x14ac:dyDescent="0.25">
      <c r="A708">
        <v>7</v>
      </c>
      <c r="B708" t="s">
        <v>20</v>
      </c>
      <c r="C708">
        <v>2019</v>
      </c>
      <c r="D708">
        <v>168</v>
      </c>
      <c r="E708" t="s">
        <v>9</v>
      </c>
      <c r="F708">
        <v>72</v>
      </c>
      <c r="G708">
        <v>96</v>
      </c>
      <c r="H708">
        <v>36000</v>
      </c>
      <c r="I708" t="s">
        <v>23</v>
      </c>
    </row>
    <row r="709" spans="1:9" hidden="1" x14ac:dyDescent="0.25">
      <c r="A709">
        <v>8</v>
      </c>
      <c r="B709" t="s">
        <v>20</v>
      </c>
      <c r="C709">
        <v>2019</v>
      </c>
      <c r="D709">
        <v>72</v>
      </c>
      <c r="E709">
        <v>128</v>
      </c>
      <c r="F709">
        <v>121.5</v>
      </c>
      <c r="G709">
        <v>78.5</v>
      </c>
      <c r="H709">
        <v>36000</v>
      </c>
      <c r="I709" t="s">
        <v>23</v>
      </c>
    </row>
    <row r="710" spans="1:9" hidden="1" x14ac:dyDescent="0.25">
      <c r="A710">
        <v>9</v>
      </c>
      <c r="B710" t="s">
        <v>20</v>
      </c>
      <c r="C710">
        <v>2019</v>
      </c>
      <c r="D710">
        <v>121.5</v>
      </c>
      <c r="E710">
        <v>184</v>
      </c>
      <c r="F710">
        <v>255.5</v>
      </c>
      <c r="G710">
        <v>50</v>
      </c>
      <c r="H710">
        <v>36000</v>
      </c>
      <c r="I710" t="s">
        <v>23</v>
      </c>
    </row>
    <row r="711" spans="1:9" hidden="1" x14ac:dyDescent="0.25">
      <c r="A711">
        <v>10</v>
      </c>
      <c r="B711" t="s">
        <v>20</v>
      </c>
      <c r="C711">
        <v>2019</v>
      </c>
      <c r="D711">
        <v>255.5</v>
      </c>
      <c r="E711">
        <v>3</v>
      </c>
      <c r="F711">
        <v>207</v>
      </c>
      <c r="G711">
        <v>51.5</v>
      </c>
      <c r="H711">
        <v>36000</v>
      </c>
      <c r="I711" t="s">
        <v>23</v>
      </c>
    </row>
    <row r="712" spans="1:9" hidden="1" x14ac:dyDescent="0.25">
      <c r="A712">
        <v>11</v>
      </c>
      <c r="B712" t="s">
        <v>20</v>
      </c>
      <c r="C712">
        <v>2019</v>
      </c>
      <c r="D712">
        <v>207</v>
      </c>
      <c r="E712" t="s">
        <v>9</v>
      </c>
      <c r="F712">
        <v>150</v>
      </c>
      <c r="G712">
        <v>57</v>
      </c>
      <c r="H712">
        <v>36000</v>
      </c>
      <c r="I712" t="s">
        <v>23</v>
      </c>
    </row>
    <row r="713" spans="1:9" hidden="1" x14ac:dyDescent="0.25">
      <c r="A713">
        <v>12</v>
      </c>
      <c r="B713" t="s">
        <v>20</v>
      </c>
      <c r="C713">
        <v>2019</v>
      </c>
      <c r="D713">
        <v>150</v>
      </c>
      <c r="E713">
        <v>50</v>
      </c>
      <c r="F713">
        <v>132</v>
      </c>
      <c r="G713">
        <v>68</v>
      </c>
      <c r="H713">
        <v>36000</v>
      </c>
      <c r="I713" t="s">
        <v>23</v>
      </c>
    </row>
    <row r="714" spans="1:9" hidden="1" x14ac:dyDescent="0.25">
      <c r="A714">
        <v>13</v>
      </c>
      <c r="B714" t="s">
        <v>20</v>
      </c>
      <c r="C714">
        <v>2019</v>
      </c>
      <c r="D714">
        <v>132</v>
      </c>
      <c r="E714">
        <v>160</v>
      </c>
      <c r="F714">
        <v>233</v>
      </c>
      <c r="G714">
        <v>59</v>
      </c>
      <c r="H714">
        <v>36000</v>
      </c>
      <c r="I714" t="s">
        <v>23</v>
      </c>
    </row>
    <row r="715" spans="1:9" hidden="1" x14ac:dyDescent="0.25">
      <c r="A715">
        <v>14</v>
      </c>
      <c r="B715" t="s">
        <v>20</v>
      </c>
      <c r="C715">
        <v>2019</v>
      </c>
      <c r="D715">
        <v>233</v>
      </c>
      <c r="E715">
        <v>-20</v>
      </c>
      <c r="F715">
        <v>126</v>
      </c>
      <c r="G715">
        <v>87</v>
      </c>
      <c r="H715">
        <v>36000</v>
      </c>
      <c r="I715" t="s">
        <v>23</v>
      </c>
    </row>
    <row r="716" spans="1:9" hidden="1" x14ac:dyDescent="0.25">
      <c r="A716">
        <v>15</v>
      </c>
      <c r="B716" t="s">
        <v>20</v>
      </c>
      <c r="C716">
        <v>2019</v>
      </c>
      <c r="D716">
        <v>126</v>
      </c>
      <c r="E716">
        <v>62</v>
      </c>
      <c r="F716">
        <v>95</v>
      </c>
      <c r="G716">
        <v>93</v>
      </c>
      <c r="H716">
        <v>36000</v>
      </c>
      <c r="I716" t="s">
        <v>23</v>
      </c>
    </row>
    <row r="717" spans="1:9" hidden="1" x14ac:dyDescent="0.25">
      <c r="A717">
        <v>16</v>
      </c>
      <c r="B717" t="s">
        <v>20</v>
      </c>
      <c r="C717">
        <v>2019</v>
      </c>
      <c r="D717">
        <v>95</v>
      </c>
      <c r="E717">
        <v>180</v>
      </c>
      <c r="F717">
        <v>215</v>
      </c>
      <c r="G717">
        <v>60</v>
      </c>
      <c r="H717">
        <v>36000</v>
      </c>
      <c r="I717" t="s">
        <v>23</v>
      </c>
    </row>
    <row r="718" spans="1:9" hidden="1" x14ac:dyDescent="0.25">
      <c r="A718">
        <v>17</v>
      </c>
      <c r="B718" t="s">
        <v>20</v>
      </c>
      <c r="C718">
        <v>2019</v>
      </c>
      <c r="D718">
        <v>215</v>
      </c>
      <c r="E718" t="s">
        <v>9</v>
      </c>
      <c r="F718">
        <v>150</v>
      </c>
      <c r="G718">
        <v>65</v>
      </c>
      <c r="H718">
        <v>36000</v>
      </c>
      <c r="I718" t="s">
        <v>23</v>
      </c>
    </row>
    <row r="719" spans="1:9" hidden="1" x14ac:dyDescent="0.25">
      <c r="A719">
        <v>18</v>
      </c>
      <c r="B719" t="s">
        <v>20</v>
      </c>
      <c r="C719">
        <v>2019</v>
      </c>
      <c r="D719">
        <v>150</v>
      </c>
      <c r="E719">
        <v>389</v>
      </c>
      <c r="F719">
        <v>469</v>
      </c>
      <c r="G719">
        <v>70</v>
      </c>
      <c r="H719">
        <v>36000</v>
      </c>
      <c r="I719" t="s">
        <v>23</v>
      </c>
    </row>
    <row r="720" spans="1:9" hidden="1" x14ac:dyDescent="0.25">
      <c r="A720">
        <v>19</v>
      </c>
      <c r="B720" t="s">
        <v>20</v>
      </c>
      <c r="C720">
        <v>2019</v>
      </c>
      <c r="D720">
        <v>469</v>
      </c>
      <c r="E720">
        <v>-120</v>
      </c>
      <c r="F720">
        <v>273</v>
      </c>
      <c r="G720">
        <v>76</v>
      </c>
      <c r="H720">
        <v>36000</v>
      </c>
      <c r="I720" t="s">
        <v>23</v>
      </c>
    </row>
    <row r="721" spans="1:9" hidden="1" x14ac:dyDescent="0.25">
      <c r="A721">
        <v>20</v>
      </c>
      <c r="B721" t="s">
        <v>20</v>
      </c>
      <c r="C721">
        <v>2019</v>
      </c>
      <c r="D721">
        <v>273</v>
      </c>
      <c r="E721" t="s">
        <v>9</v>
      </c>
      <c r="F721">
        <v>179</v>
      </c>
      <c r="G721">
        <v>94</v>
      </c>
      <c r="H721">
        <v>36000</v>
      </c>
      <c r="I721" t="s">
        <v>23</v>
      </c>
    </row>
    <row r="722" spans="1:9" hidden="1" x14ac:dyDescent="0.25">
      <c r="A722">
        <v>21</v>
      </c>
      <c r="B722" t="s">
        <v>20</v>
      </c>
      <c r="C722">
        <v>2019</v>
      </c>
      <c r="D722">
        <v>179</v>
      </c>
      <c r="E722" t="s">
        <v>9</v>
      </c>
      <c r="F722">
        <v>94</v>
      </c>
      <c r="G722">
        <v>85</v>
      </c>
      <c r="H722">
        <v>36000</v>
      </c>
      <c r="I722" t="s">
        <v>23</v>
      </c>
    </row>
    <row r="723" spans="1:9" hidden="1" x14ac:dyDescent="0.25">
      <c r="A723">
        <v>22</v>
      </c>
      <c r="B723" t="s">
        <v>20</v>
      </c>
      <c r="C723">
        <v>2019</v>
      </c>
      <c r="D723">
        <v>94</v>
      </c>
      <c r="E723">
        <v>310</v>
      </c>
      <c r="F723">
        <v>294</v>
      </c>
      <c r="G723">
        <v>110</v>
      </c>
      <c r="H723">
        <v>36000</v>
      </c>
      <c r="I723" t="s">
        <v>23</v>
      </c>
    </row>
    <row r="724" spans="1:9" hidden="1" x14ac:dyDescent="0.25">
      <c r="A724">
        <v>23</v>
      </c>
      <c r="B724" t="s">
        <v>20</v>
      </c>
      <c r="C724">
        <v>2019</v>
      </c>
      <c r="D724">
        <v>294</v>
      </c>
      <c r="E724">
        <v>-100</v>
      </c>
      <c r="F724">
        <v>106</v>
      </c>
      <c r="G724">
        <v>88</v>
      </c>
      <c r="H724">
        <v>36000</v>
      </c>
      <c r="I724" t="s">
        <v>23</v>
      </c>
    </row>
    <row r="725" spans="1:9" hidden="1" x14ac:dyDescent="0.25">
      <c r="A725">
        <v>24</v>
      </c>
      <c r="B725" t="s">
        <v>20</v>
      </c>
      <c r="C725">
        <v>2019</v>
      </c>
      <c r="D725">
        <v>106</v>
      </c>
      <c r="E725">
        <v>399</v>
      </c>
      <c r="F725">
        <v>458</v>
      </c>
      <c r="G725">
        <v>47</v>
      </c>
      <c r="H725">
        <v>36000</v>
      </c>
      <c r="I725" t="s">
        <v>23</v>
      </c>
    </row>
    <row r="726" spans="1:9" hidden="1" x14ac:dyDescent="0.25">
      <c r="A726">
        <v>25</v>
      </c>
      <c r="B726" t="s">
        <v>20</v>
      </c>
      <c r="C726">
        <v>2019</v>
      </c>
      <c r="D726">
        <v>458</v>
      </c>
      <c r="E726" t="s">
        <v>9</v>
      </c>
      <c r="F726">
        <v>366</v>
      </c>
      <c r="G726">
        <v>92</v>
      </c>
      <c r="H726">
        <v>36000</v>
      </c>
      <c r="I726" t="s">
        <v>23</v>
      </c>
    </row>
    <row r="727" spans="1:9" hidden="1" x14ac:dyDescent="0.25">
      <c r="A727">
        <v>26</v>
      </c>
      <c r="B727" t="s">
        <v>20</v>
      </c>
      <c r="C727">
        <v>2019</v>
      </c>
      <c r="D727">
        <v>366</v>
      </c>
      <c r="E727">
        <v>-120</v>
      </c>
      <c r="F727">
        <v>186</v>
      </c>
      <c r="G727">
        <v>60</v>
      </c>
      <c r="H727">
        <v>36000</v>
      </c>
      <c r="I727" t="s">
        <v>23</v>
      </c>
    </row>
    <row r="728" spans="1:9" hidden="1" x14ac:dyDescent="0.25">
      <c r="A728">
        <v>27</v>
      </c>
      <c r="B728" t="s">
        <v>20</v>
      </c>
      <c r="C728">
        <v>2019</v>
      </c>
      <c r="D728">
        <v>186</v>
      </c>
      <c r="E728" t="s">
        <v>9</v>
      </c>
      <c r="F728">
        <v>110.5</v>
      </c>
      <c r="G728">
        <v>75.5</v>
      </c>
      <c r="H728">
        <v>36000</v>
      </c>
      <c r="I728" t="s">
        <v>23</v>
      </c>
    </row>
    <row r="729" spans="1:9" hidden="1" x14ac:dyDescent="0.25">
      <c r="A729">
        <v>28</v>
      </c>
      <c r="B729" t="s">
        <v>20</v>
      </c>
      <c r="C729">
        <v>2019</v>
      </c>
      <c r="D729">
        <v>110.5</v>
      </c>
      <c r="E729">
        <v>400</v>
      </c>
      <c r="F729">
        <v>430</v>
      </c>
      <c r="G729">
        <v>80.5</v>
      </c>
      <c r="H729">
        <v>36000</v>
      </c>
      <c r="I729" t="s">
        <v>23</v>
      </c>
    </row>
    <row r="730" spans="1:9" hidden="1" x14ac:dyDescent="0.25">
      <c r="A730">
        <v>29</v>
      </c>
      <c r="B730" t="s">
        <v>20</v>
      </c>
      <c r="C730">
        <v>2019</v>
      </c>
      <c r="D730">
        <v>430</v>
      </c>
      <c r="E730">
        <v>-150</v>
      </c>
      <c r="F730">
        <v>216</v>
      </c>
      <c r="G730">
        <v>64</v>
      </c>
      <c r="H730">
        <v>36000</v>
      </c>
      <c r="I730" t="s">
        <v>23</v>
      </c>
    </row>
    <row r="731" spans="1:9" hidden="1" x14ac:dyDescent="0.25">
      <c r="A731">
        <v>30</v>
      </c>
      <c r="B731" t="s">
        <v>20</v>
      </c>
      <c r="C731">
        <v>2019</v>
      </c>
      <c r="D731">
        <v>216</v>
      </c>
      <c r="E731">
        <v>78</v>
      </c>
      <c r="F731">
        <v>224</v>
      </c>
      <c r="G731">
        <v>70</v>
      </c>
      <c r="H731">
        <v>36000</v>
      </c>
      <c r="I731" t="s">
        <v>23</v>
      </c>
    </row>
    <row r="732" spans="1:9" hidden="1" x14ac:dyDescent="0.25">
      <c r="A732">
        <v>31</v>
      </c>
      <c r="B732" t="s">
        <v>20</v>
      </c>
      <c r="C732">
        <v>2019</v>
      </c>
      <c r="D732">
        <v>224</v>
      </c>
      <c r="E732" t="s">
        <v>9</v>
      </c>
      <c r="F732" t="s">
        <v>9</v>
      </c>
      <c r="G732">
        <v>224</v>
      </c>
      <c r="H732">
        <v>36000</v>
      </c>
      <c r="I732" t="s">
        <v>23</v>
      </c>
    </row>
    <row r="733" spans="1:9" x14ac:dyDescent="0.25">
      <c r="A733">
        <v>1</v>
      </c>
      <c r="B733" t="s">
        <v>8</v>
      </c>
      <c r="C733">
        <v>2020</v>
      </c>
      <c r="D733">
        <v>70</v>
      </c>
      <c r="E733">
        <v>20</v>
      </c>
      <c r="F733">
        <v>16</v>
      </c>
      <c r="G733">
        <v>74</v>
      </c>
      <c r="H733">
        <v>36000</v>
      </c>
      <c r="I733" t="s">
        <v>22</v>
      </c>
    </row>
    <row r="734" spans="1:9" x14ac:dyDescent="0.25">
      <c r="A734">
        <v>2</v>
      </c>
      <c r="B734" t="s">
        <v>8</v>
      </c>
      <c r="C734">
        <v>2020</v>
      </c>
      <c r="D734">
        <v>16</v>
      </c>
      <c r="E734">
        <v>120</v>
      </c>
      <c r="F734">
        <v>79</v>
      </c>
      <c r="G734">
        <v>57</v>
      </c>
      <c r="H734">
        <v>36000</v>
      </c>
      <c r="I734" t="s">
        <v>22</v>
      </c>
    </row>
    <row r="735" spans="1:9" x14ac:dyDescent="0.25">
      <c r="A735">
        <v>3</v>
      </c>
      <c r="B735" t="s">
        <v>8</v>
      </c>
      <c r="C735">
        <v>2020</v>
      </c>
      <c r="D735">
        <v>79</v>
      </c>
      <c r="E735" t="s">
        <v>9</v>
      </c>
      <c r="F735">
        <v>43.5</v>
      </c>
      <c r="G735">
        <v>35.5</v>
      </c>
      <c r="H735">
        <v>36000</v>
      </c>
      <c r="I735" t="s">
        <v>22</v>
      </c>
    </row>
    <row r="736" spans="1:9" x14ac:dyDescent="0.25">
      <c r="A736">
        <v>4</v>
      </c>
      <c r="B736" t="s">
        <v>8</v>
      </c>
      <c r="C736">
        <v>2020</v>
      </c>
      <c r="D736">
        <v>43.5</v>
      </c>
      <c r="E736">
        <v>40</v>
      </c>
      <c r="F736">
        <v>53.75</v>
      </c>
      <c r="G736">
        <v>29.75</v>
      </c>
      <c r="H736">
        <v>36000</v>
      </c>
      <c r="I736" t="s">
        <v>22</v>
      </c>
    </row>
    <row r="737" spans="1:9" x14ac:dyDescent="0.25">
      <c r="A737">
        <v>5</v>
      </c>
      <c r="B737" t="s">
        <v>8</v>
      </c>
      <c r="C737">
        <v>2020</v>
      </c>
      <c r="D737">
        <v>53.75</v>
      </c>
      <c r="E737" t="s">
        <v>9</v>
      </c>
      <c r="F737">
        <v>31.75</v>
      </c>
      <c r="G737">
        <v>22</v>
      </c>
      <c r="H737">
        <v>36000</v>
      </c>
      <c r="I737" t="s">
        <v>22</v>
      </c>
    </row>
    <row r="738" spans="1:9" x14ac:dyDescent="0.25">
      <c r="A738">
        <v>6</v>
      </c>
      <c r="B738" t="s">
        <v>8</v>
      </c>
      <c r="C738">
        <v>2020</v>
      </c>
      <c r="D738">
        <v>31.75</v>
      </c>
      <c r="E738">
        <v>120</v>
      </c>
      <c r="F738">
        <v>120</v>
      </c>
      <c r="G738">
        <v>31.75</v>
      </c>
      <c r="H738">
        <v>36000</v>
      </c>
      <c r="I738" t="s">
        <v>22</v>
      </c>
    </row>
    <row r="739" spans="1:9" x14ac:dyDescent="0.25">
      <c r="A739">
        <v>7</v>
      </c>
      <c r="B739" t="s">
        <v>8</v>
      </c>
      <c r="C739">
        <v>2020</v>
      </c>
      <c r="D739">
        <v>120</v>
      </c>
      <c r="E739" t="s">
        <v>9</v>
      </c>
      <c r="F739">
        <v>85</v>
      </c>
      <c r="G739">
        <v>35</v>
      </c>
      <c r="H739">
        <v>36000</v>
      </c>
      <c r="I739" t="s">
        <v>22</v>
      </c>
    </row>
    <row r="740" spans="1:9" x14ac:dyDescent="0.25">
      <c r="A740">
        <v>8</v>
      </c>
      <c r="B740" t="s">
        <v>8</v>
      </c>
      <c r="C740">
        <v>2020</v>
      </c>
      <c r="D740">
        <v>85</v>
      </c>
      <c r="E740" t="s">
        <v>9</v>
      </c>
      <c r="F740">
        <v>52</v>
      </c>
      <c r="G740">
        <v>33</v>
      </c>
      <c r="H740">
        <v>36000</v>
      </c>
      <c r="I740" t="s">
        <v>22</v>
      </c>
    </row>
    <row r="741" spans="1:9" x14ac:dyDescent="0.25">
      <c r="A741">
        <v>9</v>
      </c>
      <c r="B741" t="s">
        <v>8</v>
      </c>
      <c r="C741">
        <v>2020</v>
      </c>
      <c r="D741">
        <v>52</v>
      </c>
      <c r="E741">
        <v>120</v>
      </c>
      <c r="F741">
        <v>145</v>
      </c>
      <c r="G741">
        <v>27</v>
      </c>
      <c r="H741">
        <v>36000</v>
      </c>
      <c r="I741" t="s">
        <v>22</v>
      </c>
    </row>
    <row r="742" spans="1:9" x14ac:dyDescent="0.25">
      <c r="A742">
        <v>10</v>
      </c>
      <c r="B742" t="s">
        <v>8</v>
      </c>
      <c r="C742">
        <v>2020</v>
      </c>
      <c r="D742">
        <v>145</v>
      </c>
      <c r="E742" t="s">
        <v>9</v>
      </c>
      <c r="F742">
        <v>122</v>
      </c>
      <c r="G742">
        <v>23</v>
      </c>
      <c r="H742">
        <v>36000</v>
      </c>
      <c r="I742" t="s">
        <v>22</v>
      </c>
    </row>
    <row r="743" spans="1:9" x14ac:dyDescent="0.25">
      <c r="A743">
        <v>11</v>
      </c>
      <c r="B743" t="s">
        <v>8</v>
      </c>
      <c r="C743">
        <v>2020</v>
      </c>
      <c r="D743">
        <v>122</v>
      </c>
      <c r="E743" t="s">
        <v>9</v>
      </c>
      <c r="F743">
        <v>89</v>
      </c>
      <c r="G743">
        <v>33</v>
      </c>
      <c r="H743">
        <v>36000</v>
      </c>
      <c r="I743" t="s">
        <v>22</v>
      </c>
    </row>
    <row r="744" spans="1:9" x14ac:dyDescent="0.25">
      <c r="A744">
        <v>12</v>
      </c>
      <c r="B744" t="s">
        <v>8</v>
      </c>
      <c r="C744">
        <v>2020</v>
      </c>
      <c r="D744">
        <v>89</v>
      </c>
      <c r="E744" t="s">
        <v>9</v>
      </c>
      <c r="F744">
        <v>50.875</v>
      </c>
      <c r="G744">
        <v>38.125</v>
      </c>
      <c r="H744">
        <v>36000</v>
      </c>
      <c r="I744" t="s">
        <v>22</v>
      </c>
    </row>
    <row r="745" spans="1:9" x14ac:dyDescent="0.25">
      <c r="A745">
        <v>13</v>
      </c>
      <c r="B745" t="s">
        <v>8</v>
      </c>
      <c r="C745">
        <v>2020</v>
      </c>
      <c r="D745">
        <v>50.875</v>
      </c>
      <c r="E745">
        <v>100</v>
      </c>
      <c r="F745">
        <v>138.5</v>
      </c>
      <c r="G745">
        <v>12.375</v>
      </c>
      <c r="H745">
        <v>36000</v>
      </c>
      <c r="I745" t="s">
        <v>22</v>
      </c>
    </row>
    <row r="746" spans="1:9" x14ac:dyDescent="0.25">
      <c r="A746">
        <v>14</v>
      </c>
      <c r="B746" t="s">
        <v>8</v>
      </c>
      <c r="C746">
        <v>2020</v>
      </c>
      <c r="D746">
        <v>138.5</v>
      </c>
      <c r="E746" t="s">
        <v>9</v>
      </c>
      <c r="F746">
        <v>104.5</v>
      </c>
      <c r="G746">
        <v>34</v>
      </c>
      <c r="H746">
        <v>36000</v>
      </c>
      <c r="I746" t="s">
        <v>22</v>
      </c>
    </row>
    <row r="747" spans="1:9" x14ac:dyDescent="0.25">
      <c r="A747">
        <v>15</v>
      </c>
      <c r="B747" t="s">
        <v>8</v>
      </c>
      <c r="C747">
        <v>2020</v>
      </c>
      <c r="D747">
        <v>104.5</v>
      </c>
      <c r="E747" t="s">
        <v>9</v>
      </c>
      <c r="F747">
        <v>73.5</v>
      </c>
      <c r="G747">
        <v>31</v>
      </c>
      <c r="H747">
        <v>36000</v>
      </c>
      <c r="I747" t="s">
        <v>22</v>
      </c>
    </row>
    <row r="748" spans="1:9" x14ac:dyDescent="0.25">
      <c r="A748">
        <v>16</v>
      </c>
      <c r="B748" t="s">
        <v>8</v>
      </c>
      <c r="C748">
        <v>2020</v>
      </c>
      <c r="D748">
        <v>73.5</v>
      </c>
      <c r="E748" t="s">
        <v>9</v>
      </c>
      <c r="F748">
        <v>53</v>
      </c>
      <c r="G748">
        <v>20.5</v>
      </c>
      <c r="H748">
        <v>36000</v>
      </c>
      <c r="I748" t="s">
        <v>22</v>
      </c>
    </row>
    <row r="749" spans="1:9" x14ac:dyDescent="0.25">
      <c r="A749">
        <v>17</v>
      </c>
      <c r="B749" t="s">
        <v>8</v>
      </c>
      <c r="C749">
        <v>2020</v>
      </c>
      <c r="D749">
        <v>53</v>
      </c>
      <c r="E749" t="s">
        <v>9</v>
      </c>
      <c r="F749">
        <v>33</v>
      </c>
      <c r="G749">
        <v>20</v>
      </c>
      <c r="H749">
        <v>36000</v>
      </c>
      <c r="I749" t="s">
        <v>22</v>
      </c>
    </row>
    <row r="750" spans="1:9" x14ac:dyDescent="0.25">
      <c r="A750">
        <v>18</v>
      </c>
      <c r="B750" t="s">
        <v>8</v>
      </c>
      <c r="C750">
        <v>2020</v>
      </c>
      <c r="D750">
        <v>33</v>
      </c>
      <c r="E750">
        <v>120</v>
      </c>
      <c r="F750">
        <v>111</v>
      </c>
      <c r="G750">
        <v>42</v>
      </c>
      <c r="H750">
        <v>36000</v>
      </c>
      <c r="I750" t="s">
        <v>22</v>
      </c>
    </row>
    <row r="751" spans="1:9" x14ac:dyDescent="0.25">
      <c r="A751">
        <v>19</v>
      </c>
      <c r="B751" t="s">
        <v>8</v>
      </c>
      <c r="C751">
        <v>2020</v>
      </c>
      <c r="D751">
        <v>111</v>
      </c>
      <c r="E751" t="s">
        <v>9</v>
      </c>
      <c r="F751">
        <v>72</v>
      </c>
      <c r="G751">
        <v>39</v>
      </c>
      <c r="H751">
        <v>36000</v>
      </c>
      <c r="I751" t="s">
        <v>22</v>
      </c>
    </row>
    <row r="752" spans="1:9" x14ac:dyDescent="0.25">
      <c r="A752">
        <v>20</v>
      </c>
      <c r="B752" t="s">
        <v>8</v>
      </c>
      <c r="C752">
        <v>2020</v>
      </c>
      <c r="D752">
        <v>72</v>
      </c>
      <c r="E752">
        <v>100</v>
      </c>
      <c r="F752">
        <v>155.5</v>
      </c>
      <c r="G752">
        <v>16.5</v>
      </c>
      <c r="H752">
        <v>36000</v>
      </c>
      <c r="I752" t="s">
        <v>22</v>
      </c>
    </row>
    <row r="753" spans="1:9" x14ac:dyDescent="0.25">
      <c r="A753">
        <v>21</v>
      </c>
      <c r="B753" t="s">
        <v>8</v>
      </c>
      <c r="C753">
        <v>2020</v>
      </c>
      <c r="D753">
        <v>155.5</v>
      </c>
      <c r="E753" t="s">
        <v>9</v>
      </c>
      <c r="F753">
        <v>134</v>
      </c>
      <c r="G753">
        <v>21.5</v>
      </c>
      <c r="H753">
        <v>36000</v>
      </c>
      <c r="I753" t="s">
        <v>22</v>
      </c>
    </row>
    <row r="754" spans="1:9" x14ac:dyDescent="0.25">
      <c r="A754">
        <v>22</v>
      </c>
      <c r="B754" t="s">
        <v>8</v>
      </c>
      <c r="C754">
        <v>2020</v>
      </c>
      <c r="D754">
        <v>134</v>
      </c>
      <c r="E754" t="s">
        <v>9</v>
      </c>
      <c r="F754">
        <v>111.5</v>
      </c>
      <c r="G754">
        <v>22.5</v>
      </c>
      <c r="H754">
        <v>36000</v>
      </c>
      <c r="I754" t="s">
        <v>22</v>
      </c>
    </row>
    <row r="755" spans="1:9" x14ac:dyDescent="0.25">
      <c r="A755">
        <v>23</v>
      </c>
      <c r="B755" t="s">
        <v>8</v>
      </c>
      <c r="C755">
        <v>2020</v>
      </c>
      <c r="D755">
        <v>111.5</v>
      </c>
      <c r="E755" t="s">
        <v>9</v>
      </c>
      <c r="F755">
        <v>94.5</v>
      </c>
      <c r="G755">
        <v>17</v>
      </c>
      <c r="H755">
        <v>36000</v>
      </c>
      <c r="I755" t="s">
        <v>22</v>
      </c>
    </row>
    <row r="756" spans="1:9" x14ac:dyDescent="0.25">
      <c r="A756">
        <v>24</v>
      </c>
      <c r="B756" t="s">
        <v>8</v>
      </c>
      <c r="C756">
        <v>2020</v>
      </c>
      <c r="D756">
        <v>94.5</v>
      </c>
      <c r="E756" t="s">
        <v>9</v>
      </c>
      <c r="F756">
        <v>70.5</v>
      </c>
      <c r="G756">
        <v>24</v>
      </c>
      <c r="H756">
        <v>36000</v>
      </c>
      <c r="I756" t="s">
        <v>22</v>
      </c>
    </row>
    <row r="757" spans="1:9" x14ac:dyDescent="0.25">
      <c r="A757">
        <v>25</v>
      </c>
      <c r="B757" t="s">
        <v>8</v>
      </c>
      <c r="C757">
        <v>2020</v>
      </c>
      <c r="D757">
        <v>70.5</v>
      </c>
      <c r="E757">
        <v>30</v>
      </c>
      <c r="F757">
        <v>73</v>
      </c>
      <c r="G757">
        <v>27.5</v>
      </c>
      <c r="H757">
        <v>36000</v>
      </c>
      <c r="I757" t="s">
        <v>22</v>
      </c>
    </row>
    <row r="758" spans="1:9" x14ac:dyDescent="0.25">
      <c r="A758">
        <v>26</v>
      </c>
      <c r="B758" t="s">
        <v>8</v>
      </c>
      <c r="C758">
        <v>2020</v>
      </c>
      <c r="D758">
        <v>73</v>
      </c>
      <c r="E758" t="s">
        <v>9</v>
      </c>
      <c r="F758">
        <v>37</v>
      </c>
      <c r="G758">
        <v>36</v>
      </c>
      <c r="H758">
        <v>36000</v>
      </c>
      <c r="I758" t="s">
        <v>22</v>
      </c>
    </row>
    <row r="759" spans="1:9" x14ac:dyDescent="0.25">
      <c r="A759">
        <v>27</v>
      </c>
      <c r="B759" t="s">
        <v>8</v>
      </c>
      <c r="C759">
        <v>2020</v>
      </c>
      <c r="D759">
        <v>37</v>
      </c>
      <c r="E759" t="s">
        <v>9</v>
      </c>
      <c r="F759">
        <v>23.75</v>
      </c>
      <c r="G759">
        <v>13.25</v>
      </c>
      <c r="H759">
        <v>36000</v>
      </c>
      <c r="I759" t="s">
        <v>22</v>
      </c>
    </row>
    <row r="760" spans="1:9" x14ac:dyDescent="0.25">
      <c r="A760">
        <v>28</v>
      </c>
      <c r="B760" t="s">
        <v>8</v>
      </c>
      <c r="C760">
        <v>2020</v>
      </c>
      <c r="D760">
        <v>23.75</v>
      </c>
      <c r="E760">
        <v>20</v>
      </c>
      <c r="F760">
        <v>24</v>
      </c>
      <c r="G760">
        <v>19.75</v>
      </c>
      <c r="H760">
        <v>36000</v>
      </c>
      <c r="I760" t="s">
        <v>22</v>
      </c>
    </row>
    <row r="761" spans="1:9" x14ac:dyDescent="0.25">
      <c r="A761">
        <v>29</v>
      </c>
      <c r="B761" t="s">
        <v>8</v>
      </c>
      <c r="C761">
        <v>2020</v>
      </c>
      <c r="D761">
        <v>24</v>
      </c>
      <c r="E761">
        <v>100</v>
      </c>
      <c r="F761">
        <v>105.5</v>
      </c>
      <c r="G761">
        <v>18.5</v>
      </c>
      <c r="H761">
        <v>36000</v>
      </c>
      <c r="I761" t="s">
        <v>22</v>
      </c>
    </row>
    <row r="762" spans="1:9" x14ac:dyDescent="0.25">
      <c r="A762">
        <v>30</v>
      </c>
      <c r="B762" t="s">
        <v>8</v>
      </c>
      <c r="C762">
        <v>2020</v>
      </c>
      <c r="D762">
        <v>105.5</v>
      </c>
      <c r="E762" t="s">
        <v>9</v>
      </c>
      <c r="F762">
        <v>90</v>
      </c>
      <c r="G762">
        <v>15.5</v>
      </c>
      <c r="H762">
        <v>36000</v>
      </c>
      <c r="I762" t="s">
        <v>22</v>
      </c>
    </row>
    <row r="763" spans="1:9" x14ac:dyDescent="0.25">
      <c r="A763">
        <v>31</v>
      </c>
      <c r="B763" t="s">
        <v>8</v>
      </c>
      <c r="C763">
        <v>2020</v>
      </c>
      <c r="D763">
        <v>90</v>
      </c>
      <c r="E763" t="s">
        <v>9</v>
      </c>
      <c r="F763">
        <v>66</v>
      </c>
      <c r="G763">
        <v>24</v>
      </c>
      <c r="H763">
        <v>36000</v>
      </c>
      <c r="I763" t="s">
        <v>22</v>
      </c>
    </row>
    <row r="764" spans="1:9" hidden="1" x14ac:dyDescent="0.25">
      <c r="A764">
        <v>1</v>
      </c>
      <c r="B764" t="s">
        <v>8</v>
      </c>
      <c r="C764">
        <v>2020</v>
      </c>
      <c r="D764">
        <v>224</v>
      </c>
      <c r="E764">
        <v>-20</v>
      </c>
      <c r="F764">
        <v>120</v>
      </c>
      <c r="G764">
        <v>84</v>
      </c>
      <c r="H764">
        <v>36000</v>
      </c>
      <c r="I764" t="s">
        <v>23</v>
      </c>
    </row>
    <row r="765" spans="1:9" hidden="1" x14ac:dyDescent="0.25">
      <c r="A765">
        <v>2</v>
      </c>
      <c r="B765" t="s">
        <v>8</v>
      </c>
      <c r="C765">
        <v>2020</v>
      </c>
      <c r="D765">
        <v>120</v>
      </c>
      <c r="E765">
        <v>160</v>
      </c>
      <c r="F765">
        <v>206</v>
      </c>
      <c r="G765">
        <v>74</v>
      </c>
      <c r="H765">
        <v>36000</v>
      </c>
      <c r="I765" t="s">
        <v>23</v>
      </c>
    </row>
    <row r="766" spans="1:9" hidden="1" x14ac:dyDescent="0.25">
      <c r="A766">
        <v>3</v>
      </c>
      <c r="B766" t="s">
        <v>8</v>
      </c>
      <c r="C766">
        <v>2020</v>
      </c>
      <c r="D766">
        <v>206</v>
      </c>
      <c r="E766" t="s">
        <v>9</v>
      </c>
      <c r="F766">
        <v>135</v>
      </c>
      <c r="G766">
        <v>71</v>
      </c>
      <c r="H766">
        <v>36000</v>
      </c>
      <c r="I766" t="s">
        <v>23</v>
      </c>
    </row>
    <row r="767" spans="1:9" hidden="1" x14ac:dyDescent="0.25">
      <c r="A767">
        <v>4</v>
      </c>
      <c r="B767" t="s">
        <v>8</v>
      </c>
      <c r="C767">
        <v>2020</v>
      </c>
      <c r="D767">
        <v>135</v>
      </c>
      <c r="E767">
        <v>385</v>
      </c>
      <c r="F767">
        <v>443</v>
      </c>
      <c r="G767">
        <v>77</v>
      </c>
      <c r="H767">
        <v>36000</v>
      </c>
      <c r="I767" t="s">
        <v>23</v>
      </c>
    </row>
    <row r="768" spans="1:9" hidden="1" x14ac:dyDescent="0.25">
      <c r="A768">
        <v>5</v>
      </c>
      <c r="B768" t="s">
        <v>8</v>
      </c>
      <c r="C768">
        <v>2020</v>
      </c>
      <c r="D768">
        <v>443</v>
      </c>
      <c r="E768" t="s">
        <v>9</v>
      </c>
      <c r="F768">
        <v>371</v>
      </c>
      <c r="G768">
        <v>72</v>
      </c>
      <c r="H768">
        <v>36000</v>
      </c>
      <c r="I768" t="s">
        <v>23</v>
      </c>
    </row>
    <row r="769" spans="1:9" hidden="1" x14ac:dyDescent="0.25">
      <c r="A769">
        <v>6</v>
      </c>
      <c r="B769" t="s">
        <v>8</v>
      </c>
      <c r="C769">
        <v>2020</v>
      </c>
      <c r="D769">
        <v>371</v>
      </c>
      <c r="E769">
        <v>-120</v>
      </c>
      <c r="F769">
        <v>170</v>
      </c>
      <c r="G769">
        <v>81</v>
      </c>
      <c r="H769">
        <v>36000</v>
      </c>
      <c r="I769" t="s">
        <v>23</v>
      </c>
    </row>
    <row r="770" spans="1:9" hidden="1" x14ac:dyDescent="0.25">
      <c r="A770">
        <v>7</v>
      </c>
      <c r="B770" t="s">
        <v>8</v>
      </c>
      <c r="C770">
        <v>2020</v>
      </c>
      <c r="D770">
        <v>170</v>
      </c>
      <c r="E770" t="s">
        <v>9</v>
      </c>
      <c r="F770">
        <v>94</v>
      </c>
      <c r="G770">
        <v>76</v>
      </c>
      <c r="H770">
        <v>36000</v>
      </c>
      <c r="I770" t="s">
        <v>23</v>
      </c>
    </row>
    <row r="771" spans="1:9" hidden="1" x14ac:dyDescent="0.25">
      <c r="A771">
        <v>8</v>
      </c>
      <c r="B771" t="s">
        <v>8</v>
      </c>
      <c r="C771">
        <v>2020</v>
      </c>
      <c r="D771">
        <v>94</v>
      </c>
      <c r="E771">
        <v>400</v>
      </c>
      <c r="F771">
        <v>432</v>
      </c>
      <c r="G771">
        <v>62</v>
      </c>
      <c r="H771">
        <v>36000</v>
      </c>
      <c r="I771" t="s">
        <v>23</v>
      </c>
    </row>
    <row r="772" spans="1:9" hidden="1" x14ac:dyDescent="0.25">
      <c r="A772">
        <v>9</v>
      </c>
      <c r="B772" t="s">
        <v>8</v>
      </c>
      <c r="C772">
        <v>2020</v>
      </c>
      <c r="D772">
        <v>432</v>
      </c>
      <c r="E772">
        <v>-120</v>
      </c>
      <c r="F772">
        <v>263</v>
      </c>
      <c r="G772">
        <v>49</v>
      </c>
      <c r="H772">
        <v>36000</v>
      </c>
      <c r="I772" t="s">
        <v>23</v>
      </c>
    </row>
    <row r="773" spans="1:9" hidden="1" x14ac:dyDescent="0.25">
      <c r="A773">
        <v>10</v>
      </c>
      <c r="B773" t="s">
        <v>8</v>
      </c>
      <c r="C773">
        <v>2020</v>
      </c>
      <c r="D773">
        <v>263</v>
      </c>
      <c r="E773" t="s">
        <v>9</v>
      </c>
      <c r="F773">
        <v>212</v>
      </c>
      <c r="G773">
        <v>51</v>
      </c>
      <c r="H773">
        <v>36000</v>
      </c>
      <c r="I773" t="s">
        <v>23</v>
      </c>
    </row>
    <row r="774" spans="1:9" hidden="1" x14ac:dyDescent="0.25">
      <c r="A774">
        <v>11</v>
      </c>
      <c r="B774" t="s">
        <v>8</v>
      </c>
      <c r="C774">
        <v>2020</v>
      </c>
      <c r="D774">
        <v>212</v>
      </c>
      <c r="E774">
        <v>202</v>
      </c>
      <c r="F774">
        <v>335</v>
      </c>
      <c r="G774">
        <v>79</v>
      </c>
      <c r="H774">
        <v>36000</v>
      </c>
      <c r="I774" t="s">
        <v>23</v>
      </c>
    </row>
    <row r="775" spans="1:9" hidden="1" x14ac:dyDescent="0.25">
      <c r="A775">
        <v>12</v>
      </c>
      <c r="B775" t="s">
        <v>8</v>
      </c>
      <c r="C775">
        <v>2020</v>
      </c>
      <c r="D775">
        <v>335</v>
      </c>
      <c r="E775" t="s">
        <v>9</v>
      </c>
      <c r="F775">
        <v>268</v>
      </c>
      <c r="G775">
        <v>67</v>
      </c>
      <c r="H775">
        <v>36000</v>
      </c>
      <c r="I775" t="s">
        <v>23</v>
      </c>
    </row>
    <row r="776" spans="1:9" hidden="1" x14ac:dyDescent="0.25">
      <c r="A776">
        <v>13</v>
      </c>
      <c r="B776" t="s">
        <v>8</v>
      </c>
      <c r="C776">
        <v>2020</v>
      </c>
      <c r="D776">
        <v>268</v>
      </c>
      <c r="E776">
        <v>-100</v>
      </c>
      <c r="F776">
        <v>125.5</v>
      </c>
      <c r="G776">
        <v>42.5</v>
      </c>
      <c r="H776">
        <v>36000</v>
      </c>
      <c r="I776" t="s">
        <v>23</v>
      </c>
    </row>
    <row r="777" spans="1:9" hidden="1" x14ac:dyDescent="0.25">
      <c r="A777">
        <v>14</v>
      </c>
      <c r="B777" t="s">
        <v>8</v>
      </c>
      <c r="C777">
        <v>2020</v>
      </c>
      <c r="D777">
        <v>125.5</v>
      </c>
      <c r="E777">
        <v>300</v>
      </c>
      <c r="F777">
        <v>377</v>
      </c>
      <c r="G777">
        <v>48.5</v>
      </c>
      <c r="H777">
        <v>36000</v>
      </c>
      <c r="I777" t="s">
        <v>23</v>
      </c>
    </row>
    <row r="778" spans="1:9" hidden="1" x14ac:dyDescent="0.25">
      <c r="A778">
        <v>15</v>
      </c>
      <c r="B778" t="s">
        <v>8</v>
      </c>
      <c r="C778">
        <v>2020</v>
      </c>
      <c r="D778">
        <v>377</v>
      </c>
      <c r="E778" t="s">
        <v>9</v>
      </c>
      <c r="F778">
        <v>334</v>
      </c>
      <c r="G778">
        <v>43</v>
      </c>
      <c r="H778">
        <v>36000</v>
      </c>
      <c r="I778" t="s">
        <v>23</v>
      </c>
    </row>
    <row r="779" spans="1:9" hidden="1" x14ac:dyDescent="0.25">
      <c r="A779">
        <v>16</v>
      </c>
      <c r="B779" t="s">
        <v>8</v>
      </c>
      <c r="C779">
        <v>2020</v>
      </c>
      <c r="D779">
        <v>334</v>
      </c>
      <c r="E779" t="s">
        <v>9</v>
      </c>
      <c r="F779">
        <v>289</v>
      </c>
      <c r="G779">
        <v>45</v>
      </c>
      <c r="H779">
        <v>36000</v>
      </c>
      <c r="I779" t="s">
        <v>23</v>
      </c>
    </row>
    <row r="780" spans="1:9" hidden="1" x14ac:dyDescent="0.25">
      <c r="A780">
        <v>17</v>
      </c>
      <c r="B780" t="s">
        <v>8</v>
      </c>
      <c r="C780">
        <v>2020</v>
      </c>
      <c r="D780">
        <v>289</v>
      </c>
      <c r="E780">
        <v>299</v>
      </c>
      <c r="F780">
        <v>531</v>
      </c>
      <c r="G780">
        <v>57</v>
      </c>
      <c r="H780">
        <v>36000</v>
      </c>
      <c r="I780" t="s">
        <v>23</v>
      </c>
    </row>
    <row r="781" spans="1:9" hidden="1" x14ac:dyDescent="0.25">
      <c r="A781">
        <v>18</v>
      </c>
      <c r="B781" t="s">
        <v>8</v>
      </c>
      <c r="C781">
        <v>2020</v>
      </c>
      <c r="D781">
        <v>531</v>
      </c>
      <c r="E781">
        <v>-120</v>
      </c>
      <c r="F781">
        <v>339</v>
      </c>
      <c r="G781">
        <v>72</v>
      </c>
      <c r="H781">
        <v>36000</v>
      </c>
      <c r="I781" t="s">
        <v>23</v>
      </c>
    </row>
    <row r="782" spans="1:9" hidden="1" x14ac:dyDescent="0.25">
      <c r="A782">
        <v>19</v>
      </c>
      <c r="B782" t="s">
        <v>8</v>
      </c>
      <c r="C782">
        <v>2020</v>
      </c>
      <c r="D782">
        <v>339</v>
      </c>
      <c r="E782" t="s">
        <v>9</v>
      </c>
      <c r="F782">
        <v>275</v>
      </c>
      <c r="G782">
        <v>64</v>
      </c>
      <c r="H782">
        <v>36000</v>
      </c>
      <c r="I782" t="s">
        <v>23</v>
      </c>
    </row>
    <row r="783" spans="1:9" hidden="1" x14ac:dyDescent="0.25">
      <c r="A783">
        <v>20</v>
      </c>
      <c r="B783" t="s">
        <v>8</v>
      </c>
      <c r="C783">
        <v>2020</v>
      </c>
      <c r="D783">
        <v>275</v>
      </c>
      <c r="E783">
        <v>-100</v>
      </c>
      <c r="F783">
        <v>136</v>
      </c>
      <c r="G783">
        <v>39</v>
      </c>
      <c r="H783">
        <v>36000</v>
      </c>
      <c r="I783" t="s">
        <v>23</v>
      </c>
    </row>
    <row r="784" spans="1:9" hidden="1" x14ac:dyDescent="0.25">
      <c r="A784">
        <v>21</v>
      </c>
      <c r="B784" t="s">
        <v>8</v>
      </c>
      <c r="C784">
        <v>2020</v>
      </c>
      <c r="D784">
        <v>136</v>
      </c>
      <c r="E784" t="s">
        <v>9</v>
      </c>
      <c r="F784">
        <v>87</v>
      </c>
      <c r="G784">
        <v>49</v>
      </c>
      <c r="H784">
        <v>36000</v>
      </c>
      <c r="I784" t="s">
        <v>23</v>
      </c>
    </row>
    <row r="785" spans="1:9" hidden="1" x14ac:dyDescent="0.25">
      <c r="A785">
        <v>22</v>
      </c>
      <c r="B785" t="s">
        <v>8</v>
      </c>
      <c r="C785">
        <v>2020</v>
      </c>
      <c r="D785">
        <v>87</v>
      </c>
      <c r="E785">
        <v>150</v>
      </c>
      <c r="F785">
        <v>190</v>
      </c>
      <c r="G785">
        <v>47</v>
      </c>
      <c r="H785">
        <v>36000</v>
      </c>
      <c r="I785" t="s">
        <v>23</v>
      </c>
    </row>
    <row r="786" spans="1:9" hidden="1" x14ac:dyDescent="0.25">
      <c r="A786">
        <v>23</v>
      </c>
      <c r="B786" t="s">
        <v>8</v>
      </c>
      <c r="C786">
        <v>2020</v>
      </c>
      <c r="D786">
        <v>190</v>
      </c>
      <c r="E786" t="s">
        <v>9</v>
      </c>
      <c r="F786">
        <v>157</v>
      </c>
      <c r="G786">
        <v>33</v>
      </c>
      <c r="H786">
        <v>36000</v>
      </c>
      <c r="I786" t="s">
        <v>23</v>
      </c>
    </row>
    <row r="787" spans="1:9" hidden="1" x14ac:dyDescent="0.25">
      <c r="A787">
        <v>24</v>
      </c>
      <c r="B787" t="s">
        <v>8</v>
      </c>
      <c r="C787">
        <v>2020</v>
      </c>
      <c r="D787">
        <v>157</v>
      </c>
      <c r="E787">
        <v>363</v>
      </c>
      <c r="F787">
        <v>462</v>
      </c>
      <c r="G787">
        <v>58</v>
      </c>
      <c r="H787">
        <v>36000</v>
      </c>
      <c r="I787" t="s">
        <v>23</v>
      </c>
    </row>
    <row r="788" spans="1:9" hidden="1" x14ac:dyDescent="0.25">
      <c r="A788">
        <v>25</v>
      </c>
      <c r="B788" t="s">
        <v>8</v>
      </c>
      <c r="C788">
        <v>2020</v>
      </c>
      <c r="D788">
        <v>462</v>
      </c>
      <c r="E788">
        <v>-30</v>
      </c>
      <c r="F788">
        <v>365</v>
      </c>
      <c r="G788">
        <v>67</v>
      </c>
      <c r="H788">
        <v>36000</v>
      </c>
      <c r="I788" t="s">
        <v>23</v>
      </c>
    </row>
    <row r="789" spans="1:9" hidden="1" x14ac:dyDescent="0.25">
      <c r="A789">
        <v>26</v>
      </c>
      <c r="B789" t="s">
        <v>8</v>
      </c>
      <c r="C789">
        <v>2020</v>
      </c>
      <c r="D789">
        <v>365</v>
      </c>
      <c r="E789" t="s">
        <v>9</v>
      </c>
      <c r="F789">
        <v>292</v>
      </c>
      <c r="G789">
        <v>73</v>
      </c>
      <c r="H789">
        <v>36000</v>
      </c>
      <c r="I789" t="s">
        <v>23</v>
      </c>
    </row>
    <row r="790" spans="1:9" hidden="1" x14ac:dyDescent="0.25">
      <c r="A790">
        <v>27</v>
      </c>
      <c r="B790" t="s">
        <v>8</v>
      </c>
      <c r="C790">
        <v>2020</v>
      </c>
      <c r="D790">
        <v>292</v>
      </c>
      <c r="E790" t="s">
        <v>9</v>
      </c>
      <c r="F790">
        <v>250.5</v>
      </c>
      <c r="G790">
        <v>41.5</v>
      </c>
      <c r="H790">
        <v>36000</v>
      </c>
      <c r="I790" t="s">
        <v>23</v>
      </c>
    </row>
    <row r="791" spans="1:9" hidden="1" x14ac:dyDescent="0.25">
      <c r="A791">
        <v>28</v>
      </c>
      <c r="B791" t="s">
        <v>8</v>
      </c>
      <c r="C791">
        <v>2020</v>
      </c>
      <c r="D791">
        <v>250.5</v>
      </c>
      <c r="E791">
        <v>-20</v>
      </c>
      <c r="F791">
        <v>191</v>
      </c>
      <c r="G791">
        <v>39.5</v>
      </c>
      <c r="H791">
        <v>36000</v>
      </c>
      <c r="I791" t="s">
        <v>23</v>
      </c>
    </row>
    <row r="792" spans="1:9" hidden="1" x14ac:dyDescent="0.25">
      <c r="A792">
        <v>29</v>
      </c>
      <c r="B792" t="s">
        <v>8</v>
      </c>
      <c r="C792">
        <v>2020</v>
      </c>
      <c r="D792">
        <v>191</v>
      </c>
      <c r="E792">
        <v>-100</v>
      </c>
      <c r="F792">
        <v>51</v>
      </c>
      <c r="G792">
        <v>40</v>
      </c>
      <c r="H792">
        <v>36000</v>
      </c>
      <c r="I792" t="s">
        <v>23</v>
      </c>
    </row>
    <row r="793" spans="1:9" hidden="1" x14ac:dyDescent="0.25">
      <c r="A793">
        <v>30</v>
      </c>
      <c r="B793" t="s">
        <v>8</v>
      </c>
      <c r="C793">
        <v>2020</v>
      </c>
      <c r="D793">
        <v>51</v>
      </c>
      <c r="E793">
        <v>298</v>
      </c>
      <c r="F793">
        <v>313.5</v>
      </c>
      <c r="G793">
        <v>35.5</v>
      </c>
      <c r="H793">
        <v>36000</v>
      </c>
      <c r="I793" t="s">
        <v>23</v>
      </c>
    </row>
    <row r="794" spans="1:9" hidden="1" x14ac:dyDescent="0.25">
      <c r="A794">
        <v>31</v>
      </c>
      <c r="B794" t="s">
        <v>8</v>
      </c>
      <c r="C794">
        <v>2020</v>
      </c>
      <c r="D794">
        <v>313.5</v>
      </c>
      <c r="E794" t="s">
        <v>9</v>
      </c>
      <c r="F794">
        <v>257.5</v>
      </c>
      <c r="G794">
        <v>56</v>
      </c>
      <c r="H794">
        <v>36000</v>
      </c>
      <c r="I794" t="s">
        <v>23</v>
      </c>
    </row>
    <row r="795" spans="1:9" x14ac:dyDescent="0.25">
      <c r="A795">
        <v>1</v>
      </c>
      <c r="B795" t="s">
        <v>11</v>
      </c>
      <c r="C795">
        <v>2020</v>
      </c>
      <c r="D795">
        <v>66</v>
      </c>
      <c r="E795" t="s">
        <v>9</v>
      </c>
      <c r="F795">
        <v>34</v>
      </c>
      <c r="G795">
        <v>32</v>
      </c>
      <c r="H795">
        <v>36000</v>
      </c>
      <c r="I795" t="s">
        <v>22</v>
      </c>
    </row>
    <row r="796" spans="1:9" x14ac:dyDescent="0.25">
      <c r="A796">
        <v>2</v>
      </c>
      <c r="B796" t="s">
        <v>11</v>
      </c>
      <c r="C796">
        <v>2020</v>
      </c>
      <c r="D796">
        <v>34</v>
      </c>
      <c r="E796">
        <v>40</v>
      </c>
      <c r="F796">
        <v>40.5</v>
      </c>
      <c r="G796">
        <v>33.5</v>
      </c>
      <c r="H796">
        <v>36000</v>
      </c>
      <c r="I796" t="s">
        <v>22</v>
      </c>
    </row>
    <row r="797" spans="1:9" x14ac:dyDescent="0.25">
      <c r="A797">
        <v>3</v>
      </c>
      <c r="B797" t="s">
        <v>11</v>
      </c>
      <c r="C797">
        <v>2020</v>
      </c>
      <c r="D797">
        <v>40.5</v>
      </c>
      <c r="E797">
        <v>100</v>
      </c>
      <c r="F797">
        <v>129.5</v>
      </c>
      <c r="G797">
        <v>11</v>
      </c>
      <c r="H797">
        <v>36000</v>
      </c>
      <c r="I797" t="s">
        <v>22</v>
      </c>
    </row>
    <row r="798" spans="1:9" x14ac:dyDescent="0.25">
      <c r="A798">
        <v>4</v>
      </c>
      <c r="B798" t="s">
        <v>11</v>
      </c>
      <c r="C798">
        <v>2020</v>
      </c>
      <c r="D798">
        <v>129.5</v>
      </c>
      <c r="E798" t="s">
        <v>9</v>
      </c>
      <c r="F798">
        <v>118.625</v>
      </c>
      <c r="G798">
        <v>10.875</v>
      </c>
      <c r="H798">
        <v>36000</v>
      </c>
      <c r="I798" t="s">
        <v>22</v>
      </c>
    </row>
    <row r="799" spans="1:9" x14ac:dyDescent="0.25">
      <c r="A799">
        <v>5</v>
      </c>
      <c r="B799" t="s">
        <v>11</v>
      </c>
      <c r="C799">
        <v>2020</v>
      </c>
      <c r="D799">
        <v>118.625</v>
      </c>
      <c r="E799" t="s">
        <v>9</v>
      </c>
      <c r="F799">
        <v>99.875</v>
      </c>
      <c r="G799">
        <v>18.75</v>
      </c>
      <c r="H799">
        <v>36000</v>
      </c>
      <c r="I799" t="s">
        <v>22</v>
      </c>
    </row>
    <row r="800" spans="1:9" x14ac:dyDescent="0.25">
      <c r="A800">
        <v>6</v>
      </c>
      <c r="B800" t="s">
        <v>11</v>
      </c>
      <c r="C800">
        <v>2020</v>
      </c>
      <c r="D800">
        <v>99.875</v>
      </c>
      <c r="E800" t="s">
        <v>9</v>
      </c>
      <c r="F800">
        <v>89.25</v>
      </c>
      <c r="G800">
        <v>10.625</v>
      </c>
      <c r="H800">
        <v>36000</v>
      </c>
      <c r="I800" t="s">
        <v>22</v>
      </c>
    </row>
    <row r="801" spans="1:9" x14ac:dyDescent="0.25">
      <c r="A801">
        <v>7</v>
      </c>
      <c r="B801" t="s">
        <v>11</v>
      </c>
      <c r="C801">
        <v>2020</v>
      </c>
      <c r="D801">
        <v>89.25</v>
      </c>
      <c r="E801" t="s">
        <v>9</v>
      </c>
      <c r="F801">
        <v>59</v>
      </c>
      <c r="G801">
        <v>30.25</v>
      </c>
      <c r="H801">
        <v>36000</v>
      </c>
      <c r="I801" t="s">
        <v>22</v>
      </c>
    </row>
    <row r="802" spans="1:9" x14ac:dyDescent="0.25">
      <c r="A802">
        <v>8</v>
      </c>
      <c r="B802" t="s">
        <v>11</v>
      </c>
      <c r="C802">
        <v>2020</v>
      </c>
      <c r="D802">
        <v>59</v>
      </c>
      <c r="E802" t="s">
        <v>9</v>
      </c>
      <c r="F802">
        <v>36.5</v>
      </c>
      <c r="G802">
        <v>22.5</v>
      </c>
      <c r="H802">
        <v>36000</v>
      </c>
      <c r="I802" t="s">
        <v>22</v>
      </c>
    </row>
    <row r="803" spans="1:9" x14ac:dyDescent="0.25">
      <c r="A803">
        <v>9</v>
      </c>
      <c r="B803" t="s">
        <v>11</v>
      </c>
      <c r="C803">
        <v>2020</v>
      </c>
      <c r="D803">
        <v>36.5</v>
      </c>
      <c r="E803">
        <v>25</v>
      </c>
      <c r="F803">
        <v>21</v>
      </c>
      <c r="G803">
        <v>40.5</v>
      </c>
      <c r="H803">
        <v>36000</v>
      </c>
      <c r="I803" t="s">
        <v>22</v>
      </c>
    </row>
    <row r="804" spans="1:9" x14ac:dyDescent="0.25">
      <c r="A804">
        <v>10</v>
      </c>
      <c r="B804" t="s">
        <v>11</v>
      </c>
      <c r="C804">
        <v>2020</v>
      </c>
      <c r="D804">
        <v>21</v>
      </c>
      <c r="E804" t="s">
        <v>9</v>
      </c>
      <c r="F804">
        <v>11</v>
      </c>
      <c r="G804">
        <v>10</v>
      </c>
      <c r="H804">
        <v>36000</v>
      </c>
      <c r="I804" t="s">
        <v>22</v>
      </c>
    </row>
    <row r="805" spans="1:9" x14ac:dyDescent="0.25">
      <c r="A805">
        <v>11</v>
      </c>
      <c r="B805" t="s">
        <v>11</v>
      </c>
      <c r="C805">
        <v>2020</v>
      </c>
      <c r="D805">
        <v>11</v>
      </c>
      <c r="E805">
        <v>20</v>
      </c>
      <c r="F805">
        <v>17</v>
      </c>
      <c r="G805">
        <v>14</v>
      </c>
      <c r="H805">
        <v>36000</v>
      </c>
      <c r="I805" t="s">
        <v>22</v>
      </c>
    </row>
    <row r="806" spans="1:9" x14ac:dyDescent="0.25">
      <c r="A806">
        <v>12</v>
      </c>
      <c r="B806" t="s">
        <v>11</v>
      </c>
      <c r="C806">
        <v>2020</v>
      </c>
      <c r="D806">
        <v>17</v>
      </c>
      <c r="E806">
        <v>20</v>
      </c>
      <c r="F806">
        <v>17</v>
      </c>
      <c r="G806">
        <v>20</v>
      </c>
      <c r="H806">
        <v>36000</v>
      </c>
      <c r="I806" t="s">
        <v>22</v>
      </c>
    </row>
    <row r="807" spans="1:9" x14ac:dyDescent="0.25">
      <c r="A807">
        <v>13</v>
      </c>
      <c r="B807" t="s">
        <v>11</v>
      </c>
      <c r="C807">
        <v>2020</v>
      </c>
      <c r="D807">
        <v>17</v>
      </c>
      <c r="E807">
        <v>10</v>
      </c>
      <c r="F807">
        <v>16</v>
      </c>
      <c r="G807">
        <v>11</v>
      </c>
      <c r="H807">
        <v>36000</v>
      </c>
      <c r="I807" t="s">
        <v>22</v>
      </c>
    </row>
    <row r="808" spans="1:9" x14ac:dyDescent="0.25">
      <c r="A808">
        <v>14</v>
      </c>
      <c r="B808" t="s">
        <v>11</v>
      </c>
      <c r="C808">
        <v>2020</v>
      </c>
      <c r="D808">
        <v>16</v>
      </c>
      <c r="E808">
        <v>40</v>
      </c>
      <c r="F808">
        <v>31.875</v>
      </c>
      <c r="G808">
        <v>24.125</v>
      </c>
      <c r="H808">
        <v>36000</v>
      </c>
      <c r="I808" t="s">
        <v>22</v>
      </c>
    </row>
    <row r="809" spans="1:9" x14ac:dyDescent="0.25">
      <c r="A809">
        <v>15</v>
      </c>
      <c r="B809" t="s">
        <v>11</v>
      </c>
      <c r="C809">
        <v>2020</v>
      </c>
      <c r="D809">
        <v>31.875</v>
      </c>
      <c r="E809">
        <v>30</v>
      </c>
      <c r="F809">
        <v>25.5</v>
      </c>
      <c r="G809">
        <v>36.375</v>
      </c>
      <c r="H809">
        <v>36000</v>
      </c>
      <c r="I809" t="s">
        <v>22</v>
      </c>
    </row>
    <row r="810" spans="1:9" x14ac:dyDescent="0.25">
      <c r="A810">
        <v>16</v>
      </c>
      <c r="B810" t="s">
        <v>11</v>
      </c>
      <c r="C810">
        <v>2020</v>
      </c>
      <c r="D810">
        <v>25.5</v>
      </c>
      <c r="E810">
        <v>40</v>
      </c>
      <c r="F810">
        <v>24.625</v>
      </c>
      <c r="G810">
        <v>40.875</v>
      </c>
      <c r="H810">
        <v>36000</v>
      </c>
      <c r="I810" t="s">
        <v>22</v>
      </c>
    </row>
    <row r="811" spans="1:9" x14ac:dyDescent="0.25">
      <c r="A811">
        <v>17</v>
      </c>
      <c r="B811" t="s">
        <v>11</v>
      </c>
      <c r="C811">
        <v>2020</v>
      </c>
      <c r="D811">
        <v>24.625</v>
      </c>
      <c r="E811">
        <v>10</v>
      </c>
      <c r="F811">
        <v>24</v>
      </c>
      <c r="G811">
        <v>10.625</v>
      </c>
      <c r="H811">
        <v>36000</v>
      </c>
      <c r="I811" t="s">
        <v>22</v>
      </c>
    </row>
    <row r="812" spans="1:9" x14ac:dyDescent="0.25">
      <c r="A812">
        <v>18</v>
      </c>
      <c r="B812" t="s">
        <v>11</v>
      </c>
      <c r="C812">
        <v>2020</v>
      </c>
      <c r="D812">
        <v>24</v>
      </c>
      <c r="E812">
        <v>20</v>
      </c>
      <c r="F812">
        <v>26.5</v>
      </c>
      <c r="G812">
        <v>17.5</v>
      </c>
      <c r="H812">
        <v>36000</v>
      </c>
      <c r="I812" t="s">
        <v>22</v>
      </c>
    </row>
    <row r="813" spans="1:9" x14ac:dyDescent="0.25">
      <c r="A813">
        <v>19</v>
      </c>
      <c r="B813" t="s">
        <v>11</v>
      </c>
      <c r="C813">
        <v>2020</v>
      </c>
      <c r="D813">
        <v>26.5</v>
      </c>
      <c r="E813">
        <v>10</v>
      </c>
      <c r="F813">
        <v>17</v>
      </c>
      <c r="G813">
        <v>19.5</v>
      </c>
      <c r="H813">
        <v>36000</v>
      </c>
      <c r="I813" t="s">
        <v>22</v>
      </c>
    </row>
    <row r="814" spans="1:9" x14ac:dyDescent="0.25">
      <c r="A814">
        <v>20</v>
      </c>
      <c r="B814" t="s">
        <v>11</v>
      </c>
      <c r="C814">
        <v>2020</v>
      </c>
      <c r="D814">
        <v>17</v>
      </c>
      <c r="E814">
        <v>20</v>
      </c>
      <c r="F814">
        <v>17</v>
      </c>
      <c r="G814">
        <v>20</v>
      </c>
      <c r="H814">
        <v>36000</v>
      </c>
      <c r="I814" t="s">
        <v>22</v>
      </c>
    </row>
    <row r="815" spans="1:9" x14ac:dyDescent="0.25">
      <c r="A815">
        <v>21</v>
      </c>
      <c r="B815" t="s">
        <v>11</v>
      </c>
      <c r="C815">
        <v>2020</v>
      </c>
      <c r="D815">
        <v>17</v>
      </c>
      <c r="E815">
        <v>20</v>
      </c>
      <c r="F815">
        <v>20</v>
      </c>
      <c r="G815">
        <v>17</v>
      </c>
      <c r="H815">
        <v>36000</v>
      </c>
      <c r="I815" t="s">
        <v>22</v>
      </c>
    </row>
    <row r="816" spans="1:9" x14ac:dyDescent="0.25">
      <c r="A816">
        <v>22</v>
      </c>
      <c r="B816" t="s">
        <v>11</v>
      </c>
      <c r="C816">
        <v>2020</v>
      </c>
      <c r="D816">
        <v>20</v>
      </c>
      <c r="E816">
        <v>40</v>
      </c>
      <c r="F816">
        <v>20</v>
      </c>
      <c r="G816">
        <v>40</v>
      </c>
      <c r="H816">
        <v>36000</v>
      </c>
      <c r="I816" t="s">
        <v>22</v>
      </c>
    </row>
    <row r="817" spans="1:9" x14ac:dyDescent="0.25">
      <c r="A817">
        <v>23</v>
      </c>
      <c r="B817" t="s">
        <v>11</v>
      </c>
      <c r="C817">
        <v>2020</v>
      </c>
      <c r="D817">
        <v>20</v>
      </c>
      <c r="E817">
        <v>40</v>
      </c>
      <c r="F817">
        <v>18</v>
      </c>
      <c r="G817">
        <v>42</v>
      </c>
      <c r="H817">
        <v>36000</v>
      </c>
      <c r="I817" t="s">
        <v>22</v>
      </c>
    </row>
    <row r="818" spans="1:9" x14ac:dyDescent="0.25">
      <c r="A818">
        <v>24</v>
      </c>
      <c r="B818" t="s">
        <v>11</v>
      </c>
      <c r="C818">
        <v>2020</v>
      </c>
      <c r="D818">
        <v>18</v>
      </c>
      <c r="E818">
        <v>10</v>
      </c>
      <c r="F818">
        <v>22</v>
      </c>
      <c r="G818">
        <v>6</v>
      </c>
      <c r="H818">
        <v>36000</v>
      </c>
      <c r="I818" t="s">
        <v>22</v>
      </c>
    </row>
    <row r="819" spans="1:9" x14ac:dyDescent="0.25">
      <c r="A819">
        <v>25</v>
      </c>
      <c r="B819" t="s">
        <v>11</v>
      </c>
      <c r="C819">
        <v>2020</v>
      </c>
      <c r="D819">
        <v>22</v>
      </c>
      <c r="E819">
        <v>20</v>
      </c>
      <c r="F819">
        <v>29</v>
      </c>
      <c r="G819">
        <v>13</v>
      </c>
      <c r="H819">
        <v>36000</v>
      </c>
      <c r="I819" t="s">
        <v>22</v>
      </c>
    </row>
    <row r="820" spans="1:9" x14ac:dyDescent="0.25">
      <c r="A820">
        <v>26</v>
      </c>
      <c r="B820" t="s">
        <v>11</v>
      </c>
      <c r="C820">
        <v>2020</v>
      </c>
      <c r="D820">
        <v>29</v>
      </c>
      <c r="E820" t="s">
        <v>9</v>
      </c>
      <c r="F820">
        <v>16</v>
      </c>
      <c r="G820">
        <v>13</v>
      </c>
      <c r="H820">
        <v>36000</v>
      </c>
      <c r="I820" t="s">
        <v>22</v>
      </c>
    </row>
    <row r="821" spans="1:9" x14ac:dyDescent="0.25">
      <c r="A821">
        <v>27</v>
      </c>
      <c r="B821" t="s">
        <v>11</v>
      </c>
      <c r="C821">
        <v>2020</v>
      </c>
      <c r="D821">
        <v>16</v>
      </c>
      <c r="E821">
        <v>20</v>
      </c>
      <c r="F821">
        <v>25.5</v>
      </c>
      <c r="G821">
        <v>10.5</v>
      </c>
      <c r="H821">
        <v>36000</v>
      </c>
      <c r="I821" t="s">
        <v>22</v>
      </c>
    </row>
    <row r="822" spans="1:9" x14ac:dyDescent="0.25">
      <c r="A822">
        <v>28</v>
      </c>
      <c r="B822" t="s">
        <v>11</v>
      </c>
      <c r="C822">
        <v>2020</v>
      </c>
      <c r="D822">
        <v>25.5</v>
      </c>
      <c r="E822">
        <v>30</v>
      </c>
      <c r="F822">
        <v>30</v>
      </c>
      <c r="G822">
        <v>25.5</v>
      </c>
      <c r="H822">
        <v>36000</v>
      </c>
      <c r="I822" t="s">
        <v>22</v>
      </c>
    </row>
    <row r="823" spans="1:9" x14ac:dyDescent="0.25">
      <c r="A823">
        <v>29</v>
      </c>
      <c r="B823" t="s">
        <v>11</v>
      </c>
      <c r="C823">
        <v>2020</v>
      </c>
      <c r="D823">
        <v>30</v>
      </c>
      <c r="E823">
        <v>50</v>
      </c>
      <c r="F823">
        <v>47</v>
      </c>
      <c r="G823">
        <v>33</v>
      </c>
      <c r="H823">
        <v>36000</v>
      </c>
      <c r="I823" t="s">
        <v>22</v>
      </c>
    </row>
    <row r="824" spans="1:9" hidden="1" x14ac:dyDescent="0.25">
      <c r="A824">
        <v>1</v>
      </c>
      <c r="B824" t="s">
        <v>11</v>
      </c>
      <c r="C824">
        <v>2020</v>
      </c>
      <c r="D824">
        <v>257.5</v>
      </c>
      <c r="E824" t="s">
        <v>9</v>
      </c>
      <c r="F824">
        <v>171</v>
      </c>
      <c r="G824">
        <v>86.5</v>
      </c>
      <c r="H824">
        <v>36000</v>
      </c>
      <c r="I824" t="s">
        <v>23</v>
      </c>
    </row>
    <row r="825" spans="1:9" hidden="1" x14ac:dyDescent="0.25">
      <c r="A825">
        <v>2</v>
      </c>
      <c r="B825" t="s">
        <v>11</v>
      </c>
      <c r="C825">
        <v>2020</v>
      </c>
      <c r="D825">
        <v>171</v>
      </c>
      <c r="E825">
        <v>-40</v>
      </c>
      <c r="F825">
        <v>53</v>
      </c>
      <c r="G825">
        <v>78</v>
      </c>
      <c r="H825">
        <v>36000</v>
      </c>
      <c r="I825" t="s">
        <v>23</v>
      </c>
    </row>
    <row r="826" spans="1:9" hidden="1" x14ac:dyDescent="0.25">
      <c r="A826">
        <v>3</v>
      </c>
      <c r="B826" t="s">
        <v>11</v>
      </c>
      <c r="C826">
        <v>2020</v>
      </c>
      <c r="D826">
        <v>53</v>
      </c>
      <c r="E826">
        <v>249</v>
      </c>
      <c r="F826">
        <v>263.5</v>
      </c>
      <c r="G826">
        <v>38.5</v>
      </c>
      <c r="H826">
        <v>36000</v>
      </c>
      <c r="I826" t="s">
        <v>23</v>
      </c>
    </row>
    <row r="827" spans="1:9" hidden="1" x14ac:dyDescent="0.25">
      <c r="A827">
        <v>4</v>
      </c>
      <c r="B827" t="s">
        <v>11</v>
      </c>
      <c r="C827">
        <v>2020</v>
      </c>
      <c r="D827">
        <v>263.5</v>
      </c>
      <c r="E827" t="s">
        <v>9</v>
      </c>
      <c r="F827">
        <v>227</v>
      </c>
      <c r="G827">
        <v>36.5</v>
      </c>
      <c r="H827">
        <v>36000</v>
      </c>
      <c r="I827" t="s">
        <v>23</v>
      </c>
    </row>
    <row r="828" spans="1:9" hidden="1" x14ac:dyDescent="0.25">
      <c r="A828">
        <v>5</v>
      </c>
      <c r="B828" t="s">
        <v>11</v>
      </c>
      <c r="C828">
        <v>2020</v>
      </c>
      <c r="D828">
        <v>227</v>
      </c>
      <c r="E828" t="s">
        <v>9</v>
      </c>
      <c r="F828">
        <v>184</v>
      </c>
      <c r="G828">
        <v>43</v>
      </c>
      <c r="H828">
        <v>36000</v>
      </c>
      <c r="I828" t="s">
        <v>23</v>
      </c>
    </row>
    <row r="829" spans="1:9" hidden="1" x14ac:dyDescent="0.25">
      <c r="A829">
        <v>6</v>
      </c>
      <c r="B829" t="s">
        <v>11</v>
      </c>
      <c r="C829">
        <v>2020</v>
      </c>
      <c r="D829">
        <v>184</v>
      </c>
      <c r="E829" t="s">
        <v>9</v>
      </c>
      <c r="F829">
        <v>146.5</v>
      </c>
      <c r="G829">
        <v>37.5</v>
      </c>
      <c r="H829">
        <v>36000</v>
      </c>
      <c r="I829" t="s">
        <v>23</v>
      </c>
    </row>
    <row r="830" spans="1:9" hidden="1" x14ac:dyDescent="0.25">
      <c r="A830">
        <v>7</v>
      </c>
      <c r="B830" t="s">
        <v>11</v>
      </c>
      <c r="C830">
        <v>2020</v>
      </c>
      <c r="D830">
        <v>146.5</v>
      </c>
      <c r="E830" t="s">
        <v>9</v>
      </c>
      <c r="F830">
        <v>94.5</v>
      </c>
      <c r="G830">
        <v>52</v>
      </c>
      <c r="H830">
        <v>36000</v>
      </c>
      <c r="I830" t="s">
        <v>23</v>
      </c>
    </row>
    <row r="831" spans="1:9" hidden="1" x14ac:dyDescent="0.25">
      <c r="A831">
        <v>8</v>
      </c>
      <c r="B831" t="s">
        <v>11</v>
      </c>
      <c r="C831">
        <v>2020</v>
      </c>
      <c r="D831">
        <v>94.5</v>
      </c>
      <c r="E831">
        <v>199</v>
      </c>
      <c r="F831">
        <v>223.5</v>
      </c>
      <c r="G831">
        <v>70</v>
      </c>
      <c r="H831">
        <v>36000</v>
      </c>
      <c r="I831" t="s">
        <v>23</v>
      </c>
    </row>
    <row r="832" spans="1:9" hidden="1" x14ac:dyDescent="0.25">
      <c r="A832">
        <v>9</v>
      </c>
      <c r="B832" t="s">
        <v>11</v>
      </c>
      <c r="C832">
        <v>2020</v>
      </c>
      <c r="D832">
        <v>223.5</v>
      </c>
      <c r="E832">
        <v>-25</v>
      </c>
      <c r="F832">
        <v>123</v>
      </c>
      <c r="G832">
        <v>75.5</v>
      </c>
      <c r="H832">
        <v>36000</v>
      </c>
      <c r="I832" t="s">
        <v>23</v>
      </c>
    </row>
    <row r="833" spans="1:9" hidden="1" x14ac:dyDescent="0.25">
      <c r="A833">
        <v>10</v>
      </c>
      <c r="B833" t="s">
        <v>11</v>
      </c>
      <c r="C833">
        <v>2020</v>
      </c>
      <c r="D833">
        <v>123</v>
      </c>
      <c r="E833">
        <v>250</v>
      </c>
      <c r="F833">
        <v>343</v>
      </c>
      <c r="G833">
        <v>30</v>
      </c>
      <c r="H833">
        <v>36000</v>
      </c>
      <c r="I833" t="s">
        <v>23</v>
      </c>
    </row>
    <row r="834" spans="1:9" hidden="1" x14ac:dyDescent="0.25">
      <c r="A834">
        <v>11</v>
      </c>
      <c r="B834" t="s">
        <v>11</v>
      </c>
      <c r="C834">
        <v>2020</v>
      </c>
      <c r="D834">
        <v>343</v>
      </c>
      <c r="E834">
        <v>-20</v>
      </c>
      <c r="F834">
        <v>284.5</v>
      </c>
      <c r="G834">
        <v>38.5</v>
      </c>
      <c r="H834">
        <v>36000</v>
      </c>
      <c r="I834" t="s">
        <v>23</v>
      </c>
    </row>
    <row r="835" spans="1:9" hidden="1" x14ac:dyDescent="0.25">
      <c r="A835">
        <v>12</v>
      </c>
      <c r="B835" t="s">
        <v>11</v>
      </c>
      <c r="C835">
        <v>2020</v>
      </c>
      <c r="D835">
        <v>284.5</v>
      </c>
      <c r="E835">
        <v>-20</v>
      </c>
      <c r="F835">
        <v>229</v>
      </c>
      <c r="G835">
        <v>35.5</v>
      </c>
      <c r="H835">
        <v>36000</v>
      </c>
      <c r="I835" t="s">
        <v>23</v>
      </c>
    </row>
    <row r="836" spans="1:9" hidden="1" x14ac:dyDescent="0.25">
      <c r="A836">
        <v>13</v>
      </c>
      <c r="B836" t="s">
        <v>11</v>
      </c>
      <c r="C836">
        <v>2020</v>
      </c>
      <c r="D836">
        <v>229</v>
      </c>
      <c r="E836">
        <v>140</v>
      </c>
      <c r="F836">
        <v>334.5</v>
      </c>
      <c r="G836">
        <v>34.5</v>
      </c>
      <c r="H836">
        <v>36000</v>
      </c>
      <c r="I836" t="s">
        <v>23</v>
      </c>
    </row>
    <row r="837" spans="1:9" hidden="1" x14ac:dyDescent="0.25">
      <c r="A837">
        <v>14</v>
      </c>
      <c r="B837" t="s">
        <v>11</v>
      </c>
      <c r="C837">
        <v>2020</v>
      </c>
      <c r="D837">
        <v>334.5</v>
      </c>
      <c r="E837">
        <v>-40</v>
      </c>
      <c r="F837">
        <v>248.5</v>
      </c>
      <c r="G837">
        <v>46</v>
      </c>
      <c r="H837">
        <v>36000</v>
      </c>
      <c r="I837" t="s">
        <v>23</v>
      </c>
    </row>
    <row r="838" spans="1:9" hidden="1" x14ac:dyDescent="0.25">
      <c r="A838">
        <v>15</v>
      </c>
      <c r="B838" t="s">
        <v>11</v>
      </c>
      <c r="C838">
        <v>2020</v>
      </c>
      <c r="D838">
        <v>248.5</v>
      </c>
      <c r="E838">
        <v>-30</v>
      </c>
      <c r="F838">
        <v>148</v>
      </c>
      <c r="G838">
        <v>70.5</v>
      </c>
      <c r="H838">
        <v>36000</v>
      </c>
      <c r="I838" t="s">
        <v>23</v>
      </c>
    </row>
    <row r="839" spans="1:9" hidden="1" x14ac:dyDescent="0.25">
      <c r="A839">
        <v>16</v>
      </c>
      <c r="B839" t="s">
        <v>11</v>
      </c>
      <c r="C839">
        <v>2020</v>
      </c>
      <c r="D839">
        <v>148</v>
      </c>
      <c r="E839">
        <v>-40</v>
      </c>
      <c r="F839">
        <v>38</v>
      </c>
      <c r="G839">
        <v>70</v>
      </c>
      <c r="H839">
        <v>36000</v>
      </c>
      <c r="I839" t="s">
        <v>23</v>
      </c>
    </row>
    <row r="840" spans="1:9" hidden="1" x14ac:dyDescent="0.25">
      <c r="A840">
        <v>17</v>
      </c>
      <c r="B840" t="s">
        <v>11</v>
      </c>
      <c r="C840">
        <v>2020</v>
      </c>
      <c r="D840">
        <v>38</v>
      </c>
      <c r="E840">
        <v>291</v>
      </c>
      <c r="F840">
        <v>310.5</v>
      </c>
      <c r="G840">
        <v>18.5</v>
      </c>
      <c r="H840">
        <v>36000</v>
      </c>
      <c r="I840" t="s">
        <v>23</v>
      </c>
    </row>
    <row r="841" spans="1:9" hidden="1" x14ac:dyDescent="0.25">
      <c r="A841">
        <v>18</v>
      </c>
      <c r="B841" t="s">
        <v>11</v>
      </c>
      <c r="C841">
        <v>2020</v>
      </c>
      <c r="D841">
        <v>310.5</v>
      </c>
      <c r="E841">
        <v>-20</v>
      </c>
      <c r="F841">
        <v>256</v>
      </c>
      <c r="G841">
        <v>34.5</v>
      </c>
      <c r="H841">
        <v>36000</v>
      </c>
      <c r="I841" t="s">
        <v>23</v>
      </c>
    </row>
    <row r="842" spans="1:9" hidden="1" x14ac:dyDescent="0.25">
      <c r="A842">
        <v>19</v>
      </c>
      <c r="B842" t="s">
        <v>11</v>
      </c>
      <c r="C842">
        <v>2020</v>
      </c>
      <c r="D842">
        <v>256</v>
      </c>
      <c r="E842">
        <v>-10</v>
      </c>
      <c r="F842">
        <v>211</v>
      </c>
      <c r="G842">
        <v>35</v>
      </c>
      <c r="H842">
        <v>36000</v>
      </c>
      <c r="I842" t="s">
        <v>23</v>
      </c>
    </row>
    <row r="843" spans="1:9" hidden="1" x14ac:dyDescent="0.25">
      <c r="A843">
        <v>20</v>
      </c>
      <c r="B843" t="s">
        <v>11</v>
      </c>
      <c r="C843">
        <v>2020</v>
      </c>
      <c r="D843">
        <v>211</v>
      </c>
      <c r="E843">
        <v>-20</v>
      </c>
      <c r="F843">
        <v>156</v>
      </c>
      <c r="G843">
        <v>35</v>
      </c>
      <c r="H843">
        <v>36000</v>
      </c>
      <c r="I843" t="s">
        <v>23</v>
      </c>
    </row>
    <row r="844" spans="1:9" hidden="1" x14ac:dyDescent="0.25">
      <c r="A844">
        <v>21</v>
      </c>
      <c r="B844" t="s">
        <v>11</v>
      </c>
      <c r="C844">
        <v>2020</v>
      </c>
      <c r="D844">
        <v>156</v>
      </c>
      <c r="E844">
        <v>-20</v>
      </c>
      <c r="F844">
        <v>86</v>
      </c>
      <c r="G844">
        <v>50</v>
      </c>
      <c r="H844">
        <v>36000</v>
      </c>
      <c r="I844" t="s">
        <v>23</v>
      </c>
    </row>
    <row r="845" spans="1:9" hidden="1" x14ac:dyDescent="0.25">
      <c r="A845">
        <v>22</v>
      </c>
      <c r="B845" t="s">
        <v>11</v>
      </c>
      <c r="C845">
        <v>2020</v>
      </c>
      <c r="D845">
        <v>86</v>
      </c>
      <c r="E845">
        <v>260</v>
      </c>
      <c r="F845">
        <v>284</v>
      </c>
      <c r="G845">
        <v>62</v>
      </c>
      <c r="H845">
        <v>36000</v>
      </c>
      <c r="I845" t="s">
        <v>23</v>
      </c>
    </row>
    <row r="846" spans="1:9" hidden="1" x14ac:dyDescent="0.25">
      <c r="A846">
        <v>23</v>
      </c>
      <c r="B846" t="s">
        <v>11</v>
      </c>
      <c r="C846">
        <v>2020</v>
      </c>
      <c r="D846">
        <v>284</v>
      </c>
      <c r="E846">
        <v>-40</v>
      </c>
      <c r="F846">
        <v>163</v>
      </c>
      <c r="G846">
        <v>81</v>
      </c>
      <c r="H846">
        <v>36000</v>
      </c>
      <c r="I846" t="s">
        <v>23</v>
      </c>
    </row>
    <row r="847" spans="1:9" hidden="1" x14ac:dyDescent="0.25">
      <c r="A847">
        <v>24</v>
      </c>
      <c r="B847" t="s">
        <v>11</v>
      </c>
      <c r="C847">
        <v>2020</v>
      </c>
      <c r="D847">
        <v>163</v>
      </c>
      <c r="E847">
        <v>190</v>
      </c>
      <c r="F847">
        <v>329</v>
      </c>
      <c r="G847">
        <v>24</v>
      </c>
      <c r="H847">
        <v>36000</v>
      </c>
      <c r="I847" t="s">
        <v>23</v>
      </c>
    </row>
    <row r="848" spans="1:9" hidden="1" x14ac:dyDescent="0.25">
      <c r="A848">
        <v>25</v>
      </c>
      <c r="B848" t="s">
        <v>11</v>
      </c>
      <c r="C848">
        <v>2020</v>
      </c>
      <c r="D848">
        <v>329</v>
      </c>
      <c r="E848">
        <v>-20</v>
      </c>
      <c r="F848">
        <v>264.5</v>
      </c>
      <c r="G848">
        <v>44.5</v>
      </c>
      <c r="H848">
        <v>36000</v>
      </c>
      <c r="I848" t="s">
        <v>23</v>
      </c>
    </row>
    <row r="849" spans="1:9" hidden="1" x14ac:dyDescent="0.25">
      <c r="A849">
        <v>26</v>
      </c>
      <c r="B849" t="s">
        <v>11</v>
      </c>
      <c r="C849">
        <v>2020</v>
      </c>
      <c r="D849">
        <v>264.5</v>
      </c>
      <c r="E849" t="s">
        <v>9</v>
      </c>
      <c r="F849">
        <v>233.5</v>
      </c>
      <c r="G849">
        <v>31</v>
      </c>
      <c r="H849">
        <v>36000</v>
      </c>
      <c r="I849" t="s">
        <v>23</v>
      </c>
    </row>
    <row r="850" spans="1:9" hidden="1" x14ac:dyDescent="0.25">
      <c r="A850">
        <v>27</v>
      </c>
      <c r="B850" t="s">
        <v>11</v>
      </c>
      <c r="C850">
        <v>2020</v>
      </c>
      <c r="D850">
        <v>233.5</v>
      </c>
      <c r="E850">
        <v>280</v>
      </c>
      <c r="F850">
        <v>468</v>
      </c>
      <c r="G850">
        <v>45.5</v>
      </c>
      <c r="H850">
        <v>36000</v>
      </c>
      <c r="I850" t="s">
        <v>23</v>
      </c>
    </row>
    <row r="851" spans="1:9" hidden="1" x14ac:dyDescent="0.25">
      <c r="A851">
        <v>28</v>
      </c>
      <c r="B851" t="s">
        <v>11</v>
      </c>
      <c r="C851">
        <v>2020</v>
      </c>
      <c r="D851">
        <v>468</v>
      </c>
      <c r="E851">
        <v>-30</v>
      </c>
      <c r="F851">
        <v>383</v>
      </c>
      <c r="G851">
        <v>55</v>
      </c>
      <c r="H851">
        <v>36000</v>
      </c>
      <c r="I851" t="s">
        <v>23</v>
      </c>
    </row>
    <row r="852" spans="1:9" hidden="1" x14ac:dyDescent="0.25">
      <c r="A852">
        <v>29</v>
      </c>
      <c r="B852" t="s">
        <v>11</v>
      </c>
      <c r="C852">
        <v>2020</v>
      </c>
      <c r="D852">
        <v>383</v>
      </c>
      <c r="E852">
        <v>-50</v>
      </c>
      <c r="F852">
        <v>268</v>
      </c>
      <c r="G852">
        <v>65</v>
      </c>
      <c r="H852">
        <v>36000</v>
      </c>
      <c r="I852" t="s">
        <v>23</v>
      </c>
    </row>
    <row r="853" spans="1:9" x14ac:dyDescent="0.25">
      <c r="A853">
        <v>1</v>
      </c>
      <c r="B853" t="s">
        <v>12</v>
      </c>
      <c r="C853">
        <v>2020</v>
      </c>
      <c r="D853">
        <v>47</v>
      </c>
      <c r="E853">
        <v>10</v>
      </c>
      <c r="F853">
        <v>26</v>
      </c>
      <c r="G853">
        <v>31</v>
      </c>
      <c r="H853">
        <v>36000</v>
      </c>
      <c r="I853" t="s">
        <v>22</v>
      </c>
    </row>
    <row r="854" spans="1:9" x14ac:dyDescent="0.25">
      <c r="A854">
        <v>2</v>
      </c>
      <c r="B854" t="s">
        <v>12</v>
      </c>
      <c r="C854">
        <v>2020</v>
      </c>
      <c r="D854">
        <v>26</v>
      </c>
      <c r="E854" t="s">
        <v>9</v>
      </c>
      <c r="F854">
        <v>13.875</v>
      </c>
      <c r="G854">
        <v>12.125</v>
      </c>
      <c r="H854">
        <v>36000</v>
      </c>
      <c r="I854" t="s">
        <v>22</v>
      </c>
    </row>
    <row r="855" spans="1:9" x14ac:dyDescent="0.25">
      <c r="A855">
        <v>3</v>
      </c>
      <c r="B855" t="s">
        <v>12</v>
      </c>
      <c r="C855">
        <v>2020</v>
      </c>
      <c r="D855">
        <v>13.875</v>
      </c>
      <c r="E855">
        <v>70</v>
      </c>
      <c r="F855">
        <v>69.5</v>
      </c>
      <c r="G855">
        <v>14.375</v>
      </c>
      <c r="H855">
        <v>36000</v>
      </c>
      <c r="I855" t="s">
        <v>22</v>
      </c>
    </row>
    <row r="856" spans="1:9" x14ac:dyDescent="0.25">
      <c r="A856">
        <v>4</v>
      </c>
      <c r="B856" t="s">
        <v>12</v>
      </c>
      <c r="C856">
        <v>2020</v>
      </c>
      <c r="D856">
        <v>69.5</v>
      </c>
      <c r="E856" t="s">
        <v>9</v>
      </c>
      <c r="F856">
        <v>55.5</v>
      </c>
      <c r="G856">
        <v>14</v>
      </c>
      <c r="H856">
        <v>36000</v>
      </c>
      <c r="I856" t="s">
        <v>22</v>
      </c>
    </row>
    <row r="857" spans="1:9" x14ac:dyDescent="0.25">
      <c r="A857">
        <v>5</v>
      </c>
      <c r="B857" t="s">
        <v>12</v>
      </c>
      <c r="C857">
        <v>2020</v>
      </c>
      <c r="D857">
        <v>55.5</v>
      </c>
      <c r="E857" t="s">
        <v>9</v>
      </c>
      <c r="F857">
        <v>41.25</v>
      </c>
      <c r="G857">
        <v>14.25</v>
      </c>
      <c r="H857">
        <v>36000</v>
      </c>
      <c r="I857" t="s">
        <v>22</v>
      </c>
    </row>
    <row r="858" spans="1:9" x14ac:dyDescent="0.25">
      <c r="A858">
        <v>6</v>
      </c>
      <c r="B858" t="s">
        <v>12</v>
      </c>
      <c r="C858">
        <v>2020</v>
      </c>
      <c r="D858">
        <v>41.25</v>
      </c>
      <c r="E858">
        <v>20</v>
      </c>
      <c r="F858">
        <v>39.5</v>
      </c>
      <c r="G858">
        <v>21.75</v>
      </c>
      <c r="H858">
        <v>36000</v>
      </c>
      <c r="I858" t="s">
        <v>22</v>
      </c>
    </row>
    <row r="859" spans="1:9" x14ac:dyDescent="0.25">
      <c r="A859">
        <v>7</v>
      </c>
      <c r="B859" t="s">
        <v>12</v>
      </c>
      <c r="C859">
        <v>2020</v>
      </c>
      <c r="D859">
        <v>39.5</v>
      </c>
      <c r="E859">
        <v>60</v>
      </c>
      <c r="F859">
        <v>66.25</v>
      </c>
      <c r="G859">
        <v>33.25</v>
      </c>
      <c r="H859">
        <v>36000</v>
      </c>
      <c r="I859" t="s">
        <v>22</v>
      </c>
    </row>
    <row r="860" spans="1:9" x14ac:dyDescent="0.25">
      <c r="A860">
        <v>8</v>
      </c>
      <c r="B860" t="s">
        <v>12</v>
      </c>
      <c r="C860">
        <v>2020</v>
      </c>
      <c r="D860">
        <v>66.25</v>
      </c>
      <c r="E860" t="s">
        <v>9</v>
      </c>
      <c r="F860">
        <v>33.75</v>
      </c>
      <c r="G860">
        <v>32.5</v>
      </c>
      <c r="H860">
        <v>36000</v>
      </c>
      <c r="I860" t="s">
        <v>22</v>
      </c>
    </row>
    <row r="861" spans="1:9" x14ac:dyDescent="0.25">
      <c r="A861">
        <v>9</v>
      </c>
      <c r="B861" t="s">
        <v>12</v>
      </c>
      <c r="C861">
        <v>2020</v>
      </c>
      <c r="D861">
        <v>33.75</v>
      </c>
      <c r="E861" t="s">
        <v>9</v>
      </c>
      <c r="F861">
        <v>29.375</v>
      </c>
      <c r="G861">
        <v>4.375</v>
      </c>
      <c r="H861">
        <v>36000</v>
      </c>
      <c r="I861" t="s">
        <v>22</v>
      </c>
    </row>
    <row r="862" spans="1:9" x14ac:dyDescent="0.25">
      <c r="A862">
        <v>10</v>
      </c>
      <c r="B862" t="s">
        <v>12</v>
      </c>
      <c r="C862">
        <v>2020</v>
      </c>
      <c r="D862">
        <v>29.375</v>
      </c>
      <c r="E862" t="s">
        <v>9</v>
      </c>
      <c r="F862">
        <v>13.875</v>
      </c>
      <c r="G862">
        <v>15.5</v>
      </c>
      <c r="H862">
        <v>36000</v>
      </c>
      <c r="I862" t="s">
        <v>22</v>
      </c>
    </row>
    <row r="863" spans="1:9" x14ac:dyDescent="0.25">
      <c r="A863">
        <v>11</v>
      </c>
      <c r="B863" t="s">
        <v>12</v>
      </c>
      <c r="C863">
        <v>2020</v>
      </c>
      <c r="D863">
        <v>13.875</v>
      </c>
      <c r="E863">
        <v>100</v>
      </c>
      <c r="F863">
        <v>95</v>
      </c>
      <c r="G863">
        <v>18.875</v>
      </c>
      <c r="H863">
        <v>36000</v>
      </c>
      <c r="I863" t="s">
        <v>22</v>
      </c>
    </row>
    <row r="864" spans="1:9" x14ac:dyDescent="0.25">
      <c r="A864">
        <v>12</v>
      </c>
      <c r="B864" t="s">
        <v>12</v>
      </c>
      <c r="C864">
        <v>2020</v>
      </c>
      <c r="D864">
        <v>95</v>
      </c>
      <c r="E864" t="s">
        <v>9</v>
      </c>
      <c r="F864">
        <v>85.5</v>
      </c>
      <c r="G864">
        <v>9.5</v>
      </c>
      <c r="H864">
        <v>36000</v>
      </c>
      <c r="I864" t="s">
        <v>22</v>
      </c>
    </row>
    <row r="865" spans="1:9" x14ac:dyDescent="0.25">
      <c r="A865">
        <v>13</v>
      </c>
      <c r="B865" t="s">
        <v>12</v>
      </c>
      <c r="C865">
        <v>2020</v>
      </c>
      <c r="D865">
        <v>85.5</v>
      </c>
      <c r="E865" t="s">
        <v>9</v>
      </c>
      <c r="F865">
        <v>71.375</v>
      </c>
      <c r="G865">
        <v>14.125</v>
      </c>
      <c r="H865">
        <v>36000</v>
      </c>
      <c r="I865" t="s">
        <v>22</v>
      </c>
    </row>
    <row r="866" spans="1:9" x14ac:dyDescent="0.25">
      <c r="A866">
        <v>14</v>
      </c>
      <c r="B866" t="s">
        <v>12</v>
      </c>
      <c r="C866">
        <v>2020</v>
      </c>
      <c r="D866">
        <v>71.375</v>
      </c>
      <c r="E866" t="s">
        <v>9</v>
      </c>
      <c r="F866">
        <v>44.625</v>
      </c>
      <c r="G866">
        <v>26.75</v>
      </c>
      <c r="H866">
        <v>36000</v>
      </c>
      <c r="I866" t="s">
        <v>22</v>
      </c>
    </row>
    <row r="867" spans="1:9" x14ac:dyDescent="0.25">
      <c r="A867">
        <v>15</v>
      </c>
      <c r="B867" t="s">
        <v>12</v>
      </c>
      <c r="C867">
        <v>2020</v>
      </c>
      <c r="D867">
        <v>44.625</v>
      </c>
      <c r="E867" t="s">
        <v>9</v>
      </c>
      <c r="F867">
        <v>24</v>
      </c>
      <c r="G867">
        <v>20.625</v>
      </c>
      <c r="H867">
        <v>36000</v>
      </c>
      <c r="I867" t="s">
        <v>22</v>
      </c>
    </row>
    <row r="868" spans="1:9" x14ac:dyDescent="0.25">
      <c r="A868">
        <v>16</v>
      </c>
      <c r="B868" t="s">
        <v>12</v>
      </c>
      <c r="C868">
        <v>2020</v>
      </c>
      <c r="D868">
        <v>24</v>
      </c>
      <c r="E868" t="s">
        <v>9</v>
      </c>
      <c r="F868">
        <v>16.375</v>
      </c>
      <c r="G868">
        <v>7.625</v>
      </c>
      <c r="H868">
        <v>36000</v>
      </c>
      <c r="I868" t="s">
        <v>22</v>
      </c>
    </row>
    <row r="869" spans="1:9" x14ac:dyDescent="0.25">
      <c r="A869">
        <v>17</v>
      </c>
      <c r="B869" t="s">
        <v>12</v>
      </c>
      <c r="C869">
        <v>2020</v>
      </c>
      <c r="D869">
        <v>16.375</v>
      </c>
      <c r="E869">
        <v>-9</v>
      </c>
      <c r="F869">
        <v>0</v>
      </c>
      <c r="G869">
        <v>7.375</v>
      </c>
      <c r="H869">
        <v>36000</v>
      </c>
      <c r="I869" t="s">
        <v>22</v>
      </c>
    </row>
    <row r="870" spans="1:9" x14ac:dyDescent="0.25">
      <c r="A870">
        <v>18</v>
      </c>
      <c r="B870" t="s">
        <v>12</v>
      </c>
      <c r="C870">
        <v>2020</v>
      </c>
      <c r="D870">
        <v>0</v>
      </c>
      <c r="E870" t="s">
        <v>9</v>
      </c>
      <c r="F870">
        <v>0</v>
      </c>
      <c r="G870">
        <v>0</v>
      </c>
      <c r="H870">
        <v>36000</v>
      </c>
      <c r="I870" t="s">
        <v>22</v>
      </c>
    </row>
    <row r="871" spans="1:9" x14ac:dyDescent="0.25">
      <c r="A871">
        <v>19</v>
      </c>
      <c r="B871" t="s">
        <v>12</v>
      </c>
      <c r="C871">
        <v>2020</v>
      </c>
      <c r="D871">
        <v>0</v>
      </c>
      <c r="E871" t="s">
        <v>9</v>
      </c>
      <c r="F871">
        <v>0</v>
      </c>
      <c r="G871">
        <v>0</v>
      </c>
      <c r="H871">
        <v>36000</v>
      </c>
      <c r="I871" t="s">
        <v>22</v>
      </c>
    </row>
    <row r="872" spans="1:9" x14ac:dyDescent="0.25">
      <c r="A872">
        <v>20</v>
      </c>
      <c r="B872" t="s">
        <v>12</v>
      </c>
      <c r="C872">
        <v>2020</v>
      </c>
      <c r="D872">
        <v>0</v>
      </c>
      <c r="E872" t="s">
        <v>9</v>
      </c>
      <c r="F872">
        <v>0</v>
      </c>
      <c r="G872">
        <v>0</v>
      </c>
      <c r="H872">
        <v>36000</v>
      </c>
      <c r="I872" t="s">
        <v>22</v>
      </c>
    </row>
    <row r="873" spans="1:9" x14ac:dyDescent="0.25">
      <c r="A873">
        <v>21</v>
      </c>
      <c r="B873" t="s">
        <v>12</v>
      </c>
      <c r="C873">
        <v>2020</v>
      </c>
      <c r="D873">
        <v>0</v>
      </c>
      <c r="E873" t="s">
        <v>9</v>
      </c>
      <c r="F873">
        <v>0</v>
      </c>
      <c r="G873">
        <v>0</v>
      </c>
      <c r="H873">
        <v>36000</v>
      </c>
      <c r="I873" t="s">
        <v>22</v>
      </c>
    </row>
    <row r="874" spans="1:9" x14ac:dyDescent="0.25">
      <c r="A874">
        <v>22</v>
      </c>
      <c r="B874" t="s">
        <v>12</v>
      </c>
      <c r="C874">
        <v>2020</v>
      </c>
      <c r="D874">
        <v>0</v>
      </c>
      <c r="E874" t="s">
        <v>9</v>
      </c>
      <c r="F874">
        <v>0</v>
      </c>
      <c r="G874">
        <v>0</v>
      </c>
      <c r="H874">
        <v>36000</v>
      </c>
      <c r="I874" t="s">
        <v>22</v>
      </c>
    </row>
    <row r="875" spans="1:9" x14ac:dyDescent="0.25">
      <c r="A875">
        <v>23</v>
      </c>
      <c r="B875" t="s">
        <v>12</v>
      </c>
      <c r="C875">
        <v>2020</v>
      </c>
      <c r="D875">
        <v>0</v>
      </c>
      <c r="E875" t="s">
        <v>9</v>
      </c>
      <c r="F875">
        <v>0</v>
      </c>
      <c r="G875">
        <v>0</v>
      </c>
      <c r="H875">
        <v>36000</v>
      </c>
      <c r="I875" t="s">
        <v>22</v>
      </c>
    </row>
    <row r="876" spans="1:9" x14ac:dyDescent="0.25">
      <c r="A876">
        <v>24</v>
      </c>
      <c r="B876" t="s">
        <v>12</v>
      </c>
      <c r="C876">
        <v>2020</v>
      </c>
      <c r="D876">
        <v>0</v>
      </c>
      <c r="E876" t="s">
        <v>9</v>
      </c>
      <c r="F876">
        <v>0</v>
      </c>
      <c r="G876">
        <v>0</v>
      </c>
      <c r="H876">
        <v>36000</v>
      </c>
      <c r="I876" t="s">
        <v>22</v>
      </c>
    </row>
    <row r="877" spans="1:9" x14ac:dyDescent="0.25">
      <c r="A877">
        <v>25</v>
      </c>
      <c r="B877" t="s">
        <v>12</v>
      </c>
      <c r="C877">
        <v>2020</v>
      </c>
      <c r="D877">
        <v>0</v>
      </c>
      <c r="E877" t="s">
        <v>9</v>
      </c>
      <c r="F877">
        <v>0</v>
      </c>
      <c r="G877">
        <v>0</v>
      </c>
      <c r="H877">
        <v>36000</v>
      </c>
      <c r="I877" t="s">
        <v>22</v>
      </c>
    </row>
    <row r="878" spans="1:9" x14ac:dyDescent="0.25">
      <c r="A878">
        <v>26</v>
      </c>
      <c r="B878" t="s">
        <v>12</v>
      </c>
      <c r="C878">
        <v>2020</v>
      </c>
      <c r="D878">
        <v>0</v>
      </c>
      <c r="E878" t="s">
        <v>9</v>
      </c>
      <c r="F878">
        <v>0</v>
      </c>
      <c r="G878">
        <v>0</v>
      </c>
      <c r="H878">
        <v>36000</v>
      </c>
      <c r="I878" t="s">
        <v>22</v>
      </c>
    </row>
    <row r="879" spans="1:9" x14ac:dyDescent="0.25">
      <c r="A879">
        <v>27</v>
      </c>
      <c r="B879" t="s">
        <v>12</v>
      </c>
      <c r="C879">
        <v>2020</v>
      </c>
      <c r="D879">
        <v>0</v>
      </c>
      <c r="E879" t="s">
        <v>9</v>
      </c>
      <c r="F879">
        <v>0</v>
      </c>
      <c r="G879">
        <v>0</v>
      </c>
      <c r="H879">
        <v>36000</v>
      </c>
      <c r="I879" t="s">
        <v>22</v>
      </c>
    </row>
    <row r="880" spans="1:9" x14ac:dyDescent="0.25">
      <c r="A880">
        <v>28</v>
      </c>
      <c r="B880" t="s">
        <v>12</v>
      </c>
      <c r="C880">
        <v>2020</v>
      </c>
      <c r="D880">
        <v>0</v>
      </c>
      <c r="E880" t="s">
        <v>9</v>
      </c>
      <c r="F880">
        <v>0</v>
      </c>
      <c r="G880">
        <v>0</v>
      </c>
      <c r="H880">
        <v>36000</v>
      </c>
      <c r="I880" t="s">
        <v>22</v>
      </c>
    </row>
    <row r="881" spans="1:9" x14ac:dyDescent="0.25">
      <c r="A881">
        <v>29</v>
      </c>
      <c r="B881" t="s">
        <v>12</v>
      </c>
      <c r="C881">
        <v>2020</v>
      </c>
      <c r="D881">
        <v>0</v>
      </c>
      <c r="E881" t="s">
        <v>9</v>
      </c>
      <c r="F881">
        <v>0</v>
      </c>
      <c r="G881">
        <v>0</v>
      </c>
      <c r="H881">
        <v>36000</v>
      </c>
      <c r="I881" t="s">
        <v>22</v>
      </c>
    </row>
    <row r="882" spans="1:9" x14ac:dyDescent="0.25">
      <c r="A882">
        <v>30</v>
      </c>
      <c r="B882" t="s">
        <v>12</v>
      </c>
      <c r="C882">
        <v>2020</v>
      </c>
      <c r="D882">
        <v>0</v>
      </c>
      <c r="E882" t="s">
        <v>9</v>
      </c>
      <c r="F882">
        <v>0</v>
      </c>
      <c r="G882">
        <v>0</v>
      </c>
      <c r="H882">
        <v>36000</v>
      </c>
      <c r="I882" t="s">
        <v>22</v>
      </c>
    </row>
    <row r="883" spans="1:9" x14ac:dyDescent="0.25">
      <c r="A883">
        <v>31</v>
      </c>
      <c r="B883" t="s">
        <v>12</v>
      </c>
      <c r="C883">
        <v>2020</v>
      </c>
      <c r="D883">
        <v>0</v>
      </c>
      <c r="E883" t="s">
        <v>9</v>
      </c>
      <c r="F883">
        <v>0</v>
      </c>
      <c r="G883">
        <v>0</v>
      </c>
      <c r="H883">
        <v>36000</v>
      </c>
      <c r="I883" t="s">
        <v>22</v>
      </c>
    </row>
    <row r="884" spans="1:9" hidden="1" x14ac:dyDescent="0.25">
      <c r="A884">
        <v>1</v>
      </c>
      <c r="B884" t="s">
        <v>12</v>
      </c>
      <c r="C884">
        <v>2020</v>
      </c>
      <c r="D884">
        <v>268</v>
      </c>
      <c r="E884">
        <v>-10</v>
      </c>
      <c r="F884">
        <v>188</v>
      </c>
      <c r="G884">
        <v>70</v>
      </c>
      <c r="H884">
        <v>36000</v>
      </c>
      <c r="I884" t="s">
        <v>23</v>
      </c>
    </row>
    <row r="885" spans="1:9" hidden="1" x14ac:dyDescent="0.25">
      <c r="A885">
        <v>2</v>
      </c>
      <c r="B885" t="s">
        <v>12</v>
      </c>
      <c r="C885">
        <v>2020</v>
      </c>
      <c r="D885">
        <v>188</v>
      </c>
      <c r="E885" t="s">
        <v>9</v>
      </c>
      <c r="F885">
        <v>159</v>
      </c>
      <c r="G885">
        <v>29</v>
      </c>
      <c r="H885">
        <v>36000</v>
      </c>
      <c r="I885" t="s">
        <v>23</v>
      </c>
    </row>
    <row r="886" spans="1:9" hidden="1" x14ac:dyDescent="0.25">
      <c r="A886">
        <v>3</v>
      </c>
      <c r="B886" t="s">
        <v>12</v>
      </c>
      <c r="C886">
        <v>2020</v>
      </c>
      <c r="D886">
        <v>159</v>
      </c>
      <c r="E886">
        <v>19</v>
      </c>
      <c r="F886">
        <v>150</v>
      </c>
      <c r="G886">
        <v>28</v>
      </c>
      <c r="H886">
        <v>36000</v>
      </c>
      <c r="I886" t="s">
        <v>23</v>
      </c>
    </row>
    <row r="887" spans="1:9" hidden="1" x14ac:dyDescent="0.25">
      <c r="A887">
        <v>4</v>
      </c>
      <c r="B887" t="s">
        <v>12</v>
      </c>
      <c r="C887">
        <v>2020</v>
      </c>
      <c r="D887">
        <v>150</v>
      </c>
      <c r="E887" t="s">
        <v>9</v>
      </c>
      <c r="F887">
        <v>114.5</v>
      </c>
      <c r="G887">
        <v>35.5</v>
      </c>
      <c r="H887">
        <v>36000</v>
      </c>
      <c r="I887" t="s">
        <v>23</v>
      </c>
    </row>
    <row r="888" spans="1:9" hidden="1" x14ac:dyDescent="0.25">
      <c r="A888">
        <v>5</v>
      </c>
      <c r="B888" t="s">
        <v>12</v>
      </c>
      <c r="C888">
        <v>2020</v>
      </c>
      <c r="D888">
        <v>114.5</v>
      </c>
      <c r="E888">
        <v>210</v>
      </c>
      <c r="F888">
        <v>289.5</v>
      </c>
      <c r="G888">
        <v>35</v>
      </c>
      <c r="H888">
        <v>36000</v>
      </c>
      <c r="I888" t="s">
        <v>23</v>
      </c>
    </row>
    <row r="889" spans="1:9" hidden="1" x14ac:dyDescent="0.25">
      <c r="A889">
        <v>6</v>
      </c>
      <c r="B889" t="s">
        <v>12</v>
      </c>
      <c r="C889">
        <v>2020</v>
      </c>
      <c r="D889">
        <v>289.5</v>
      </c>
      <c r="E889">
        <v>-20</v>
      </c>
      <c r="F889">
        <v>213.5</v>
      </c>
      <c r="G889">
        <v>56</v>
      </c>
      <c r="H889">
        <v>36000</v>
      </c>
      <c r="I889" t="s">
        <v>23</v>
      </c>
    </row>
    <row r="890" spans="1:9" hidden="1" x14ac:dyDescent="0.25">
      <c r="A890">
        <v>7</v>
      </c>
      <c r="B890" t="s">
        <v>12</v>
      </c>
      <c r="C890">
        <v>2020</v>
      </c>
      <c r="D890">
        <v>213.5</v>
      </c>
      <c r="E890">
        <v>8</v>
      </c>
      <c r="F890">
        <v>147.5</v>
      </c>
      <c r="G890">
        <v>74</v>
      </c>
      <c r="H890">
        <v>36000</v>
      </c>
      <c r="I890" t="s">
        <v>23</v>
      </c>
    </row>
    <row r="891" spans="1:9" hidden="1" x14ac:dyDescent="0.25">
      <c r="A891">
        <v>8</v>
      </c>
      <c r="B891" t="s">
        <v>12</v>
      </c>
      <c r="C891">
        <v>2020</v>
      </c>
      <c r="D891">
        <v>147.5</v>
      </c>
      <c r="E891">
        <v>70</v>
      </c>
      <c r="F891">
        <v>148</v>
      </c>
      <c r="G891">
        <v>69.5</v>
      </c>
      <c r="H891">
        <v>36000</v>
      </c>
      <c r="I891" t="s">
        <v>23</v>
      </c>
    </row>
    <row r="892" spans="1:9" hidden="1" x14ac:dyDescent="0.25">
      <c r="A892">
        <v>9</v>
      </c>
      <c r="B892" t="s">
        <v>12</v>
      </c>
      <c r="C892">
        <v>2020</v>
      </c>
      <c r="D892">
        <v>148</v>
      </c>
      <c r="E892" t="s">
        <v>9</v>
      </c>
      <c r="F892">
        <v>112</v>
      </c>
      <c r="G892">
        <v>36</v>
      </c>
      <c r="H892">
        <v>36000</v>
      </c>
      <c r="I892" t="s">
        <v>23</v>
      </c>
    </row>
    <row r="893" spans="1:9" hidden="1" x14ac:dyDescent="0.25">
      <c r="A893">
        <v>10</v>
      </c>
      <c r="B893" t="s">
        <v>12</v>
      </c>
      <c r="C893">
        <v>2020</v>
      </c>
      <c r="D893">
        <v>112</v>
      </c>
      <c r="E893">
        <v>277</v>
      </c>
      <c r="F893">
        <v>359</v>
      </c>
      <c r="G893">
        <v>30</v>
      </c>
      <c r="H893">
        <v>36000</v>
      </c>
      <c r="I893" t="s">
        <v>23</v>
      </c>
    </row>
    <row r="894" spans="1:9" hidden="1" x14ac:dyDescent="0.25">
      <c r="A894">
        <v>11</v>
      </c>
      <c r="B894" t="s">
        <v>12</v>
      </c>
      <c r="C894">
        <v>2020</v>
      </c>
      <c r="D894">
        <v>359</v>
      </c>
      <c r="E894">
        <v>-104</v>
      </c>
      <c r="F894">
        <v>219.5</v>
      </c>
      <c r="G894">
        <v>35.5</v>
      </c>
      <c r="H894">
        <v>36000</v>
      </c>
      <c r="I894" t="s">
        <v>23</v>
      </c>
    </row>
    <row r="895" spans="1:9" hidden="1" x14ac:dyDescent="0.25">
      <c r="A895">
        <v>12</v>
      </c>
      <c r="B895" t="s">
        <v>12</v>
      </c>
      <c r="C895">
        <v>2020</v>
      </c>
      <c r="D895">
        <v>219.5</v>
      </c>
      <c r="E895" t="s">
        <v>9</v>
      </c>
      <c r="F895">
        <v>190.5</v>
      </c>
      <c r="G895">
        <v>29</v>
      </c>
      <c r="H895">
        <v>36000</v>
      </c>
      <c r="I895" t="s">
        <v>23</v>
      </c>
    </row>
    <row r="896" spans="1:9" hidden="1" x14ac:dyDescent="0.25">
      <c r="A896">
        <v>13</v>
      </c>
      <c r="B896" t="s">
        <v>12</v>
      </c>
      <c r="C896">
        <v>2020</v>
      </c>
      <c r="D896">
        <v>190.5</v>
      </c>
      <c r="E896" t="s">
        <v>9</v>
      </c>
      <c r="F896">
        <v>142</v>
      </c>
      <c r="G896">
        <v>48.5</v>
      </c>
      <c r="H896">
        <v>36000</v>
      </c>
      <c r="I896" t="s">
        <v>23</v>
      </c>
    </row>
    <row r="897" spans="1:9" hidden="1" x14ac:dyDescent="0.25">
      <c r="A897">
        <v>14</v>
      </c>
      <c r="B897" t="s">
        <v>12</v>
      </c>
      <c r="C897">
        <v>2020</v>
      </c>
      <c r="D897">
        <v>142</v>
      </c>
      <c r="E897" t="s">
        <v>9</v>
      </c>
      <c r="F897">
        <v>75</v>
      </c>
      <c r="G897">
        <v>67</v>
      </c>
      <c r="H897">
        <v>36000</v>
      </c>
      <c r="I897" t="s">
        <v>23</v>
      </c>
    </row>
    <row r="898" spans="1:9" hidden="1" x14ac:dyDescent="0.25">
      <c r="A898">
        <v>15</v>
      </c>
      <c r="B898" t="s">
        <v>12</v>
      </c>
      <c r="C898">
        <v>2020</v>
      </c>
      <c r="D898">
        <v>75</v>
      </c>
      <c r="E898">
        <v>200</v>
      </c>
      <c r="F898">
        <v>223</v>
      </c>
      <c r="G898">
        <v>52</v>
      </c>
      <c r="H898">
        <v>36000</v>
      </c>
      <c r="I898" t="s">
        <v>23</v>
      </c>
    </row>
    <row r="899" spans="1:9" hidden="1" x14ac:dyDescent="0.25">
      <c r="A899">
        <v>16</v>
      </c>
      <c r="B899" t="s">
        <v>12</v>
      </c>
      <c r="C899">
        <v>2020</v>
      </c>
      <c r="D899">
        <v>223</v>
      </c>
      <c r="E899" t="s">
        <v>9</v>
      </c>
      <c r="F899">
        <v>195</v>
      </c>
      <c r="G899">
        <v>28</v>
      </c>
      <c r="H899">
        <v>36000</v>
      </c>
      <c r="I899" t="s">
        <v>23</v>
      </c>
    </row>
    <row r="900" spans="1:9" hidden="1" x14ac:dyDescent="0.25">
      <c r="A900">
        <v>17</v>
      </c>
      <c r="B900" t="s">
        <v>12</v>
      </c>
      <c r="C900">
        <v>2020</v>
      </c>
      <c r="D900">
        <v>195</v>
      </c>
      <c r="E900" t="s">
        <v>9</v>
      </c>
      <c r="F900">
        <v>168</v>
      </c>
      <c r="G900">
        <v>27</v>
      </c>
      <c r="H900">
        <v>36000</v>
      </c>
      <c r="I900" t="s">
        <v>23</v>
      </c>
    </row>
    <row r="901" spans="1:9" hidden="1" x14ac:dyDescent="0.25">
      <c r="A901">
        <v>18</v>
      </c>
      <c r="B901" t="s">
        <v>12</v>
      </c>
      <c r="C901">
        <v>2020</v>
      </c>
      <c r="D901">
        <v>168</v>
      </c>
      <c r="E901" t="s">
        <v>9</v>
      </c>
      <c r="F901">
        <v>145.5</v>
      </c>
      <c r="G901">
        <v>22.5</v>
      </c>
      <c r="H901">
        <v>36000</v>
      </c>
      <c r="I901" t="s">
        <v>23</v>
      </c>
    </row>
    <row r="902" spans="1:9" hidden="1" x14ac:dyDescent="0.25">
      <c r="A902">
        <v>19</v>
      </c>
      <c r="B902" t="s">
        <v>12</v>
      </c>
      <c r="C902">
        <v>2020</v>
      </c>
      <c r="D902">
        <v>145.5</v>
      </c>
      <c r="E902">
        <v>50</v>
      </c>
      <c r="F902">
        <v>170.5</v>
      </c>
      <c r="G902">
        <v>25</v>
      </c>
      <c r="H902">
        <v>36000</v>
      </c>
      <c r="I902" t="s">
        <v>23</v>
      </c>
    </row>
    <row r="903" spans="1:9" hidden="1" x14ac:dyDescent="0.25">
      <c r="A903">
        <v>20</v>
      </c>
      <c r="B903" t="s">
        <v>12</v>
      </c>
      <c r="C903">
        <v>2020</v>
      </c>
      <c r="D903">
        <v>170.5</v>
      </c>
      <c r="E903" t="s">
        <v>9</v>
      </c>
      <c r="F903">
        <v>145</v>
      </c>
      <c r="G903">
        <v>25.5</v>
      </c>
      <c r="H903">
        <v>36000</v>
      </c>
      <c r="I903" t="s">
        <v>23</v>
      </c>
    </row>
    <row r="904" spans="1:9" hidden="1" x14ac:dyDescent="0.25">
      <c r="A904">
        <v>21</v>
      </c>
      <c r="B904" t="s">
        <v>12</v>
      </c>
      <c r="C904">
        <v>2020</v>
      </c>
      <c r="D904">
        <v>145</v>
      </c>
      <c r="E904" t="s">
        <v>9</v>
      </c>
      <c r="F904">
        <v>121</v>
      </c>
      <c r="G904">
        <v>24</v>
      </c>
      <c r="H904">
        <v>36000</v>
      </c>
      <c r="I904" t="s">
        <v>23</v>
      </c>
    </row>
    <row r="905" spans="1:9" hidden="1" x14ac:dyDescent="0.25">
      <c r="A905">
        <v>22</v>
      </c>
      <c r="B905" t="s">
        <v>12</v>
      </c>
      <c r="C905">
        <v>2020</v>
      </c>
      <c r="D905">
        <v>121</v>
      </c>
      <c r="E905" t="s">
        <v>9</v>
      </c>
      <c r="F905">
        <v>89.5</v>
      </c>
      <c r="G905">
        <v>31.5</v>
      </c>
      <c r="H905">
        <v>36000</v>
      </c>
      <c r="I905" t="s">
        <v>23</v>
      </c>
    </row>
    <row r="906" spans="1:9" hidden="1" x14ac:dyDescent="0.25">
      <c r="A906">
        <v>23</v>
      </c>
      <c r="B906" t="s">
        <v>12</v>
      </c>
      <c r="C906">
        <v>2020</v>
      </c>
      <c r="D906">
        <v>89.5</v>
      </c>
      <c r="E906" t="s">
        <v>9</v>
      </c>
      <c r="F906">
        <v>58.5</v>
      </c>
      <c r="G906">
        <v>31</v>
      </c>
      <c r="H906">
        <v>36000</v>
      </c>
      <c r="I906" t="s">
        <v>23</v>
      </c>
    </row>
    <row r="907" spans="1:9" hidden="1" x14ac:dyDescent="0.25">
      <c r="A907">
        <v>24</v>
      </c>
      <c r="B907" t="s">
        <v>12</v>
      </c>
      <c r="C907">
        <v>2020</v>
      </c>
      <c r="D907">
        <v>58.5</v>
      </c>
      <c r="E907" t="s">
        <v>9</v>
      </c>
      <c r="F907">
        <v>29.5</v>
      </c>
      <c r="G907">
        <v>29</v>
      </c>
      <c r="H907">
        <v>36000</v>
      </c>
      <c r="I907" t="s">
        <v>23</v>
      </c>
    </row>
    <row r="908" spans="1:9" hidden="1" x14ac:dyDescent="0.25">
      <c r="A908">
        <v>25</v>
      </c>
      <c r="B908" t="s">
        <v>12</v>
      </c>
      <c r="C908">
        <v>2020</v>
      </c>
      <c r="D908">
        <v>29.5</v>
      </c>
      <c r="E908">
        <v>208</v>
      </c>
      <c r="F908">
        <v>202</v>
      </c>
      <c r="G908">
        <v>35.5</v>
      </c>
      <c r="H908">
        <v>36000</v>
      </c>
      <c r="I908" t="s">
        <v>23</v>
      </c>
    </row>
    <row r="909" spans="1:9" hidden="1" x14ac:dyDescent="0.25">
      <c r="A909">
        <v>26</v>
      </c>
      <c r="B909" t="s">
        <v>12</v>
      </c>
      <c r="C909">
        <v>2020</v>
      </c>
      <c r="D909">
        <v>202</v>
      </c>
      <c r="E909" t="s">
        <v>9</v>
      </c>
      <c r="F909">
        <v>177</v>
      </c>
      <c r="G909">
        <v>25</v>
      </c>
      <c r="H909">
        <v>36000</v>
      </c>
      <c r="I909" t="s">
        <v>23</v>
      </c>
    </row>
    <row r="910" spans="1:9" hidden="1" x14ac:dyDescent="0.25">
      <c r="A910">
        <v>27</v>
      </c>
      <c r="B910" t="s">
        <v>12</v>
      </c>
      <c r="C910">
        <v>2020</v>
      </c>
      <c r="D910">
        <v>177</v>
      </c>
      <c r="E910" t="s">
        <v>9</v>
      </c>
      <c r="F910">
        <v>127.5</v>
      </c>
      <c r="G910">
        <v>49.5</v>
      </c>
      <c r="H910">
        <v>36000</v>
      </c>
      <c r="I910" t="s">
        <v>23</v>
      </c>
    </row>
    <row r="911" spans="1:9" hidden="1" x14ac:dyDescent="0.25">
      <c r="A911">
        <v>28</v>
      </c>
      <c r="B911" t="s">
        <v>12</v>
      </c>
      <c r="C911">
        <v>2020</v>
      </c>
      <c r="D911">
        <v>127.5</v>
      </c>
      <c r="E911" t="s">
        <v>9</v>
      </c>
      <c r="F911">
        <v>67</v>
      </c>
      <c r="G911">
        <v>60.5</v>
      </c>
      <c r="H911">
        <v>36000</v>
      </c>
      <c r="I911" t="s">
        <v>23</v>
      </c>
    </row>
    <row r="912" spans="1:9" hidden="1" x14ac:dyDescent="0.25">
      <c r="A912">
        <v>29</v>
      </c>
      <c r="B912" t="s">
        <v>12</v>
      </c>
      <c r="C912">
        <v>2020</v>
      </c>
      <c r="D912">
        <v>67</v>
      </c>
      <c r="E912">
        <v>200</v>
      </c>
      <c r="F912">
        <v>215.75</v>
      </c>
      <c r="G912">
        <v>51.25</v>
      </c>
      <c r="H912">
        <v>36000</v>
      </c>
      <c r="I912" t="s">
        <v>23</v>
      </c>
    </row>
    <row r="913" spans="1:9" hidden="1" x14ac:dyDescent="0.25">
      <c r="A913">
        <v>30</v>
      </c>
      <c r="B913" t="s">
        <v>12</v>
      </c>
      <c r="C913">
        <v>2020</v>
      </c>
      <c r="D913">
        <v>215.75</v>
      </c>
      <c r="E913" t="s">
        <v>9</v>
      </c>
      <c r="F913">
        <v>176</v>
      </c>
      <c r="G913">
        <v>39.75</v>
      </c>
      <c r="H913">
        <v>36000</v>
      </c>
      <c r="I913" t="s">
        <v>23</v>
      </c>
    </row>
    <row r="914" spans="1:9" hidden="1" x14ac:dyDescent="0.25">
      <c r="A914">
        <v>31</v>
      </c>
      <c r="B914" t="s">
        <v>12</v>
      </c>
      <c r="C914">
        <v>2020</v>
      </c>
      <c r="D914">
        <v>176</v>
      </c>
      <c r="E914" t="s">
        <v>9</v>
      </c>
      <c r="F914">
        <v>142.5</v>
      </c>
      <c r="G914">
        <v>33.5</v>
      </c>
      <c r="H914">
        <v>36000</v>
      </c>
      <c r="I914" t="s">
        <v>23</v>
      </c>
    </row>
    <row r="915" spans="1:9" x14ac:dyDescent="0.25">
      <c r="A915">
        <v>1</v>
      </c>
      <c r="B915" t="s">
        <v>13</v>
      </c>
      <c r="C915">
        <v>2020</v>
      </c>
      <c r="D915" t="s">
        <v>9</v>
      </c>
      <c r="E915" t="s">
        <v>9</v>
      </c>
      <c r="F915" t="s">
        <v>9</v>
      </c>
      <c r="G915">
        <v>0</v>
      </c>
      <c r="H915">
        <v>36000</v>
      </c>
      <c r="I915" t="s">
        <v>22</v>
      </c>
    </row>
    <row r="916" spans="1:9" x14ac:dyDescent="0.25">
      <c r="A916">
        <v>2</v>
      </c>
      <c r="B916" t="s">
        <v>13</v>
      </c>
      <c r="C916">
        <v>2020</v>
      </c>
      <c r="D916" t="s">
        <v>9</v>
      </c>
      <c r="E916" t="s">
        <v>9</v>
      </c>
      <c r="F916" t="s">
        <v>9</v>
      </c>
      <c r="G916">
        <v>0</v>
      </c>
      <c r="H916">
        <v>36000</v>
      </c>
      <c r="I916" t="s">
        <v>22</v>
      </c>
    </row>
    <row r="917" spans="1:9" x14ac:dyDescent="0.25">
      <c r="A917">
        <v>3</v>
      </c>
      <c r="B917" t="s">
        <v>13</v>
      </c>
      <c r="C917">
        <v>2020</v>
      </c>
      <c r="D917" t="s">
        <v>9</v>
      </c>
      <c r="E917" t="s">
        <v>9</v>
      </c>
      <c r="F917" t="s">
        <v>9</v>
      </c>
      <c r="G917">
        <v>0</v>
      </c>
      <c r="H917">
        <v>36000</v>
      </c>
      <c r="I917" t="s">
        <v>22</v>
      </c>
    </row>
    <row r="918" spans="1:9" x14ac:dyDescent="0.25">
      <c r="A918">
        <v>4</v>
      </c>
      <c r="B918" t="s">
        <v>13</v>
      </c>
      <c r="C918">
        <v>2020</v>
      </c>
      <c r="D918" t="s">
        <v>9</v>
      </c>
      <c r="E918" t="s">
        <v>9</v>
      </c>
      <c r="F918" t="s">
        <v>9</v>
      </c>
      <c r="G918">
        <v>0</v>
      </c>
      <c r="H918">
        <v>36000</v>
      </c>
      <c r="I918" t="s">
        <v>22</v>
      </c>
    </row>
    <row r="919" spans="1:9" x14ac:dyDescent="0.25">
      <c r="A919">
        <v>5</v>
      </c>
      <c r="B919" t="s">
        <v>13</v>
      </c>
      <c r="C919">
        <v>2020</v>
      </c>
      <c r="D919" t="s">
        <v>9</v>
      </c>
      <c r="E919" t="s">
        <v>9</v>
      </c>
      <c r="F919" t="s">
        <v>9</v>
      </c>
      <c r="G919">
        <v>0</v>
      </c>
      <c r="H919">
        <v>36000</v>
      </c>
      <c r="I919" t="s">
        <v>22</v>
      </c>
    </row>
    <row r="920" spans="1:9" x14ac:dyDescent="0.25">
      <c r="A920">
        <v>6</v>
      </c>
      <c r="B920" t="s">
        <v>13</v>
      </c>
      <c r="C920">
        <v>2020</v>
      </c>
      <c r="D920" t="s">
        <v>9</v>
      </c>
      <c r="E920" t="s">
        <v>9</v>
      </c>
      <c r="F920" t="s">
        <v>9</v>
      </c>
      <c r="G920">
        <v>0</v>
      </c>
      <c r="H920">
        <v>36000</v>
      </c>
      <c r="I920" t="s">
        <v>22</v>
      </c>
    </row>
    <row r="921" spans="1:9" x14ac:dyDescent="0.25">
      <c r="A921">
        <v>7</v>
      </c>
      <c r="B921" t="s">
        <v>13</v>
      </c>
      <c r="C921">
        <v>2020</v>
      </c>
      <c r="D921" t="s">
        <v>9</v>
      </c>
      <c r="E921" t="s">
        <v>9</v>
      </c>
      <c r="F921" t="s">
        <v>9</v>
      </c>
      <c r="G921">
        <v>0</v>
      </c>
      <c r="H921">
        <v>36000</v>
      </c>
      <c r="I921" t="s">
        <v>22</v>
      </c>
    </row>
    <row r="922" spans="1:9" x14ac:dyDescent="0.25">
      <c r="A922">
        <v>8</v>
      </c>
      <c r="B922" t="s">
        <v>13</v>
      </c>
      <c r="C922">
        <v>2020</v>
      </c>
      <c r="D922" t="s">
        <v>9</v>
      </c>
      <c r="E922" t="s">
        <v>9</v>
      </c>
      <c r="F922" t="s">
        <v>9</v>
      </c>
      <c r="G922">
        <v>0</v>
      </c>
      <c r="H922">
        <v>36000</v>
      </c>
      <c r="I922" t="s">
        <v>22</v>
      </c>
    </row>
    <row r="923" spans="1:9" x14ac:dyDescent="0.25">
      <c r="A923">
        <v>9</v>
      </c>
      <c r="B923" t="s">
        <v>13</v>
      </c>
      <c r="C923">
        <v>2020</v>
      </c>
      <c r="D923" t="s">
        <v>9</v>
      </c>
      <c r="E923" t="s">
        <v>9</v>
      </c>
      <c r="F923" t="s">
        <v>9</v>
      </c>
      <c r="G923">
        <v>0</v>
      </c>
      <c r="H923">
        <v>36000</v>
      </c>
      <c r="I923" t="s">
        <v>22</v>
      </c>
    </row>
    <row r="924" spans="1:9" x14ac:dyDescent="0.25">
      <c r="A924">
        <v>10</v>
      </c>
      <c r="B924" t="s">
        <v>13</v>
      </c>
      <c r="C924">
        <v>2020</v>
      </c>
      <c r="D924" t="s">
        <v>9</v>
      </c>
      <c r="E924" t="s">
        <v>9</v>
      </c>
      <c r="F924" t="s">
        <v>9</v>
      </c>
      <c r="G924">
        <v>0</v>
      </c>
      <c r="H924">
        <v>36000</v>
      </c>
      <c r="I924" t="s">
        <v>22</v>
      </c>
    </row>
    <row r="925" spans="1:9" x14ac:dyDescent="0.25">
      <c r="A925">
        <v>11</v>
      </c>
      <c r="B925" t="s">
        <v>13</v>
      </c>
      <c r="C925">
        <v>2020</v>
      </c>
      <c r="D925" t="s">
        <v>9</v>
      </c>
      <c r="E925" t="s">
        <v>9</v>
      </c>
      <c r="F925" t="s">
        <v>9</v>
      </c>
      <c r="G925">
        <v>0</v>
      </c>
      <c r="H925">
        <v>36000</v>
      </c>
      <c r="I925" t="s">
        <v>22</v>
      </c>
    </row>
    <row r="926" spans="1:9" x14ac:dyDescent="0.25">
      <c r="A926">
        <v>12</v>
      </c>
      <c r="B926" t="s">
        <v>13</v>
      </c>
      <c r="C926">
        <v>2020</v>
      </c>
      <c r="D926" t="s">
        <v>9</v>
      </c>
      <c r="E926" t="s">
        <v>9</v>
      </c>
      <c r="F926" t="s">
        <v>9</v>
      </c>
      <c r="G926">
        <v>0</v>
      </c>
      <c r="H926">
        <v>36000</v>
      </c>
      <c r="I926" t="s">
        <v>22</v>
      </c>
    </row>
    <row r="927" spans="1:9" x14ac:dyDescent="0.25">
      <c r="A927">
        <v>13</v>
      </c>
      <c r="B927" t="s">
        <v>13</v>
      </c>
      <c r="C927">
        <v>2020</v>
      </c>
      <c r="D927" t="s">
        <v>9</v>
      </c>
      <c r="E927" t="s">
        <v>9</v>
      </c>
      <c r="F927" t="s">
        <v>9</v>
      </c>
      <c r="G927">
        <v>0</v>
      </c>
      <c r="H927">
        <v>36000</v>
      </c>
      <c r="I927" t="s">
        <v>22</v>
      </c>
    </row>
    <row r="928" spans="1:9" x14ac:dyDescent="0.25">
      <c r="A928">
        <v>14</v>
      </c>
      <c r="B928" t="s">
        <v>13</v>
      </c>
      <c r="C928">
        <v>2020</v>
      </c>
      <c r="D928" t="s">
        <v>9</v>
      </c>
      <c r="E928" t="s">
        <v>9</v>
      </c>
      <c r="F928" t="s">
        <v>9</v>
      </c>
      <c r="G928">
        <v>0</v>
      </c>
      <c r="H928">
        <v>36000</v>
      </c>
      <c r="I928" t="s">
        <v>22</v>
      </c>
    </row>
    <row r="929" spans="1:9" x14ac:dyDescent="0.25">
      <c r="A929">
        <v>15</v>
      </c>
      <c r="B929" t="s">
        <v>13</v>
      </c>
      <c r="C929">
        <v>2020</v>
      </c>
      <c r="D929" t="s">
        <v>9</v>
      </c>
      <c r="E929" t="s">
        <v>9</v>
      </c>
      <c r="F929" t="s">
        <v>9</v>
      </c>
      <c r="G929">
        <v>0</v>
      </c>
      <c r="H929">
        <v>36000</v>
      </c>
      <c r="I929" t="s">
        <v>22</v>
      </c>
    </row>
    <row r="930" spans="1:9" x14ac:dyDescent="0.25">
      <c r="A930">
        <v>16</v>
      </c>
      <c r="B930" t="s">
        <v>13</v>
      </c>
      <c r="C930">
        <v>2020</v>
      </c>
      <c r="D930" t="s">
        <v>9</v>
      </c>
      <c r="E930" t="s">
        <v>9</v>
      </c>
      <c r="F930" t="s">
        <v>9</v>
      </c>
      <c r="G930">
        <v>0</v>
      </c>
      <c r="H930">
        <v>36000</v>
      </c>
      <c r="I930" t="s">
        <v>22</v>
      </c>
    </row>
    <row r="931" spans="1:9" x14ac:dyDescent="0.25">
      <c r="A931">
        <v>17</v>
      </c>
      <c r="B931" t="s">
        <v>13</v>
      </c>
      <c r="C931">
        <v>2020</v>
      </c>
      <c r="D931" t="s">
        <v>9</v>
      </c>
      <c r="E931" t="s">
        <v>9</v>
      </c>
      <c r="F931" t="s">
        <v>9</v>
      </c>
      <c r="G931">
        <v>0</v>
      </c>
      <c r="H931">
        <v>36000</v>
      </c>
      <c r="I931" t="s">
        <v>22</v>
      </c>
    </row>
    <row r="932" spans="1:9" x14ac:dyDescent="0.25">
      <c r="A932">
        <v>18</v>
      </c>
      <c r="B932" t="s">
        <v>13</v>
      </c>
      <c r="C932">
        <v>2020</v>
      </c>
      <c r="D932" t="s">
        <v>9</v>
      </c>
      <c r="E932" t="s">
        <v>9</v>
      </c>
      <c r="F932" t="s">
        <v>9</v>
      </c>
      <c r="G932">
        <v>0</v>
      </c>
      <c r="H932">
        <v>36000</v>
      </c>
      <c r="I932" t="s">
        <v>22</v>
      </c>
    </row>
    <row r="933" spans="1:9" x14ac:dyDescent="0.25">
      <c r="A933">
        <v>19</v>
      </c>
      <c r="B933" t="s">
        <v>13</v>
      </c>
      <c r="C933">
        <v>2020</v>
      </c>
      <c r="D933" t="s">
        <v>9</v>
      </c>
      <c r="E933" t="s">
        <v>9</v>
      </c>
      <c r="F933" t="s">
        <v>9</v>
      </c>
      <c r="G933">
        <v>0</v>
      </c>
      <c r="H933">
        <v>36000</v>
      </c>
      <c r="I933" t="s">
        <v>22</v>
      </c>
    </row>
    <row r="934" spans="1:9" x14ac:dyDescent="0.25">
      <c r="A934">
        <v>20</v>
      </c>
      <c r="B934" t="s">
        <v>13</v>
      </c>
      <c r="C934">
        <v>2020</v>
      </c>
      <c r="D934" t="s">
        <v>9</v>
      </c>
      <c r="E934" t="s">
        <v>9</v>
      </c>
      <c r="F934" t="s">
        <v>9</v>
      </c>
      <c r="G934">
        <v>0</v>
      </c>
      <c r="H934">
        <v>36000</v>
      </c>
      <c r="I934" t="s">
        <v>22</v>
      </c>
    </row>
    <row r="935" spans="1:9" x14ac:dyDescent="0.25">
      <c r="A935">
        <v>21</v>
      </c>
      <c r="B935" t="s">
        <v>13</v>
      </c>
      <c r="C935">
        <v>2020</v>
      </c>
      <c r="D935" t="s">
        <v>9</v>
      </c>
      <c r="E935" t="s">
        <v>9</v>
      </c>
      <c r="F935" t="s">
        <v>9</v>
      </c>
      <c r="G935">
        <v>0</v>
      </c>
      <c r="H935">
        <v>36000</v>
      </c>
      <c r="I935" t="s">
        <v>22</v>
      </c>
    </row>
    <row r="936" spans="1:9" x14ac:dyDescent="0.25">
      <c r="A936">
        <v>22</v>
      </c>
      <c r="B936" t="s">
        <v>13</v>
      </c>
      <c r="C936">
        <v>2020</v>
      </c>
      <c r="D936" t="s">
        <v>9</v>
      </c>
      <c r="E936" t="s">
        <v>9</v>
      </c>
      <c r="F936" t="s">
        <v>9</v>
      </c>
      <c r="G936">
        <v>0</v>
      </c>
      <c r="H936">
        <v>36000</v>
      </c>
      <c r="I936" t="s">
        <v>22</v>
      </c>
    </row>
    <row r="937" spans="1:9" x14ac:dyDescent="0.25">
      <c r="A937">
        <v>23</v>
      </c>
      <c r="B937" t="s">
        <v>13</v>
      </c>
      <c r="C937">
        <v>2020</v>
      </c>
      <c r="D937" t="s">
        <v>9</v>
      </c>
      <c r="E937" t="s">
        <v>9</v>
      </c>
      <c r="F937" t="s">
        <v>9</v>
      </c>
      <c r="G937">
        <v>0</v>
      </c>
      <c r="H937">
        <v>36000</v>
      </c>
      <c r="I937" t="s">
        <v>22</v>
      </c>
    </row>
    <row r="938" spans="1:9" x14ac:dyDescent="0.25">
      <c r="A938">
        <v>24</v>
      </c>
      <c r="B938" t="s">
        <v>13</v>
      </c>
      <c r="C938">
        <v>2020</v>
      </c>
      <c r="D938" t="s">
        <v>9</v>
      </c>
      <c r="E938" t="s">
        <v>9</v>
      </c>
      <c r="F938" t="s">
        <v>9</v>
      </c>
      <c r="G938">
        <v>0</v>
      </c>
      <c r="H938">
        <v>36000</v>
      </c>
      <c r="I938" t="s">
        <v>22</v>
      </c>
    </row>
    <row r="939" spans="1:9" x14ac:dyDescent="0.25">
      <c r="A939">
        <v>25</v>
      </c>
      <c r="B939" t="s">
        <v>13</v>
      </c>
      <c r="C939">
        <v>2020</v>
      </c>
      <c r="D939" t="s">
        <v>9</v>
      </c>
      <c r="E939" t="s">
        <v>9</v>
      </c>
      <c r="F939" t="s">
        <v>9</v>
      </c>
      <c r="G939">
        <v>0</v>
      </c>
      <c r="H939">
        <v>36000</v>
      </c>
      <c r="I939" t="s">
        <v>22</v>
      </c>
    </row>
    <row r="940" spans="1:9" x14ac:dyDescent="0.25">
      <c r="A940">
        <v>26</v>
      </c>
      <c r="B940" t="s">
        <v>13</v>
      </c>
      <c r="C940">
        <v>2020</v>
      </c>
      <c r="D940" t="s">
        <v>9</v>
      </c>
      <c r="E940" t="s">
        <v>9</v>
      </c>
      <c r="F940" t="s">
        <v>9</v>
      </c>
      <c r="G940">
        <v>0</v>
      </c>
      <c r="H940">
        <v>36000</v>
      </c>
      <c r="I940" t="s">
        <v>22</v>
      </c>
    </row>
    <row r="941" spans="1:9" x14ac:dyDescent="0.25">
      <c r="A941">
        <v>27</v>
      </c>
      <c r="B941" t="s">
        <v>13</v>
      </c>
      <c r="C941">
        <v>2020</v>
      </c>
      <c r="D941" t="s">
        <v>9</v>
      </c>
      <c r="E941" t="s">
        <v>9</v>
      </c>
      <c r="F941" t="s">
        <v>9</v>
      </c>
      <c r="G941">
        <v>0</v>
      </c>
      <c r="H941">
        <v>36000</v>
      </c>
      <c r="I941" t="s">
        <v>22</v>
      </c>
    </row>
    <row r="942" spans="1:9" x14ac:dyDescent="0.25">
      <c r="A942">
        <v>28</v>
      </c>
      <c r="B942" t="s">
        <v>13</v>
      </c>
      <c r="C942">
        <v>2020</v>
      </c>
      <c r="D942" t="s">
        <v>9</v>
      </c>
      <c r="E942" t="s">
        <v>9</v>
      </c>
      <c r="F942" t="s">
        <v>9</v>
      </c>
      <c r="G942">
        <v>0</v>
      </c>
      <c r="H942">
        <v>36000</v>
      </c>
      <c r="I942" t="s">
        <v>22</v>
      </c>
    </row>
    <row r="943" spans="1:9" x14ac:dyDescent="0.25">
      <c r="A943">
        <v>29</v>
      </c>
      <c r="B943" t="s">
        <v>13</v>
      </c>
      <c r="C943">
        <v>2020</v>
      </c>
      <c r="D943" t="s">
        <v>9</v>
      </c>
      <c r="E943" t="s">
        <v>9</v>
      </c>
      <c r="F943" t="s">
        <v>9</v>
      </c>
      <c r="G943">
        <v>0</v>
      </c>
      <c r="H943">
        <v>36000</v>
      </c>
      <c r="I943" t="s">
        <v>22</v>
      </c>
    </row>
    <row r="944" spans="1:9" x14ac:dyDescent="0.25">
      <c r="A944">
        <v>30</v>
      </c>
      <c r="B944" t="s">
        <v>13</v>
      </c>
      <c r="C944">
        <v>2020</v>
      </c>
      <c r="D944" t="s">
        <v>9</v>
      </c>
      <c r="E944" t="s">
        <v>9</v>
      </c>
      <c r="F944" t="s">
        <v>9</v>
      </c>
      <c r="G944">
        <v>0</v>
      </c>
      <c r="H944">
        <v>36000</v>
      </c>
      <c r="I944" t="s">
        <v>22</v>
      </c>
    </row>
    <row r="945" spans="1:9" hidden="1" x14ac:dyDescent="0.25">
      <c r="A945">
        <v>1</v>
      </c>
      <c r="B945" t="s">
        <v>13</v>
      </c>
      <c r="C945">
        <v>2020</v>
      </c>
      <c r="D945">
        <v>142.5</v>
      </c>
      <c r="E945" t="s">
        <v>9</v>
      </c>
      <c r="F945">
        <v>100</v>
      </c>
      <c r="G945">
        <v>42.5</v>
      </c>
      <c r="H945">
        <v>36000</v>
      </c>
      <c r="I945" t="s">
        <v>23</v>
      </c>
    </row>
    <row r="946" spans="1:9" hidden="1" x14ac:dyDescent="0.25">
      <c r="A946">
        <v>2</v>
      </c>
      <c r="B946" t="s">
        <v>13</v>
      </c>
      <c r="C946">
        <v>2020</v>
      </c>
      <c r="D946">
        <v>100</v>
      </c>
      <c r="E946" t="s">
        <v>9</v>
      </c>
      <c r="F946">
        <v>61.5</v>
      </c>
      <c r="G946">
        <v>38.5</v>
      </c>
      <c r="H946">
        <v>36000</v>
      </c>
      <c r="I946" t="s">
        <v>23</v>
      </c>
    </row>
    <row r="947" spans="1:9" hidden="1" x14ac:dyDescent="0.25">
      <c r="A947">
        <v>3</v>
      </c>
      <c r="B947" t="s">
        <v>13</v>
      </c>
      <c r="C947">
        <v>2020</v>
      </c>
      <c r="D947">
        <v>61.5</v>
      </c>
      <c r="E947">
        <v>100</v>
      </c>
      <c r="F947">
        <v>123</v>
      </c>
      <c r="G947">
        <v>38.5</v>
      </c>
      <c r="H947">
        <v>36000</v>
      </c>
      <c r="I947" t="s">
        <v>23</v>
      </c>
    </row>
    <row r="948" spans="1:9" hidden="1" x14ac:dyDescent="0.25">
      <c r="A948">
        <v>4</v>
      </c>
      <c r="B948" t="s">
        <v>13</v>
      </c>
      <c r="C948">
        <v>2020</v>
      </c>
      <c r="D948">
        <v>123</v>
      </c>
      <c r="E948">
        <v>304</v>
      </c>
      <c r="F948">
        <v>385</v>
      </c>
      <c r="G948">
        <v>42</v>
      </c>
      <c r="H948">
        <v>36000</v>
      </c>
      <c r="I948" t="s">
        <v>23</v>
      </c>
    </row>
    <row r="949" spans="1:9" hidden="1" x14ac:dyDescent="0.25">
      <c r="A949">
        <v>5</v>
      </c>
      <c r="B949" t="s">
        <v>13</v>
      </c>
      <c r="C949">
        <v>2020</v>
      </c>
      <c r="D949">
        <v>385</v>
      </c>
      <c r="E949" t="s">
        <v>9</v>
      </c>
      <c r="F949">
        <v>336</v>
      </c>
      <c r="G949">
        <v>49</v>
      </c>
      <c r="H949">
        <v>36000</v>
      </c>
      <c r="I949" t="s">
        <v>23</v>
      </c>
    </row>
    <row r="950" spans="1:9" hidden="1" x14ac:dyDescent="0.25">
      <c r="A950">
        <v>6</v>
      </c>
      <c r="B950" t="s">
        <v>13</v>
      </c>
      <c r="C950">
        <v>2020</v>
      </c>
      <c r="D950">
        <v>336</v>
      </c>
      <c r="E950" t="s">
        <v>9</v>
      </c>
      <c r="F950">
        <v>307</v>
      </c>
      <c r="G950">
        <v>29</v>
      </c>
      <c r="H950">
        <v>36000</v>
      </c>
      <c r="I950" t="s">
        <v>23</v>
      </c>
    </row>
    <row r="951" spans="1:9" hidden="1" x14ac:dyDescent="0.25">
      <c r="A951">
        <v>7</v>
      </c>
      <c r="B951" t="s">
        <v>13</v>
      </c>
      <c r="C951">
        <v>2020</v>
      </c>
      <c r="D951">
        <v>307</v>
      </c>
      <c r="E951" t="s">
        <v>9</v>
      </c>
      <c r="F951">
        <v>284</v>
      </c>
      <c r="G951">
        <v>23</v>
      </c>
      <c r="H951">
        <v>36000</v>
      </c>
      <c r="I951" t="s">
        <v>23</v>
      </c>
    </row>
    <row r="952" spans="1:9" hidden="1" x14ac:dyDescent="0.25">
      <c r="A952">
        <v>8</v>
      </c>
      <c r="B952" t="s">
        <v>13</v>
      </c>
      <c r="C952">
        <v>2020</v>
      </c>
      <c r="D952">
        <v>284</v>
      </c>
      <c r="E952" t="s">
        <v>9</v>
      </c>
      <c r="F952">
        <v>255.5</v>
      </c>
      <c r="G952">
        <v>28.5</v>
      </c>
      <c r="H952">
        <v>36000</v>
      </c>
      <c r="I952" t="s">
        <v>23</v>
      </c>
    </row>
    <row r="953" spans="1:9" hidden="1" x14ac:dyDescent="0.25">
      <c r="A953">
        <v>9</v>
      </c>
      <c r="B953" t="s">
        <v>13</v>
      </c>
      <c r="C953">
        <v>2020</v>
      </c>
      <c r="D953">
        <v>255.5</v>
      </c>
      <c r="E953" t="s">
        <v>9</v>
      </c>
      <c r="F953">
        <v>227</v>
      </c>
      <c r="G953">
        <v>28.5</v>
      </c>
      <c r="H953">
        <v>36000</v>
      </c>
      <c r="I953" t="s">
        <v>23</v>
      </c>
    </row>
    <row r="954" spans="1:9" hidden="1" x14ac:dyDescent="0.25">
      <c r="A954">
        <v>10</v>
      </c>
      <c r="B954" t="s">
        <v>13</v>
      </c>
      <c r="C954">
        <v>2020</v>
      </c>
      <c r="D954">
        <v>227</v>
      </c>
      <c r="E954" t="s">
        <v>9</v>
      </c>
      <c r="F954">
        <v>203.5</v>
      </c>
      <c r="G954">
        <v>23.5</v>
      </c>
      <c r="H954">
        <v>36000</v>
      </c>
      <c r="I954" t="s">
        <v>23</v>
      </c>
    </row>
    <row r="955" spans="1:9" hidden="1" x14ac:dyDescent="0.25">
      <c r="A955">
        <v>11</v>
      </c>
      <c r="B955" t="s">
        <v>13</v>
      </c>
      <c r="C955">
        <v>2020</v>
      </c>
      <c r="D955">
        <v>203.5</v>
      </c>
      <c r="E955" t="s">
        <v>9</v>
      </c>
      <c r="F955">
        <v>172.5</v>
      </c>
      <c r="G955">
        <v>31</v>
      </c>
      <c r="H955">
        <v>36000</v>
      </c>
      <c r="I955" t="s">
        <v>23</v>
      </c>
    </row>
    <row r="956" spans="1:9" hidden="1" x14ac:dyDescent="0.25">
      <c r="A956">
        <v>12</v>
      </c>
      <c r="B956" t="s">
        <v>13</v>
      </c>
      <c r="C956">
        <v>2020</v>
      </c>
      <c r="D956">
        <v>172.5</v>
      </c>
      <c r="E956" t="s">
        <v>9</v>
      </c>
      <c r="F956">
        <v>139</v>
      </c>
      <c r="G956">
        <v>33.5</v>
      </c>
      <c r="H956">
        <v>36000</v>
      </c>
      <c r="I956" t="s">
        <v>23</v>
      </c>
    </row>
    <row r="957" spans="1:9" hidden="1" x14ac:dyDescent="0.25">
      <c r="A957">
        <v>13</v>
      </c>
      <c r="B957" t="s">
        <v>13</v>
      </c>
      <c r="C957">
        <v>2020</v>
      </c>
      <c r="D957">
        <v>139</v>
      </c>
      <c r="E957" t="s">
        <v>9</v>
      </c>
      <c r="F957">
        <v>124</v>
      </c>
      <c r="G957">
        <v>15</v>
      </c>
      <c r="H957">
        <v>36000</v>
      </c>
      <c r="I957" t="s">
        <v>23</v>
      </c>
    </row>
    <row r="958" spans="1:9" hidden="1" x14ac:dyDescent="0.25">
      <c r="A958">
        <v>14</v>
      </c>
      <c r="B958" t="s">
        <v>13</v>
      </c>
      <c r="C958">
        <v>2020</v>
      </c>
      <c r="D958">
        <v>124</v>
      </c>
      <c r="E958" t="s">
        <v>9</v>
      </c>
      <c r="F958">
        <v>110.875</v>
      </c>
      <c r="G958">
        <v>13.125</v>
      </c>
      <c r="H958">
        <v>36000</v>
      </c>
      <c r="I958" t="s">
        <v>23</v>
      </c>
    </row>
    <row r="959" spans="1:9" hidden="1" x14ac:dyDescent="0.25">
      <c r="A959">
        <v>15</v>
      </c>
      <c r="B959" t="s">
        <v>13</v>
      </c>
      <c r="C959">
        <v>2020</v>
      </c>
      <c r="D959">
        <v>110.875</v>
      </c>
      <c r="E959">
        <v>206</v>
      </c>
      <c r="F959">
        <v>307</v>
      </c>
      <c r="G959">
        <v>9.875</v>
      </c>
      <c r="H959">
        <v>36000</v>
      </c>
      <c r="I959" t="s">
        <v>23</v>
      </c>
    </row>
    <row r="960" spans="1:9" hidden="1" x14ac:dyDescent="0.25">
      <c r="A960">
        <v>16</v>
      </c>
      <c r="B960" t="s">
        <v>13</v>
      </c>
      <c r="C960">
        <v>2020</v>
      </c>
      <c r="D960">
        <v>307</v>
      </c>
      <c r="E960" t="s">
        <v>9</v>
      </c>
      <c r="F960">
        <v>288.75</v>
      </c>
      <c r="G960">
        <v>18.25</v>
      </c>
      <c r="H960">
        <v>36000</v>
      </c>
      <c r="I960" t="s">
        <v>23</v>
      </c>
    </row>
    <row r="961" spans="1:9" hidden="1" x14ac:dyDescent="0.25">
      <c r="A961">
        <v>17</v>
      </c>
      <c r="B961" t="s">
        <v>13</v>
      </c>
      <c r="C961">
        <v>2020</v>
      </c>
      <c r="D961">
        <v>288.75</v>
      </c>
      <c r="E961" t="s">
        <v>9</v>
      </c>
      <c r="F961">
        <v>258</v>
      </c>
      <c r="G961">
        <v>30.75</v>
      </c>
      <c r="H961">
        <v>36000</v>
      </c>
      <c r="I961" t="s">
        <v>23</v>
      </c>
    </row>
    <row r="962" spans="1:9" hidden="1" x14ac:dyDescent="0.25">
      <c r="A962">
        <v>18</v>
      </c>
      <c r="B962" t="s">
        <v>13</v>
      </c>
      <c r="C962">
        <v>2020</v>
      </c>
      <c r="D962">
        <v>258</v>
      </c>
      <c r="E962" t="s">
        <v>9</v>
      </c>
      <c r="F962">
        <v>222</v>
      </c>
      <c r="G962">
        <v>36</v>
      </c>
      <c r="H962">
        <v>36000</v>
      </c>
      <c r="I962" t="s">
        <v>23</v>
      </c>
    </row>
    <row r="963" spans="1:9" hidden="1" x14ac:dyDescent="0.25">
      <c r="A963">
        <v>19</v>
      </c>
      <c r="B963" t="s">
        <v>13</v>
      </c>
      <c r="C963">
        <v>2020</v>
      </c>
      <c r="D963">
        <v>222</v>
      </c>
      <c r="E963" t="s">
        <v>9</v>
      </c>
      <c r="F963">
        <v>185.375</v>
      </c>
      <c r="G963">
        <v>36.625</v>
      </c>
      <c r="H963">
        <v>36000</v>
      </c>
      <c r="I963" t="s">
        <v>23</v>
      </c>
    </row>
    <row r="964" spans="1:9" hidden="1" x14ac:dyDescent="0.25">
      <c r="A964">
        <v>20</v>
      </c>
      <c r="B964" t="s">
        <v>13</v>
      </c>
      <c r="C964">
        <v>2020</v>
      </c>
      <c r="D964">
        <v>185.375</v>
      </c>
      <c r="E964" t="s">
        <v>9</v>
      </c>
      <c r="F964">
        <v>171.375</v>
      </c>
      <c r="G964">
        <v>14</v>
      </c>
      <c r="H964">
        <v>36000</v>
      </c>
      <c r="I964" t="s">
        <v>23</v>
      </c>
    </row>
    <row r="965" spans="1:9" hidden="1" x14ac:dyDescent="0.25">
      <c r="A965">
        <v>21</v>
      </c>
      <c r="B965" t="s">
        <v>13</v>
      </c>
      <c r="C965">
        <v>2020</v>
      </c>
      <c r="D965">
        <v>171.375</v>
      </c>
      <c r="E965" t="s">
        <v>9</v>
      </c>
      <c r="F965">
        <v>153</v>
      </c>
      <c r="G965">
        <v>18.375</v>
      </c>
      <c r="H965">
        <v>36000</v>
      </c>
      <c r="I965" t="s">
        <v>23</v>
      </c>
    </row>
    <row r="966" spans="1:9" hidden="1" x14ac:dyDescent="0.25">
      <c r="A966">
        <v>22</v>
      </c>
      <c r="B966" t="s">
        <v>13</v>
      </c>
      <c r="C966">
        <v>2020</v>
      </c>
      <c r="D966">
        <v>153</v>
      </c>
      <c r="E966" t="s">
        <v>9</v>
      </c>
      <c r="F966">
        <v>126</v>
      </c>
      <c r="G966">
        <v>27</v>
      </c>
      <c r="H966">
        <v>36000</v>
      </c>
      <c r="I966" t="s">
        <v>23</v>
      </c>
    </row>
    <row r="967" spans="1:9" hidden="1" x14ac:dyDescent="0.25">
      <c r="A967">
        <v>23</v>
      </c>
      <c r="B967" t="s">
        <v>13</v>
      </c>
      <c r="C967">
        <v>2020</v>
      </c>
      <c r="D967">
        <v>126</v>
      </c>
      <c r="E967" t="s">
        <v>9</v>
      </c>
      <c r="F967">
        <v>108.5</v>
      </c>
      <c r="G967">
        <v>17.5</v>
      </c>
      <c r="H967">
        <v>36000</v>
      </c>
      <c r="I967" t="s">
        <v>23</v>
      </c>
    </row>
    <row r="968" spans="1:9" hidden="1" x14ac:dyDescent="0.25">
      <c r="A968">
        <v>24</v>
      </c>
      <c r="B968" t="s">
        <v>13</v>
      </c>
      <c r="C968">
        <v>2020</v>
      </c>
      <c r="D968">
        <v>108.5</v>
      </c>
      <c r="E968" t="s">
        <v>9</v>
      </c>
      <c r="F968">
        <v>77.5</v>
      </c>
      <c r="G968">
        <v>31</v>
      </c>
      <c r="H968">
        <v>36000</v>
      </c>
      <c r="I968" t="s">
        <v>23</v>
      </c>
    </row>
    <row r="969" spans="1:9" hidden="1" x14ac:dyDescent="0.25">
      <c r="A969">
        <v>25</v>
      </c>
      <c r="B969" t="s">
        <v>13</v>
      </c>
      <c r="C969">
        <v>2020</v>
      </c>
      <c r="D969">
        <v>77.5</v>
      </c>
      <c r="E969" t="s">
        <v>9</v>
      </c>
      <c r="F969">
        <v>27.5</v>
      </c>
      <c r="G969">
        <v>50</v>
      </c>
      <c r="H969">
        <v>36000</v>
      </c>
      <c r="I969" t="s">
        <v>23</v>
      </c>
    </row>
    <row r="970" spans="1:9" hidden="1" x14ac:dyDescent="0.25">
      <c r="A970">
        <v>26</v>
      </c>
      <c r="B970" t="s">
        <v>13</v>
      </c>
      <c r="C970">
        <v>2020</v>
      </c>
      <c r="D970">
        <v>27.5</v>
      </c>
      <c r="E970">
        <v>210</v>
      </c>
      <c r="F970">
        <v>195.07499999999999</v>
      </c>
      <c r="G970">
        <v>42.424999999999997</v>
      </c>
      <c r="H970">
        <v>36000</v>
      </c>
      <c r="I970" t="s">
        <v>23</v>
      </c>
    </row>
    <row r="971" spans="1:9" hidden="1" x14ac:dyDescent="0.25">
      <c r="A971">
        <v>27</v>
      </c>
      <c r="B971" t="s">
        <v>13</v>
      </c>
      <c r="C971">
        <v>2020</v>
      </c>
      <c r="D971">
        <v>195.07499999999999</v>
      </c>
      <c r="E971" t="s">
        <v>9</v>
      </c>
      <c r="F971">
        <v>176.125</v>
      </c>
      <c r="G971">
        <v>18.95</v>
      </c>
      <c r="H971">
        <v>36000</v>
      </c>
      <c r="I971" t="s">
        <v>23</v>
      </c>
    </row>
    <row r="972" spans="1:9" hidden="1" x14ac:dyDescent="0.25">
      <c r="A972">
        <v>28</v>
      </c>
      <c r="B972" t="s">
        <v>13</v>
      </c>
      <c r="C972">
        <v>2020</v>
      </c>
      <c r="D972">
        <v>176.125</v>
      </c>
      <c r="E972" t="s">
        <v>9</v>
      </c>
      <c r="F972">
        <v>155.125</v>
      </c>
      <c r="G972">
        <v>21</v>
      </c>
      <c r="H972">
        <v>36000</v>
      </c>
      <c r="I972" t="s">
        <v>23</v>
      </c>
    </row>
    <row r="973" spans="1:9" hidden="1" x14ac:dyDescent="0.25">
      <c r="A973">
        <v>29</v>
      </c>
      <c r="B973" t="s">
        <v>13</v>
      </c>
      <c r="C973">
        <v>2020</v>
      </c>
      <c r="D973">
        <v>155.125</v>
      </c>
      <c r="E973" t="s">
        <v>9</v>
      </c>
      <c r="F973">
        <v>131.5</v>
      </c>
      <c r="G973">
        <v>23.625</v>
      </c>
      <c r="H973">
        <v>36000</v>
      </c>
      <c r="I973" t="s">
        <v>23</v>
      </c>
    </row>
    <row r="974" spans="1:9" hidden="1" x14ac:dyDescent="0.25">
      <c r="A974">
        <v>30</v>
      </c>
      <c r="B974" t="s">
        <v>13</v>
      </c>
      <c r="C974">
        <v>2020</v>
      </c>
      <c r="D974">
        <v>131.5</v>
      </c>
      <c r="E974" t="s">
        <v>9</v>
      </c>
      <c r="F974">
        <v>92.025000000000006</v>
      </c>
      <c r="G974">
        <v>39.475000000000001</v>
      </c>
      <c r="H974">
        <v>36000</v>
      </c>
      <c r="I974" t="s">
        <v>23</v>
      </c>
    </row>
    <row r="975" spans="1:9" hidden="1" x14ac:dyDescent="0.25">
      <c r="A975">
        <v>1</v>
      </c>
      <c r="B975" t="s">
        <v>14</v>
      </c>
      <c r="C975">
        <v>2020</v>
      </c>
      <c r="D975">
        <v>92.025000000000006</v>
      </c>
      <c r="E975" t="s">
        <v>9</v>
      </c>
      <c r="F975">
        <v>60.5</v>
      </c>
      <c r="G975">
        <v>31.524999999999999</v>
      </c>
      <c r="H975">
        <v>36000</v>
      </c>
      <c r="I975" t="s">
        <v>23</v>
      </c>
    </row>
    <row r="976" spans="1:9" hidden="1" x14ac:dyDescent="0.25">
      <c r="A976">
        <v>2</v>
      </c>
      <c r="B976" t="s">
        <v>14</v>
      </c>
      <c r="C976">
        <v>2020</v>
      </c>
      <c r="D976">
        <v>60.5</v>
      </c>
      <c r="E976">
        <v>210</v>
      </c>
      <c r="F976">
        <v>225</v>
      </c>
      <c r="G976">
        <v>45.5</v>
      </c>
      <c r="H976">
        <v>36000</v>
      </c>
      <c r="I976" t="s">
        <v>23</v>
      </c>
    </row>
    <row r="977" spans="1:9" hidden="1" x14ac:dyDescent="0.25">
      <c r="A977">
        <v>3</v>
      </c>
      <c r="B977" t="s">
        <v>14</v>
      </c>
      <c r="C977">
        <v>2020</v>
      </c>
      <c r="D977">
        <v>225</v>
      </c>
      <c r="E977" t="s">
        <v>9</v>
      </c>
      <c r="F977">
        <v>192</v>
      </c>
      <c r="G977">
        <v>33</v>
      </c>
      <c r="H977">
        <v>36000</v>
      </c>
      <c r="I977" t="s">
        <v>23</v>
      </c>
    </row>
    <row r="978" spans="1:9" hidden="1" x14ac:dyDescent="0.25">
      <c r="A978">
        <v>4</v>
      </c>
      <c r="B978" t="s">
        <v>14</v>
      </c>
      <c r="C978">
        <v>2020</v>
      </c>
      <c r="D978">
        <v>192</v>
      </c>
      <c r="E978" t="s">
        <v>9</v>
      </c>
      <c r="F978">
        <v>173.5</v>
      </c>
      <c r="G978">
        <v>18.5</v>
      </c>
      <c r="H978">
        <v>36000</v>
      </c>
      <c r="I978" t="s">
        <v>23</v>
      </c>
    </row>
    <row r="979" spans="1:9" hidden="1" x14ac:dyDescent="0.25">
      <c r="A979">
        <v>5</v>
      </c>
      <c r="B979" t="s">
        <v>14</v>
      </c>
      <c r="C979">
        <v>2020</v>
      </c>
      <c r="D979">
        <v>173.5</v>
      </c>
      <c r="E979" t="s">
        <v>9</v>
      </c>
      <c r="F979">
        <v>159.5</v>
      </c>
      <c r="G979">
        <v>14</v>
      </c>
      <c r="H979">
        <v>36000</v>
      </c>
      <c r="I979" t="s">
        <v>23</v>
      </c>
    </row>
    <row r="980" spans="1:9" hidden="1" x14ac:dyDescent="0.25">
      <c r="A980">
        <v>6</v>
      </c>
      <c r="B980" t="s">
        <v>14</v>
      </c>
      <c r="C980">
        <v>2020</v>
      </c>
      <c r="D980">
        <v>159.5</v>
      </c>
      <c r="E980" t="s">
        <v>9</v>
      </c>
      <c r="F980">
        <v>142</v>
      </c>
      <c r="G980">
        <v>17.5</v>
      </c>
      <c r="H980">
        <v>36000</v>
      </c>
      <c r="I980" t="s">
        <v>23</v>
      </c>
    </row>
    <row r="981" spans="1:9" hidden="1" x14ac:dyDescent="0.25">
      <c r="A981">
        <v>7</v>
      </c>
      <c r="B981" t="s">
        <v>14</v>
      </c>
      <c r="C981">
        <v>2020</v>
      </c>
      <c r="D981">
        <v>142</v>
      </c>
      <c r="E981" t="s">
        <v>9</v>
      </c>
      <c r="F981">
        <v>118.5</v>
      </c>
      <c r="G981">
        <v>23.5</v>
      </c>
      <c r="H981">
        <v>36000</v>
      </c>
      <c r="I981" t="s">
        <v>23</v>
      </c>
    </row>
    <row r="982" spans="1:9" hidden="1" x14ac:dyDescent="0.25">
      <c r="A982">
        <v>8</v>
      </c>
      <c r="B982" t="s">
        <v>14</v>
      </c>
      <c r="C982">
        <v>2020</v>
      </c>
      <c r="D982">
        <v>118.5</v>
      </c>
      <c r="E982">
        <v>197</v>
      </c>
      <c r="F982">
        <v>285.5</v>
      </c>
      <c r="G982">
        <v>30</v>
      </c>
      <c r="H982">
        <v>36000</v>
      </c>
      <c r="I982" t="s">
        <v>23</v>
      </c>
    </row>
    <row r="983" spans="1:9" hidden="1" x14ac:dyDescent="0.25">
      <c r="A983">
        <v>9</v>
      </c>
      <c r="B983" t="s">
        <v>14</v>
      </c>
      <c r="C983">
        <v>2020</v>
      </c>
      <c r="D983">
        <v>285.5</v>
      </c>
      <c r="E983" t="s">
        <v>9</v>
      </c>
      <c r="F983">
        <v>247</v>
      </c>
      <c r="G983">
        <v>38.5</v>
      </c>
      <c r="H983">
        <v>36000</v>
      </c>
      <c r="I983" t="s">
        <v>23</v>
      </c>
    </row>
    <row r="984" spans="1:9" hidden="1" x14ac:dyDescent="0.25">
      <c r="A984">
        <v>10</v>
      </c>
      <c r="B984" t="s">
        <v>14</v>
      </c>
      <c r="C984">
        <v>2020</v>
      </c>
      <c r="D984">
        <v>247</v>
      </c>
      <c r="E984" t="s">
        <v>9</v>
      </c>
      <c r="F984">
        <v>184.625</v>
      </c>
      <c r="G984">
        <v>62.375</v>
      </c>
      <c r="H984">
        <v>36000</v>
      </c>
      <c r="I984" t="s">
        <v>23</v>
      </c>
    </row>
    <row r="985" spans="1:9" hidden="1" x14ac:dyDescent="0.25">
      <c r="A985">
        <v>11</v>
      </c>
      <c r="B985" t="s">
        <v>14</v>
      </c>
      <c r="C985">
        <v>2020</v>
      </c>
      <c r="D985">
        <v>184.625</v>
      </c>
      <c r="E985">
        <v>-1</v>
      </c>
      <c r="F985">
        <v>159</v>
      </c>
      <c r="G985">
        <v>24.625</v>
      </c>
      <c r="H985">
        <v>36000</v>
      </c>
      <c r="I985" t="s">
        <v>23</v>
      </c>
    </row>
    <row r="986" spans="1:9" hidden="1" x14ac:dyDescent="0.25">
      <c r="A986">
        <v>12</v>
      </c>
      <c r="B986" t="s">
        <v>14</v>
      </c>
      <c r="C986">
        <v>2020</v>
      </c>
      <c r="D986">
        <v>159</v>
      </c>
      <c r="E986" t="s">
        <v>9</v>
      </c>
      <c r="F986">
        <v>129.5</v>
      </c>
      <c r="G986">
        <v>29.5</v>
      </c>
      <c r="H986">
        <v>36000</v>
      </c>
      <c r="I986" t="s">
        <v>23</v>
      </c>
    </row>
    <row r="987" spans="1:9" hidden="1" x14ac:dyDescent="0.25">
      <c r="A987">
        <v>13</v>
      </c>
      <c r="B987" t="s">
        <v>14</v>
      </c>
      <c r="C987">
        <v>2020</v>
      </c>
      <c r="D987">
        <v>129.5</v>
      </c>
      <c r="E987" t="s">
        <v>9</v>
      </c>
      <c r="F987">
        <v>114.5</v>
      </c>
      <c r="G987">
        <v>15</v>
      </c>
      <c r="H987">
        <v>36000</v>
      </c>
      <c r="I987" t="s">
        <v>23</v>
      </c>
    </row>
    <row r="988" spans="1:9" hidden="1" x14ac:dyDescent="0.25">
      <c r="A988">
        <v>14</v>
      </c>
      <c r="B988" t="s">
        <v>14</v>
      </c>
      <c r="C988">
        <v>2020</v>
      </c>
      <c r="D988">
        <v>114.5</v>
      </c>
      <c r="E988" t="s">
        <v>9</v>
      </c>
      <c r="F988">
        <v>88.125</v>
      </c>
      <c r="G988">
        <v>26.375</v>
      </c>
      <c r="H988">
        <v>36000</v>
      </c>
      <c r="I988" t="s">
        <v>23</v>
      </c>
    </row>
    <row r="989" spans="1:9" hidden="1" x14ac:dyDescent="0.25">
      <c r="A989">
        <v>15</v>
      </c>
      <c r="B989" t="s">
        <v>14</v>
      </c>
      <c r="C989">
        <v>2020</v>
      </c>
      <c r="D989">
        <v>88.125</v>
      </c>
      <c r="E989" t="s">
        <v>9</v>
      </c>
      <c r="F989">
        <v>50.25</v>
      </c>
      <c r="G989">
        <v>37.875</v>
      </c>
      <c r="H989">
        <v>36000</v>
      </c>
      <c r="I989" t="s">
        <v>23</v>
      </c>
    </row>
    <row r="990" spans="1:9" hidden="1" x14ac:dyDescent="0.25">
      <c r="A990">
        <v>16</v>
      </c>
      <c r="B990" t="s">
        <v>14</v>
      </c>
      <c r="C990">
        <v>2020</v>
      </c>
      <c r="D990">
        <v>50.25</v>
      </c>
      <c r="E990">
        <v>199</v>
      </c>
      <c r="F990">
        <v>203.25</v>
      </c>
      <c r="G990">
        <v>46</v>
      </c>
      <c r="H990">
        <v>36000</v>
      </c>
      <c r="I990" t="s">
        <v>23</v>
      </c>
    </row>
    <row r="991" spans="1:9" hidden="1" x14ac:dyDescent="0.25">
      <c r="A991">
        <v>17</v>
      </c>
      <c r="B991" t="s">
        <v>14</v>
      </c>
      <c r="C991">
        <v>2020</v>
      </c>
      <c r="D991">
        <v>203.25</v>
      </c>
      <c r="E991" t="s">
        <v>9</v>
      </c>
      <c r="F991">
        <v>150.5</v>
      </c>
      <c r="G991">
        <v>52.75</v>
      </c>
      <c r="H991">
        <v>36000</v>
      </c>
      <c r="I991" t="s">
        <v>23</v>
      </c>
    </row>
    <row r="992" spans="1:9" hidden="1" x14ac:dyDescent="0.25">
      <c r="A992">
        <v>18</v>
      </c>
      <c r="B992" t="s">
        <v>14</v>
      </c>
      <c r="C992">
        <v>2020</v>
      </c>
      <c r="D992">
        <v>150.5</v>
      </c>
      <c r="E992" t="s">
        <v>9</v>
      </c>
      <c r="F992">
        <v>133</v>
      </c>
      <c r="G992">
        <v>17.5</v>
      </c>
      <c r="H992">
        <v>36000</v>
      </c>
      <c r="I992" t="s">
        <v>23</v>
      </c>
    </row>
    <row r="993" spans="1:9" hidden="1" x14ac:dyDescent="0.25">
      <c r="A993">
        <v>19</v>
      </c>
      <c r="B993" t="s">
        <v>14</v>
      </c>
      <c r="C993">
        <v>2020</v>
      </c>
      <c r="D993">
        <v>133</v>
      </c>
      <c r="E993" t="s">
        <v>9</v>
      </c>
      <c r="F993">
        <v>114.75</v>
      </c>
      <c r="G993">
        <v>18.25</v>
      </c>
      <c r="H993">
        <v>36000</v>
      </c>
      <c r="I993" t="s">
        <v>23</v>
      </c>
    </row>
    <row r="994" spans="1:9" hidden="1" x14ac:dyDescent="0.25">
      <c r="A994">
        <v>20</v>
      </c>
      <c r="B994" t="s">
        <v>14</v>
      </c>
      <c r="C994">
        <v>2020</v>
      </c>
      <c r="D994">
        <v>114.75</v>
      </c>
      <c r="E994" t="s">
        <v>9</v>
      </c>
      <c r="F994">
        <v>90.25</v>
      </c>
      <c r="G994">
        <v>24.5</v>
      </c>
      <c r="H994">
        <v>36000</v>
      </c>
      <c r="I994" t="s">
        <v>23</v>
      </c>
    </row>
    <row r="995" spans="1:9" hidden="1" x14ac:dyDescent="0.25">
      <c r="A995">
        <v>21</v>
      </c>
      <c r="B995" t="s">
        <v>14</v>
      </c>
      <c r="C995">
        <v>2020</v>
      </c>
      <c r="D995">
        <v>90.25</v>
      </c>
      <c r="E995" t="s">
        <v>9</v>
      </c>
      <c r="F995">
        <v>62.25</v>
      </c>
      <c r="G995">
        <v>28</v>
      </c>
      <c r="H995">
        <v>36000</v>
      </c>
      <c r="I995" t="s">
        <v>23</v>
      </c>
    </row>
    <row r="996" spans="1:9" hidden="1" x14ac:dyDescent="0.25">
      <c r="A996">
        <v>22</v>
      </c>
      <c r="B996" t="s">
        <v>14</v>
      </c>
      <c r="C996">
        <v>2020</v>
      </c>
      <c r="D996">
        <v>62.25</v>
      </c>
      <c r="E996">
        <v>210</v>
      </c>
      <c r="F996">
        <v>240</v>
      </c>
      <c r="G996">
        <v>32.25</v>
      </c>
      <c r="H996">
        <v>36000</v>
      </c>
      <c r="I996" t="s">
        <v>23</v>
      </c>
    </row>
    <row r="997" spans="1:9" hidden="1" x14ac:dyDescent="0.25">
      <c r="A997">
        <v>23</v>
      </c>
      <c r="B997" t="s">
        <v>14</v>
      </c>
      <c r="C997">
        <v>2020</v>
      </c>
      <c r="D997">
        <v>240</v>
      </c>
      <c r="E997" t="s">
        <v>9</v>
      </c>
      <c r="F997">
        <v>203</v>
      </c>
      <c r="G997">
        <v>37</v>
      </c>
      <c r="H997">
        <v>36000</v>
      </c>
      <c r="I997" t="s">
        <v>23</v>
      </c>
    </row>
    <row r="998" spans="1:9" hidden="1" x14ac:dyDescent="0.25">
      <c r="A998">
        <v>24</v>
      </c>
      <c r="B998" t="s">
        <v>14</v>
      </c>
      <c r="C998">
        <v>2020</v>
      </c>
      <c r="D998">
        <v>203</v>
      </c>
      <c r="E998" t="s">
        <v>9</v>
      </c>
      <c r="F998">
        <v>162</v>
      </c>
      <c r="G998">
        <v>41</v>
      </c>
      <c r="H998">
        <v>36000</v>
      </c>
      <c r="I998" t="s">
        <v>23</v>
      </c>
    </row>
    <row r="999" spans="1:9" hidden="1" x14ac:dyDescent="0.25">
      <c r="A999">
        <v>25</v>
      </c>
      <c r="B999" t="s">
        <v>14</v>
      </c>
      <c r="C999">
        <v>2020</v>
      </c>
      <c r="D999">
        <v>162</v>
      </c>
      <c r="E999" t="s">
        <v>9</v>
      </c>
      <c r="F999">
        <v>118</v>
      </c>
      <c r="G999">
        <v>44</v>
      </c>
      <c r="H999">
        <v>36000</v>
      </c>
      <c r="I999" t="s">
        <v>23</v>
      </c>
    </row>
    <row r="1000" spans="1:9" hidden="1" x14ac:dyDescent="0.25">
      <c r="A1000">
        <v>26</v>
      </c>
      <c r="B1000" t="s">
        <v>14</v>
      </c>
      <c r="C1000">
        <v>2020</v>
      </c>
      <c r="D1000">
        <v>118</v>
      </c>
      <c r="E1000" t="s">
        <v>9</v>
      </c>
      <c r="F1000">
        <v>101.875</v>
      </c>
      <c r="G1000">
        <v>16.125</v>
      </c>
      <c r="H1000">
        <v>36000</v>
      </c>
      <c r="I1000" t="s">
        <v>23</v>
      </c>
    </row>
    <row r="1001" spans="1:9" hidden="1" x14ac:dyDescent="0.25">
      <c r="A1001">
        <v>27</v>
      </c>
      <c r="B1001" t="s">
        <v>14</v>
      </c>
      <c r="C1001">
        <v>2020</v>
      </c>
      <c r="D1001">
        <v>101.875</v>
      </c>
      <c r="E1001" t="s">
        <v>9</v>
      </c>
      <c r="F1001">
        <v>72.5</v>
      </c>
      <c r="G1001">
        <v>29.375</v>
      </c>
      <c r="H1001">
        <v>36000</v>
      </c>
      <c r="I1001" t="s">
        <v>23</v>
      </c>
    </row>
    <row r="1002" spans="1:9" hidden="1" x14ac:dyDescent="0.25">
      <c r="A1002">
        <v>28</v>
      </c>
      <c r="B1002" t="s">
        <v>14</v>
      </c>
      <c r="C1002">
        <v>2020</v>
      </c>
      <c r="D1002">
        <v>72.5</v>
      </c>
      <c r="E1002" t="s">
        <v>9</v>
      </c>
      <c r="F1002">
        <v>43</v>
      </c>
      <c r="G1002">
        <v>29.5</v>
      </c>
      <c r="H1002">
        <v>36000</v>
      </c>
      <c r="I1002" t="s">
        <v>23</v>
      </c>
    </row>
    <row r="1003" spans="1:9" hidden="1" x14ac:dyDescent="0.25">
      <c r="A1003">
        <v>29</v>
      </c>
      <c r="B1003" t="s">
        <v>14</v>
      </c>
      <c r="C1003">
        <v>2020</v>
      </c>
      <c r="D1003">
        <v>43</v>
      </c>
      <c r="E1003">
        <v>210</v>
      </c>
      <c r="F1003">
        <v>208</v>
      </c>
      <c r="G1003">
        <v>45</v>
      </c>
      <c r="H1003">
        <v>36000</v>
      </c>
      <c r="I1003" t="s">
        <v>23</v>
      </c>
    </row>
    <row r="1004" spans="1:9" hidden="1" x14ac:dyDescent="0.25">
      <c r="A1004">
        <v>30</v>
      </c>
      <c r="B1004" t="s">
        <v>14</v>
      </c>
      <c r="C1004">
        <v>2020</v>
      </c>
      <c r="D1004">
        <v>208</v>
      </c>
      <c r="E1004" t="s">
        <v>9</v>
      </c>
      <c r="F1004">
        <v>162</v>
      </c>
      <c r="G1004">
        <v>46</v>
      </c>
      <c r="H1004">
        <v>36000</v>
      </c>
      <c r="I1004" t="s">
        <v>23</v>
      </c>
    </row>
    <row r="1005" spans="1:9" hidden="1" x14ac:dyDescent="0.25">
      <c r="A1005">
        <v>31</v>
      </c>
      <c r="B1005" t="s">
        <v>14</v>
      </c>
      <c r="C1005">
        <v>2020</v>
      </c>
      <c r="D1005">
        <v>162</v>
      </c>
      <c r="E1005" t="s">
        <v>9</v>
      </c>
      <c r="F1005">
        <v>117</v>
      </c>
      <c r="G1005">
        <v>45</v>
      </c>
      <c r="H1005">
        <v>36000</v>
      </c>
      <c r="I1005" t="s">
        <v>23</v>
      </c>
    </row>
    <row r="1006" spans="1:9" hidden="1" x14ac:dyDescent="0.25">
      <c r="A1006">
        <v>1</v>
      </c>
      <c r="B1006" t="s">
        <v>15</v>
      </c>
      <c r="C1006">
        <v>2020</v>
      </c>
      <c r="D1006">
        <v>117</v>
      </c>
      <c r="E1006" t="s">
        <v>9</v>
      </c>
      <c r="F1006">
        <v>89.5</v>
      </c>
      <c r="G1006">
        <v>27.5</v>
      </c>
      <c r="H1006">
        <v>36000</v>
      </c>
      <c r="I1006" t="s">
        <v>23</v>
      </c>
    </row>
    <row r="1007" spans="1:9" hidden="1" x14ac:dyDescent="0.25">
      <c r="A1007">
        <v>2</v>
      </c>
      <c r="B1007" t="s">
        <v>15</v>
      </c>
      <c r="C1007">
        <v>2020</v>
      </c>
      <c r="D1007">
        <v>89.5</v>
      </c>
      <c r="E1007" t="s">
        <v>9</v>
      </c>
      <c r="F1007">
        <v>63.375</v>
      </c>
      <c r="G1007">
        <v>26.125</v>
      </c>
      <c r="H1007">
        <v>36000</v>
      </c>
      <c r="I1007" t="s">
        <v>23</v>
      </c>
    </row>
    <row r="1008" spans="1:9" hidden="1" x14ac:dyDescent="0.25">
      <c r="A1008">
        <v>3</v>
      </c>
      <c r="B1008" t="s">
        <v>15</v>
      </c>
      <c r="C1008">
        <v>2020</v>
      </c>
      <c r="D1008">
        <v>63.375</v>
      </c>
      <c r="E1008" t="s">
        <v>9</v>
      </c>
      <c r="F1008">
        <v>34.5</v>
      </c>
      <c r="G1008">
        <v>28.875</v>
      </c>
      <c r="H1008">
        <v>36000</v>
      </c>
      <c r="I1008" t="s">
        <v>23</v>
      </c>
    </row>
    <row r="1009" spans="1:9" hidden="1" x14ac:dyDescent="0.25">
      <c r="A1009">
        <v>4</v>
      </c>
      <c r="B1009" t="s">
        <v>15</v>
      </c>
      <c r="C1009">
        <v>2020</v>
      </c>
      <c r="D1009">
        <v>34.5</v>
      </c>
      <c r="E1009">
        <v>211</v>
      </c>
      <c r="F1009">
        <v>226</v>
      </c>
      <c r="G1009">
        <v>19.5</v>
      </c>
      <c r="H1009">
        <v>36000</v>
      </c>
      <c r="I1009" t="s">
        <v>23</v>
      </c>
    </row>
    <row r="1010" spans="1:9" hidden="1" x14ac:dyDescent="0.25">
      <c r="A1010">
        <v>5</v>
      </c>
      <c r="B1010" t="s">
        <v>15</v>
      </c>
      <c r="C1010">
        <v>2020</v>
      </c>
      <c r="D1010">
        <v>226</v>
      </c>
      <c r="E1010" t="s">
        <v>9</v>
      </c>
      <c r="F1010">
        <v>181</v>
      </c>
      <c r="G1010">
        <v>45</v>
      </c>
      <c r="H1010">
        <v>36000</v>
      </c>
      <c r="I1010" t="s">
        <v>23</v>
      </c>
    </row>
    <row r="1011" spans="1:9" hidden="1" x14ac:dyDescent="0.25">
      <c r="A1011">
        <v>6</v>
      </c>
      <c r="B1011" t="s">
        <v>15</v>
      </c>
      <c r="C1011">
        <v>2020</v>
      </c>
      <c r="D1011">
        <v>181</v>
      </c>
      <c r="E1011" t="s">
        <v>9</v>
      </c>
      <c r="F1011">
        <v>136</v>
      </c>
      <c r="G1011">
        <v>45</v>
      </c>
      <c r="H1011">
        <v>36000</v>
      </c>
      <c r="I1011" t="s">
        <v>23</v>
      </c>
    </row>
    <row r="1012" spans="1:9" hidden="1" x14ac:dyDescent="0.25">
      <c r="A1012">
        <v>7</v>
      </c>
      <c r="B1012" t="s">
        <v>15</v>
      </c>
      <c r="C1012">
        <v>2020</v>
      </c>
      <c r="D1012">
        <v>136</v>
      </c>
      <c r="E1012" t="s">
        <v>9</v>
      </c>
      <c r="F1012">
        <v>101</v>
      </c>
      <c r="G1012">
        <v>35</v>
      </c>
      <c r="H1012">
        <v>36000</v>
      </c>
      <c r="I1012" t="s">
        <v>23</v>
      </c>
    </row>
    <row r="1013" spans="1:9" hidden="1" x14ac:dyDescent="0.25">
      <c r="A1013">
        <v>8</v>
      </c>
      <c r="B1013" t="s">
        <v>15</v>
      </c>
      <c r="C1013">
        <v>2020</v>
      </c>
      <c r="D1013">
        <v>101</v>
      </c>
      <c r="E1013" t="s">
        <v>9</v>
      </c>
      <c r="F1013">
        <v>69.75</v>
      </c>
      <c r="G1013">
        <v>31.25</v>
      </c>
      <c r="H1013">
        <v>36000</v>
      </c>
      <c r="I1013" t="s">
        <v>23</v>
      </c>
    </row>
    <row r="1014" spans="1:9" hidden="1" x14ac:dyDescent="0.25">
      <c r="A1014">
        <v>9</v>
      </c>
      <c r="B1014" t="s">
        <v>15</v>
      </c>
      <c r="C1014">
        <v>2020</v>
      </c>
      <c r="D1014">
        <v>69.75</v>
      </c>
      <c r="E1014" t="s">
        <v>9</v>
      </c>
      <c r="F1014">
        <v>48.75</v>
      </c>
      <c r="G1014">
        <v>21</v>
      </c>
      <c r="H1014">
        <v>36000</v>
      </c>
      <c r="I1014" t="s">
        <v>23</v>
      </c>
    </row>
    <row r="1015" spans="1:9" hidden="1" x14ac:dyDescent="0.25">
      <c r="A1015">
        <v>10</v>
      </c>
      <c r="B1015" t="s">
        <v>15</v>
      </c>
      <c r="C1015">
        <v>2020</v>
      </c>
      <c r="D1015">
        <v>48.75</v>
      </c>
      <c r="E1015">
        <v>175</v>
      </c>
      <c r="F1015">
        <v>194.75</v>
      </c>
      <c r="G1015">
        <v>29</v>
      </c>
      <c r="H1015">
        <v>36000</v>
      </c>
      <c r="I1015" t="s">
        <v>23</v>
      </c>
    </row>
    <row r="1016" spans="1:9" hidden="1" x14ac:dyDescent="0.25">
      <c r="A1016">
        <v>11</v>
      </c>
      <c r="B1016" t="s">
        <v>15</v>
      </c>
      <c r="C1016">
        <v>2020</v>
      </c>
      <c r="D1016">
        <v>194.75</v>
      </c>
      <c r="E1016" t="s">
        <v>9</v>
      </c>
      <c r="F1016">
        <v>157</v>
      </c>
      <c r="G1016">
        <v>37.75</v>
      </c>
      <c r="H1016">
        <v>36000</v>
      </c>
      <c r="I1016" t="s">
        <v>23</v>
      </c>
    </row>
    <row r="1017" spans="1:9" hidden="1" x14ac:dyDescent="0.25">
      <c r="A1017">
        <v>12</v>
      </c>
      <c r="B1017" t="s">
        <v>15</v>
      </c>
      <c r="C1017">
        <v>2020</v>
      </c>
      <c r="D1017">
        <v>157</v>
      </c>
      <c r="E1017" t="s">
        <v>9</v>
      </c>
      <c r="F1017">
        <v>98.5</v>
      </c>
      <c r="G1017">
        <v>58.5</v>
      </c>
      <c r="H1017">
        <v>36000</v>
      </c>
      <c r="I1017" t="s">
        <v>23</v>
      </c>
    </row>
    <row r="1018" spans="1:9" hidden="1" x14ac:dyDescent="0.25">
      <c r="A1018">
        <v>13</v>
      </c>
      <c r="B1018" t="s">
        <v>15</v>
      </c>
      <c r="C1018">
        <v>2020</v>
      </c>
      <c r="D1018">
        <v>98.5</v>
      </c>
      <c r="E1018" t="s">
        <v>9</v>
      </c>
      <c r="F1018">
        <v>62</v>
      </c>
      <c r="G1018">
        <v>36.5</v>
      </c>
      <c r="H1018">
        <v>36000</v>
      </c>
      <c r="I1018" t="s">
        <v>23</v>
      </c>
    </row>
    <row r="1019" spans="1:9" hidden="1" x14ac:dyDescent="0.25">
      <c r="A1019">
        <v>14</v>
      </c>
      <c r="B1019" t="s">
        <v>15</v>
      </c>
      <c r="C1019">
        <v>2020</v>
      </c>
      <c r="D1019">
        <v>62</v>
      </c>
      <c r="E1019">
        <v>200</v>
      </c>
      <c r="F1019">
        <v>227.5</v>
      </c>
      <c r="G1019">
        <v>34.5</v>
      </c>
      <c r="H1019">
        <v>36000</v>
      </c>
      <c r="I1019" t="s">
        <v>23</v>
      </c>
    </row>
    <row r="1020" spans="1:9" hidden="1" x14ac:dyDescent="0.25">
      <c r="A1020">
        <v>15</v>
      </c>
      <c r="B1020" t="s">
        <v>15</v>
      </c>
      <c r="C1020">
        <v>2020</v>
      </c>
      <c r="D1020">
        <v>227.5</v>
      </c>
      <c r="E1020" t="s">
        <v>9</v>
      </c>
      <c r="F1020">
        <v>193</v>
      </c>
      <c r="G1020">
        <v>34.5</v>
      </c>
      <c r="H1020">
        <v>36000</v>
      </c>
      <c r="I1020" t="s">
        <v>23</v>
      </c>
    </row>
    <row r="1021" spans="1:9" hidden="1" x14ac:dyDescent="0.25">
      <c r="A1021">
        <v>16</v>
      </c>
      <c r="B1021" t="s">
        <v>15</v>
      </c>
      <c r="C1021">
        <v>2020</v>
      </c>
      <c r="D1021">
        <v>193</v>
      </c>
      <c r="E1021" t="s">
        <v>9</v>
      </c>
      <c r="F1021">
        <v>157</v>
      </c>
      <c r="G1021">
        <v>36</v>
      </c>
      <c r="H1021">
        <v>36000</v>
      </c>
      <c r="I1021" t="s">
        <v>23</v>
      </c>
    </row>
    <row r="1022" spans="1:9" hidden="1" x14ac:dyDescent="0.25">
      <c r="A1022">
        <v>17</v>
      </c>
      <c r="B1022" t="s">
        <v>15</v>
      </c>
      <c r="C1022">
        <v>2020</v>
      </c>
      <c r="D1022">
        <v>157</v>
      </c>
      <c r="E1022">
        <v>1</v>
      </c>
      <c r="F1022">
        <v>128</v>
      </c>
      <c r="G1022">
        <v>30</v>
      </c>
      <c r="H1022">
        <v>36000</v>
      </c>
      <c r="I1022" t="s">
        <v>23</v>
      </c>
    </row>
    <row r="1023" spans="1:9" hidden="1" x14ac:dyDescent="0.25">
      <c r="A1023">
        <v>18</v>
      </c>
      <c r="B1023" t="s">
        <v>15</v>
      </c>
      <c r="C1023">
        <v>2020</v>
      </c>
      <c r="D1023">
        <v>128</v>
      </c>
      <c r="E1023" t="s">
        <v>9</v>
      </c>
      <c r="F1023">
        <v>99</v>
      </c>
      <c r="G1023">
        <v>29</v>
      </c>
      <c r="H1023">
        <v>36000</v>
      </c>
      <c r="I1023" t="s">
        <v>23</v>
      </c>
    </row>
    <row r="1024" spans="1:9" hidden="1" x14ac:dyDescent="0.25">
      <c r="A1024">
        <v>19</v>
      </c>
      <c r="B1024" t="s">
        <v>15</v>
      </c>
      <c r="C1024">
        <v>2020</v>
      </c>
      <c r="D1024">
        <v>99</v>
      </c>
      <c r="E1024">
        <v>300</v>
      </c>
      <c r="F1024">
        <v>354</v>
      </c>
      <c r="G1024">
        <v>45</v>
      </c>
      <c r="H1024">
        <v>36000</v>
      </c>
      <c r="I1024" t="s">
        <v>23</v>
      </c>
    </row>
    <row r="1025" spans="1:9" hidden="1" x14ac:dyDescent="0.25">
      <c r="A1025">
        <v>20</v>
      </c>
      <c r="B1025" t="s">
        <v>15</v>
      </c>
      <c r="C1025">
        <v>2020</v>
      </c>
      <c r="D1025">
        <v>354</v>
      </c>
      <c r="E1025" t="s">
        <v>9</v>
      </c>
      <c r="F1025">
        <v>307</v>
      </c>
      <c r="G1025">
        <v>47</v>
      </c>
      <c r="H1025">
        <v>36000</v>
      </c>
      <c r="I1025" t="s">
        <v>23</v>
      </c>
    </row>
    <row r="1026" spans="1:9" hidden="1" x14ac:dyDescent="0.25">
      <c r="A1026">
        <v>21</v>
      </c>
      <c r="B1026" t="s">
        <v>15</v>
      </c>
      <c r="C1026">
        <v>2020</v>
      </c>
      <c r="D1026">
        <v>307</v>
      </c>
      <c r="E1026" t="s">
        <v>9</v>
      </c>
      <c r="F1026">
        <v>280</v>
      </c>
      <c r="G1026">
        <v>27</v>
      </c>
      <c r="H1026">
        <v>36000</v>
      </c>
      <c r="I1026" t="s">
        <v>23</v>
      </c>
    </row>
    <row r="1027" spans="1:9" hidden="1" x14ac:dyDescent="0.25">
      <c r="A1027">
        <v>22</v>
      </c>
      <c r="B1027" t="s">
        <v>15</v>
      </c>
      <c r="C1027">
        <v>2020</v>
      </c>
      <c r="D1027">
        <v>280</v>
      </c>
      <c r="E1027" t="s">
        <v>9</v>
      </c>
      <c r="F1027">
        <v>241.5</v>
      </c>
      <c r="G1027">
        <v>38.5</v>
      </c>
      <c r="H1027">
        <v>36000</v>
      </c>
      <c r="I1027" t="s">
        <v>23</v>
      </c>
    </row>
    <row r="1028" spans="1:9" hidden="1" x14ac:dyDescent="0.25">
      <c r="A1028">
        <v>23</v>
      </c>
      <c r="B1028" t="s">
        <v>15</v>
      </c>
      <c r="C1028">
        <v>2020</v>
      </c>
      <c r="D1028">
        <v>241.5</v>
      </c>
      <c r="E1028" t="s">
        <v>9</v>
      </c>
      <c r="F1028">
        <v>215</v>
      </c>
      <c r="G1028">
        <v>26.5</v>
      </c>
      <c r="H1028">
        <v>36000</v>
      </c>
      <c r="I1028" t="s">
        <v>23</v>
      </c>
    </row>
    <row r="1029" spans="1:9" hidden="1" x14ac:dyDescent="0.25">
      <c r="A1029">
        <v>24</v>
      </c>
      <c r="B1029" t="s">
        <v>15</v>
      </c>
      <c r="C1029">
        <v>2020</v>
      </c>
      <c r="D1029">
        <v>215</v>
      </c>
      <c r="E1029" t="s">
        <v>9</v>
      </c>
      <c r="F1029">
        <v>194.5</v>
      </c>
      <c r="G1029">
        <v>20.5</v>
      </c>
      <c r="H1029">
        <v>36000</v>
      </c>
      <c r="I1029" t="s">
        <v>23</v>
      </c>
    </row>
    <row r="1030" spans="1:9" hidden="1" x14ac:dyDescent="0.25">
      <c r="A1030">
        <v>25</v>
      </c>
      <c r="B1030" t="s">
        <v>15</v>
      </c>
      <c r="C1030">
        <v>2020</v>
      </c>
      <c r="D1030">
        <v>194.5</v>
      </c>
      <c r="E1030" t="s">
        <v>9</v>
      </c>
      <c r="F1030">
        <v>159.5</v>
      </c>
      <c r="G1030">
        <v>35</v>
      </c>
      <c r="H1030">
        <v>36000</v>
      </c>
      <c r="I1030" t="s">
        <v>23</v>
      </c>
    </row>
    <row r="1031" spans="1:9" hidden="1" x14ac:dyDescent="0.25">
      <c r="A1031">
        <v>26</v>
      </c>
      <c r="B1031" t="s">
        <v>15</v>
      </c>
      <c r="C1031">
        <v>2020</v>
      </c>
      <c r="D1031">
        <v>159.5</v>
      </c>
      <c r="E1031" t="s">
        <v>9</v>
      </c>
      <c r="F1031">
        <v>101.5</v>
      </c>
      <c r="G1031">
        <v>58</v>
      </c>
      <c r="H1031">
        <v>36000</v>
      </c>
      <c r="I1031" t="s">
        <v>23</v>
      </c>
    </row>
    <row r="1032" spans="1:9" hidden="1" x14ac:dyDescent="0.25">
      <c r="A1032">
        <v>27</v>
      </c>
      <c r="B1032" t="s">
        <v>15</v>
      </c>
      <c r="C1032">
        <v>2020</v>
      </c>
      <c r="D1032">
        <v>101.5</v>
      </c>
      <c r="E1032">
        <v>100</v>
      </c>
      <c r="F1032">
        <v>143.5</v>
      </c>
      <c r="G1032">
        <v>58</v>
      </c>
      <c r="H1032">
        <v>36000</v>
      </c>
      <c r="I1032" t="s">
        <v>23</v>
      </c>
    </row>
    <row r="1033" spans="1:9" hidden="1" x14ac:dyDescent="0.25">
      <c r="A1033">
        <v>28</v>
      </c>
      <c r="B1033" t="s">
        <v>15</v>
      </c>
      <c r="C1033">
        <v>2020</v>
      </c>
      <c r="D1033">
        <v>143.5</v>
      </c>
      <c r="E1033" t="s">
        <v>9</v>
      </c>
      <c r="F1033">
        <v>106</v>
      </c>
      <c r="G1033">
        <v>37.5</v>
      </c>
      <c r="H1033">
        <v>36000</v>
      </c>
      <c r="I1033" t="s">
        <v>23</v>
      </c>
    </row>
    <row r="1034" spans="1:9" hidden="1" x14ac:dyDescent="0.25">
      <c r="A1034">
        <v>29</v>
      </c>
      <c r="B1034" t="s">
        <v>15</v>
      </c>
      <c r="C1034">
        <v>2020</v>
      </c>
      <c r="D1034">
        <v>106</v>
      </c>
      <c r="E1034" t="s">
        <v>9</v>
      </c>
      <c r="F1034">
        <v>65.5</v>
      </c>
      <c r="G1034">
        <v>40.5</v>
      </c>
      <c r="H1034">
        <v>36000</v>
      </c>
      <c r="I1034" t="s">
        <v>23</v>
      </c>
    </row>
    <row r="1035" spans="1:9" hidden="1" x14ac:dyDescent="0.25">
      <c r="A1035">
        <v>30</v>
      </c>
      <c r="B1035" t="s">
        <v>15</v>
      </c>
      <c r="C1035">
        <v>2020</v>
      </c>
      <c r="D1035">
        <v>65.5</v>
      </c>
      <c r="E1035">
        <v>300</v>
      </c>
      <c r="F1035">
        <v>328</v>
      </c>
      <c r="G1035">
        <v>37.5</v>
      </c>
      <c r="H1035">
        <v>36000</v>
      </c>
      <c r="I1035" t="s">
        <v>23</v>
      </c>
    </row>
    <row r="1036" spans="1:9" hidden="1" x14ac:dyDescent="0.25">
      <c r="A1036">
        <v>1</v>
      </c>
      <c r="B1036" t="s">
        <v>16</v>
      </c>
      <c r="C1036">
        <v>2020</v>
      </c>
      <c r="D1036">
        <v>328</v>
      </c>
      <c r="E1036" t="s">
        <v>9</v>
      </c>
      <c r="F1036">
        <v>296.875</v>
      </c>
      <c r="G1036">
        <v>31.125</v>
      </c>
      <c r="H1036">
        <v>36000</v>
      </c>
      <c r="I1036" t="s">
        <v>23</v>
      </c>
    </row>
    <row r="1037" spans="1:9" hidden="1" x14ac:dyDescent="0.25">
      <c r="A1037">
        <v>2</v>
      </c>
      <c r="B1037" t="s">
        <v>16</v>
      </c>
      <c r="C1037">
        <v>2020</v>
      </c>
      <c r="D1037">
        <v>296.875</v>
      </c>
      <c r="E1037" t="s">
        <v>9</v>
      </c>
      <c r="F1037">
        <v>252</v>
      </c>
      <c r="G1037">
        <v>44.875</v>
      </c>
      <c r="H1037">
        <v>36000</v>
      </c>
      <c r="I1037" t="s">
        <v>23</v>
      </c>
    </row>
    <row r="1038" spans="1:9" hidden="1" x14ac:dyDescent="0.25">
      <c r="A1038">
        <v>3</v>
      </c>
      <c r="B1038" t="s">
        <v>16</v>
      </c>
      <c r="C1038">
        <v>2020</v>
      </c>
      <c r="D1038">
        <v>252</v>
      </c>
      <c r="E1038" t="s">
        <v>9</v>
      </c>
      <c r="F1038">
        <v>194</v>
      </c>
      <c r="G1038">
        <v>58</v>
      </c>
      <c r="H1038">
        <v>36000</v>
      </c>
      <c r="I1038" t="s">
        <v>23</v>
      </c>
    </row>
    <row r="1039" spans="1:9" hidden="1" x14ac:dyDescent="0.25">
      <c r="A1039">
        <v>4</v>
      </c>
      <c r="B1039" t="s">
        <v>16</v>
      </c>
      <c r="C1039">
        <v>2020</v>
      </c>
      <c r="D1039">
        <v>194</v>
      </c>
      <c r="E1039" t="s">
        <v>9</v>
      </c>
      <c r="F1039">
        <v>136</v>
      </c>
      <c r="G1039">
        <v>58</v>
      </c>
      <c r="H1039">
        <v>36000</v>
      </c>
      <c r="I1039" t="s">
        <v>23</v>
      </c>
    </row>
    <row r="1040" spans="1:9" hidden="1" x14ac:dyDescent="0.25">
      <c r="A1040">
        <v>5</v>
      </c>
      <c r="B1040" t="s">
        <v>16</v>
      </c>
      <c r="C1040">
        <v>2020</v>
      </c>
      <c r="D1040">
        <v>136</v>
      </c>
      <c r="E1040" t="s">
        <v>9</v>
      </c>
      <c r="F1040">
        <v>105</v>
      </c>
      <c r="G1040">
        <v>31</v>
      </c>
      <c r="H1040">
        <v>36000</v>
      </c>
      <c r="I1040" t="s">
        <v>23</v>
      </c>
    </row>
    <row r="1041" spans="1:9" hidden="1" x14ac:dyDescent="0.25">
      <c r="A1041">
        <v>6</v>
      </c>
      <c r="B1041" t="s">
        <v>16</v>
      </c>
      <c r="C1041">
        <v>2020</v>
      </c>
      <c r="D1041">
        <v>105</v>
      </c>
      <c r="E1041" t="s">
        <v>9</v>
      </c>
      <c r="F1041">
        <v>77</v>
      </c>
      <c r="G1041">
        <v>28</v>
      </c>
      <c r="H1041">
        <v>36000</v>
      </c>
      <c r="I1041" t="s">
        <v>23</v>
      </c>
    </row>
    <row r="1042" spans="1:9" hidden="1" x14ac:dyDescent="0.25">
      <c r="A1042">
        <v>7</v>
      </c>
      <c r="B1042" t="s">
        <v>16</v>
      </c>
      <c r="C1042">
        <v>2020</v>
      </c>
      <c r="D1042">
        <v>77</v>
      </c>
      <c r="E1042">
        <v>300</v>
      </c>
      <c r="F1042">
        <v>355</v>
      </c>
      <c r="G1042">
        <v>22</v>
      </c>
      <c r="H1042">
        <v>36000</v>
      </c>
      <c r="I1042" t="s">
        <v>23</v>
      </c>
    </row>
    <row r="1043" spans="1:9" hidden="1" x14ac:dyDescent="0.25">
      <c r="A1043">
        <v>8</v>
      </c>
      <c r="B1043" t="s">
        <v>16</v>
      </c>
      <c r="C1043">
        <v>2020</v>
      </c>
      <c r="D1043">
        <v>355</v>
      </c>
      <c r="E1043" t="s">
        <v>9</v>
      </c>
      <c r="F1043">
        <v>325</v>
      </c>
      <c r="G1043">
        <v>30</v>
      </c>
      <c r="H1043">
        <v>36000</v>
      </c>
      <c r="I1043" t="s">
        <v>23</v>
      </c>
    </row>
    <row r="1044" spans="1:9" hidden="1" x14ac:dyDescent="0.25">
      <c r="A1044">
        <v>9</v>
      </c>
      <c r="B1044" t="s">
        <v>16</v>
      </c>
      <c r="C1044">
        <v>2020</v>
      </c>
      <c r="D1044">
        <v>325</v>
      </c>
      <c r="E1044" t="s">
        <v>9</v>
      </c>
      <c r="F1044">
        <v>291</v>
      </c>
      <c r="G1044">
        <v>34</v>
      </c>
      <c r="H1044">
        <v>36000</v>
      </c>
      <c r="I1044" t="s">
        <v>23</v>
      </c>
    </row>
    <row r="1045" spans="1:9" hidden="1" x14ac:dyDescent="0.25">
      <c r="A1045">
        <v>10</v>
      </c>
      <c r="B1045" t="s">
        <v>16</v>
      </c>
      <c r="C1045">
        <v>2020</v>
      </c>
      <c r="D1045">
        <v>291</v>
      </c>
      <c r="E1045" t="s">
        <v>9</v>
      </c>
      <c r="F1045">
        <v>244.5</v>
      </c>
      <c r="G1045">
        <v>46.5</v>
      </c>
      <c r="H1045">
        <v>36000</v>
      </c>
      <c r="I1045" t="s">
        <v>23</v>
      </c>
    </row>
    <row r="1046" spans="1:9" hidden="1" x14ac:dyDescent="0.25">
      <c r="A1046">
        <v>11</v>
      </c>
      <c r="B1046" t="s">
        <v>16</v>
      </c>
      <c r="C1046">
        <v>2020</v>
      </c>
      <c r="D1046">
        <v>244.5</v>
      </c>
      <c r="E1046" t="s">
        <v>9</v>
      </c>
      <c r="F1046">
        <v>200</v>
      </c>
      <c r="G1046">
        <v>44.5</v>
      </c>
      <c r="H1046">
        <v>36000</v>
      </c>
      <c r="I1046" t="s">
        <v>23</v>
      </c>
    </row>
    <row r="1047" spans="1:9" hidden="1" x14ac:dyDescent="0.25">
      <c r="A1047">
        <v>12</v>
      </c>
      <c r="B1047" t="s">
        <v>16</v>
      </c>
      <c r="C1047">
        <v>2020</v>
      </c>
      <c r="D1047">
        <v>200</v>
      </c>
      <c r="E1047" t="s">
        <v>9</v>
      </c>
      <c r="F1047">
        <v>162</v>
      </c>
      <c r="G1047">
        <v>38</v>
      </c>
      <c r="H1047">
        <v>36000</v>
      </c>
      <c r="I1047" t="s">
        <v>23</v>
      </c>
    </row>
    <row r="1048" spans="1:9" hidden="1" x14ac:dyDescent="0.25">
      <c r="A1048">
        <v>13</v>
      </c>
      <c r="B1048" t="s">
        <v>16</v>
      </c>
      <c r="C1048">
        <v>2020</v>
      </c>
      <c r="D1048">
        <v>162</v>
      </c>
      <c r="E1048" t="s">
        <v>9</v>
      </c>
      <c r="F1048">
        <v>140.75</v>
      </c>
      <c r="G1048">
        <v>21.25</v>
      </c>
      <c r="H1048">
        <v>36000</v>
      </c>
      <c r="I1048" t="s">
        <v>23</v>
      </c>
    </row>
    <row r="1049" spans="1:9" hidden="1" x14ac:dyDescent="0.25">
      <c r="A1049">
        <v>14</v>
      </c>
      <c r="B1049" t="s">
        <v>16</v>
      </c>
      <c r="C1049">
        <v>2020</v>
      </c>
      <c r="D1049">
        <v>140.75</v>
      </c>
      <c r="E1049" t="s">
        <v>9</v>
      </c>
      <c r="F1049">
        <v>115.5</v>
      </c>
      <c r="G1049">
        <v>25.25</v>
      </c>
      <c r="H1049">
        <v>36000</v>
      </c>
      <c r="I1049" t="s">
        <v>23</v>
      </c>
    </row>
    <row r="1050" spans="1:9" hidden="1" x14ac:dyDescent="0.25">
      <c r="A1050">
        <v>15</v>
      </c>
      <c r="B1050" t="s">
        <v>16</v>
      </c>
      <c r="C1050">
        <v>2020</v>
      </c>
      <c r="D1050">
        <v>115.5</v>
      </c>
      <c r="E1050" t="s">
        <v>9</v>
      </c>
      <c r="F1050">
        <v>81</v>
      </c>
      <c r="G1050">
        <v>34.5</v>
      </c>
      <c r="H1050">
        <v>36000</v>
      </c>
      <c r="I1050" t="s">
        <v>23</v>
      </c>
    </row>
    <row r="1051" spans="1:9" hidden="1" x14ac:dyDescent="0.25">
      <c r="A1051">
        <v>16</v>
      </c>
      <c r="B1051" t="s">
        <v>16</v>
      </c>
      <c r="C1051">
        <v>2020</v>
      </c>
      <c r="D1051">
        <v>81</v>
      </c>
      <c r="E1051">
        <v>309</v>
      </c>
      <c r="F1051">
        <v>370</v>
      </c>
      <c r="G1051">
        <v>20</v>
      </c>
      <c r="H1051">
        <v>36000</v>
      </c>
      <c r="I1051" t="s">
        <v>23</v>
      </c>
    </row>
    <row r="1052" spans="1:9" hidden="1" x14ac:dyDescent="0.25">
      <c r="A1052">
        <v>17</v>
      </c>
      <c r="B1052" t="s">
        <v>16</v>
      </c>
      <c r="C1052">
        <v>2020</v>
      </c>
      <c r="D1052">
        <v>370</v>
      </c>
      <c r="E1052" t="s">
        <v>9</v>
      </c>
      <c r="F1052">
        <v>336</v>
      </c>
      <c r="G1052">
        <v>34</v>
      </c>
      <c r="H1052">
        <v>36000</v>
      </c>
      <c r="I1052" t="s">
        <v>23</v>
      </c>
    </row>
    <row r="1053" spans="1:9" hidden="1" x14ac:dyDescent="0.25">
      <c r="A1053">
        <v>18</v>
      </c>
      <c r="B1053" t="s">
        <v>16</v>
      </c>
      <c r="C1053">
        <v>2020</v>
      </c>
      <c r="D1053">
        <v>336</v>
      </c>
      <c r="E1053" t="s">
        <v>9</v>
      </c>
      <c r="F1053">
        <v>297</v>
      </c>
      <c r="G1053">
        <v>39</v>
      </c>
      <c r="H1053">
        <v>36000</v>
      </c>
      <c r="I1053" t="s">
        <v>23</v>
      </c>
    </row>
    <row r="1054" spans="1:9" hidden="1" x14ac:dyDescent="0.25">
      <c r="A1054">
        <v>19</v>
      </c>
      <c r="B1054" t="s">
        <v>16</v>
      </c>
      <c r="C1054">
        <v>2020</v>
      </c>
      <c r="D1054">
        <v>297</v>
      </c>
      <c r="E1054" t="s">
        <v>9</v>
      </c>
      <c r="F1054">
        <v>260</v>
      </c>
      <c r="G1054">
        <v>37</v>
      </c>
      <c r="H1054">
        <v>36000</v>
      </c>
      <c r="I1054" t="s">
        <v>23</v>
      </c>
    </row>
    <row r="1055" spans="1:9" hidden="1" x14ac:dyDescent="0.25">
      <c r="A1055">
        <v>20</v>
      </c>
      <c r="B1055" t="s">
        <v>16</v>
      </c>
      <c r="C1055">
        <v>2020</v>
      </c>
      <c r="D1055">
        <v>260</v>
      </c>
      <c r="E1055" t="s">
        <v>9</v>
      </c>
      <c r="F1055">
        <v>214</v>
      </c>
      <c r="G1055">
        <v>46</v>
      </c>
      <c r="H1055">
        <v>36000</v>
      </c>
      <c r="I1055" t="s">
        <v>23</v>
      </c>
    </row>
    <row r="1056" spans="1:9" hidden="1" x14ac:dyDescent="0.25">
      <c r="A1056">
        <v>21</v>
      </c>
      <c r="B1056" t="s">
        <v>16</v>
      </c>
      <c r="C1056">
        <v>2020</v>
      </c>
      <c r="D1056">
        <v>214</v>
      </c>
      <c r="E1056" t="s">
        <v>9</v>
      </c>
      <c r="F1056">
        <v>185</v>
      </c>
      <c r="G1056">
        <v>29</v>
      </c>
      <c r="H1056">
        <v>36000</v>
      </c>
      <c r="I1056" t="s">
        <v>23</v>
      </c>
    </row>
    <row r="1057" spans="1:9" hidden="1" x14ac:dyDescent="0.25">
      <c r="A1057">
        <v>22</v>
      </c>
      <c r="B1057" t="s">
        <v>16</v>
      </c>
      <c r="C1057">
        <v>2020</v>
      </c>
      <c r="D1057">
        <v>185</v>
      </c>
      <c r="E1057" t="s">
        <v>9</v>
      </c>
      <c r="F1057">
        <v>161</v>
      </c>
      <c r="G1057">
        <v>24</v>
      </c>
      <c r="H1057">
        <v>36000</v>
      </c>
      <c r="I1057" t="s">
        <v>23</v>
      </c>
    </row>
    <row r="1058" spans="1:9" hidden="1" x14ac:dyDescent="0.25">
      <c r="A1058">
        <v>23</v>
      </c>
      <c r="B1058" t="s">
        <v>16</v>
      </c>
      <c r="C1058">
        <v>2020</v>
      </c>
      <c r="D1058">
        <v>161</v>
      </c>
      <c r="E1058" t="s">
        <v>9</v>
      </c>
      <c r="F1058">
        <v>125.5</v>
      </c>
      <c r="G1058">
        <v>35.5</v>
      </c>
      <c r="H1058">
        <v>36000</v>
      </c>
      <c r="I1058" t="s">
        <v>23</v>
      </c>
    </row>
    <row r="1059" spans="1:9" hidden="1" x14ac:dyDescent="0.25">
      <c r="A1059">
        <v>24</v>
      </c>
      <c r="B1059" t="s">
        <v>16</v>
      </c>
      <c r="C1059">
        <v>2020</v>
      </c>
      <c r="D1059">
        <v>125.5</v>
      </c>
      <c r="E1059" t="s">
        <v>9</v>
      </c>
      <c r="F1059">
        <v>82.5</v>
      </c>
      <c r="G1059">
        <v>43</v>
      </c>
      <c r="H1059">
        <v>36000</v>
      </c>
      <c r="I1059" t="s">
        <v>23</v>
      </c>
    </row>
    <row r="1060" spans="1:9" hidden="1" x14ac:dyDescent="0.25">
      <c r="A1060">
        <v>25</v>
      </c>
      <c r="B1060" t="s">
        <v>16</v>
      </c>
      <c r="C1060">
        <v>2020</v>
      </c>
      <c r="D1060">
        <v>82.5</v>
      </c>
      <c r="E1060">
        <v>280</v>
      </c>
      <c r="F1060">
        <v>314.5</v>
      </c>
      <c r="G1060">
        <v>48</v>
      </c>
      <c r="H1060">
        <v>36000</v>
      </c>
      <c r="I1060" t="s">
        <v>23</v>
      </c>
    </row>
    <row r="1061" spans="1:9" hidden="1" x14ac:dyDescent="0.25">
      <c r="A1061">
        <v>26</v>
      </c>
      <c r="B1061" t="s">
        <v>16</v>
      </c>
      <c r="C1061">
        <v>2020</v>
      </c>
      <c r="D1061">
        <v>314.5</v>
      </c>
      <c r="E1061" t="s">
        <v>9</v>
      </c>
      <c r="F1061">
        <v>268</v>
      </c>
      <c r="G1061">
        <v>46.5</v>
      </c>
      <c r="H1061">
        <v>36000</v>
      </c>
      <c r="I1061" t="s">
        <v>23</v>
      </c>
    </row>
    <row r="1062" spans="1:9" hidden="1" x14ac:dyDescent="0.25">
      <c r="A1062">
        <v>27</v>
      </c>
      <c r="B1062" t="s">
        <v>16</v>
      </c>
      <c r="C1062">
        <v>2020</v>
      </c>
      <c r="D1062">
        <v>268</v>
      </c>
      <c r="E1062" t="s">
        <v>9</v>
      </c>
      <c r="F1062">
        <v>241.5</v>
      </c>
      <c r="G1062">
        <v>26.5</v>
      </c>
      <c r="H1062">
        <v>36000</v>
      </c>
      <c r="I1062" t="s">
        <v>23</v>
      </c>
    </row>
    <row r="1063" spans="1:9" hidden="1" x14ac:dyDescent="0.25">
      <c r="A1063">
        <v>28</v>
      </c>
      <c r="B1063" t="s">
        <v>16</v>
      </c>
      <c r="C1063">
        <v>2020</v>
      </c>
      <c r="D1063">
        <v>241.5</v>
      </c>
      <c r="E1063" t="s">
        <v>9</v>
      </c>
      <c r="F1063">
        <v>214</v>
      </c>
      <c r="G1063">
        <v>27.5</v>
      </c>
      <c r="H1063">
        <v>36000</v>
      </c>
      <c r="I1063" t="s">
        <v>23</v>
      </c>
    </row>
    <row r="1064" spans="1:9" hidden="1" x14ac:dyDescent="0.25">
      <c r="A1064">
        <v>29</v>
      </c>
      <c r="B1064" t="s">
        <v>16</v>
      </c>
      <c r="C1064">
        <v>2020</v>
      </c>
      <c r="D1064">
        <v>214</v>
      </c>
      <c r="E1064" t="s">
        <v>9</v>
      </c>
      <c r="F1064">
        <v>190</v>
      </c>
      <c r="G1064">
        <v>24</v>
      </c>
      <c r="H1064">
        <v>36000</v>
      </c>
      <c r="I1064" t="s">
        <v>23</v>
      </c>
    </row>
    <row r="1065" spans="1:9" hidden="1" x14ac:dyDescent="0.25">
      <c r="A1065">
        <v>30</v>
      </c>
      <c r="B1065" t="s">
        <v>16</v>
      </c>
      <c r="C1065">
        <v>2020</v>
      </c>
      <c r="D1065">
        <v>190</v>
      </c>
      <c r="E1065" t="s">
        <v>9</v>
      </c>
      <c r="F1065">
        <v>159</v>
      </c>
      <c r="G1065">
        <v>31</v>
      </c>
      <c r="H1065">
        <v>36000</v>
      </c>
      <c r="I1065" t="s">
        <v>23</v>
      </c>
    </row>
    <row r="1066" spans="1:9" hidden="1" x14ac:dyDescent="0.25">
      <c r="A1066">
        <v>31</v>
      </c>
      <c r="B1066" t="s">
        <v>16</v>
      </c>
      <c r="C1066">
        <v>2020</v>
      </c>
      <c r="D1066">
        <v>159</v>
      </c>
      <c r="E1066" t="s">
        <v>9</v>
      </c>
      <c r="F1066">
        <v>118</v>
      </c>
      <c r="G1066">
        <v>41</v>
      </c>
      <c r="H1066">
        <v>36000</v>
      </c>
      <c r="I1066" t="s">
        <v>23</v>
      </c>
    </row>
    <row r="1067" spans="1:9" hidden="1" x14ac:dyDescent="0.25">
      <c r="A1067">
        <v>1</v>
      </c>
      <c r="B1067" t="s">
        <v>17</v>
      </c>
      <c r="C1067">
        <v>2020</v>
      </c>
      <c r="D1067">
        <v>118</v>
      </c>
      <c r="E1067">
        <v>149</v>
      </c>
      <c r="F1067">
        <v>211</v>
      </c>
      <c r="G1067">
        <v>56</v>
      </c>
      <c r="H1067">
        <v>36000</v>
      </c>
      <c r="I1067" t="s">
        <v>23</v>
      </c>
    </row>
    <row r="1068" spans="1:9" hidden="1" x14ac:dyDescent="0.25">
      <c r="A1068">
        <v>2</v>
      </c>
      <c r="B1068" t="s">
        <v>17</v>
      </c>
      <c r="C1068">
        <v>2020</v>
      </c>
      <c r="D1068">
        <v>211</v>
      </c>
      <c r="E1068" t="s">
        <v>9</v>
      </c>
      <c r="F1068">
        <v>171</v>
      </c>
      <c r="G1068">
        <v>40</v>
      </c>
      <c r="H1068">
        <v>36000</v>
      </c>
      <c r="I1068" t="s">
        <v>23</v>
      </c>
    </row>
    <row r="1069" spans="1:9" hidden="1" x14ac:dyDescent="0.25">
      <c r="A1069">
        <v>3</v>
      </c>
      <c r="B1069" t="s">
        <v>17</v>
      </c>
      <c r="C1069">
        <v>2020</v>
      </c>
      <c r="D1069">
        <v>171</v>
      </c>
      <c r="E1069">
        <v>140</v>
      </c>
      <c r="F1069">
        <v>288</v>
      </c>
      <c r="G1069">
        <v>23</v>
      </c>
      <c r="H1069">
        <v>36000</v>
      </c>
      <c r="I1069" t="s">
        <v>23</v>
      </c>
    </row>
    <row r="1070" spans="1:9" hidden="1" x14ac:dyDescent="0.25">
      <c r="A1070">
        <v>4</v>
      </c>
      <c r="B1070" t="s">
        <v>17</v>
      </c>
      <c r="C1070">
        <v>2020</v>
      </c>
      <c r="D1070">
        <v>288</v>
      </c>
      <c r="E1070" t="s">
        <v>9</v>
      </c>
      <c r="F1070">
        <v>265</v>
      </c>
      <c r="G1070">
        <v>23</v>
      </c>
      <c r="H1070">
        <v>36000</v>
      </c>
      <c r="I1070" t="s">
        <v>23</v>
      </c>
    </row>
    <row r="1071" spans="1:9" hidden="1" x14ac:dyDescent="0.25">
      <c r="A1071">
        <v>5</v>
      </c>
      <c r="B1071" t="s">
        <v>17</v>
      </c>
      <c r="C1071">
        <v>2020</v>
      </c>
      <c r="D1071">
        <v>265</v>
      </c>
      <c r="E1071" t="s">
        <v>9</v>
      </c>
      <c r="F1071">
        <v>237.5</v>
      </c>
      <c r="G1071">
        <v>27.5</v>
      </c>
      <c r="H1071">
        <v>36000</v>
      </c>
      <c r="I1071" t="s">
        <v>23</v>
      </c>
    </row>
    <row r="1072" spans="1:9" hidden="1" x14ac:dyDescent="0.25">
      <c r="A1072">
        <v>6</v>
      </c>
      <c r="B1072" t="s">
        <v>17</v>
      </c>
      <c r="C1072">
        <v>2020</v>
      </c>
      <c r="D1072">
        <v>237.5</v>
      </c>
      <c r="E1072" t="s">
        <v>9</v>
      </c>
      <c r="F1072">
        <v>203.5</v>
      </c>
      <c r="G1072">
        <v>34</v>
      </c>
      <c r="H1072">
        <v>36000</v>
      </c>
      <c r="I1072" t="s">
        <v>23</v>
      </c>
    </row>
    <row r="1073" spans="1:9" hidden="1" x14ac:dyDescent="0.25">
      <c r="A1073">
        <v>7</v>
      </c>
      <c r="B1073" t="s">
        <v>17</v>
      </c>
      <c r="C1073">
        <v>2020</v>
      </c>
      <c r="D1073">
        <v>203.5</v>
      </c>
      <c r="E1073" t="s">
        <v>9</v>
      </c>
      <c r="F1073">
        <v>151</v>
      </c>
      <c r="G1073">
        <v>52.5</v>
      </c>
      <c r="H1073">
        <v>36000</v>
      </c>
      <c r="I1073" t="s">
        <v>23</v>
      </c>
    </row>
    <row r="1074" spans="1:9" hidden="1" x14ac:dyDescent="0.25">
      <c r="A1074">
        <v>8</v>
      </c>
      <c r="B1074" t="s">
        <v>17</v>
      </c>
      <c r="C1074">
        <v>2020</v>
      </c>
      <c r="D1074">
        <v>151</v>
      </c>
      <c r="E1074" t="s">
        <v>9</v>
      </c>
      <c r="F1074">
        <v>99.5</v>
      </c>
      <c r="G1074">
        <v>51.5</v>
      </c>
      <c r="H1074">
        <v>36000</v>
      </c>
      <c r="I1074" t="s">
        <v>23</v>
      </c>
    </row>
    <row r="1075" spans="1:9" hidden="1" x14ac:dyDescent="0.25">
      <c r="A1075">
        <v>9</v>
      </c>
      <c r="B1075" t="s">
        <v>17</v>
      </c>
      <c r="C1075">
        <v>2020</v>
      </c>
      <c r="D1075">
        <v>99.5</v>
      </c>
      <c r="E1075">
        <v>300</v>
      </c>
      <c r="F1075">
        <v>352.5</v>
      </c>
      <c r="G1075">
        <v>47</v>
      </c>
      <c r="H1075">
        <v>36000</v>
      </c>
      <c r="I1075" t="s">
        <v>23</v>
      </c>
    </row>
    <row r="1076" spans="1:9" hidden="1" x14ac:dyDescent="0.25">
      <c r="A1076">
        <v>10</v>
      </c>
      <c r="B1076" t="s">
        <v>17</v>
      </c>
      <c r="C1076">
        <v>2020</v>
      </c>
      <c r="D1076">
        <v>352.5</v>
      </c>
      <c r="E1076" t="s">
        <v>9</v>
      </c>
      <c r="F1076">
        <v>323.25</v>
      </c>
      <c r="G1076">
        <v>29.25</v>
      </c>
      <c r="H1076">
        <v>36000</v>
      </c>
      <c r="I1076" t="s">
        <v>23</v>
      </c>
    </row>
    <row r="1077" spans="1:9" hidden="1" x14ac:dyDescent="0.25">
      <c r="A1077">
        <v>11</v>
      </c>
      <c r="B1077" t="s">
        <v>17</v>
      </c>
      <c r="C1077">
        <v>2020</v>
      </c>
      <c r="D1077">
        <v>323.25</v>
      </c>
      <c r="E1077" t="s">
        <v>9</v>
      </c>
      <c r="F1077">
        <v>299</v>
      </c>
      <c r="G1077">
        <v>24.25</v>
      </c>
      <c r="H1077">
        <v>36000</v>
      </c>
      <c r="I1077" t="s">
        <v>23</v>
      </c>
    </row>
    <row r="1078" spans="1:9" hidden="1" x14ac:dyDescent="0.25">
      <c r="A1078">
        <v>12</v>
      </c>
      <c r="B1078" t="s">
        <v>17</v>
      </c>
      <c r="C1078">
        <v>2020</v>
      </c>
      <c r="D1078">
        <v>299</v>
      </c>
      <c r="E1078" t="s">
        <v>9</v>
      </c>
      <c r="F1078">
        <v>274</v>
      </c>
      <c r="G1078">
        <v>25</v>
      </c>
      <c r="H1078">
        <v>36000</v>
      </c>
      <c r="I1078" t="s">
        <v>23</v>
      </c>
    </row>
    <row r="1079" spans="1:9" hidden="1" x14ac:dyDescent="0.25">
      <c r="A1079">
        <v>13</v>
      </c>
      <c r="B1079" t="s">
        <v>17</v>
      </c>
      <c r="C1079">
        <v>2020</v>
      </c>
      <c r="D1079">
        <v>274</v>
      </c>
      <c r="E1079" t="s">
        <v>9</v>
      </c>
      <c r="F1079">
        <v>245.5</v>
      </c>
      <c r="G1079">
        <v>28.5</v>
      </c>
      <c r="H1079">
        <v>36000</v>
      </c>
      <c r="I1079" t="s">
        <v>23</v>
      </c>
    </row>
    <row r="1080" spans="1:9" hidden="1" x14ac:dyDescent="0.25">
      <c r="A1080">
        <v>14</v>
      </c>
      <c r="B1080" t="s">
        <v>17</v>
      </c>
      <c r="C1080">
        <v>2020</v>
      </c>
      <c r="D1080">
        <v>245.5</v>
      </c>
      <c r="E1080" t="s">
        <v>9</v>
      </c>
      <c r="F1080">
        <v>200</v>
      </c>
      <c r="G1080">
        <v>45.5</v>
      </c>
      <c r="H1080">
        <v>36000</v>
      </c>
      <c r="I1080" t="s">
        <v>23</v>
      </c>
    </row>
    <row r="1081" spans="1:9" hidden="1" x14ac:dyDescent="0.25">
      <c r="A1081">
        <v>15</v>
      </c>
      <c r="B1081" t="s">
        <v>17</v>
      </c>
      <c r="C1081">
        <v>2020</v>
      </c>
      <c r="D1081">
        <v>200</v>
      </c>
      <c r="E1081" t="s">
        <v>9</v>
      </c>
      <c r="F1081">
        <v>153.5</v>
      </c>
      <c r="G1081">
        <v>46.5</v>
      </c>
      <c r="H1081">
        <v>36000</v>
      </c>
      <c r="I1081" t="s">
        <v>23</v>
      </c>
    </row>
    <row r="1082" spans="1:9" hidden="1" x14ac:dyDescent="0.25">
      <c r="A1082">
        <v>16</v>
      </c>
      <c r="B1082" t="s">
        <v>17</v>
      </c>
      <c r="C1082">
        <v>2020</v>
      </c>
      <c r="D1082">
        <v>153.5</v>
      </c>
      <c r="E1082" t="s">
        <v>9</v>
      </c>
      <c r="F1082">
        <v>113</v>
      </c>
      <c r="G1082">
        <v>40.5</v>
      </c>
      <c r="H1082">
        <v>36000</v>
      </c>
      <c r="I1082" t="s">
        <v>23</v>
      </c>
    </row>
    <row r="1083" spans="1:9" hidden="1" x14ac:dyDescent="0.25">
      <c r="A1083">
        <v>17</v>
      </c>
      <c r="B1083" t="s">
        <v>17</v>
      </c>
      <c r="C1083">
        <v>2020</v>
      </c>
      <c r="D1083">
        <v>113</v>
      </c>
      <c r="E1083" t="s">
        <v>9</v>
      </c>
      <c r="F1083">
        <v>73</v>
      </c>
      <c r="G1083">
        <v>40</v>
      </c>
      <c r="H1083">
        <v>36000</v>
      </c>
      <c r="I1083" t="s">
        <v>23</v>
      </c>
    </row>
    <row r="1084" spans="1:9" hidden="1" x14ac:dyDescent="0.25">
      <c r="A1084">
        <v>18</v>
      </c>
      <c r="B1084" t="s">
        <v>17</v>
      </c>
      <c r="C1084">
        <v>2020</v>
      </c>
      <c r="D1084">
        <v>73</v>
      </c>
      <c r="E1084">
        <v>300</v>
      </c>
      <c r="F1084">
        <v>344.5</v>
      </c>
      <c r="G1084">
        <v>28.5</v>
      </c>
      <c r="H1084">
        <v>36000</v>
      </c>
      <c r="I1084" t="s">
        <v>23</v>
      </c>
    </row>
    <row r="1085" spans="1:9" hidden="1" x14ac:dyDescent="0.25">
      <c r="A1085">
        <v>19</v>
      </c>
      <c r="B1085" t="s">
        <v>17</v>
      </c>
      <c r="C1085">
        <v>2020</v>
      </c>
      <c r="D1085">
        <v>344.5</v>
      </c>
      <c r="E1085" t="s">
        <v>9</v>
      </c>
      <c r="F1085">
        <v>325</v>
      </c>
      <c r="G1085">
        <v>19.5</v>
      </c>
      <c r="H1085">
        <v>36000</v>
      </c>
      <c r="I1085" t="s">
        <v>23</v>
      </c>
    </row>
    <row r="1086" spans="1:9" hidden="1" x14ac:dyDescent="0.25">
      <c r="A1086">
        <v>20</v>
      </c>
      <c r="B1086" t="s">
        <v>17</v>
      </c>
      <c r="C1086">
        <v>2020</v>
      </c>
      <c r="D1086">
        <v>325</v>
      </c>
      <c r="E1086" t="s">
        <v>9</v>
      </c>
      <c r="F1086">
        <v>293</v>
      </c>
      <c r="G1086">
        <v>32</v>
      </c>
      <c r="H1086">
        <v>36000</v>
      </c>
      <c r="I1086" t="s">
        <v>23</v>
      </c>
    </row>
    <row r="1087" spans="1:9" hidden="1" x14ac:dyDescent="0.25">
      <c r="A1087">
        <v>21</v>
      </c>
      <c r="B1087" t="s">
        <v>17</v>
      </c>
      <c r="C1087">
        <v>2020</v>
      </c>
      <c r="D1087">
        <v>293</v>
      </c>
      <c r="E1087" t="s">
        <v>9</v>
      </c>
      <c r="F1087">
        <v>254.5</v>
      </c>
      <c r="G1087">
        <v>38.5</v>
      </c>
      <c r="H1087">
        <v>36000</v>
      </c>
      <c r="I1087" t="s">
        <v>23</v>
      </c>
    </row>
    <row r="1088" spans="1:9" hidden="1" x14ac:dyDescent="0.25">
      <c r="A1088">
        <v>22</v>
      </c>
      <c r="B1088" t="s">
        <v>17</v>
      </c>
      <c r="C1088">
        <v>2020</v>
      </c>
      <c r="D1088">
        <v>254.5</v>
      </c>
      <c r="E1088" t="s">
        <v>9</v>
      </c>
      <c r="F1088">
        <v>200</v>
      </c>
      <c r="G1088">
        <v>54.5</v>
      </c>
      <c r="H1088">
        <v>36000</v>
      </c>
      <c r="I1088" t="s">
        <v>23</v>
      </c>
    </row>
    <row r="1089" spans="1:9" hidden="1" x14ac:dyDescent="0.25">
      <c r="A1089">
        <v>23</v>
      </c>
      <c r="B1089" t="s">
        <v>17</v>
      </c>
      <c r="C1089">
        <v>2020</v>
      </c>
      <c r="D1089">
        <v>200</v>
      </c>
      <c r="E1089" t="s">
        <v>9</v>
      </c>
      <c r="F1089">
        <v>153</v>
      </c>
      <c r="G1089">
        <v>47</v>
      </c>
      <c r="H1089">
        <v>36000</v>
      </c>
      <c r="I1089" t="s">
        <v>23</v>
      </c>
    </row>
    <row r="1090" spans="1:9" hidden="1" x14ac:dyDescent="0.25">
      <c r="A1090">
        <v>24</v>
      </c>
      <c r="B1090" t="s">
        <v>17</v>
      </c>
      <c r="C1090">
        <v>2020</v>
      </c>
      <c r="D1090">
        <v>153</v>
      </c>
      <c r="E1090" t="s">
        <v>9</v>
      </c>
      <c r="F1090">
        <v>130</v>
      </c>
      <c r="G1090">
        <v>23</v>
      </c>
      <c r="H1090">
        <v>36000</v>
      </c>
      <c r="I1090" t="s">
        <v>23</v>
      </c>
    </row>
    <row r="1091" spans="1:9" hidden="1" x14ac:dyDescent="0.25">
      <c r="A1091">
        <v>25</v>
      </c>
      <c r="B1091" t="s">
        <v>17</v>
      </c>
      <c r="C1091">
        <v>2020</v>
      </c>
      <c r="D1091">
        <v>130</v>
      </c>
      <c r="E1091" t="s">
        <v>9</v>
      </c>
      <c r="F1091">
        <v>102</v>
      </c>
      <c r="G1091">
        <v>28</v>
      </c>
      <c r="H1091">
        <v>36000</v>
      </c>
      <c r="I1091" t="s">
        <v>23</v>
      </c>
    </row>
    <row r="1092" spans="1:9" hidden="1" x14ac:dyDescent="0.25">
      <c r="A1092">
        <v>26</v>
      </c>
      <c r="B1092" t="s">
        <v>17</v>
      </c>
      <c r="C1092">
        <v>2020</v>
      </c>
      <c r="D1092">
        <v>102</v>
      </c>
      <c r="E1092" t="s">
        <v>9</v>
      </c>
      <c r="F1092">
        <v>68</v>
      </c>
      <c r="G1092">
        <v>34</v>
      </c>
      <c r="H1092">
        <v>36000</v>
      </c>
      <c r="I1092" t="s">
        <v>23</v>
      </c>
    </row>
    <row r="1093" spans="1:9" hidden="1" x14ac:dyDescent="0.25">
      <c r="A1093">
        <v>27</v>
      </c>
      <c r="B1093" t="s">
        <v>17</v>
      </c>
      <c r="C1093">
        <v>2020</v>
      </c>
      <c r="D1093">
        <v>68</v>
      </c>
      <c r="E1093" t="s">
        <v>9</v>
      </c>
      <c r="F1093">
        <v>26</v>
      </c>
      <c r="G1093">
        <v>42</v>
      </c>
      <c r="H1093">
        <v>36000</v>
      </c>
      <c r="I1093" t="s">
        <v>23</v>
      </c>
    </row>
    <row r="1094" spans="1:9" hidden="1" x14ac:dyDescent="0.25">
      <c r="A1094">
        <v>28</v>
      </c>
      <c r="B1094" t="s">
        <v>17</v>
      </c>
      <c r="C1094">
        <v>2020</v>
      </c>
      <c r="D1094">
        <v>26</v>
      </c>
      <c r="E1094">
        <v>300</v>
      </c>
      <c r="F1094">
        <v>273.5</v>
      </c>
      <c r="G1094">
        <v>52.5</v>
      </c>
      <c r="H1094">
        <v>36000</v>
      </c>
      <c r="I1094" t="s">
        <v>23</v>
      </c>
    </row>
    <row r="1095" spans="1:9" hidden="1" x14ac:dyDescent="0.25">
      <c r="A1095">
        <v>29</v>
      </c>
      <c r="B1095" t="s">
        <v>17</v>
      </c>
      <c r="C1095">
        <v>2020</v>
      </c>
      <c r="D1095">
        <v>273.5</v>
      </c>
      <c r="E1095" t="s">
        <v>9</v>
      </c>
      <c r="F1095">
        <v>220</v>
      </c>
      <c r="G1095">
        <v>53.5</v>
      </c>
      <c r="H1095">
        <v>36000</v>
      </c>
      <c r="I1095" t="s">
        <v>23</v>
      </c>
    </row>
    <row r="1096" spans="1:9" hidden="1" x14ac:dyDescent="0.25">
      <c r="A1096">
        <v>30</v>
      </c>
      <c r="B1096" t="s">
        <v>17</v>
      </c>
      <c r="C1096">
        <v>2020</v>
      </c>
      <c r="D1096">
        <v>220</v>
      </c>
      <c r="E1096" t="s">
        <v>9</v>
      </c>
      <c r="F1096">
        <v>183</v>
      </c>
      <c r="G1096">
        <v>37</v>
      </c>
      <c r="H1096">
        <v>36000</v>
      </c>
      <c r="I1096" t="s">
        <v>23</v>
      </c>
    </row>
    <row r="1097" spans="1:9" hidden="1" x14ac:dyDescent="0.25">
      <c r="A1097">
        <v>31</v>
      </c>
      <c r="B1097" t="s">
        <v>17</v>
      </c>
      <c r="C1097">
        <v>2020</v>
      </c>
      <c r="D1097">
        <v>183</v>
      </c>
      <c r="E1097" t="s">
        <v>9</v>
      </c>
      <c r="F1097">
        <v>147.5</v>
      </c>
      <c r="G1097">
        <v>35.5</v>
      </c>
      <c r="H1097">
        <v>36000</v>
      </c>
      <c r="I1097" t="s">
        <v>23</v>
      </c>
    </row>
    <row r="1098" spans="1:9" hidden="1" x14ac:dyDescent="0.25">
      <c r="A1098">
        <v>1</v>
      </c>
      <c r="B1098" t="s">
        <v>24</v>
      </c>
      <c r="C1098">
        <v>2020</v>
      </c>
      <c r="D1098">
        <v>147.5</v>
      </c>
      <c r="E1098" t="s">
        <v>9</v>
      </c>
      <c r="F1098">
        <v>117.5</v>
      </c>
      <c r="G1098">
        <v>30</v>
      </c>
      <c r="H1098">
        <v>36000</v>
      </c>
      <c r="I1098" t="s">
        <v>23</v>
      </c>
    </row>
    <row r="1099" spans="1:9" hidden="1" x14ac:dyDescent="0.25">
      <c r="A1099">
        <v>2</v>
      </c>
      <c r="B1099" t="s">
        <v>24</v>
      </c>
      <c r="C1099">
        <v>2020</v>
      </c>
      <c r="D1099">
        <v>117.5</v>
      </c>
      <c r="E1099">
        <v>-4</v>
      </c>
      <c r="F1099">
        <v>84</v>
      </c>
      <c r="G1099">
        <v>29.5</v>
      </c>
      <c r="H1099">
        <v>36000</v>
      </c>
      <c r="I1099" t="s">
        <v>23</v>
      </c>
    </row>
    <row r="1100" spans="1:9" hidden="1" x14ac:dyDescent="0.25">
      <c r="A1100">
        <v>3</v>
      </c>
      <c r="B1100" t="s">
        <v>24</v>
      </c>
      <c r="C1100">
        <v>2020</v>
      </c>
      <c r="D1100">
        <v>84</v>
      </c>
      <c r="E1100">
        <v>-4</v>
      </c>
      <c r="F1100">
        <v>43</v>
      </c>
      <c r="G1100">
        <v>37</v>
      </c>
      <c r="H1100">
        <v>36000</v>
      </c>
      <c r="I1100" t="s">
        <v>23</v>
      </c>
    </row>
    <row r="1101" spans="1:9" hidden="1" x14ac:dyDescent="0.25">
      <c r="A1101">
        <v>4</v>
      </c>
      <c r="B1101" t="s">
        <v>24</v>
      </c>
      <c r="C1101">
        <v>2020</v>
      </c>
      <c r="D1101">
        <v>43</v>
      </c>
      <c r="E1101">
        <v>272</v>
      </c>
      <c r="F1101">
        <v>265.5</v>
      </c>
      <c r="G1101">
        <v>49.5</v>
      </c>
      <c r="H1101">
        <v>36000</v>
      </c>
      <c r="I1101" t="s">
        <v>23</v>
      </c>
    </row>
    <row r="1102" spans="1:9" hidden="1" x14ac:dyDescent="0.25">
      <c r="A1102">
        <v>5</v>
      </c>
      <c r="B1102" t="s">
        <v>24</v>
      </c>
      <c r="C1102">
        <v>2020</v>
      </c>
      <c r="D1102">
        <v>265.5</v>
      </c>
      <c r="E1102" t="s">
        <v>9</v>
      </c>
      <c r="F1102">
        <v>216</v>
      </c>
      <c r="G1102">
        <v>49.5</v>
      </c>
      <c r="H1102">
        <v>36000</v>
      </c>
      <c r="I1102" t="s">
        <v>23</v>
      </c>
    </row>
    <row r="1103" spans="1:9" hidden="1" x14ac:dyDescent="0.25">
      <c r="A1103">
        <v>6</v>
      </c>
      <c r="B1103" t="s">
        <v>24</v>
      </c>
      <c r="C1103">
        <v>2020</v>
      </c>
      <c r="D1103">
        <v>216</v>
      </c>
      <c r="E1103" t="s">
        <v>9</v>
      </c>
      <c r="F1103">
        <v>180.5</v>
      </c>
      <c r="G1103">
        <v>35.5</v>
      </c>
      <c r="H1103">
        <v>36000</v>
      </c>
      <c r="I1103" t="s">
        <v>23</v>
      </c>
    </row>
    <row r="1104" spans="1:9" hidden="1" x14ac:dyDescent="0.25">
      <c r="A1104">
        <v>7</v>
      </c>
      <c r="B1104" t="s">
        <v>24</v>
      </c>
      <c r="C1104">
        <v>2020</v>
      </c>
      <c r="D1104">
        <v>180.5</v>
      </c>
      <c r="E1104" t="s">
        <v>9</v>
      </c>
      <c r="F1104">
        <v>159.5</v>
      </c>
      <c r="G1104">
        <v>21</v>
      </c>
      <c r="H1104">
        <v>36000</v>
      </c>
      <c r="I1104" t="s">
        <v>23</v>
      </c>
    </row>
    <row r="1105" spans="1:9" hidden="1" x14ac:dyDescent="0.25">
      <c r="A1105">
        <v>8</v>
      </c>
      <c r="B1105" t="s">
        <v>24</v>
      </c>
      <c r="C1105">
        <v>2020</v>
      </c>
      <c r="D1105">
        <v>159.5</v>
      </c>
      <c r="E1105" t="s">
        <v>9</v>
      </c>
      <c r="F1105">
        <v>128</v>
      </c>
      <c r="G1105">
        <v>31.5</v>
      </c>
      <c r="H1105">
        <v>36000</v>
      </c>
      <c r="I1105" t="s">
        <v>23</v>
      </c>
    </row>
    <row r="1106" spans="1:9" hidden="1" x14ac:dyDescent="0.25">
      <c r="A1106">
        <v>9</v>
      </c>
      <c r="B1106" t="s">
        <v>24</v>
      </c>
      <c r="C1106">
        <v>2020</v>
      </c>
      <c r="D1106">
        <v>128</v>
      </c>
      <c r="E1106" t="s">
        <v>9</v>
      </c>
      <c r="F1106">
        <v>94</v>
      </c>
      <c r="G1106">
        <v>34</v>
      </c>
      <c r="H1106">
        <v>36000</v>
      </c>
      <c r="I1106" t="s">
        <v>23</v>
      </c>
    </row>
    <row r="1107" spans="1:9" hidden="1" x14ac:dyDescent="0.25">
      <c r="A1107">
        <v>10</v>
      </c>
      <c r="B1107" t="s">
        <v>24</v>
      </c>
      <c r="C1107">
        <v>2020</v>
      </c>
      <c r="D1107">
        <v>94</v>
      </c>
      <c r="E1107">
        <v>100</v>
      </c>
      <c r="F1107">
        <v>157</v>
      </c>
      <c r="G1107">
        <v>37</v>
      </c>
      <c r="H1107">
        <v>36000</v>
      </c>
      <c r="I1107" t="s">
        <v>23</v>
      </c>
    </row>
    <row r="1108" spans="1:9" hidden="1" x14ac:dyDescent="0.25">
      <c r="A1108">
        <v>11</v>
      </c>
      <c r="B1108" t="s">
        <v>24</v>
      </c>
      <c r="C1108">
        <v>2020</v>
      </c>
      <c r="D1108">
        <v>157</v>
      </c>
      <c r="E1108" t="s">
        <v>9</v>
      </c>
      <c r="F1108">
        <v>107.5</v>
      </c>
      <c r="G1108">
        <v>49.5</v>
      </c>
      <c r="H1108">
        <v>36000</v>
      </c>
      <c r="I1108" t="s">
        <v>23</v>
      </c>
    </row>
    <row r="1109" spans="1:9" hidden="1" x14ac:dyDescent="0.25">
      <c r="A1109">
        <v>12</v>
      </c>
      <c r="B1109" t="s">
        <v>24</v>
      </c>
      <c r="C1109">
        <v>2020</v>
      </c>
      <c r="D1109">
        <v>107.5</v>
      </c>
      <c r="E1109" t="s">
        <v>9</v>
      </c>
      <c r="F1109">
        <v>35.5</v>
      </c>
      <c r="G1109">
        <v>72</v>
      </c>
      <c r="H1109">
        <v>36000</v>
      </c>
      <c r="I1109" t="s">
        <v>23</v>
      </c>
    </row>
    <row r="1110" spans="1:9" hidden="1" x14ac:dyDescent="0.25">
      <c r="A1110">
        <v>13</v>
      </c>
      <c r="B1110" t="s">
        <v>24</v>
      </c>
      <c r="C1110">
        <v>2020</v>
      </c>
      <c r="D1110">
        <v>35.5</v>
      </c>
      <c r="E1110">
        <v>201</v>
      </c>
      <c r="F1110">
        <v>178</v>
      </c>
      <c r="G1110">
        <v>58.5</v>
      </c>
      <c r="H1110">
        <v>36000</v>
      </c>
      <c r="I1110" t="s">
        <v>23</v>
      </c>
    </row>
    <row r="1111" spans="1:9" hidden="1" x14ac:dyDescent="0.25">
      <c r="A1111">
        <v>14</v>
      </c>
      <c r="B1111" t="s">
        <v>24</v>
      </c>
      <c r="C1111">
        <v>2020</v>
      </c>
      <c r="D1111">
        <v>178</v>
      </c>
      <c r="E1111" t="s">
        <v>9</v>
      </c>
      <c r="F1111">
        <v>141</v>
      </c>
      <c r="G1111">
        <v>37</v>
      </c>
      <c r="H1111">
        <v>36000</v>
      </c>
      <c r="I1111" t="s">
        <v>23</v>
      </c>
    </row>
    <row r="1112" spans="1:9" hidden="1" x14ac:dyDescent="0.25">
      <c r="A1112">
        <v>15</v>
      </c>
      <c r="B1112" t="s">
        <v>24</v>
      </c>
      <c r="C1112">
        <v>2020</v>
      </c>
      <c r="D1112">
        <v>141</v>
      </c>
      <c r="E1112" t="s">
        <v>9</v>
      </c>
      <c r="F1112">
        <v>110.5</v>
      </c>
      <c r="G1112">
        <v>30.5</v>
      </c>
      <c r="H1112">
        <v>36000</v>
      </c>
      <c r="I1112" t="s">
        <v>23</v>
      </c>
    </row>
    <row r="1113" spans="1:9" hidden="1" x14ac:dyDescent="0.25">
      <c r="A1113">
        <v>16</v>
      </c>
      <c r="B1113" t="s">
        <v>24</v>
      </c>
      <c r="C1113">
        <v>2020</v>
      </c>
      <c r="D1113">
        <v>110.5</v>
      </c>
      <c r="E1113">
        <v>324</v>
      </c>
      <c r="F1113">
        <v>402.5</v>
      </c>
      <c r="G1113">
        <v>32</v>
      </c>
      <c r="H1113">
        <v>36000</v>
      </c>
      <c r="I1113" t="s">
        <v>23</v>
      </c>
    </row>
    <row r="1114" spans="1:9" hidden="1" x14ac:dyDescent="0.25">
      <c r="A1114">
        <v>17</v>
      </c>
      <c r="B1114" t="s">
        <v>24</v>
      </c>
      <c r="C1114">
        <v>2020</v>
      </c>
      <c r="D1114">
        <v>402.5</v>
      </c>
      <c r="E1114" t="s">
        <v>9</v>
      </c>
      <c r="F1114">
        <v>367.5</v>
      </c>
      <c r="G1114">
        <v>35</v>
      </c>
      <c r="H1114">
        <v>36000</v>
      </c>
      <c r="I1114" t="s">
        <v>23</v>
      </c>
    </row>
    <row r="1115" spans="1:9" hidden="1" x14ac:dyDescent="0.25">
      <c r="A1115">
        <v>18</v>
      </c>
      <c r="B1115" t="s">
        <v>24</v>
      </c>
      <c r="C1115">
        <v>2020</v>
      </c>
      <c r="D1115">
        <v>367.5</v>
      </c>
      <c r="E1115" t="s">
        <v>9</v>
      </c>
      <c r="F1115">
        <v>304</v>
      </c>
      <c r="G1115">
        <v>63.5</v>
      </c>
      <c r="H1115">
        <v>36000</v>
      </c>
      <c r="I1115" t="s">
        <v>23</v>
      </c>
    </row>
    <row r="1116" spans="1:9" hidden="1" x14ac:dyDescent="0.25">
      <c r="A1116">
        <v>19</v>
      </c>
      <c r="B1116" t="s">
        <v>24</v>
      </c>
      <c r="C1116">
        <v>2020</v>
      </c>
      <c r="D1116">
        <v>304</v>
      </c>
      <c r="E1116" t="s">
        <v>9</v>
      </c>
      <c r="F1116">
        <v>222</v>
      </c>
      <c r="G1116">
        <v>82</v>
      </c>
      <c r="H1116">
        <v>36000</v>
      </c>
      <c r="I1116" t="s">
        <v>23</v>
      </c>
    </row>
    <row r="1117" spans="1:9" hidden="1" x14ac:dyDescent="0.25">
      <c r="A1117">
        <v>20</v>
      </c>
      <c r="B1117" t="s">
        <v>24</v>
      </c>
      <c r="C1117">
        <v>2020</v>
      </c>
      <c r="D1117">
        <v>222</v>
      </c>
      <c r="E1117" t="s">
        <v>9</v>
      </c>
      <c r="F1117">
        <v>157</v>
      </c>
      <c r="G1117">
        <v>65</v>
      </c>
      <c r="H1117">
        <v>36000</v>
      </c>
      <c r="I1117" t="s">
        <v>23</v>
      </c>
    </row>
    <row r="1118" spans="1:9" hidden="1" x14ac:dyDescent="0.25">
      <c r="A1118">
        <v>21</v>
      </c>
      <c r="B1118" t="s">
        <v>24</v>
      </c>
      <c r="C1118">
        <v>2020</v>
      </c>
      <c r="D1118">
        <v>157</v>
      </c>
      <c r="E1118" t="s">
        <v>9</v>
      </c>
      <c r="F1118">
        <v>121.5</v>
      </c>
      <c r="G1118">
        <v>35.5</v>
      </c>
      <c r="H1118">
        <v>36000</v>
      </c>
      <c r="I1118" t="s">
        <v>23</v>
      </c>
    </row>
    <row r="1119" spans="1:9" hidden="1" x14ac:dyDescent="0.25">
      <c r="A1119">
        <v>22</v>
      </c>
      <c r="B1119" t="s">
        <v>24</v>
      </c>
      <c r="C1119">
        <v>2020</v>
      </c>
      <c r="D1119">
        <v>121.5</v>
      </c>
      <c r="E1119" t="s">
        <v>9</v>
      </c>
      <c r="F1119">
        <v>95.5</v>
      </c>
      <c r="G1119">
        <v>26</v>
      </c>
      <c r="H1119">
        <v>36000</v>
      </c>
      <c r="I1119" t="s">
        <v>23</v>
      </c>
    </row>
    <row r="1120" spans="1:9" hidden="1" x14ac:dyDescent="0.25">
      <c r="A1120">
        <v>23</v>
      </c>
      <c r="B1120" t="s">
        <v>24</v>
      </c>
      <c r="C1120">
        <v>2020</v>
      </c>
      <c r="D1120">
        <v>95.5</v>
      </c>
      <c r="E1120" t="s">
        <v>9</v>
      </c>
      <c r="F1120">
        <v>70.5</v>
      </c>
      <c r="G1120">
        <v>25</v>
      </c>
      <c r="H1120">
        <v>36000</v>
      </c>
      <c r="I1120" t="s">
        <v>23</v>
      </c>
    </row>
    <row r="1121" spans="1:9" hidden="1" x14ac:dyDescent="0.25">
      <c r="A1121">
        <v>24</v>
      </c>
      <c r="B1121" t="s">
        <v>24</v>
      </c>
      <c r="C1121">
        <v>2020</v>
      </c>
      <c r="D1121">
        <v>70.5</v>
      </c>
      <c r="E1121" t="s">
        <v>9</v>
      </c>
      <c r="F1121">
        <v>35</v>
      </c>
      <c r="G1121">
        <v>35.5</v>
      </c>
      <c r="H1121">
        <v>36000</v>
      </c>
      <c r="I1121" t="s">
        <v>23</v>
      </c>
    </row>
    <row r="1122" spans="1:9" hidden="1" x14ac:dyDescent="0.25">
      <c r="A1122">
        <v>25</v>
      </c>
      <c r="B1122" t="s">
        <v>24</v>
      </c>
      <c r="C1122">
        <v>2020</v>
      </c>
      <c r="D1122">
        <v>35</v>
      </c>
      <c r="E1122">
        <v>141</v>
      </c>
      <c r="F1122">
        <v>126</v>
      </c>
      <c r="G1122">
        <v>50</v>
      </c>
      <c r="H1122">
        <v>36000</v>
      </c>
      <c r="I1122" t="s">
        <v>23</v>
      </c>
    </row>
    <row r="1123" spans="1:9" hidden="1" x14ac:dyDescent="0.25">
      <c r="A1123">
        <v>26</v>
      </c>
      <c r="B1123" t="s">
        <v>24</v>
      </c>
      <c r="C1123">
        <v>2020</v>
      </c>
      <c r="D1123">
        <v>126</v>
      </c>
      <c r="E1123" t="s">
        <v>9</v>
      </c>
      <c r="F1123">
        <v>61</v>
      </c>
      <c r="G1123">
        <v>65</v>
      </c>
      <c r="H1123">
        <v>36000</v>
      </c>
      <c r="I1123" t="s">
        <v>23</v>
      </c>
    </row>
    <row r="1124" spans="1:9" hidden="1" x14ac:dyDescent="0.25">
      <c r="A1124">
        <v>27</v>
      </c>
      <c r="B1124" t="s">
        <v>24</v>
      </c>
      <c r="C1124">
        <v>2020</v>
      </c>
      <c r="D1124">
        <v>61</v>
      </c>
      <c r="E1124">
        <v>210</v>
      </c>
      <c r="F1124">
        <v>207</v>
      </c>
      <c r="G1124">
        <v>64</v>
      </c>
      <c r="H1124">
        <v>36000</v>
      </c>
      <c r="I1124" t="s">
        <v>23</v>
      </c>
    </row>
    <row r="1125" spans="1:9" hidden="1" x14ac:dyDescent="0.25">
      <c r="A1125">
        <v>28</v>
      </c>
      <c r="B1125" t="s">
        <v>24</v>
      </c>
      <c r="C1125">
        <v>2020</v>
      </c>
      <c r="D1125">
        <v>207</v>
      </c>
      <c r="E1125" t="s">
        <v>9</v>
      </c>
      <c r="F1125">
        <v>176.5</v>
      </c>
      <c r="G1125">
        <v>30.5</v>
      </c>
      <c r="H1125">
        <v>36000</v>
      </c>
      <c r="I1125" t="s">
        <v>23</v>
      </c>
    </row>
    <row r="1126" spans="1:9" hidden="1" x14ac:dyDescent="0.25">
      <c r="A1126">
        <v>29</v>
      </c>
      <c r="B1126" t="s">
        <v>24</v>
      </c>
      <c r="C1126">
        <v>2020</v>
      </c>
      <c r="D1126">
        <v>176.5</v>
      </c>
      <c r="E1126" t="s">
        <v>9</v>
      </c>
      <c r="F1126">
        <v>142.5</v>
      </c>
      <c r="G1126">
        <v>34</v>
      </c>
      <c r="H1126">
        <v>36000</v>
      </c>
      <c r="I1126" t="s">
        <v>23</v>
      </c>
    </row>
    <row r="1127" spans="1:9" hidden="1" x14ac:dyDescent="0.25">
      <c r="A1127">
        <v>30</v>
      </c>
      <c r="B1127" t="s">
        <v>24</v>
      </c>
      <c r="C1127">
        <v>2020</v>
      </c>
      <c r="D1127">
        <v>142.5</v>
      </c>
      <c r="E1127" t="s">
        <v>9</v>
      </c>
      <c r="F1127">
        <v>97.5</v>
      </c>
      <c r="G1127">
        <v>45</v>
      </c>
      <c r="H1127">
        <v>36000</v>
      </c>
      <c r="I1127" t="s">
        <v>23</v>
      </c>
    </row>
    <row r="1128" spans="1:9" hidden="1" x14ac:dyDescent="0.25">
      <c r="A1128">
        <v>1</v>
      </c>
      <c r="B1128" t="s">
        <v>18</v>
      </c>
      <c r="C1128">
        <v>2020</v>
      </c>
      <c r="D1128">
        <v>97.5</v>
      </c>
      <c r="E1128" t="s">
        <v>9</v>
      </c>
      <c r="F1128">
        <v>56</v>
      </c>
      <c r="G1128">
        <v>41.5</v>
      </c>
      <c r="H1128">
        <v>36000</v>
      </c>
      <c r="I1128" t="s">
        <v>23</v>
      </c>
    </row>
    <row r="1129" spans="1:9" hidden="1" x14ac:dyDescent="0.25">
      <c r="A1129">
        <v>2</v>
      </c>
      <c r="B1129" t="s">
        <v>18</v>
      </c>
      <c r="C1129">
        <v>2020</v>
      </c>
      <c r="D1129">
        <v>56</v>
      </c>
      <c r="E1129">
        <v>231</v>
      </c>
      <c r="F1129">
        <v>234</v>
      </c>
      <c r="G1129">
        <v>53</v>
      </c>
      <c r="H1129">
        <v>36000</v>
      </c>
      <c r="I1129" t="s">
        <v>23</v>
      </c>
    </row>
    <row r="1130" spans="1:9" hidden="1" x14ac:dyDescent="0.25">
      <c r="A1130">
        <v>3</v>
      </c>
      <c r="B1130" t="s">
        <v>18</v>
      </c>
      <c r="C1130">
        <v>2020</v>
      </c>
      <c r="D1130">
        <v>234</v>
      </c>
      <c r="E1130">
        <v>-29</v>
      </c>
      <c r="F1130">
        <v>144</v>
      </c>
      <c r="G1130">
        <v>61</v>
      </c>
      <c r="H1130">
        <v>36000</v>
      </c>
      <c r="I1130" t="s">
        <v>23</v>
      </c>
    </row>
    <row r="1131" spans="1:9" hidden="1" x14ac:dyDescent="0.25">
      <c r="A1131">
        <v>4</v>
      </c>
      <c r="B1131" t="s">
        <v>18</v>
      </c>
      <c r="C1131">
        <v>2020</v>
      </c>
      <c r="D1131">
        <v>144</v>
      </c>
      <c r="E1131">
        <v>60</v>
      </c>
      <c r="F1131">
        <v>125</v>
      </c>
      <c r="G1131">
        <v>79</v>
      </c>
      <c r="H1131">
        <v>36000</v>
      </c>
      <c r="I1131" t="s">
        <v>23</v>
      </c>
    </row>
    <row r="1132" spans="1:9" hidden="1" x14ac:dyDescent="0.25">
      <c r="A1132">
        <v>5</v>
      </c>
      <c r="B1132" t="s">
        <v>18</v>
      </c>
      <c r="C1132">
        <v>2020</v>
      </c>
      <c r="D1132">
        <v>125</v>
      </c>
      <c r="E1132" t="s">
        <v>9</v>
      </c>
      <c r="F1132">
        <v>88</v>
      </c>
      <c r="G1132">
        <v>37</v>
      </c>
      <c r="H1132">
        <v>36000</v>
      </c>
      <c r="I1132" t="s">
        <v>23</v>
      </c>
    </row>
    <row r="1133" spans="1:9" hidden="1" x14ac:dyDescent="0.25">
      <c r="A1133">
        <v>6</v>
      </c>
      <c r="B1133" t="s">
        <v>18</v>
      </c>
      <c r="C1133">
        <v>2020</v>
      </c>
      <c r="D1133">
        <v>88</v>
      </c>
      <c r="E1133" t="s">
        <v>9</v>
      </c>
      <c r="F1133">
        <v>45</v>
      </c>
      <c r="G1133">
        <v>43</v>
      </c>
      <c r="H1133">
        <v>36000</v>
      </c>
      <c r="I1133" t="s">
        <v>23</v>
      </c>
    </row>
    <row r="1134" spans="1:9" hidden="1" x14ac:dyDescent="0.25">
      <c r="A1134">
        <v>7</v>
      </c>
      <c r="B1134" t="s">
        <v>18</v>
      </c>
      <c r="C1134">
        <v>2020</v>
      </c>
      <c r="D1134">
        <v>45</v>
      </c>
      <c r="E1134">
        <v>30</v>
      </c>
      <c r="F1134">
        <v>19.5</v>
      </c>
      <c r="G1134">
        <v>55.5</v>
      </c>
      <c r="H1134">
        <v>36000</v>
      </c>
      <c r="I1134" t="s">
        <v>23</v>
      </c>
    </row>
    <row r="1135" spans="1:9" hidden="1" x14ac:dyDescent="0.25">
      <c r="A1135">
        <v>8</v>
      </c>
      <c r="B1135" t="s">
        <v>18</v>
      </c>
      <c r="C1135">
        <v>2020</v>
      </c>
      <c r="D1135">
        <v>19.5</v>
      </c>
      <c r="E1135">
        <v>228</v>
      </c>
      <c r="F1135">
        <v>201.5</v>
      </c>
      <c r="G1135">
        <v>46</v>
      </c>
      <c r="H1135">
        <v>36000</v>
      </c>
      <c r="I1135" t="s">
        <v>23</v>
      </c>
    </row>
    <row r="1136" spans="1:9" hidden="1" x14ac:dyDescent="0.25">
      <c r="A1136">
        <v>9</v>
      </c>
      <c r="B1136" t="s">
        <v>18</v>
      </c>
      <c r="C1136">
        <v>2020</v>
      </c>
      <c r="D1136">
        <v>201.5</v>
      </c>
      <c r="E1136" t="s">
        <v>9</v>
      </c>
      <c r="F1136">
        <v>138.5</v>
      </c>
      <c r="G1136">
        <v>63</v>
      </c>
      <c r="H1136">
        <v>36000</v>
      </c>
      <c r="I1136" t="s">
        <v>23</v>
      </c>
    </row>
    <row r="1137" spans="1:9" hidden="1" x14ac:dyDescent="0.25">
      <c r="A1137">
        <v>10</v>
      </c>
      <c r="B1137" t="s">
        <v>18</v>
      </c>
      <c r="C1137">
        <v>2020</v>
      </c>
      <c r="D1137">
        <v>138.5</v>
      </c>
      <c r="E1137" t="s">
        <v>9</v>
      </c>
      <c r="F1137">
        <v>62.5</v>
      </c>
      <c r="G1137">
        <v>76</v>
      </c>
      <c r="H1137">
        <v>36000</v>
      </c>
      <c r="I1137" t="s">
        <v>23</v>
      </c>
    </row>
    <row r="1138" spans="1:9" hidden="1" x14ac:dyDescent="0.25">
      <c r="A1138">
        <v>11</v>
      </c>
      <c r="B1138" t="s">
        <v>18</v>
      </c>
      <c r="C1138">
        <v>2020</v>
      </c>
      <c r="D1138">
        <v>62.5</v>
      </c>
      <c r="E1138">
        <v>300</v>
      </c>
      <c r="F1138">
        <v>298</v>
      </c>
      <c r="G1138">
        <v>64.5</v>
      </c>
      <c r="H1138">
        <v>36000</v>
      </c>
      <c r="I1138" t="s">
        <v>23</v>
      </c>
    </row>
    <row r="1139" spans="1:9" hidden="1" x14ac:dyDescent="0.25">
      <c r="A1139">
        <v>12</v>
      </c>
      <c r="B1139" t="s">
        <v>18</v>
      </c>
      <c r="C1139">
        <v>2020</v>
      </c>
      <c r="D1139">
        <v>298</v>
      </c>
      <c r="E1139" t="s">
        <v>9</v>
      </c>
      <c r="F1139">
        <v>248</v>
      </c>
      <c r="G1139">
        <v>50</v>
      </c>
      <c r="H1139">
        <v>36000</v>
      </c>
      <c r="I1139" t="s">
        <v>23</v>
      </c>
    </row>
    <row r="1140" spans="1:9" hidden="1" x14ac:dyDescent="0.25">
      <c r="A1140">
        <v>13</v>
      </c>
      <c r="B1140" t="s">
        <v>18</v>
      </c>
      <c r="C1140">
        <v>2020</v>
      </c>
      <c r="D1140">
        <v>248</v>
      </c>
      <c r="E1140" t="s">
        <v>9</v>
      </c>
      <c r="F1140">
        <v>211.5</v>
      </c>
      <c r="G1140">
        <v>36.5</v>
      </c>
      <c r="H1140">
        <v>36000</v>
      </c>
      <c r="I1140" t="s">
        <v>23</v>
      </c>
    </row>
    <row r="1141" spans="1:9" hidden="1" x14ac:dyDescent="0.25">
      <c r="A1141">
        <v>14</v>
      </c>
      <c r="B1141" t="s">
        <v>18</v>
      </c>
      <c r="C1141">
        <v>2020</v>
      </c>
      <c r="D1141">
        <v>211.5</v>
      </c>
      <c r="E1141" t="s">
        <v>9</v>
      </c>
      <c r="F1141">
        <v>179.5</v>
      </c>
      <c r="G1141">
        <v>32</v>
      </c>
      <c r="H1141">
        <v>36000</v>
      </c>
      <c r="I1141" t="s">
        <v>23</v>
      </c>
    </row>
    <row r="1142" spans="1:9" hidden="1" x14ac:dyDescent="0.25">
      <c r="A1142">
        <v>15</v>
      </c>
      <c r="B1142" t="s">
        <v>18</v>
      </c>
      <c r="C1142">
        <v>2020</v>
      </c>
      <c r="D1142">
        <v>179.5</v>
      </c>
      <c r="E1142" t="s">
        <v>9</v>
      </c>
      <c r="F1142">
        <v>139.5</v>
      </c>
      <c r="G1142">
        <v>40</v>
      </c>
      <c r="H1142">
        <v>36000</v>
      </c>
      <c r="I1142" t="s">
        <v>23</v>
      </c>
    </row>
    <row r="1143" spans="1:9" hidden="1" x14ac:dyDescent="0.25">
      <c r="A1143">
        <v>16</v>
      </c>
      <c r="B1143" t="s">
        <v>18</v>
      </c>
      <c r="C1143">
        <v>2020</v>
      </c>
      <c r="D1143">
        <v>139.5</v>
      </c>
      <c r="E1143">
        <v>-30</v>
      </c>
      <c r="F1143">
        <v>65.5</v>
      </c>
      <c r="G1143">
        <v>44</v>
      </c>
      <c r="H1143">
        <v>36000</v>
      </c>
      <c r="I1143" t="s">
        <v>23</v>
      </c>
    </row>
    <row r="1144" spans="1:9" hidden="1" x14ac:dyDescent="0.25">
      <c r="A1144">
        <v>17</v>
      </c>
      <c r="B1144" t="s">
        <v>18</v>
      </c>
      <c r="C1144">
        <v>2020</v>
      </c>
      <c r="D1144">
        <v>65.5</v>
      </c>
      <c r="E1144">
        <v>324</v>
      </c>
      <c r="F1144">
        <v>326</v>
      </c>
      <c r="G1144">
        <v>63.5</v>
      </c>
      <c r="H1144">
        <v>36000</v>
      </c>
      <c r="I1144" t="s">
        <v>23</v>
      </c>
    </row>
    <row r="1145" spans="1:9" hidden="1" x14ac:dyDescent="0.25">
      <c r="A1145">
        <v>18</v>
      </c>
      <c r="B1145" t="s">
        <v>18</v>
      </c>
      <c r="C1145">
        <v>2020</v>
      </c>
      <c r="D1145">
        <v>326</v>
      </c>
      <c r="E1145">
        <v>-15</v>
      </c>
      <c r="F1145">
        <v>256.5</v>
      </c>
      <c r="G1145">
        <v>54.5</v>
      </c>
      <c r="H1145">
        <v>36000</v>
      </c>
      <c r="I1145" t="s">
        <v>23</v>
      </c>
    </row>
    <row r="1146" spans="1:9" hidden="1" x14ac:dyDescent="0.25">
      <c r="A1146">
        <v>19</v>
      </c>
      <c r="B1146" t="s">
        <v>18</v>
      </c>
      <c r="C1146">
        <v>2020</v>
      </c>
      <c r="D1146">
        <v>256.5</v>
      </c>
      <c r="E1146">
        <v>-20</v>
      </c>
      <c r="F1146">
        <v>205.5</v>
      </c>
      <c r="G1146">
        <v>31</v>
      </c>
      <c r="H1146">
        <v>36000</v>
      </c>
      <c r="I1146" t="s">
        <v>23</v>
      </c>
    </row>
    <row r="1147" spans="1:9" hidden="1" x14ac:dyDescent="0.25">
      <c r="A1147">
        <v>20</v>
      </c>
      <c r="B1147" t="s">
        <v>18</v>
      </c>
      <c r="C1147">
        <v>2020</v>
      </c>
      <c r="D1147">
        <v>205.5</v>
      </c>
      <c r="E1147" t="s">
        <v>9</v>
      </c>
      <c r="F1147">
        <v>178</v>
      </c>
      <c r="G1147">
        <v>27.5</v>
      </c>
      <c r="H1147">
        <v>36000</v>
      </c>
      <c r="I1147" t="s">
        <v>23</v>
      </c>
    </row>
    <row r="1148" spans="1:9" hidden="1" x14ac:dyDescent="0.25">
      <c r="A1148">
        <v>21</v>
      </c>
      <c r="B1148" t="s">
        <v>18</v>
      </c>
      <c r="C1148">
        <v>2020</v>
      </c>
      <c r="D1148">
        <v>178</v>
      </c>
      <c r="E1148" t="s">
        <v>9</v>
      </c>
      <c r="F1148">
        <v>142.5</v>
      </c>
      <c r="G1148">
        <v>35.5</v>
      </c>
      <c r="H1148">
        <v>36000</v>
      </c>
      <c r="I1148" t="s">
        <v>23</v>
      </c>
    </row>
    <row r="1149" spans="1:9" hidden="1" x14ac:dyDescent="0.25">
      <c r="A1149">
        <v>22</v>
      </c>
      <c r="B1149" t="s">
        <v>18</v>
      </c>
      <c r="C1149">
        <v>2020</v>
      </c>
      <c r="D1149">
        <v>142.5</v>
      </c>
      <c r="E1149">
        <v>-30</v>
      </c>
      <c r="F1149">
        <v>73.5</v>
      </c>
      <c r="G1149">
        <v>39</v>
      </c>
      <c r="H1149">
        <v>36000</v>
      </c>
      <c r="I1149" t="s">
        <v>23</v>
      </c>
    </row>
    <row r="1150" spans="1:9" hidden="1" x14ac:dyDescent="0.25">
      <c r="A1150">
        <v>23</v>
      </c>
      <c r="B1150" t="s">
        <v>18</v>
      </c>
      <c r="C1150">
        <v>2020</v>
      </c>
      <c r="D1150">
        <v>73.5</v>
      </c>
      <c r="E1150">
        <v>138</v>
      </c>
      <c r="F1150">
        <v>178.5</v>
      </c>
      <c r="G1150">
        <v>33</v>
      </c>
      <c r="H1150">
        <v>36000</v>
      </c>
      <c r="I1150" t="s">
        <v>23</v>
      </c>
    </row>
    <row r="1151" spans="1:9" hidden="1" x14ac:dyDescent="0.25">
      <c r="A1151">
        <v>24</v>
      </c>
      <c r="B1151" t="s">
        <v>18</v>
      </c>
      <c r="C1151">
        <v>2020</v>
      </c>
      <c r="D1151">
        <v>178.5</v>
      </c>
      <c r="E1151">
        <v>-30</v>
      </c>
      <c r="F1151">
        <v>83</v>
      </c>
      <c r="G1151">
        <v>65.5</v>
      </c>
      <c r="H1151">
        <v>36000</v>
      </c>
      <c r="I1151" t="s">
        <v>23</v>
      </c>
    </row>
    <row r="1152" spans="1:9" hidden="1" x14ac:dyDescent="0.25">
      <c r="A1152">
        <v>25</v>
      </c>
      <c r="B1152" t="s">
        <v>18</v>
      </c>
      <c r="C1152">
        <v>2020</v>
      </c>
      <c r="D1152">
        <v>83</v>
      </c>
      <c r="E1152">
        <v>27</v>
      </c>
      <c r="F1152">
        <v>48</v>
      </c>
      <c r="G1152">
        <v>62</v>
      </c>
      <c r="H1152">
        <v>36000</v>
      </c>
      <c r="I1152" t="s">
        <v>23</v>
      </c>
    </row>
    <row r="1153" spans="1:9" hidden="1" x14ac:dyDescent="0.25">
      <c r="A1153">
        <v>26</v>
      </c>
      <c r="B1153" t="s">
        <v>18</v>
      </c>
      <c r="C1153">
        <v>2020</v>
      </c>
      <c r="D1153">
        <v>48</v>
      </c>
      <c r="E1153" t="s">
        <v>9</v>
      </c>
      <c r="F1153">
        <v>20</v>
      </c>
      <c r="G1153">
        <v>28</v>
      </c>
      <c r="H1153">
        <v>36000</v>
      </c>
      <c r="I1153" t="s">
        <v>23</v>
      </c>
    </row>
    <row r="1154" spans="1:9" hidden="1" x14ac:dyDescent="0.25">
      <c r="A1154">
        <v>27</v>
      </c>
      <c r="B1154" t="s">
        <v>18</v>
      </c>
      <c r="C1154">
        <v>2020</v>
      </c>
      <c r="D1154">
        <v>20</v>
      </c>
      <c r="E1154">
        <v>70</v>
      </c>
      <c r="F1154">
        <v>60</v>
      </c>
      <c r="G1154">
        <v>30</v>
      </c>
      <c r="H1154">
        <v>36000</v>
      </c>
      <c r="I1154" t="s">
        <v>23</v>
      </c>
    </row>
    <row r="1155" spans="1:9" hidden="1" x14ac:dyDescent="0.25">
      <c r="A1155">
        <v>28</v>
      </c>
      <c r="B1155" t="s">
        <v>18</v>
      </c>
      <c r="C1155">
        <v>2020</v>
      </c>
      <c r="D1155">
        <v>60</v>
      </c>
      <c r="E1155">
        <v>210</v>
      </c>
      <c r="F1155">
        <v>232</v>
      </c>
      <c r="G1155">
        <v>38</v>
      </c>
      <c r="H1155">
        <v>36000</v>
      </c>
      <c r="I1155" t="s">
        <v>23</v>
      </c>
    </row>
    <row r="1156" spans="1:9" hidden="1" x14ac:dyDescent="0.25">
      <c r="A1156">
        <v>29</v>
      </c>
      <c r="B1156" t="s">
        <v>18</v>
      </c>
      <c r="C1156">
        <v>2020</v>
      </c>
      <c r="D1156">
        <v>232</v>
      </c>
      <c r="E1156">
        <v>-100</v>
      </c>
      <c r="F1156">
        <v>88</v>
      </c>
      <c r="G1156">
        <v>44</v>
      </c>
      <c r="H1156">
        <v>36000</v>
      </c>
      <c r="I1156" t="s">
        <v>23</v>
      </c>
    </row>
    <row r="1157" spans="1:9" hidden="1" x14ac:dyDescent="0.25">
      <c r="A1157">
        <v>30</v>
      </c>
      <c r="B1157" t="s">
        <v>18</v>
      </c>
      <c r="C1157">
        <v>2020</v>
      </c>
      <c r="D1157">
        <v>88</v>
      </c>
      <c r="E1157">
        <v>313</v>
      </c>
      <c r="F1157">
        <v>344.5</v>
      </c>
      <c r="G1157">
        <v>56.5</v>
      </c>
      <c r="H1157">
        <v>36000</v>
      </c>
      <c r="I1157" t="s">
        <v>23</v>
      </c>
    </row>
    <row r="1158" spans="1:9" hidden="1" x14ac:dyDescent="0.25">
      <c r="A1158">
        <v>31</v>
      </c>
      <c r="B1158" t="s">
        <v>18</v>
      </c>
      <c r="C1158">
        <v>2020</v>
      </c>
      <c r="D1158">
        <v>344.5</v>
      </c>
      <c r="E1158" t="s">
        <v>9</v>
      </c>
      <c r="F1158">
        <v>249.5</v>
      </c>
      <c r="G1158">
        <v>95</v>
      </c>
      <c r="H1158">
        <v>36000</v>
      </c>
      <c r="I1158" t="s">
        <v>23</v>
      </c>
    </row>
    <row r="1159" spans="1:9" x14ac:dyDescent="0.25">
      <c r="A1159">
        <v>1</v>
      </c>
      <c r="B1159" t="s">
        <v>19</v>
      </c>
      <c r="C1159">
        <v>2020</v>
      </c>
      <c r="D1159">
        <v>57.875</v>
      </c>
      <c r="E1159" t="s">
        <v>9</v>
      </c>
      <c r="F1159">
        <v>39.875</v>
      </c>
      <c r="G1159">
        <v>18</v>
      </c>
      <c r="H1159">
        <v>36000</v>
      </c>
      <c r="I1159" t="s">
        <v>22</v>
      </c>
    </row>
    <row r="1160" spans="1:9" x14ac:dyDescent="0.25">
      <c r="A1160">
        <v>2</v>
      </c>
      <c r="B1160" t="s">
        <v>19</v>
      </c>
      <c r="C1160">
        <v>2020</v>
      </c>
      <c r="D1160">
        <v>39.875</v>
      </c>
      <c r="E1160" t="s">
        <v>9</v>
      </c>
      <c r="F1160">
        <v>23.75</v>
      </c>
      <c r="G1160">
        <v>16.125</v>
      </c>
      <c r="H1160">
        <v>36000</v>
      </c>
      <c r="I1160" t="s">
        <v>22</v>
      </c>
    </row>
    <row r="1161" spans="1:9" x14ac:dyDescent="0.25">
      <c r="A1161">
        <v>3</v>
      </c>
      <c r="B1161" t="s">
        <v>19</v>
      </c>
      <c r="C1161">
        <v>2020</v>
      </c>
      <c r="D1161">
        <v>23.75</v>
      </c>
      <c r="E1161" t="s">
        <v>9</v>
      </c>
      <c r="F1161">
        <v>16</v>
      </c>
      <c r="G1161">
        <v>7.75</v>
      </c>
      <c r="H1161">
        <v>36000</v>
      </c>
      <c r="I1161" t="s">
        <v>22</v>
      </c>
    </row>
    <row r="1162" spans="1:9" x14ac:dyDescent="0.25">
      <c r="A1162">
        <v>4</v>
      </c>
      <c r="B1162" t="s">
        <v>19</v>
      </c>
      <c r="C1162">
        <v>2020</v>
      </c>
      <c r="D1162">
        <v>16</v>
      </c>
      <c r="E1162" t="s">
        <v>9</v>
      </c>
      <c r="F1162">
        <v>8.875</v>
      </c>
      <c r="G1162">
        <v>7.125</v>
      </c>
      <c r="H1162">
        <v>36000</v>
      </c>
      <c r="I1162" t="s">
        <v>22</v>
      </c>
    </row>
    <row r="1163" spans="1:9" x14ac:dyDescent="0.25">
      <c r="A1163">
        <v>5</v>
      </c>
      <c r="B1163" t="s">
        <v>19</v>
      </c>
      <c r="C1163">
        <v>2020</v>
      </c>
      <c r="D1163">
        <v>8.875</v>
      </c>
      <c r="E1163" t="s">
        <v>9</v>
      </c>
      <c r="F1163">
        <v>0.625</v>
      </c>
      <c r="G1163">
        <v>8.25</v>
      </c>
      <c r="H1163">
        <v>36000</v>
      </c>
      <c r="I1163" t="s">
        <v>22</v>
      </c>
    </row>
    <row r="1164" spans="1:9" x14ac:dyDescent="0.25">
      <c r="A1164">
        <v>6</v>
      </c>
      <c r="B1164" t="s">
        <v>19</v>
      </c>
      <c r="C1164">
        <v>2020</v>
      </c>
      <c r="D1164">
        <v>0.625</v>
      </c>
      <c r="E1164">
        <v>40</v>
      </c>
      <c r="F1164">
        <v>23.625</v>
      </c>
      <c r="G1164">
        <v>17</v>
      </c>
      <c r="H1164">
        <v>36000</v>
      </c>
      <c r="I1164" t="s">
        <v>22</v>
      </c>
    </row>
    <row r="1165" spans="1:9" x14ac:dyDescent="0.25">
      <c r="A1165">
        <v>7</v>
      </c>
      <c r="B1165" t="s">
        <v>19</v>
      </c>
      <c r="C1165">
        <v>2020</v>
      </c>
      <c r="D1165">
        <v>23.625</v>
      </c>
      <c r="E1165">
        <v>20</v>
      </c>
      <c r="F1165">
        <v>24.25</v>
      </c>
      <c r="G1165">
        <v>19.375</v>
      </c>
      <c r="H1165">
        <v>36000</v>
      </c>
      <c r="I1165" t="s">
        <v>22</v>
      </c>
    </row>
    <row r="1166" spans="1:9" x14ac:dyDescent="0.25">
      <c r="A1166">
        <v>8</v>
      </c>
      <c r="B1166" t="s">
        <v>19</v>
      </c>
      <c r="C1166">
        <v>2020</v>
      </c>
      <c r="D1166">
        <v>24.25</v>
      </c>
      <c r="E1166">
        <v>30</v>
      </c>
      <c r="F1166">
        <v>30</v>
      </c>
      <c r="G1166">
        <v>24.25</v>
      </c>
      <c r="H1166">
        <v>36000</v>
      </c>
      <c r="I1166" t="s">
        <v>22</v>
      </c>
    </row>
    <row r="1167" spans="1:9" x14ac:dyDescent="0.25">
      <c r="A1167">
        <v>9</v>
      </c>
      <c r="B1167" t="s">
        <v>19</v>
      </c>
      <c r="C1167">
        <v>2020</v>
      </c>
      <c r="D1167">
        <v>30</v>
      </c>
      <c r="E1167" t="s">
        <v>9</v>
      </c>
      <c r="F1167">
        <v>22</v>
      </c>
      <c r="G1167">
        <v>8</v>
      </c>
      <c r="H1167">
        <v>36000</v>
      </c>
      <c r="I1167" t="s">
        <v>22</v>
      </c>
    </row>
    <row r="1168" spans="1:9" x14ac:dyDescent="0.25">
      <c r="A1168">
        <v>10</v>
      </c>
      <c r="B1168" t="s">
        <v>19</v>
      </c>
      <c r="C1168">
        <v>2020</v>
      </c>
      <c r="D1168">
        <v>22</v>
      </c>
      <c r="E1168" t="s">
        <v>9</v>
      </c>
      <c r="F1168">
        <v>14.25</v>
      </c>
      <c r="G1168">
        <v>7.75</v>
      </c>
      <c r="H1168">
        <v>36000</v>
      </c>
      <c r="I1168" t="s">
        <v>22</v>
      </c>
    </row>
    <row r="1169" spans="1:9" x14ac:dyDescent="0.25">
      <c r="A1169">
        <v>11</v>
      </c>
      <c r="B1169" t="s">
        <v>19</v>
      </c>
      <c r="C1169">
        <v>2020</v>
      </c>
      <c r="D1169">
        <v>14.25</v>
      </c>
      <c r="E1169">
        <v>100</v>
      </c>
      <c r="F1169">
        <v>107.25</v>
      </c>
      <c r="G1169">
        <v>7</v>
      </c>
      <c r="H1169">
        <v>36000</v>
      </c>
      <c r="I1169" t="s">
        <v>22</v>
      </c>
    </row>
    <row r="1170" spans="1:9" x14ac:dyDescent="0.25">
      <c r="A1170">
        <v>12</v>
      </c>
      <c r="B1170" t="s">
        <v>19</v>
      </c>
      <c r="C1170">
        <v>2020</v>
      </c>
      <c r="D1170">
        <v>107.25</v>
      </c>
      <c r="E1170" t="s">
        <v>9</v>
      </c>
      <c r="F1170">
        <v>94.75</v>
      </c>
      <c r="G1170">
        <v>12.5</v>
      </c>
      <c r="H1170">
        <v>36000</v>
      </c>
      <c r="I1170" t="s">
        <v>22</v>
      </c>
    </row>
    <row r="1171" spans="1:9" x14ac:dyDescent="0.25">
      <c r="A1171">
        <v>13</v>
      </c>
      <c r="B1171" t="s">
        <v>19</v>
      </c>
      <c r="C1171">
        <v>2020</v>
      </c>
      <c r="D1171">
        <v>94.75</v>
      </c>
      <c r="E1171" t="s">
        <v>9</v>
      </c>
      <c r="F1171">
        <v>81.5</v>
      </c>
      <c r="G1171">
        <v>13.25</v>
      </c>
      <c r="H1171">
        <v>36000</v>
      </c>
      <c r="I1171" t="s">
        <v>22</v>
      </c>
    </row>
    <row r="1172" spans="1:9" x14ac:dyDescent="0.25">
      <c r="A1172">
        <v>14</v>
      </c>
      <c r="B1172" t="s">
        <v>19</v>
      </c>
      <c r="C1172">
        <v>2020</v>
      </c>
      <c r="D1172">
        <v>81.5</v>
      </c>
      <c r="E1172" t="s">
        <v>9</v>
      </c>
      <c r="F1172">
        <v>50</v>
      </c>
      <c r="G1172">
        <v>31.5</v>
      </c>
      <c r="H1172">
        <v>36000</v>
      </c>
      <c r="I1172" t="s">
        <v>22</v>
      </c>
    </row>
    <row r="1173" spans="1:9" x14ac:dyDescent="0.25">
      <c r="A1173">
        <v>15</v>
      </c>
      <c r="B1173" t="s">
        <v>19</v>
      </c>
      <c r="C1173">
        <v>2020</v>
      </c>
      <c r="D1173">
        <v>50</v>
      </c>
      <c r="E1173" t="s">
        <v>9</v>
      </c>
      <c r="F1173">
        <v>23.625</v>
      </c>
      <c r="G1173">
        <v>26.375</v>
      </c>
      <c r="H1173">
        <v>36000</v>
      </c>
      <c r="I1173" t="s">
        <v>22</v>
      </c>
    </row>
    <row r="1174" spans="1:9" x14ac:dyDescent="0.25">
      <c r="A1174">
        <v>16</v>
      </c>
      <c r="B1174" t="s">
        <v>19</v>
      </c>
      <c r="C1174">
        <v>2020</v>
      </c>
      <c r="D1174">
        <v>23.625</v>
      </c>
      <c r="E1174">
        <v>40</v>
      </c>
      <c r="F1174">
        <v>42</v>
      </c>
      <c r="G1174">
        <v>21.625</v>
      </c>
      <c r="H1174">
        <v>36000</v>
      </c>
      <c r="I1174" t="s">
        <v>22</v>
      </c>
    </row>
    <row r="1175" spans="1:9" x14ac:dyDescent="0.25">
      <c r="A1175">
        <v>17</v>
      </c>
      <c r="B1175" t="s">
        <v>19</v>
      </c>
      <c r="C1175">
        <v>2020</v>
      </c>
      <c r="D1175">
        <v>42</v>
      </c>
      <c r="E1175" t="s">
        <v>9</v>
      </c>
      <c r="F1175">
        <v>30.375</v>
      </c>
      <c r="G1175">
        <v>11.625</v>
      </c>
      <c r="H1175">
        <v>36000</v>
      </c>
      <c r="I1175" t="s">
        <v>22</v>
      </c>
    </row>
    <row r="1176" spans="1:9" x14ac:dyDescent="0.25">
      <c r="A1176">
        <v>18</v>
      </c>
      <c r="B1176" t="s">
        <v>19</v>
      </c>
      <c r="C1176">
        <v>2020</v>
      </c>
      <c r="D1176">
        <v>30.375</v>
      </c>
      <c r="E1176">
        <v>100</v>
      </c>
      <c r="F1176">
        <v>120</v>
      </c>
      <c r="G1176">
        <v>10.375</v>
      </c>
      <c r="H1176">
        <v>36000</v>
      </c>
      <c r="I1176" t="s">
        <v>22</v>
      </c>
    </row>
    <row r="1177" spans="1:9" x14ac:dyDescent="0.25">
      <c r="A1177">
        <v>19</v>
      </c>
      <c r="B1177" t="s">
        <v>19</v>
      </c>
      <c r="C1177">
        <v>2020</v>
      </c>
      <c r="D1177">
        <v>120</v>
      </c>
      <c r="E1177" t="s">
        <v>9</v>
      </c>
      <c r="F1177">
        <v>110</v>
      </c>
      <c r="G1177">
        <v>10</v>
      </c>
      <c r="H1177">
        <v>36000</v>
      </c>
      <c r="I1177" t="s">
        <v>22</v>
      </c>
    </row>
    <row r="1178" spans="1:9" x14ac:dyDescent="0.25">
      <c r="A1178">
        <v>20</v>
      </c>
      <c r="B1178" t="s">
        <v>19</v>
      </c>
      <c r="C1178">
        <v>2020</v>
      </c>
      <c r="D1178">
        <v>110</v>
      </c>
      <c r="E1178" t="s">
        <v>9</v>
      </c>
      <c r="F1178">
        <v>96</v>
      </c>
      <c r="G1178">
        <v>14</v>
      </c>
      <c r="H1178">
        <v>36000</v>
      </c>
      <c r="I1178" t="s">
        <v>22</v>
      </c>
    </row>
    <row r="1179" spans="1:9" x14ac:dyDescent="0.25">
      <c r="A1179">
        <v>21</v>
      </c>
      <c r="B1179" t="s">
        <v>19</v>
      </c>
      <c r="C1179">
        <v>2020</v>
      </c>
      <c r="D1179">
        <v>96</v>
      </c>
      <c r="E1179" t="s">
        <v>9</v>
      </c>
      <c r="F1179">
        <v>72.5</v>
      </c>
      <c r="G1179">
        <v>23.5</v>
      </c>
      <c r="H1179">
        <v>36000</v>
      </c>
      <c r="I1179" t="s">
        <v>22</v>
      </c>
    </row>
    <row r="1180" spans="1:9" x14ac:dyDescent="0.25">
      <c r="A1180">
        <v>22</v>
      </c>
      <c r="B1180" t="s">
        <v>19</v>
      </c>
      <c r="C1180">
        <v>2020</v>
      </c>
      <c r="D1180">
        <v>72.5</v>
      </c>
      <c r="E1180" t="s">
        <v>9</v>
      </c>
      <c r="F1180">
        <v>43.5</v>
      </c>
      <c r="G1180">
        <v>29</v>
      </c>
      <c r="H1180">
        <v>36000</v>
      </c>
      <c r="I1180" t="s">
        <v>22</v>
      </c>
    </row>
    <row r="1181" spans="1:9" x14ac:dyDescent="0.25">
      <c r="A1181">
        <v>23</v>
      </c>
      <c r="B1181" t="s">
        <v>19</v>
      </c>
      <c r="C1181">
        <v>2020</v>
      </c>
      <c r="D1181">
        <v>43.5</v>
      </c>
      <c r="E1181" t="s">
        <v>9</v>
      </c>
      <c r="F1181">
        <v>32.75</v>
      </c>
      <c r="G1181">
        <v>10.75</v>
      </c>
      <c r="H1181">
        <v>36000</v>
      </c>
      <c r="I1181" t="s">
        <v>22</v>
      </c>
    </row>
    <row r="1182" spans="1:9" x14ac:dyDescent="0.25">
      <c r="A1182">
        <v>24</v>
      </c>
      <c r="B1182" t="s">
        <v>19</v>
      </c>
      <c r="C1182">
        <v>2020</v>
      </c>
      <c r="D1182">
        <v>32.75</v>
      </c>
      <c r="E1182" t="s">
        <v>9</v>
      </c>
      <c r="F1182">
        <v>21.75</v>
      </c>
      <c r="G1182">
        <v>11</v>
      </c>
      <c r="H1182">
        <v>36000</v>
      </c>
      <c r="I1182" t="s">
        <v>22</v>
      </c>
    </row>
    <row r="1183" spans="1:9" x14ac:dyDescent="0.25">
      <c r="A1183">
        <v>25</v>
      </c>
      <c r="B1183" t="s">
        <v>19</v>
      </c>
      <c r="C1183">
        <v>2020</v>
      </c>
      <c r="D1183">
        <v>21.75</v>
      </c>
      <c r="E1183">
        <v>100</v>
      </c>
      <c r="F1183">
        <v>110.75</v>
      </c>
      <c r="G1183">
        <v>11</v>
      </c>
      <c r="H1183">
        <v>36000</v>
      </c>
      <c r="I1183" t="s">
        <v>22</v>
      </c>
    </row>
    <row r="1184" spans="1:9" x14ac:dyDescent="0.25">
      <c r="A1184">
        <v>26</v>
      </c>
      <c r="B1184" t="s">
        <v>19</v>
      </c>
      <c r="C1184">
        <v>2020</v>
      </c>
      <c r="D1184">
        <v>110.75</v>
      </c>
      <c r="E1184" t="s">
        <v>9</v>
      </c>
      <c r="F1184">
        <v>98.875</v>
      </c>
      <c r="G1184">
        <v>11.875</v>
      </c>
      <c r="H1184">
        <v>36000</v>
      </c>
      <c r="I1184" t="s">
        <v>22</v>
      </c>
    </row>
    <row r="1185" spans="1:9" x14ac:dyDescent="0.25">
      <c r="A1185">
        <v>27</v>
      </c>
      <c r="B1185" t="s">
        <v>19</v>
      </c>
      <c r="C1185">
        <v>2020</v>
      </c>
      <c r="D1185">
        <v>98.875</v>
      </c>
      <c r="E1185" t="s">
        <v>9</v>
      </c>
      <c r="F1185">
        <v>83.125</v>
      </c>
      <c r="G1185">
        <v>15.75</v>
      </c>
      <c r="H1185">
        <v>36000</v>
      </c>
      <c r="I1185" t="s">
        <v>22</v>
      </c>
    </row>
    <row r="1186" spans="1:9" x14ac:dyDescent="0.25">
      <c r="A1186">
        <v>28</v>
      </c>
      <c r="B1186" t="s">
        <v>19</v>
      </c>
      <c r="C1186">
        <v>2020</v>
      </c>
      <c r="D1186">
        <v>83.125</v>
      </c>
      <c r="E1186" t="s">
        <v>9</v>
      </c>
      <c r="F1186">
        <v>51.75</v>
      </c>
      <c r="G1186">
        <v>31.375</v>
      </c>
      <c r="H1186">
        <v>36000</v>
      </c>
      <c r="I1186" t="s">
        <v>22</v>
      </c>
    </row>
    <row r="1187" spans="1:9" x14ac:dyDescent="0.25">
      <c r="A1187">
        <v>29</v>
      </c>
      <c r="B1187" t="s">
        <v>19</v>
      </c>
      <c r="C1187">
        <v>2020</v>
      </c>
      <c r="D1187">
        <v>51.75</v>
      </c>
      <c r="E1187">
        <v>30</v>
      </c>
      <c r="F1187">
        <v>48.75</v>
      </c>
      <c r="G1187">
        <v>33</v>
      </c>
      <c r="H1187">
        <v>36000</v>
      </c>
      <c r="I1187" t="s">
        <v>22</v>
      </c>
    </row>
    <row r="1188" spans="1:9" x14ac:dyDescent="0.25">
      <c r="A1188">
        <v>30</v>
      </c>
      <c r="B1188" t="s">
        <v>19</v>
      </c>
      <c r="C1188">
        <v>2020</v>
      </c>
      <c r="D1188">
        <v>48.75</v>
      </c>
      <c r="E1188" t="s">
        <v>9</v>
      </c>
      <c r="F1188">
        <v>37.5</v>
      </c>
      <c r="G1188">
        <v>11.25</v>
      </c>
      <c r="H1188">
        <v>36000</v>
      </c>
      <c r="I1188" t="s">
        <v>22</v>
      </c>
    </row>
    <row r="1189" spans="1:9" hidden="1" x14ac:dyDescent="0.25">
      <c r="A1189">
        <v>1</v>
      </c>
      <c r="B1189" t="s">
        <v>19</v>
      </c>
      <c r="C1189">
        <v>2020</v>
      </c>
      <c r="D1189">
        <v>249.5</v>
      </c>
      <c r="E1189" t="s">
        <v>9</v>
      </c>
      <c r="F1189">
        <v>182.5</v>
      </c>
      <c r="G1189">
        <v>67</v>
      </c>
      <c r="H1189">
        <v>36000</v>
      </c>
      <c r="I1189" t="s">
        <v>23</v>
      </c>
    </row>
    <row r="1190" spans="1:9" hidden="1" x14ac:dyDescent="0.25">
      <c r="A1190">
        <v>2</v>
      </c>
      <c r="B1190" t="s">
        <v>19</v>
      </c>
      <c r="C1190">
        <v>2020</v>
      </c>
      <c r="D1190">
        <v>182.5</v>
      </c>
      <c r="E1190" t="s">
        <v>9</v>
      </c>
      <c r="F1190">
        <v>127</v>
      </c>
      <c r="G1190">
        <v>55.5</v>
      </c>
      <c r="H1190">
        <v>36000</v>
      </c>
      <c r="I1190" t="s">
        <v>23</v>
      </c>
    </row>
    <row r="1191" spans="1:9" hidden="1" x14ac:dyDescent="0.25">
      <c r="A1191">
        <v>3</v>
      </c>
      <c r="B1191" t="s">
        <v>19</v>
      </c>
      <c r="C1191">
        <v>2020</v>
      </c>
      <c r="D1191">
        <v>127</v>
      </c>
      <c r="E1191" t="s">
        <v>9</v>
      </c>
      <c r="F1191">
        <v>98</v>
      </c>
      <c r="G1191">
        <v>29</v>
      </c>
      <c r="H1191">
        <v>36000</v>
      </c>
      <c r="I1191" t="s">
        <v>23</v>
      </c>
    </row>
    <row r="1192" spans="1:9" hidden="1" x14ac:dyDescent="0.25">
      <c r="A1192">
        <v>4</v>
      </c>
      <c r="B1192" t="s">
        <v>19</v>
      </c>
      <c r="C1192">
        <v>2020</v>
      </c>
      <c r="D1192">
        <v>98</v>
      </c>
      <c r="E1192" t="s">
        <v>9</v>
      </c>
      <c r="F1192">
        <v>70</v>
      </c>
      <c r="G1192">
        <v>28</v>
      </c>
      <c r="H1192">
        <v>36000</v>
      </c>
      <c r="I1192" t="s">
        <v>23</v>
      </c>
    </row>
    <row r="1193" spans="1:9" hidden="1" x14ac:dyDescent="0.25">
      <c r="A1193">
        <v>5</v>
      </c>
      <c r="B1193" t="s">
        <v>19</v>
      </c>
      <c r="C1193">
        <v>2020</v>
      </c>
      <c r="D1193">
        <v>70</v>
      </c>
      <c r="E1193" t="s">
        <v>9</v>
      </c>
      <c r="F1193">
        <v>44</v>
      </c>
      <c r="G1193">
        <v>26</v>
      </c>
      <c r="H1193">
        <v>36000</v>
      </c>
      <c r="I1193" t="s">
        <v>23</v>
      </c>
    </row>
    <row r="1194" spans="1:9" hidden="1" x14ac:dyDescent="0.25">
      <c r="A1194">
        <v>6</v>
      </c>
      <c r="B1194" t="s">
        <v>19</v>
      </c>
      <c r="C1194">
        <v>2020</v>
      </c>
      <c r="D1194">
        <v>44</v>
      </c>
      <c r="E1194">
        <v>102</v>
      </c>
      <c r="F1194">
        <v>101</v>
      </c>
      <c r="G1194">
        <v>45</v>
      </c>
      <c r="H1194">
        <v>36000</v>
      </c>
      <c r="I1194" t="s">
        <v>23</v>
      </c>
    </row>
    <row r="1195" spans="1:9" hidden="1" x14ac:dyDescent="0.25">
      <c r="A1195">
        <v>7</v>
      </c>
      <c r="B1195" t="s">
        <v>19</v>
      </c>
      <c r="C1195">
        <v>2020</v>
      </c>
      <c r="D1195">
        <v>101</v>
      </c>
      <c r="E1195">
        <v>-20</v>
      </c>
      <c r="F1195">
        <v>18</v>
      </c>
      <c r="G1195">
        <v>63</v>
      </c>
      <c r="H1195">
        <v>36000</v>
      </c>
      <c r="I1195" t="s">
        <v>23</v>
      </c>
    </row>
    <row r="1196" spans="1:9" hidden="1" x14ac:dyDescent="0.25">
      <c r="A1196">
        <v>8</v>
      </c>
      <c r="B1196" t="s">
        <v>19</v>
      </c>
      <c r="C1196">
        <v>2020</v>
      </c>
      <c r="D1196">
        <v>18</v>
      </c>
      <c r="E1196">
        <v>180</v>
      </c>
      <c r="F1196">
        <v>143</v>
      </c>
      <c r="G1196">
        <v>55</v>
      </c>
      <c r="H1196">
        <v>36000</v>
      </c>
      <c r="I1196" t="s">
        <v>23</v>
      </c>
    </row>
    <row r="1197" spans="1:9" hidden="1" x14ac:dyDescent="0.25">
      <c r="A1197">
        <v>9</v>
      </c>
      <c r="B1197" t="s">
        <v>19</v>
      </c>
      <c r="C1197">
        <v>2020</v>
      </c>
      <c r="D1197">
        <v>143</v>
      </c>
      <c r="E1197" t="s">
        <v>9</v>
      </c>
      <c r="F1197">
        <v>109.5</v>
      </c>
      <c r="G1197">
        <v>33.5</v>
      </c>
      <c r="H1197">
        <v>36000</v>
      </c>
      <c r="I1197" t="s">
        <v>23</v>
      </c>
    </row>
    <row r="1198" spans="1:9" hidden="1" x14ac:dyDescent="0.25">
      <c r="A1198">
        <v>10</v>
      </c>
      <c r="B1198" t="s">
        <v>19</v>
      </c>
      <c r="C1198">
        <v>2020</v>
      </c>
      <c r="D1198">
        <v>109.5</v>
      </c>
      <c r="E1198" t="s">
        <v>9</v>
      </c>
      <c r="F1198">
        <v>82</v>
      </c>
      <c r="G1198">
        <v>27.5</v>
      </c>
      <c r="H1198">
        <v>36000</v>
      </c>
      <c r="I1198" t="s">
        <v>23</v>
      </c>
    </row>
    <row r="1199" spans="1:9" hidden="1" x14ac:dyDescent="0.25">
      <c r="A1199">
        <v>11</v>
      </c>
      <c r="B1199" t="s">
        <v>19</v>
      </c>
      <c r="C1199">
        <v>2020</v>
      </c>
      <c r="D1199">
        <v>82</v>
      </c>
      <c r="E1199">
        <v>180</v>
      </c>
      <c r="F1199">
        <v>232.5</v>
      </c>
      <c r="G1199">
        <v>29.5</v>
      </c>
      <c r="H1199">
        <v>36000</v>
      </c>
      <c r="I1199" t="s">
        <v>23</v>
      </c>
    </row>
    <row r="1200" spans="1:9" hidden="1" x14ac:dyDescent="0.25">
      <c r="A1200">
        <v>12</v>
      </c>
      <c r="B1200" t="s">
        <v>19</v>
      </c>
      <c r="C1200">
        <v>2020</v>
      </c>
      <c r="D1200">
        <v>232.5</v>
      </c>
      <c r="E1200" t="s">
        <v>9</v>
      </c>
      <c r="F1200">
        <v>191</v>
      </c>
      <c r="G1200">
        <v>41.5</v>
      </c>
      <c r="H1200">
        <v>36000</v>
      </c>
      <c r="I1200" t="s">
        <v>23</v>
      </c>
    </row>
    <row r="1201" spans="1:9" hidden="1" x14ac:dyDescent="0.25">
      <c r="A1201">
        <v>13</v>
      </c>
      <c r="B1201" t="s">
        <v>19</v>
      </c>
      <c r="C1201">
        <v>2020</v>
      </c>
      <c r="D1201">
        <v>191</v>
      </c>
      <c r="E1201" t="s">
        <v>9</v>
      </c>
      <c r="F1201">
        <v>134</v>
      </c>
      <c r="G1201">
        <v>57</v>
      </c>
      <c r="H1201">
        <v>36000</v>
      </c>
      <c r="I1201" t="s">
        <v>23</v>
      </c>
    </row>
    <row r="1202" spans="1:9" hidden="1" x14ac:dyDescent="0.25">
      <c r="A1202">
        <v>14</v>
      </c>
      <c r="B1202" t="s">
        <v>19</v>
      </c>
      <c r="C1202">
        <v>2020</v>
      </c>
      <c r="D1202">
        <v>134</v>
      </c>
      <c r="E1202">
        <v>-3</v>
      </c>
      <c r="F1202">
        <v>75</v>
      </c>
      <c r="G1202">
        <v>56</v>
      </c>
      <c r="H1202">
        <v>36000</v>
      </c>
      <c r="I1202" t="s">
        <v>23</v>
      </c>
    </row>
    <row r="1203" spans="1:9" hidden="1" x14ac:dyDescent="0.25">
      <c r="A1203">
        <v>15</v>
      </c>
      <c r="B1203" t="s">
        <v>19</v>
      </c>
      <c r="C1203">
        <v>2020</v>
      </c>
      <c r="D1203">
        <v>75</v>
      </c>
      <c r="E1203" t="s">
        <v>9</v>
      </c>
      <c r="F1203">
        <v>17</v>
      </c>
      <c r="G1203">
        <v>58</v>
      </c>
      <c r="H1203">
        <v>36000</v>
      </c>
      <c r="I1203" t="s">
        <v>23</v>
      </c>
    </row>
    <row r="1204" spans="1:9" hidden="1" x14ac:dyDescent="0.25">
      <c r="A1204">
        <v>16</v>
      </c>
      <c r="B1204" t="s">
        <v>19</v>
      </c>
      <c r="C1204">
        <v>2020</v>
      </c>
      <c r="D1204">
        <v>17</v>
      </c>
      <c r="E1204">
        <v>257</v>
      </c>
      <c r="F1204">
        <v>227.5</v>
      </c>
      <c r="G1204">
        <v>46.5</v>
      </c>
      <c r="H1204">
        <v>36000</v>
      </c>
      <c r="I1204" t="s">
        <v>23</v>
      </c>
    </row>
    <row r="1205" spans="1:9" hidden="1" x14ac:dyDescent="0.25">
      <c r="A1205">
        <v>17</v>
      </c>
      <c r="B1205" t="s">
        <v>19</v>
      </c>
      <c r="C1205">
        <v>2020</v>
      </c>
      <c r="D1205">
        <v>227.5</v>
      </c>
      <c r="E1205" t="s">
        <v>9</v>
      </c>
      <c r="F1205">
        <v>198.75</v>
      </c>
      <c r="G1205">
        <v>28.75</v>
      </c>
      <c r="H1205">
        <v>36000</v>
      </c>
      <c r="I1205" t="s">
        <v>23</v>
      </c>
    </row>
    <row r="1206" spans="1:9" hidden="1" x14ac:dyDescent="0.25">
      <c r="A1206">
        <v>18</v>
      </c>
      <c r="B1206" t="s">
        <v>19</v>
      </c>
      <c r="C1206">
        <v>2020</v>
      </c>
      <c r="D1206">
        <v>198.75</v>
      </c>
      <c r="E1206">
        <v>-100</v>
      </c>
      <c r="F1206">
        <v>65</v>
      </c>
      <c r="G1206">
        <v>33.75</v>
      </c>
      <c r="H1206">
        <v>36000</v>
      </c>
      <c r="I1206" t="s">
        <v>23</v>
      </c>
    </row>
    <row r="1207" spans="1:9" hidden="1" x14ac:dyDescent="0.25">
      <c r="A1207">
        <v>19</v>
      </c>
      <c r="B1207" t="s">
        <v>19</v>
      </c>
      <c r="C1207">
        <v>2020</v>
      </c>
      <c r="D1207">
        <v>65</v>
      </c>
      <c r="E1207">
        <v>226</v>
      </c>
      <c r="F1207">
        <v>246</v>
      </c>
      <c r="G1207">
        <v>45</v>
      </c>
      <c r="H1207">
        <v>36000</v>
      </c>
      <c r="I1207" t="s">
        <v>23</v>
      </c>
    </row>
    <row r="1208" spans="1:9" hidden="1" x14ac:dyDescent="0.25">
      <c r="A1208">
        <v>20</v>
      </c>
      <c r="B1208" t="s">
        <v>19</v>
      </c>
      <c r="C1208">
        <v>2020</v>
      </c>
      <c r="D1208">
        <v>246</v>
      </c>
      <c r="E1208">
        <v>-5</v>
      </c>
      <c r="F1208">
        <v>203</v>
      </c>
      <c r="G1208">
        <v>38</v>
      </c>
      <c r="H1208">
        <v>36000</v>
      </c>
      <c r="I1208" t="s">
        <v>23</v>
      </c>
    </row>
    <row r="1209" spans="1:9" hidden="1" x14ac:dyDescent="0.25">
      <c r="A1209">
        <v>21</v>
      </c>
      <c r="B1209" t="s">
        <v>19</v>
      </c>
      <c r="C1209">
        <v>2020</v>
      </c>
      <c r="D1209">
        <v>203</v>
      </c>
      <c r="E1209" t="s">
        <v>9</v>
      </c>
      <c r="F1209">
        <v>157</v>
      </c>
      <c r="G1209">
        <v>46</v>
      </c>
      <c r="H1209">
        <v>36000</v>
      </c>
      <c r="I1209" t="s">
        <v>23</v>
      </c>
    </row>
    <row r="1210" spans="1:9" hidden="1" x14ac:dyDescent="0.25">
      <c r="A1210">
        <v>22</v>
      </c>
      <c r="B1210" t="s">
        <v>19</v>
      </c>
      <c r="C1210">
        <v>2020</v>
      </c>
      <c r="D1210">
        <v>157</v>
      </c>
      <c r="E1210" t="s">
        <v>9</v>
      </c>
      <c r="F1210">
        <v>92</v>
      </c>
      <c r="G1210">
        <v>65</v>
      </c>
      <c r="H1210">
        <v>36000</v>
      </c>
      <c r="I1210" t="s">
        <v>23</v>
      </c>
    </row>
    <row r="1211" spans="1:9" hidden="1" x14ac:dyDescent="0.25">
      <c r="A1211">
        <v>23</v>
      </c>
      <c r="B1211" t="s">
        <v>19</v>
      </c>
      <c r="C1211">
        <v>2020</v>
      </c>
      <c r="D1211">
        <v>92</v>
      </c>
      <c r="E1211" t="s">
        <v>9</v>
      </c>
      <c r="F1211">
        <v>62.5</v>
      </c>
      <c r="G1211">
        <v>29.5</v>
      </c>
      <c r="H1211">
        <v>36000</v>
      </c>
      <c r="I1211" t="s">
        <v>23</v>
      </c>
    </row>
    <row r="1212" spans="1:9" hidden="1" x14ac:dyDescent="0.25">
      <c r="A1212">
        <v>24</v>
      </c>
      <c r="B1212" t="s">
        <v>19</v>
      </c>
      <c r="C1212">
        <v>2020</v>
      </c>
      <c r="D1212">
        <v>62.5</v>
      </c>
      <c r="E1212">
        <v>200</v>
      </c>
      <c r="F1212">
        <v>231.5</v>
      </c>
      <c r="G1212">
        <v>31</v>
      </c>
      <c r="H1212">
        <v>36000</v>
      </c>
      <c r="I1212" t="s">
        <v>23</v>
      </c>
    </row>
    <row r="1213" spans="1:9" hidden="1" x14ac:dyDescent="0.25">
      <c r="A1213">
        <v>25</v>
      </c>
      <c r="B1213" t="s">
        <v>19</v>
      </c>
      <c r="C1213">
        <v>2020</v>
      </c>
      <c r="D1213">
        <v>231.5</v>
      </c>
      <c r="E1213">
        <v>-100</v>
      </c>
      <c r="F1213">
        <v>103</v>
      </c>
      <c r="G1213">
        <v>28.5</v>
      </c>
      <c r="H1213">
        <v>36000</v>
      </c>
      <c r="I1213" t="s">
        <v>23</v>
      </c>
    </row>
    <row r="1214" spans="1:9" hidden="1" x14ac:dyDescent="0.25">
      <c r="A1214">
        <v>26</v>
      </c>
      <c r="B1214" t="s">
        <v>19</v>
      </c>
      <c r="C1214">
        <v>2020</v>
      </c>
      <c r="D1214">
        <v>103</v>
      </c>
      <c r="E1214" t="s">
        <v>9</v>
      </c>
      <c r="F1214">
        <v>62</v>
      </c>
      <c r="G1214">
        <v>41</v>
      </c>
      <c r="H1214">
        <v>36000</v>
      </c>
      <c r="I1214" t="s">
        <v>23</v>
      </c>
    </row>
    <row r="1215" spans="1:9" hidden="1" x14ac:dyDescent="0.25">
      <c r="A1215">
        <v>27</v>
      </c>
      <c r="B1215" t="s">
        <v>19</v>
      </c>
      <c r="C1215">
        <v>2020</v>
      </c>
      <c r="D1215">
        <v>62</v>
      </c>
      <c r="E1215">
        <v>298</v>
      </c>
      <c r="F1215">
        <v>315</v>
      </c>
      <c r="G1215">
        <v>45</v>
      </c>
      <c r="H1215">
        <v>36000</v>
      </c>
      <c r="I1215" t="s">
        <v>23</v>
      </c>
    </row>
    <row r="1216" spans="1:9" hidden="1" x14ac:dyDescent="0.25">
      <c r="A1216">
        <v>28</v>
      </c>
      <c r="B1216" t="s">
        <v>19</v>
      </c>
      <c r="C1216">
        <v>2020</v>
      </c>
      <c r="D1216">
        <v>315</v>
      </c>
      <c r="E1216" t="s">
        <v>9</v>
      </c>
      <c r="F1216">
        <v>238</v>
      </c>
      <c r="G1216">
        <v>77</v>
      </c>
      <c r="H1216">
        <v>36000</v>
      </c>
      <c r="I1216" t="s">
        <v>23</v>
      </c>
    </row>
    <row r="1217" spans="1:9" hidden="1" x14ac:dyDescent="0.25">
      <c r="A1217">
        <v>29</v>
      </c>
      <c r="B1217" t="s">
        <v>19</v>
      </c>
      <c r="C1217">
        <v>2020</v>
      </c>
      <c r="D1217">
        <v>238</v>
      </c>
      <c r="E1217">
        <v>-30</v>
      </c>
      <c r="F1217">
        <v>141</v>
      </c>
      <c r="G1217">
        <v>67</v>
      </c>
      <c r="H1217">
        <v>36000</v>
      </c>
      <c r="I1217" t="s">
        <v>23</v>
      </c>
    </row>
    <row r="1218" spans="1:9" hidden="1" x14ac:dyDescent="0.25">
      <c r="A1218">
        <v>30</v>
      </c>
      <c r="B1218" t="s">
        <v>19</v>
      </c>
      <c r="C1218">
        <v>2020</v>
      </c>
      <c r="D1218">
        <v>141</v>
      </c>
      <c r="E1218">
        <v>300</v>
      </c>
      <c r="F1218">
        <v>414</v>
      </c>
      <c r="G1218">
        <v>27</v>
      </c>
      <c r="H1218">
        <v>36000</v>
      </c>
      <c r="I1218" t="s">
        <v>23</v>
      </c>
    </row>
    <row r="1219" spans="1:9" x14ac:dyDescent="0.25">
      <c r="A1219">
        <v>1</v>
      </c>
      <c r="B1219" t="s">
        <v>20</v>
      </c>
      <c r="C1219">
        <v>2020</v>
      </c>
      <c r="D1219">
        <v>37.5</v>
      </c>
      <c r="E1219" t="s">
        <v>9</v>
      </c>
      <c r="F1219">
        <v>26</v>
      </c>
      <c r="G1219">
        <v>11.5</v>
      </c>
      <c r="H1219">
        <v>36000</v>
      </c>
      <c r="I1219" t="s">
        <v>22</v>
      </c>
    </row>
    <row r="1220" spans="1:9" x14ac:dyDescent="0.25">
      <c r="A1220">
        <v>2</v>
      </c>
      <c r="B1220" t="s">
        <v>20</v>
      </c>
      <c r="C1220">
        <v>2020</v>
      </c>
      <c r="D1220">
        <v>26</v>
      </c>
      <c r="E1220">
        <v>100</v>
      </c>
      <c r="F1220">
        <v>107.625</v>
      </c>
      <c r="G1220">
        <v>18.375</v>
      </c>
      <c r="H1220">
        <v>36000</v>
      </c>
      <c r="I1220" t="s">
        <v>22</v>
      </c>
    </row>
    <row r="1221" spans="1:9" x14ac:dyDescent="0.25">
      <c r="A1221">
        <v>3</v>
      </c>
      <c r="B1221" t="s">
        <v>20</v>
      </c>
      <c r="C1221">
        <v>2020</v>
      </c>
      <c r="D1221">
        <v>107.625</v>
      </c>
      <c r="E1221" t="s">
        <v>9</v>
      </c>
      <c r="F1221">
        <v>96.25</v>
      </c>
      <c r="G1221">
        <v>11.375</v>
      </c>
      <c r="H1221">
        <v>36000</v>
      </c>
      <c r="I1221" t="s">
        <v>22</v>
      </c>
    </row>
    <row r="1222" spans="1:9" x14ac:dyDescent="0.25">
      <c r="A1222">
        <v>4</v>
      </c>
      <c r="B1222" t="s">
        <v>20</v>
      </c>
      <c r="C1222">
        <v>2020</v>
      </c>
      <c r="D1222">
        <v>96.25</v>
      </c>
      <c r="E1222" t="s">
        <v>9</v>
      </c>
      <c r="F1222">
        <v>72.75</v>
      </c>
      <c r="G1222">
        <v>23.5</v>
      </c>
      <c r="H1222">
        <v>36000</v>
      </c>
      <c r="I1222" t="s">
        <v>22</v>
      </c>
    </row>
    <row r="1223" spans="1:9" x14ac:dyDescent="0.25">
      <c r="A1223">
        <v>5</v>
      </c>
      <c r="B1223" t="s">
        <v>20</v>
      </c>
      <c r="C1223">
        <v>2020</v>
      </c>
      <c r="D1223">
        <v>72.75</v>
      </c>
      <c r="E1223" t="s">
        <v>9</v>
      </c>
      <c r="F1223">
        <v>52.75</v>
      </c>
      <c r="G1223">
        <v>20</v>
      </c>
      <c r="H1223">
        <v>36000</v>
      </c>
      <c r="I1223" t="s">
        <v>22</v>
      </c>
    </row>
    <row r="1224" spans="1:9" x14ac:dyDescent="0.25">
      <c r="A1224">
        <v>6</v>
      </c>
      <c r="B1224" t="s">
        <v>20</v>
      </c>
      <c r="C1224">
        <v>2020</v>
      </c>
      <c r="D1224">
        <v>52.75</v>
      </c>
      <c r="E1224">
        <v>30</v>
      </c>
      <c r="F1224">
        <v>60.5</v>
      </c>
      <c r="G1224">
        <v>22.25</v>
      </c>
      <c r="H1224">
        <v>36000</v>
      </c>
      <c r="I1224" t="s">
        <v>22</v>
      </c>
    </row>
    <row r="1225" spans="1:9" x14ac:dyDescent="0.25">
      <c r="A1225">
        <v>7</v>
      </c>
      <c r="B1225" t="s">
        <v>20</v>
      </c>
      <c r="C1225">
        <v>2020</v>
      </c>
      <c r="D1225">
        <v>60.5</v>
      </c>
      <c r="E1225">
        <v>20</v>
      </c>
      <c r="F1225">
        <v>51.2</v>
      </c>
      <c r="G1225">
        <v>29.3</v>
      </c>
      <c r="H1225">
        <v>36000</v>
      </c>
      <c r="I1225" t="s">
        <v>22</v>
      </c>
    </row>
    <row r="1226" spans="1:9" x14ac:dyDescent="0.25">
      <c r="A1226">
        <v>8</v>
      </c>
      <c r="B1226" t="s">
        <v>20</v>
      </c>
      <c r="C1226">
        <v>2020</v>
      </c>
      <c r="D1226">
        <v>51.2</v>
      </c>
      <c r="E1226">
        <v>120</v>
      </c>
      <c r="F1226">
        <v>153.75</v>
      </c>
      <c r="G1226">
        <v>17.45</v>
      </c>
      <c r="H1226">
        <v>36000</v>
      </c>
      <c r="I1226" t="s">
        <v>22</v>
      </c>
    </row>
    <row r="1227" spans="1:9" x14ac:dyDescent="0.25">
      <c r="A1227">
        <v>9</v>
      </c>
      <c r="B1227" t="s">
        <v>20</v>
      </c>
      <c r="C1227">
        <v>2020</v>
      </c>
      <c r="D1227">
        <v>153.75</v>
      </c>
      <c r="E1227" t="s">
        <v>9</v>
      </c>
      <c r="F1227">
        <v>145.75</v>
      </c>
      <c r="G1227">
        <v>8</v>
      </c>
      <c r="H1227">
        <v>36000</v>
      </c>
      <c r="I1227" t="s">
        <v>22</v>
      </c>
    </row>
    <row r="1228" spans="1:9" x14ac:dyDescent="0.25">
      <c r="A1228">
        <v>10</v>
      </c>
      <c r="B1228" t="s">
        <v>20</v>
      </c>
      <c r="C1228">
        <v>2020</v>
      </c>
      <c r="D1228">
        <v>145.75</v>
      </c>
      <c r="E1228" t="s">
        <v>9</v>
      </c>
      <c r="F1228">
        <v>132.02500000000001</v>
      </c>
      <c r="G1228">
        <v>13.725</v>
      </c>
      <c r="H1228">
        <v>36000</v>
      </c>
      <c r="I1228" t="s">
        <v>22</v>
      </c>
    </row>
    <row r="1229" spans="1:9" x14ac:dyDescent="0.25">
      <c r="A1229">
        <v>11</v>
      </c>
      <c r="B1229" t="s">
        <v>20</v>
      </c>
      <c r="C1229">
        <v>2020</v>
      </c>
      <c r="D1229">
        <v>132.02500000000001</v>
      </c>
      <c r="E1229" t="s">
        <v>9</v>
      </c>
      <c r="F1229">
        <v>114.75</v>
      </c>
      <c r="G1229">
        <v>17.274999999999999</v>
      </c>
      <c r="H1229">
        <v>36000</v>
      </c>
      <c r="I1229" t="s">
        <v>22</v>
      </c>
    </row>
    <row r="1230" spans="1:9" x14ac:dyDescent="0.25">
      <c r="A1230">
        <v>12</v>
      </c>
      <c r="B1230" t="s">
        <v>20</v>
      </c>
      <c r="C1230">
        <v>2020</v>
      </c>
      <c r="D1230">
        <v>114.75</v>
      </c>
      <c r="E1230" t="s">
        <v>9</v>
      </c>
      <c r="F1230">
        <v>100</v>
      </c>
      <c r="G1230">
        <v>14.75</v>
      </c>
      <c r="H1230">
        <v>36000</v>
      </c>
      <c r="I1230" t="s">
        <v>22</v>
      </c>
    </row>
    <row r="1231" spans="1:9" x14ac:dyDescent="0.25">
      <c r="A1231">
        <v>13</v>
      </c>
      <c r="B1231" t="s">
        <v>20</v>
      </c>
      <c r="C1231">
        <v>2020</v>
      </c>
      <c r="D1231">
        <v>100</v>
      </c>
      <c r="E1231" t="s">
        <v>9</v>
      </c>
      <c r="F1231">
        <v>65</v>
      </c>
      <c r="G1231">
        <v>35</v>
      </c>
      <c r="H1231">
        <v>36000</v>
      </c>
      <c r="I1231" t="s">
        <v>22</v>
      </c>
    </row>
    <row r="1232" spans="1:9" x14ac:dyDescent="0.25">
      <c r="A1232">
        <v>14</v>
      </c>
      <c r="B1232" t="s">
        <v>20</v>
      </c>
      <c r="C1232">
        <v>2020</v>
      </c>
      <c r="D1232">
        <v>65</v>
      </c>
      <c r="E1232" t="s">
        <v>9</v>
      </c>
      <c r="F1232">
        <v>55</v>
      </c>
      <c r="G1232">
        <v>10</v>
      </c>
      <c r="H1232">
        <v>36000</v>
      </c>
      <c r="I1232" t="s">
        <v>22</v>
      </c>
    </row>
    <row r="1233" spans="1:9" x14ac:dyDescent="0.25">
      <c r="A1233">
        <v>15</v>
      </c>
      <c r="B1233" t="s">
        <v>20</v>
      </c>
      <c r="C1233">
        <v>2020</v>
      </c>
      <c r="D1233">
        <v>55</v>
      </c>
      <c r="E1233" t="s">
        <v>9</v>
      </c>
      <c r="F1233">
        <v>37.875</v>
      </c>
      <c r="G1233">
        <v>17.125</v>
      </c>
      <c r="H1233">
        <v>36000</v>
      </c>
      <c r="I1233" t="s">
        <v>22</v>
      </c>
    </row>
    <row r="1234" spans="1:9" x14ac:dyDescent="0.25">
      <c r="A1234">
        <v>16</v>
      </c>
      <c r="B1234" t="s">
        <v>20</v>
      </c>
      <c r="C1234">
        <v>2020</v>
      </c>
      <c r="D1234">
        <v>37.875</v>
      </c>
      <c r="E1234" t="s">
        <v>9</v>
      </c>
      <c r="F1234">
        <v>27</v>
      </c>
      <c r="G1234">
        <v>10.875</v>
      </c>
      <c r="H1234">
        <v>36000</v>
      </c>
      <c r="I1234" t="s">
        <v>22</v>
      </c>
    </row>
    <row r="1235" spans="1:9" x14ac:dyDescent="0.25">
      <c r="A1235">
        <v>17</v>
      </c>
      <c r="B1235" t="s">
        <v>20</v>
      </c>
      <c r="C1235">
        <v>2020</v>
      </c>
      <c r="D1235">
        <v>27</v>
      </c>
      <c r="E1235">
        <v>90</v>
      </c>
      <c r="F1235">
        <v>104</v>
      </c>
      <c r="G1235">
        <v>13</v>
      </c>
      <c r="H1235">
        <v>36000</v>
      </c>
      <c r="I1235" t="s">
        <v>22</v>
      </c>
    </row>
    <row r="1236" spans="1:9" x14ac:dyDescent="0.25">
      <c r="A1236">
        <v>18</v>
      </c>
      <c r="B1236" t="s">
        <v>20</v>
      </c>
      <c r="C1236">
        <v>2020</v>
      </c>
      <c r="D1236">
        <v>104</v>
      </c>
      <c r="E1236" t="s">
        <v>9</v>
      </c>
      <c r="F1236">
        <v>74</v>
      </c>
      <c r="G1236">
        <v>30</v>
      </c>
      <c r="H1236">
        <v>36000</v>
      </c>
      <c r="I1236" t="s">
        <v>22</v>
      </c>
    </row>
    <row r="1237" spans="1:9" x14ac:dyDescent="0.25">
      <c r="A1237">
        <v>19</v>
      </c>
      <c r="B1237" t="s">
        <v>20</v>
      </c>
      <c r="C1237">
        <v>2020</v>
      </c>
      <c r="D1237">
        <v>74</v>
      </c>
      <c r="E1237" t="s">
        <v>9</v>
      </c>
      <c r="F1237">
        <v>55</v>
      </c>
      <c r="G1237">
        <v>19</v>
      </c>
      <c r="H1237">
        <v>36000</v>
      </c>
      <c r="I1237" t="s">
        <v>22</v>
      </c>
    </row>
    <row r="1238" spans="1:9" x14ac:dyDescent="0.25">
      <c r="A1238">
        <v>20</v>
      </c>
      <c r="B1238" t="s">
        <v>20</v>
      </c>
      <c r="C1238">
        <v>2020</v>
      </c>
      <c r="D1238">
        <v>55</v>
      </c>
      <c r="E1238" t="s">
        <v>9</v>
      </c>
      <c r="F1238">
        <v>35</v>
      </c>
      <c r="G1238">
        <v>20</v>
      </c>
      <c r="H1238">
        <v>36000</v>
      </c>
      <c r="I1238" t="s">
        <v>22</v>
      </c>
    </row>
    <row r="1239" spans="1:9" x14ac:dyDescent="0.25">
      <c r="A1239">
        <v>21</v>
      </c>
      <c r="B1239" t="s">
        <v>20</v>
      </c>
      <c r="C1239">
        <v>2020</v>
      </c>
      <c r="D1239">
        <v>35</v>
      </c>
      <c r="E1239">
        <v>100</v>
      </c>
      <c r="F1239">
        <v>120.375</v>
      </c>
      <c r="G1239">
        <v>14.625</v>
      </c>
      <c r="H1239">
        <v>36000</v>
      </c>
      <c r="I1239" t="s">
        <v>22</v>
      </c>
    </row>
    <row r="1240" spans="1:9" x14ac:dyDescent="0.25">
      <c r="A1240">
        <v>22</v>
      </c>
      <c r="B1240" t="s">
        <v>20</v>
      </c>
      <c r="C1240">
        <v>2020</v>
      </c>
      <c r="D1240">
        <v>120.375</v>
      </c>
      <c r="E1240" t="s">
        <v>9</v>
      </c>
      <c r="F1240">
        <v>100.75</v>
      </c>
      <c r="G1240">
        <v>19.625</v>
      </c>
      <c r="H1240">
        <v>36000</v>
      </c>
      <c r="I1240" t="s">
        <v>22</v>
      </c>
    </row>
    <row r="1241" spans="1:9" x14ac:dyDescent="0.25">
      <c r="A1241">
        <v>23</v>
      </c>
      <c r="B1241" t="s">
        <v>20</v>
      </c>
      <c r="C1241">
        <v>2020</v>
      </c>
      <c r="D1241">
        <v>100.75</v>
      </c>
      <c r="E1241" t="s">
        <v>9</v>
      </c>
      <c r="F1241">
        <v>82</v>
      </c>
      <c r="G1241">
        <v>18.75</v>
      </c>
      <c r="H1241">
        <v>36000</v>
      </c>
      <c r="I1241" t="s">
        <v>22</v>
      </c>
    </row>
    <row r="1242" spans="1:9" x14ac:dyDescent="0.25">
      <c r="A1242">
        <v>25</v>
      </c>
      <c r="B1242" t="s">
        <v>20</v>
      </c>
      <c r="C1242">
        <v>2020</v>
      </c>
      <c r="D1242">
        <v>82</v>
      </c>
      <c r="E1242" t="s">
        <v>9</v>
      </c>
      <c r="F1242">
        <v>50</v>
      </c>
      <c r="G1242">
        <v>32</v>
      </c>
      <c r="H1242">
        <v>36000</v>
      </c>
      <c r="I1242" t="s">
        <v>22</v>
      </c>
    </row>
    <row r="1243" spans="1:9" x14ac:dyDescent="0.25">
      <c r="A1243">
        <v>26</v>
      </c>
      <c r="B1243" t="s">
        <v>20</v>
      </c>
      <c r="C1243">
        <v>2020</v>
      </c>
      <c r="D1243">
        <v>50</v>
      </c>
      <c r="E1243" t="s">
        <v>9</v>
      </c>
      <c r="F1243">
        <v>24</v>
      </c>
      <c r="G1243">
        <v>26</v>
      </c>
      <c r="H1243">
        <v>36000</v>
      </c>
      <c r="I1243" t="s">
        <v>22</v>
      </c>
    </row>
    <row r="1244" spans="1:9" x14ac:dyDescent="0.25">
      <c r="A1244">
        <v>27</v>
      </c>
      <c r="B1244" t="s">
        <v>20</v>
      </c>
      <c r="C1244">
        <v>2020</v>
      </c>
      <c r="D1244">
        <v>24</v>
      </c>
      <c r="E1244">
        <v>100</v>
      </c>
      <c r="F1244">
        <v>104</v>
      </c>
      <c r="G1244">
        <v>20</v>
      </c>
      <c r="H1244">
        <v>36000</v>
      </c>
      <c r="I1244" t="s">
        <v>22</v>
      </c>
    </row>
    <row r="1245" spans="1:9" x14ac:dyDescent="0.25">
      <c r="A1245">
        <v>28</v>
      </c>
      <c r="B1245" t="s">
        <v>20</v>
      </c>
      <c r="C1245">
        <v>2020</v>
      </c>
      <c r="D1245">
        <v>104</v>
      </c>
      <c r="E1245" t="s">
        <v>9</v>
      </c>
      <c r="F1245">
        <v>84</v>
      </c>
      <c r="G1245">
        <v>20</v>
      </c>
      <c r="H1245">
        <v>36000</v>
      </c>
      <c r="I1245" t="s">
        <v>22</v>
      </c>
    </row>
    <row r="1246" spans="1:9" x14ac:dyDescent="0.25">
      <c r="A1246">
        <v>29</v>
      </c>
      <c r="B1246" t="s">
        <v>20</v>
      </c>
      <c r="C1246">
        <v>2020</v>
      </c>
      <c r="D1246">
        <v>84</v>
      </c>
      <c r="E1246" t="s">
        <v>9</v>
      </c>
      <c r="F1246">
        <v>63</v>
      </c>
      <c r="G1246">
        <v>21</v>
      </c>
      <c r="H1246">
        <v>36000</v>
      </c>
      <c r="I1246" t="s">
        <v>22</v>
      </c>
    </row>
    <row r="1247" spans="1:9" x14ac:dyDescent="0.25">
      <c r="A1247">
        <v>30</v>
      </c>
      <c r="B1247" t="s">
        <v>20</v>
      </c>
      <c r="C1247">
        <v>2020</v>
      </c>
      <c r="D1247">
        <v>63</v>
      </c>
      <c r="E1247" t="s">
        <v>9</v>
      </c>
      <c r="F1247">
        <v>46.875</v>
      </c>
      <c r="G1247">
        <v>16.125</v>
      </c>
      <c r="H1247">
        <v>36000</v>
      </c>
      <c r="I1247" t="s">
        <v>22</v>
      </c>
    </row>
    <row r="1248" spans="1:9" hidden="1" x14ac:dyDescent="0.25">
      <c r="A1248">
        <v>1</v>
      </c>
      <c r="B1248" t="s">
        <v>20</v>
      </c>
      <c r="C1248">
        <v>2020</v>
      </c>
      <c r="D1248">
        <v>414</v>
      </c>
      <c r="E1248">
        <v>-3</v>
      </c>
      <c r="F1248">
        <v>378</v>
      </c>
      <c r="G1248">
        <v>33</v>
      </c>
      <c r="H1248">
        <v>36000</v>
      </c>
      <c r="I1248" t="s">
        <v>23</v>
      </c>
    </row>
    <row r="1249" spans="1:9" hidden="1" x14ac:dyDescent="0.25">
      <c r="A1249">
        <v>2</v>
      </c>
      <c r="B1249" t="s">
        <v>20</v>
      </c>
      <c r="C1249">
        <v>2020</v>
      </c>
      <c r="D1249">
        <v>378</v>
      </c>
      <c r="E1249">
        <v>-62</v>
      </c>
      <c r="F1249">
        <v>280</v>
      </c>
      <c r="G1249">
        <v>36</v>
      </c>
      <c r="H1249">
        <v>36000</v>
      </c>
      <c r="I1249" t="s">
        <v>23</v>
      </c>
    </row>
    <row r="1250" spans="1:9" hidden="1" x14ac:dyDescent="0.25">
      <c r="A1250">
        <v>3</v>
      </c>
      <c r="B1250" t="s">
        <v>20</v>
      </c>
      <c r="C1250">
        <v>2020</v>
      </c>
      <c r="D1250">
        <v>280</v>
      </c>
      <c r="E1250" t="s">
        <v>9</v>
      </c>
      <c r="F1250">
        <v>240</v>
      </c>
      <c r="G1250">
        <v>40</v>
      </c>
      <c r="H1250">
        <v>36000</v>
      </c>
      <c r="I1250" t="s">
        <v>23</v>
      </c>
    </row>
    <row r="1251" spans="1:9" hidden="1" x14ac:dyDescent="0.25">
      <c r="A1251">
        <v>4</v>
      </c>
      <c r="B1251" t="s">
        <v>20</v>
      </c>
      <c r="C1251">
        <v>2020</v>
      </c>
      <c r="D1251">
        <v>240</v>
      </c>
      <c r="E1251" t="s">
        <v>9</v>
      </c>
      <c r="F1251">
        <v>173</v>
      </c>
      <c r="G1251">
        <v>67</v>
      </c>
      <c r="H1251">
        <v>36000</v>
      </c>
      <c r="I1251" t="s">
        <v>23</v>
      </c>
    </row>
    <row r="1252" spans="1:9" hidden="1" x14ac:dyDescent="0.25">
      <c r="A1252">
        <v>5</v>
      </c>
      <c r="B1252" t="s">
        <v>20</v>
      </c>
      <c r="C1252">
        <v>2020</v>
      </c>
      <c r="D1252">
        <v>173</v>
      </c>
      <c r="E1252" t="s">
        <v>9</v>
      </c>
      <c r="F1252">
        <v>129</v>
      </c>
      <c r="G1252">
        <v>44</v>
      </c>
      <c r="H1252">
        <v>36000</v>
      </c>
      <c r="I1252" t="s">
        <v>23</v>
      </c>
    </row>
    <row r="1253" spans="1:9" hidden="1" x14ac:dyDescent="0.25">
      <c r="A1253">
        <v>6</v>
      </c>
      <c r="B1253" t="s">
        <v>20</v>
      </c>
      <c r="C1253">
        <v>2020</v>
      </c>
      <c r="D1253">
        <v>129</v>
      </c>
      <c r="E1253">
        <v>40</v>
      </c>
      <c r="F1253">
        <v>125</v>
      </c>
      <c r="G1253">
        <v>44</v>
      </c>
      <c r="H1253">
        <v>36000</v>
      </c>
      <c r="I1253" t="s">
        <v>23</v>
      </c>
    </row>
    <row r="1254" spans="1:9" hidden="1" x14ac:dyDescent="0.25">
      <c r="A1254">
        <v>7</v>
      </c>
      <c r="B1254" t="s">
        <v>20</v>
      </c>
      <c r="C1254">
        <v>2020</v>
      </c>
      <c r="D1254">
        <v>125</v>
      </c>
      <c r="E1254">
        <v>-20</v>
      </c>
      <c r="F1254">
        <v>10</v>
      </c>
      <c r="G1254">
        <v>95</v>
      </c>
      <c r="H1254">
        <v>36000</v>
      </c>
      <c r="I1254" t="s">
        <v>23</v>
      </c>
    </row>
    <row r="1255" spans="1:9" hidden="1" x14ac:dyDescent="0.25">
      <c r="A1255">
        <v>8</v>
      </c>
      <c r="B1255" t="s">
        <v>20</v>
      </c>
      <c r="C1255">
        <v>2020</v>
      </c>
      <c r="D1255">
        <v>10</v>
      </c>
      <c r="E1255">
        <v>94</v>
      </c>
      <c r="F1255">
        <v>50</v>
      </c>
      <c r="G1255">
        <v>54</v>
      </c>
      <c r="H1255">
        <v>36000</v>
      </c>
      <c r="I1255" t="s">
        <v>23</v>
      </c>
    </row>
    <row r="1256" spans="1:9" hidden="1" x14ac:dyDescent="0.25">
      <c r="A1256">
        <v>9</v>
      </c>
      <c r="B1256" t="s">
        <v>20</v>
      </c>
      <c r="C1256">
        <v>2020</v>
      </c>
      <c r="D1256">
        <v>50</v>
      </c>
      <c r="E1256">
        <v>141</v>
      </c>
      <c r="F1256">
        <v>164</v>
      </c>
      <c r="G1256">
        <v>27</v>
      </c>
      <c r="H1256">
        <v>36000</v>
      </c>
      <c r="I1256" t="s">
        <v>23</v>
      </c>
    </row>
    <row r="1257" spans="1:9" hidden="1" x14ac:dyDescent="0.25">
      <c r="A1257">
        <v>10</v>
      </c>
      <c r="B1257" t="s">
        <v>20</v>
      </c>
      <c r="C1257">
        <v>2020</v>
      </c>
      <c r="D1257">
        <v>164</v>
      </c>
      <c r="E1257" t="s">
        <v>9</v>
      </c>
      <c r="F1257">
        <v>119</v>
      </c>
      <c r="G1257">
        <v>45</v>
      </c>
      <c r="H1257">
        <v>36000</v>
      </c>
      <c r="I1257" t="s">
        <v>23</v>
      </c>
    </row>
    <row r="1258" spans="1:9" hidden="1" x14ac:dyDescent="0.25">
      <c r="A1258">
        <v>11</v>
      </c>
      <c r="B1258" t="s">
        <v>20</v>
      </c>
      <c r="C1258">
        <v>2020</v>
      </c>
      <c r="D1258">
        <v>119</v>
      </c>
      <c r="E1258" t="s">
        <v>9</v>
      </c>
      <c r="F1258">
        <v>80</v>
      </c>
      <c r="G1258">
        <v>39</v>
      </c>
      <c r="H1258">
        <v>36000</v>
      </c>
      <c r="I1258" t="s">
        <v>23</v>
      </c>
    </row>
    <row r="1259" spans="1:9" hidden="1" x14ac:dyDescent="0.25">
      <c r="A1259">
        <v>12</v>
      </c>
      <c r="B1259" t="s">
        <v>20</v>
      </c>
      <c r="C1259">
        <v>2020</v>
      </c>
      <c r="D1259">
        <v>80</v>
      </c>
      <c r="E1259">
        <v>209</v>
      </c>
      <c r="F1259">
        <v>224</v>
      </c>
      <c r="G1259">
        <v>65</v>
      </c>
      <c r="H1259">
        <v>36000</v>
      </c>
      <c r="I1259" t="s">
        <v>23</v>
      </c>
    </row>
    <row r="1260" spans="1:9" hidden="1" x14ac:dyDescent="0.25">
      <c r="A1260">
        <v>13</v>
      </c>
      <c r="B1260" t="s">
        <v>20</v>
      </c>
      <c r="C1260">
        <v>2020</v>
      </c>
      <c r="D1260">
        <v>224</v>
      </c>
      <c r="E1260" t="s">
        <v>9</v>
      </c>
      <c r="F1260">
        <v>156</v>
      </c>
      <c r="G1260">
        <v>68</v>
      </c>
      <c r="H1260">
        <v>36000</v>
      </c>
      <c r="I1260" t="s">
        <v>23</v>
      </c>
    </row>
    <row r="1261" spans="1:9" hidden="1" x14ac:dyDescent="0.25">
      <c r="A1261">
        <v>14</v>
      </c>
      <c r="B1261" t="s">
        <v>20</v>
      </c>
      <c r="C1261">
        <v>2020</v>
      </c>
      <c r="D1261">
        <v>156</v>
      </c>
      <c r="E1261" t="s">
        <v>9</v>
      </c>
      <c r="F1261">
        <v>128</v>
      </c>
      <c r="G1261">
        <v>28</v>
      </c>
      <c r="H1261">
        <v>36000</v>
      </c>
      <c r="I1261" t="s">
        <v>23</v>
      </c>
    </row>
    <row r="1262" spans="1:9" hidden="1" x14ac:dyDescent="0.25">
      <c r="A1262">
        <v>15</v>
      </c>
      <c r="B1262" t="s">
        <v>20</v>
      </c>
      <c r="C1262">
        <v>2020</v>
      </c>
      <c r="D1262">
        <v>128</v>
      </c>
      <c r="E1262" t="s">
        <v>9</v>
      </c>
      <c r="F1262">
        <v>74</v>
      </c>
      <c r="G1262">
        <v>54</v>
      </c>
      <c r="H1262">
        <v>36000</v>
      </c>
      <c r="I1262" t="s">
        <v>23</v>
      </c>
    </row>
    <row r="1263" spans="1:9" hidden="1" x14ac:dyDescent="0.25">
      <c r="A1263">
        <v>16</v>
      </c>
      <c r="B1263" t="s">
        <v>20</v>
      </c>
      <c r="C1263">
        <v>2020</v>
      </c>
      <c r="D1263">
        <v>74</v>
      </c>
      <c r="E1263">
        <v>177</v>
      </c>
      <c r="F1263">
        <v>211</v>
      </c>
      <c r="G1263">
        <v>40</v>
      </c>
      <c r="H1263">
        <v>36000</v>
      </c>
      <c r="I1263" t="s">
        <v>23</v>
      </c>
    </row>
    <row r="1264" spans="1:9" hidden="1" x14ac:dyDescent="0.25">
      <c r="A1264">
        <v>17</v>
      </c>
      <c r="B1264" t="s">
        <v>20</v>
      </c>
      <c r="C1264">
        <v>2020</v>
      </c>
      <c r="D1264">
        <v>211</v>
      </c>
      <c r="E1264">
        <v>-90</v>
      </c>
      <c r="F1264">
        <v>73</v>
      </c>
      <c r="G1264">
        <v>48</v>
      </c>
      <c r="H1264">
        <v>36000</v>
      </c>
      <c r="I1264" t="s">
        <v>23</v>
      </c>
    </row>
    <row r="1265" spans="1:9" hidden="1" x14ac:dyDescent="0.25">
      <c r="A1265">
        <v>18</v>
      </c>
      <c r="B1265" t="s">
        <v>20</v>
      </c>
      <c r="C1265">
        <v>2020</v>
      </c>
      <c r="D1265">
        <v>73</v>
      </c>
      <c r="E1265">
        <v>200</v>
      </c>
      <c r="F1265">
        <v>220.5</v>
      </c>
      <c r="G1265">
        <v>52.5</v>
      </c>
      <c r="H1265">
        <v>36000</v>
      </c>
      <c r="I1265" t="s">
        <v>23</v>
      </c>
    </row>
    <row r="1266" spans="1:9" hidden="1" x14ac:dyDescent="0.25">
      <c r="A1266">
        <v>19</v>
      </c>
      <c r="B1266" t="s">
        <v>20</v>
      </c>
      <c r="C1266">
        <v>2020</v>
      </c>
      <c r="D1266">
        <v>220.5</v>
      </c>
      <c r="E1266">
        <v>-3</v>
      </c>
      <c r="F1266">
        <v>144</v>
      </c>
      <c r="G1266">
        <v>73.5</v>
      </c>
      <c r="H1266">
        <v>36000</v>
      </c>
      <c r="I1266" t="s">
        <v>23</v>
      </c>
    </row>
    <row r="1267" spans="1:9" hidden="1" x14ac:dyDescent="0.25">
      <c r="A1267">
        <v>20</v>
      </c>
      <c r="B1267" t="s">
        <v>20</v>
      </c>
      <c r="C1267">
        <v>2020</v>
      </c>
      <c r="D1267">
        <v>144</v>
      </c>
      <c r="E1267">
        <v>307</v>
      </c>
      <c r="F1267">
        <v>390</v>
      </c>
      <c r="G1267">
        <v>61</v>
      </c>
      <c r="H1267">
        <v>36000</v>
      </c>
      <c r="I1267" t="s">
        <v>23</v>
      </c>
    </row>
    <row r="1268" spans="1:9" hidden="1" x14ac:dyDescent="0.25">
      <c r="A1268">
        <v>21</v>
      </c>
      <c r="B1268" t="s">
        <v>20</v>
      </c>
      <c r="C1268">
        <v>2020</v>
      </c>
      <c r="D1268">
        <v>390</v>
      </c>
      <c r="E1268">
        <v>-100</v>
      </c>
      <c r="F1268">
        <v>237.5</v>
      </c>
      <c r="G1268">
        <v>52.5</v>
      </c>
      <c r="H1268">
        <v>36000</v>
      </c>
      <c r="I1268" t="s">
        <v>23</v>
      </c>
    </row>
    <row r="1269" spans="1:9" hidden="1" x14ac:dyDescent="0.25">
      <c r="A1269">
        <v>22</v>
      </c>
      <c r="B1269" t="s">
        <v>20</v>
      </c>
      <c r="C1269">
        <v>2020</v>
      </c>
      <c r="D1269">
        <v>237.5</v>
      </c>
      <c r="E1269" t="s">
        <v>9</v>
      </c>
      <c r="F1269">
        <v>173</v>
      </c>
      <c r="G1269">
        <v>64.5</v>
      </c>
      <c r="H1269">
        <v>36000</v>
      </c>
      <c r="I1269" t="s">
        <v>23</v>
      </c>
    </row>
    <row r="1270" spans="1:9" hidden="1" x14ac:dyDescent="0.25">
      <c r="A1270">
        <v>23</v>
      </c>
      <c r="B1270" t="s">
        <v>20</v>
      </c>
      <c r="C1270">
        <v>2020</v>
      </c>
      <c r="D1270">
        <v>173</v>
      </c>
      <c r="E1270">
        <v>-2</v>
      </c>
      <c r="F1270">
        <v>108</v>
      </c>
      <c r="G1270">
        <v>63</v>
      </c>
      <c r="H1270">
        <v>36000</v>
      </c>
      <c r="I1270" t="s">
        <v>23</v>
      </c>
    </row>
    <row r="1271" spans="1:9" hidden="1" x14ac:dyDescent="0.25">
      <c r="A1271">
        <v>25</v>
      </c>
      <c r="B1271" t="s">
        <v>20</v>
      </c>
      <c r="C1271">
        <v>2020</v>
      </c>
      <c r="D1271">
        <v>108</v>
      </c>
      <c r="E1271" t="s">
        <v>9</v>
      </c>
      <c r="F1271">
        <v>39</v>
      </c>
      <c r="G1271">
        <v>69</v>
      </c>
      <c r="H1271">
        <v>36000</v>
      </c>
      <c r="I1271" t="s">
        <v>23</v>
      </c>
    </row>
    <row r="1272" spans="1:9" hidden="1" x14ac:dyDescent="0.25">
      <c r="A1272">
        <v>26</v>
      </c>
      <c r="B1272" t="s">
        <v>20</v>
      </c>
      <c r="C1272">
        <v>2020</v>
      </c>
      <c r="D1272">
        <v>39</v>
      </c>
      <c r="E1272">
        <v>299</v>
      </c>
      <c r="F1272">
        <v>263</v>
      </c>
      <c r="G1272">
        <v>75</v>
      </c>
      <c r="H1272">
        <v>36000</v>
      </c>
      <c r="I1272" t="s">
        <v>23</v>
      </c>
    </row>
    <row r="1273" spans="1:9" hidden="1" x14ac:dyDescent="0.25">
      <c r="A1273">
        <v>27</v>
      </c>
      <c r="B1273" t="s">
        <v>20</v>
      </c>
      <c r="C1273">
        <v>2020</v>
      </c>
      <c r="D1273">
        <v>263</v>
      </c>
      <c r="E1273">
        <v>-100</v>
      </c>
      <c r="F1273">
        <v>106</v>
      </c>
      <c r="G1273">
        <v>57</v>
      </c>
      <c r="H1273">
        <v>36000</v>
      </c>
      <c r="I1273" t="s">
        <v>23</v>
      </c>
    </row>
    <row r="1274" spans="1:9" hidden="1" x14ac:dyDescent="0.25">
      <c r="A1274">
        <v>28</v>
      </c>
      <c r="B1274" t="s">
        <v>20</v>
      </c>
      <c r="C1274">
        <v>2020</v>
      </c>
      <c r="D1274">
        <v>106</v>
      </c>
      <c r="E1274" t="s">
        <v>9</v>
      </c>
      <c r="F1274">
        <v>70.5</v>
      </c>
      <c r="G1274">
        <v>35.5</v>
      </c>
      <c r="H1274">
        <v>36000</v>
      </c>
      <c r="I1274" t="s">
        <v>23</v>
      </c>
    </row>
    <row r="1275" spans="1:9" hidden="1" x14ac:dyDescent="0.25">
      <c r="A1275">
        <v>29</v>
      </c>
      <c r="B1275" t="s">
        <v>20</v>
      </c>
      <c r="C1275">
        <v>2020</v>
      </c>
      <c r="D1275">
        <v>70.5</v>
      </c>
      <c r="E1275">
        <v>210</v>
      </c>
      <c r="F1275">
        <v>228</v>
      </c>
      <c r="G1275">
        <v>52.5</v>
      </c>
      <c r="H1275">
        <v>36000</v>
      </c>
      <c r="I1275" t="s">
        <v>23</v>
      </c>
    </row>
    <row r="1276" spans="1:9" hidden="1" x14ac:dyDescent="0.25">
      <c r="A1276">
        <v>30</v>
      </c>
      <c r="B1276" t="s">
        <v>20</v>
      </c>
      <c r="C1276">
        <v>2020</v>
      </c>
      <c r="D1276">
        <v>228</v>
      </c>
      <c r="E1276">
        <v>110</v>
      </c>
      <c r="F1276">
        <v>271</v>
      </c>
      <c r="G1276">
        <v>67</v>
      </c>
      <c r="H1276">
        <v>36000</v>
      </c>
      <c r="I1276" t="s">
        <v>23</v>
      </c>
    </row>
    <row r="1277" spans="1:9" x14ac:dyDescent="0.25">
      <c r="A1277">
        <v>1</v>
      </c>
      <c r="B1277" t="s">
        <v>8</v>
      </c>
      <c r="C1277">
        <v>2021</v>
      </c>
      <c r="D1277">
        <v>46.875</v>
      </c>
      <c r="E1277">
        <v>100</v>
      </c>
      <c r="F1277">
        <v>119.625</v>
      </c>
      <c r="G1277">
        <v>27.25</v>
      </c>
      <c r="H1277">
        <v>40000</v>
      </c>
      <c r="I1277" t="s">
        <v>22</v>
      </c>
    </row>
    <row r="1278" spans="1:9" x14ac:dyDescent="0.25">
      <c r="A1278">
        <v>2</v>
      </c>
      <c r="B1278" t="s">
        <v>8</v>
      </c>
      <c r="C1278">
        <v>2021</v>
      </c>
      <c r="D1278">
        <v>119.625</v>
      </c>
      <c r="E1278" t="s">
        <v>9</v>
      </c>
      <c r="F1278">
        <v>88</v>
      </c>
      <c r="G1278">
        <v>31.625</v>
      </c>
      <c r="H1278">
        <v>40000</v>
      </c>
      <c r="I1278" t="s">
        <v>22</v>
      </c>
    </row>
    <row r="1279" spans="1:9" x14ac:dyDescent="0.25">
      <c r="A1279">
        <v>3</v>
      </c>
      <c r="B1279" t="s">
        <v>8</v>
      </c>
      <c r="C1279">
        <v>2021</v>
      </c>
      <c r="D1279">
        <v>88</v>
      </c>
      <c r="E1279" t="s">
        <v>9</v>
      </c>
      <c r="F1279">
        <v>68</v>
      </c>
      <c r="G1279">
        <v>20</v>
      </c>
      <c r="H1279">
        <v>40000</v>
      </c>
      <c r="I1279" t="s">
        <v>22</v>
      </c>
    </row>
    <row r="1280" spans="1:9" x14ac:dyDescent="0.25">
      <c r="A1280">
        <v>4</v>
      </c>
      <c r="B1280" t="s">
        <v>8</v>
      </c>
      <c r="C1280">
        <v>2021</v>
      </c>
      <c r="D1280">
        <v>68</v>
      </c>
      <c r="E1280" t="s">
        <v>9</v>
      </c>
      <c r="F1280">
        <v>56</v>
      </c>
      <c r="G1280">
        <v>12</v>
      </c>
      <c r="H1280">
        <v>40000</v>
      </c>
      <c r="I1280" t="s">
        <v>22</v>
      </c>
    </row>
    <row r="1281" spans="1:9" x14ac:dyDescent="0.25">
      <c r="A1281">
        <v>5</v>
      </c>
      <c r="B1281" t="s">
        <v>8</v>
      </c>
      <c r="C1281">
        <v>2021</v>
      </c>
      <c r="D1281">
        <v>56</v>
      </c>
      <c r="E1281" t="s">
        <v>9</v>
      </c>
      <c r="F1281">
        <v>44.375</v>
      </c>
      <c r="G1281">
        <v>11.625</v>
      </c>
      <c r="H1281">
        <v>40000</v>
      </c>
      <c r="I1281" t="s">
        <v>22</v>
      </c>
    </row>
    <row r="1282" spans="1:9" x14ac:dyDescent="0.25">
      <c r="A1282">
        <v>6</v>
      </c>
      <c r="B1282" t="s">
        <v>8</v>
      </c>
      <c r="C1282">
        <v>2021</v>
      </c>
      <c r="D1282">
        <v>44.375</v>
      </c>
      <c r="E1282">
        <v>20</v>
      </c>
      <c r="F1282">
        <v>56.25</v>
      </c>
      <c r="G1282">
        <v>8.125</v>
      </c>
      <c r="H1282">
        <v>40000</v>
      </c>
      <c r="I1282" t="s">
        <v>22</v>
      </c>
    </row>
    <row r="1283" spans="1:9" x14ac:dyDescent="0.25">
      <c r="A1283">
        <v>7</v>
      </c>
      <c r="B1283" t="s">
        <v>8</v>
      </c>
      <c r="C1283">
        <v>2021</v>
      </c>
      <c r="D1283">
        <v>56.25</v>
      </c>
      <c r="E1283" t="s">
        <v>9</v>
      </c>
      <c r="F1283">
        <v>40.25</v>
      </c>
      <c r="G1283">
        <v>16</v>
      </c>
      <c r="H1283">
        <v>40000</v>
      </c>
      <c r="I1283" t="s">
        <v>22</v>
      </c>
    </row>
    <row r="1284" spans="1:9" x14ac:dyDescent="0.25">
      <c r="A1284">
        <v>8</v>
      </c>
      <c r="B1284" t="s">
        <v>8</v>
      </c>
      <c r="C1284">
        <v>2021</v>
      </c>
      <c r="D1284">
        <v>40.25</v>
      </c>
      <c r="E1284" t="s">
        <v>9</v>
      </c>
      <c r="F1284">
        <v>29</v>
      </c>
      <c r="G1284">
        <v>11.25</v>
      </c>
      <c r="H1284">
        <v>40000</v>
      </c>
      <c r="I1284" t="s">
        <v>22</v>
      </c>
    </row>
    <row r="1285" spans="1:9" x14ac:dyDescent="0.25">
      <c r="A1285">
        <v>9</v>
      </c>
      <c r="B1285" t="s">
        <v>8</v>
      </c>
      <c r="C1285">
        <v>2021</v>
      </c>
      <c r="D1285">
        <v>29</v>
      </c>
      <c r="E1285" t="s">
        <v>9</v>
      </c>
      <c r="F1285">
        <v>13.75</v>
      </c>
      <c r="G1285">
        <v>15.25</v>
      </c>
      <c r="H1285">
        <v>40000</v>
      </c>
      <c r="I1285" t="s">
        <v>22</v>
      </c>
    </row>
    <row r="1286" spans="1:9" x14ac:dyDescent="0.25">
      <c r="A1286">
        <v>10</v>
      </c>
      <c r="B1286" t="s">
        <v>8</v>
      </c>
      <c r="C1286">
        <v>2021</v>
      </c>
      <c r="D1286">
        <v>13.75</v>
      </c>
      <c r="E1286">
        <v>150</v>
      </c>
      <c r="F1286">
        <v>144.25</v>
      </c>
      <c r="G1286">
        <v>19.5</v>
      </c>
      <c r="H1286">
        <v>40000</v>
      </c>
      <c r="I1286" t="s">
        <v>22</v>
      </c>
    </row>
    <row r="1287" spans="1:9" x14ac:dyDescent="0.25">
      <c r="A1287">
        <v>11</v>
      </c>
      <c r="B1287" t="s">
        <v>8</v>
      </c>
      <c r="C1287">
        <v>2021</v>
      </c>
      <c r="D1287">
        <v>144.25</v>
      </c>
      <c r="E1287" t="s">
        <v>9</v>
      </c>
      <c r="F1287">
        <v>128</v>
      </c>
      <c r="G1287">
        <v>16.25</v>
      </c>
      <c r="H1287">
        <v>40000</v>
      </c>
      <c r="I1287" t="s">
        <v>22</v>
      </c>
    </row>
    <row r="1288" spans="1:9" x14ac:dyDescent="0.25">
      <c r="A1288">
        <v>12</v>
      </c>
      <c r="B1288" t="s">
        <v>8</v>
      </c>
      <c r="C1288">
        <v>2021</v>
      </c>
      <c r="D1288">
        <v>128</v>
      </c>
      <c r="E1288" t="s">
        <v>9</v>
      </c>
      <c r="F1288">
        <v>116.25</v>
      </c>
      <c r="G1288">
        <v>11.75</v>
      </c>
      <c r="H1288">
        <v>40000</v>
      </c>
      <c r="I1288" t="s">
        <v>22</v>
      </c>
    </row>
    <row r="1289" spans="1:9" x14ac:dyDescent="0.25">
      <c r="A1289">
        <v>13</v>
      </c>
      <c r="B1289" t="s">
        <v>8</v>
      </c>
      <c r="C1289">
        <v>2021</v>
      </c>
      <c r="D1289">
        <v>116.25</v>
      </c>
      <c r="E1289" t="s">
        <v>9</v>
      </c>
      <c r="F1289">
        <v>113.125</v>
      </c>
      <c r="G1289">
        <v>3.125</v>
      </c>
      <c r="H1289">
        <v>40000</v>
      </c>
      <c r="I1289" t="s">
        <v>22</v>
      </c>
    </row>
    <row r="1290" spans="1:9" x14ac:dyDescent="0.25">
      <c r="A1290">
        <v>14</v>
      </c>
      <c r="B1290" t="s">
        <v>8</v>
      </c>
      <c r="C1290">
        <v>2021</v>
      </c>
      <c r="D1290">
        <v>113.125</v>
      </c>
      <c r="E1290" t="s">
        <v>9</v>
      </c>
      <c r="F1290">
        <v>102</v>
      </c>
      <c r="G1290">
        <v>11.125</v>
      </c>
      <c r="H1290">
        <v>40000</v>
      </c>
      <c r="I1290" t="s">
        <v>22</v>
      </c>
    </row>
    <row r="1291" spans="1:9" x14ac:dyDescent="0.25">
      <c r="A1291">
        <v>15</v>
      </c>
      <c r="B1291" t="s">
        <v>8</v>
      </c>
      <c r="C1291">
        <v>2021</v>
      </c>
      <c r="D1291">
        <v>102</v>
      </c>
      <c r="E1291" t="s">
        <v>9</v>
      </c>
      <c r="F1291">
        <v>96</v>
      </c>
      <c r="G1291">
        <v>6</v>
      </c>
      <c r="H1291">
        <v>40000</v>
      </c>
      <c r="I1291" t="s">
        <v>22</v>
      </c>
    </row>
    <row r="1292" spans="1:9" x14ac:dyDescent="0.25">
      <c r="A1292">
        <v>16</v>
      </c>
      <c r="B1292" t="s">
        <v>8</v>
      </c>
      <c r="C1292">
        <v>2021</v>
      </c>
      <c r="D1292">
        <v>96</v>
      </c>
      <c r="E1292" t="s">
        <v>9</v>
      </c>
      <c r="F1292">
        <v>85.5</v>
      </c>
      <c r="G1292">
        <v>10.5</v>
      </c>
      <c r="H1292">
        <v>40000</v>
      </c>
      <c r="I1292" t="s">
        <v>22</v>
      </c>
    </row>
    <row r="1293" spans="1:9" x14ac:dyDescent="0.25">
      <c r="A1293">
        <v>17</v>
      </c>
      <c r="B1293" t="s">
        <v>8</v>
      </c>
      <c r="C1293">
        <v>2021</v>
      </c>
      <c r="D1293">
        <v>85.5</v>
      </c>
      <c r="E1293" t="s">
        <v>9</v>
      </c>
      <c r="F1293">
        <v>74</v>
      </c>
      <c r="G1293">
        <v>11.5</v>
      </c>
      <c r="H1293">
        <v>40000</v>
      </c>
      <c r="I1293" t="s">
        <v>22</v>
      </c>
    </row>
    <row r="1294" spans="1:9" x14ac:dyDescent="0.25">
      <c r="A1294">
        <v>18</v>
      </c>
      <c r="B1294" t="s">
        <v>8</v>
      </c>
      <c r="C1294">
        <v>2021</v>
      </c>
      <c r="D1294">
        <v>74</v>
      </c>
      <c r="E1294" t="s">
        <v>9</v>
      </c>
      <c r="F1294">
        <v>68</v>
      </c>
      <c r="G1294">
        <v>6</v>
      </c>
      <c r="H1294">
        <v>40000</v>
      </c>
      <c r="I1294" t="s">
        <v>22</v>
      </c>
    </row>
    <row r="1295" spans="1:9" x14ac:dyDescent="0.25">
      <c r="A1295">
        <v>19</v>
      </c>
      <c r="B1295" t="s">
        <v>8</v>
      </c>
      <c r="C1295">
        <v>2021</v>
      </c>
      <c r="D1295">
        <v>68</v>
      </c>
      <c r="E1295" t="s">
        <v>9</v>
      </c>
      <c r="F1295">
        <v>61.875</v>
      </c>
      <c r="G1295">
        <v>6.125</v>
      </c>
      <c r="H1295">
        <v>40000</v>
      </c>
      <c r="I1295" t="s">
        <v>22</v>
      </c>
    </row>
    <row r="1296" spans="1:9" x14ac:dyDescent="0.25">
      <c r="A1296">
        <v>20</v>
      </c>
      <c r="B1296" t="s">
        <v>8</v>
      </c>
      <c r="C1296">
        <v>2021</v>
      </c>
      <c r="D1296">
        <v>61.875</v>
      </c>
      <c r="E1296" t="s">
        <v>9</v>
      </c>
      <c r="F1296">
        <v>58</v>
      </c>
      <c r="G1296">
        <v>3.875</v>
      </c>
      <c r="H1296">
        <v>40000</v>
      </c>
      <c r="I1296" t="s">
        <v>22</v>
      </c>
    </row>
    <row r="1297" spans="1:9" x14ac:dyDescent="0.25">
      <c r="A1297">
        <v>21</v>
      </c>
      <c r="B1297" t="s">
        <v>8</v>
      </c>
      <c r="C1297">
        <v>2021</v>
      </c>
      <c r="D1297">
        <v>58</v>
      </c>
      <c r="E1297" t="s">
        <v>9</v>
      </c>
      <c r="F1297">
        <v>48.5</v>
      </c>
      <c r="G1297">
        <v>9.5</v>
      </c>
      <c r="H1297">
        <v>40000</v>
      </c>
      <c r="I1297" t="s">
        <v>22</v>
      </c>
    </row>
    <row r="1298" spans="1:9" x14ac:dyDescent="0.25">
      <c r="A1298">
        <v>22</v>
      </c>
      <c r="B1298" t="s">
        <v>8</v>
      </c>
      <c r="C1298">
        <v>2021</v>
      </c>
      <c r="D1298">
        <v>48.5</v>
      </c>
      <c r="E1298" t="s">
        <v>9</v>
      </c>
      <c r="F1298">
        <v>33.5</v>
      </c>
      <c r="G1298">
        <v>15</v>
      </c>
      <c r="H1298">
        <v>40000</v>
      </c>
      <c r="I1298" t="s">
        <v>22</v>
      </c>
    </row>
    <row r="1299" spans="1:9" x14ac:dyDescent="0.25">
      <c r="A1299">
        <v>23</v>
      </c>
      <c r="B1299" t="s">
        <v>8</v>
      </c>
      <c r="C1299">
        <v>2021</v>
      </c>
      <c r="D1299">
        <v>33.5</v>
      </c>
      <c r="E1299" t="s">
        <v>9</v>
      </c>
      <c r="F1299">
        <v>28.875</v>
      </c>
      <c r="G1299">
        <v>4.625</v>
      </c>
      <c r="H1299">
        <v>40000</v>
      </c>
      <c r="I1299" t="s">
        <v>22</v>
      </c>
    </row>
    <row r="1300" spans="1:9" x14ac:dyDescent="0.25">
      <c r="A1300">
        <v>24</v>
      </c>
      <c r="B1300" t="s">
        <v>8</v>
      </c>
      <c r="C1300">
        <v>2021</v>
      </c>
      <c r="D1300">
        <v>28.875</v>
      </c>
      <c r="E1300" t="s">
        <v>9</v>
      </c>
      <c r="F1300">
        <v>23.75</v>
      </c>
      <c r="G1300">
        <v>5.125</v>
      </c>
      <c r="H1300">
        <v>40000</v>
      </c>
      <c r="I1300" t="s">
        <v>22</v>
      </c>
    </row>
    <row r="1301" spans="1:9" x14ac:dyDescent="0.25">
      <c r="A1301">
        <v>25</v>
      </c>
      <c r="B1301" t="s">
        <v>8</v>
      </c>
      <c r="C1301">
        <v>2021</v>
      </c>
      <c r="D1301">
        <v>23.75</v>
      </c>
      <c r="E1301" t="s">
        <v>9</v>
      </c>
      <c r="F1301">
        <v>12</v>
      </c>
      <c r="G1301">
        <v>11.75</v>
      </c>
      <c r="H1301">
        <v>40000</v>
      </c>
      <c r="I1301" t="s">
        <v>22</v>
      </c>
    </row>
    <row r="1302" spans="1:9" x14ac:dyDescent="0.25">
      <c r="A1302">
        <v>26</v>
      </c>
      <c r="B1302" t="s">
        <v>8</v>
      </c>
      <c r="C1302">
        <v>2021</v>
      </c>
      <c r="D1302">
        <v>12</v>
      </c>
      <c r="E1302">
        <v>40</v>
      </c>
      <c r="F1302">
        <v>47.25</v>
      </c>
      <c r="G1302">
        <v>4.75</v>
      </c>
      <c r="H1302">
        <v>40000</v>
      </c>
      <c r="I1302" t="s">
        <v>22</v>
      </c>
    </row>
    <row r="1303" spans="1:9" x14ac:dyDescent="0.25">
      <c r="A1303">
        <v>27</v>
      </c>
      <c r="B1303" t="s">
        <v>8</v>
      </c>
      <c r="C1303">
        <v>2021</v>
      </c>
      <c r="D1303">
        <v>47.25</v>
      </c>
      <c r="E1303" t="s">
        <v>9</v>
      </c>
      <c r="F1303">
        <v>41.25</v>
      </c>
      <c r="G1303">
        <v>6</v>
      </c>
      <c r="H1303">
        <v>40000</v>
      </c>
      <c r="I1303" t="s">
        <v>22</v>
      </c>
    </row>
    <row r="1304" spans="1:9" x14ac:dyDescent="0.25">
      <c r="A1304">
        <v>28</v>
      </c>
      <c r="B1304" t="s">
        <v>8</v>
      </c>
      <c r="C1304">
        <v>2021</v>
      </c>
      <c r="D1304">
        <v>41.25</v>
      </c>
      <c r="E1304" t="s">
        <v>9</v>
      </c>
      <c r="F1304">
        <v>29.875</v>
      </c>
      <c r="G1304">
        <v>11.375</v>
      </c>
      <c r="H1304">
        <v>40000</v>
      </c>
      <c r="I1304" t="s">
        <v>22</v>
      </c>
    </row>
    <row r="1305" spans="1:9" x14ac:dyDescent="0.25">
      <c r="A1305">
        <v>29</v>
      </c>
      <c r="B1305" t="s">
        <v>8</v>
      </c>
      <c r="C1305">
        <v>2021</v>
      </c>
      <c r="D1305">
        <v>29.875</v>
      </c>
      <c r="E1305" t="s">
        <v>9</v>
      </c>
      <c r="F1305">
        <v>18</v>
      </c>
      <c r="G1305">
        <v>11.875</v>
      </c>
      <c r="H1305">
        <v>40000</v>
      </c>
      <c r="I1305" t="s">
        <v>22</v>
      </c>
    </row>
    <row r="1306" spans="1:9" x14ac:dyDescent="0.25">
      <c r="A1306">
        <v>30</v>
      </c>
      <c r="B1306" t="s">
        <v>8</v>
      </c>
      <c r="C1306">
        <v>2021</v>
      </c>
      <c r="D1306">
        <v>18</v>
      </c>
      <c r="E1306">
        <v>20</v>
      </c>
      <c r="F1306">
        <v>18.875</v>
      </c>
      <c r="G1306">
        <v>19.125</v>
      </c>
      <c r="H1306">
        <v>40000</v>
      </c>
      <c r="I1306" t="s">
        <v>22</v>
      </c>
    </row>
    <row r="1307" spans="1:9" x14ac:dyDescent="0.25">
      <c r="A1307">
        <v>31</v>
      </c>
      <c r="B1307" t="s">
        <v>8</v>
      </c>
      <c r="C1307">
        <v>2021</v>
      </c>
      <c r="D1307">
        <v>18.875</v>
      </c>
      <c r="E1307">
        <v>20</v>
      </c>
      <c r="F1307">
        <v>20.625</v>
      </c>
      <c r="G1307">
        <v>18.25</v>
      </c>
      <c r="H1307">
        <v>40000</v>
      </c>
      <c r="I1307" t="s">
        <v>22</v>
      </c>
    </row>
    <row r="1308" spans="1:9" hidden="1" x14ac:dyDescent="0.25">
      <c r="A1308">
        <v>1</v>
      </c>
      <c r="B1308" t="s">
        <v>8</v>
      </c>
      <c r="C1308">
        <v>2021</v>
      </c>
      <c r="D1308">
        <v>271</v>
      </c>
      <c r="E1308">
        <v>-100</v>
      </c>
      <c r="F1308">
        <v>89.5</v>
      </c>
      <c r="G1308">
        <v>81.5</v>
      </c>
      <c r="H1308">
        <v>40000</v>
      </c>
      <c r="I1308" t="s">
        <v>23</v>
      </c>
    </row>
    <row r="1309" spans="1:9" hidden="1" x14ac:dyDescent="0.25">
      <c r="A1309">
        <v>2</v>
      </c>
      <c r="B1309" t="s">
        <v>8</v>
      </c>
      <c r="C1309">
        <v>2021</v>
      </c>
      <c r="D1309">
        <v>89.5</v>
      </c>
      <c r="E1309">
        <v>140</v>
      </c>
      <c r="F1309">
        <v>157</v>
      </c>
      <c r="G1309">
        <v>72.5</v>
      </c>
      <c r="H1309">
        <v>40000</v>
      </c>
      <c r="I1309" t="s">
        <v>23</v>
      </c>
    </row>
    <row r="1310" spans="1:9" hidden="1" x14ac:dyDescent="0.25">
      <c r="A1310">
        <v>3</v>
      </c>
      <c r="B1310" t="s">
        <v>8</v>
      </c>
      <c r="C1310">
        <v>2021</v>
      </c>
      <c r="D1310">
        <v>157</v>
      </c>
      <c r="E1310">
        <v>-3</v>
      </c>
      <c r="F1310">
        <v>95</v>
      </c>
      <c r="G1310">
        <v>59</v>
      </c>
      <c r="H1310">
        <v>40000</v>
      </c>
      <c r="I1310" t="s">
        <v>23</v>
      </c>
    </row>
    <row r="1311" spans="1:9" hidden="1" x14ac:dyDescent="0.25">
      <c r="A1311">
        <v>4</v>
      </c>
      <c r="B1311" t="s">
        <v>8</v>
      </c>
      <c r="C1311">
        <v>2021</v>
      </c>
      <c r="D1311">
        <v>95</v>
      </c>
      <c r="E1311" t="s">
        <v>9</v>
      </c>
      <c r="F1311">
        <v>49</v>
      </c>
      <c r="G1311">
        <v>46</v>
      </c>
      <c r="H1311">
        <v>40000</v>
      </c>
      <c r="I1311" t="s">
        <v>23</v>
      </c>
    </row>
    <row r="1312" spans="1:9" hidden="1" x14ac:dyDescent="0.25">
      <c r="A1312">
        <v>5</v>
      </c>
      <c r="B1312" t="s">
        <v>8</v>
      </c>
      <c r="C1312">
        <v>2021</v>
      </c>
      <c r="D1312">
        <v>49</v>
      </c>
      <c r="E1312">
        <v>105</v>
      </c>
      <c r="F1312">
        <v>122</v>
      </c>
      <c r="G1312">
        <v>32</v>
      </c>
      <c r="H1312">
        <v>40000</v>
      </c>
      <c r="I1312" t="s">
        <v>23</v>
      </c>
    </row>
    <row r="1313" spans="1:9" hidden="1" x14ac:dyDescent="0.25">
      <c r="A1313">
        <v>6</v>
      </c>
      <c r="B1313" t="s">
        <v>8</v>
      </c>
      <c r="C1313">
        <v>2021</v>
      </c>
      <c r="D1313">
        <v>122</v>
      </c>
      <c r="E1313">
        <v>-20</v>
      </c>
      <c r="F1313">
        <v>78</v>
      </c>
      <c r="G1313">
        <v>24</v>
      </c>
      <c r="H1313">
        <v>40000</v>
      </c>
      <c r="I1313" t="s">
        <v>23</v>
      </c>
    </row>
    <row r="1314" spans="1:9" hidden="1" x14ac:dyDescent="0.25">
      <c r="A1314">
        <v>7</v>
      </c>
      <c r="B1314" t="s">
        <v>8</v>
      </c>
      <c r="C1314">
        <v>2021</v>
      </c>
      <c r="D1314">
        <v>78</v>
      </c>
      <c r="E1314">
        <v>-3</v>
      </c>
      <c r="F1314">
        <v>24</v>
      </c>
      <c r="G1314">
        <v>51</v>
      </c>
      <c r="H1314">
        <v>40000</v>
      </c>
      <c r="I1314" t="s">
        <v>23</v>
      </c>
    </row>
    <row r="1315" spans="1:9" hidden="1" x14ac:dyDescent="0.25">
      <c r="A1315">
        <v>8</v>
      </c>
      <c r="B1315" t="s">
        <v>8</v>
      </c>
      <c r="C1315">
        <v>2021</v>
      </c>
      <c r="D1315">
        <v>24</v>
      </c>
      <c r="E1315">
        <v>105</v>
      </c>
      <c r="F1315">
        <v>102</v>
      </c>
      <c r="G1315">
        <v>27</v>
      </c>
      <c r="H1315">
        <v>40000</v>
      </c>
      <c r="I1315" t="s">
        <v>23</v>
      </c>
    </row>
    <row r="1316" spans="1:9" hidden="1" x14ac:dyDescent="0.25">
      <c r="A1316">
        <v>9</v>
      </c>
      <c r="B1316" t="s">
        <v>8</v>
      </c>
      <c r="C1316">
        <v>2021</v>
      </c>
      <c r="D1316">
        <v>102</v>
      </c>
      <c r="E1316">
        <v>105</v>
      </c>
      <c r="F1316">
        <v>166.5</v>
      </c>
      <c r="G1316">
        <v>40.5</v>
      </c>
      <c r="H1316">
        <v>40000</v>
      </c>
      <c r="I1316" t="s">
        <v>23</v>
      </c>
    </row>
    <row r="1317" spans="1:9" hidden="1" x14ac:dyDescent="0.25">
      <c r="A1317">
        <v>10</v>
      </c>
      <c r="B1317" t="s">
        <v>8</v>
      </c>
      <c r="C1317">
        <v>2021</v>
      </c>
      <c r="D1317">
        <v>166.5</v>
      </c>
      <c r="E1317">
        <v>-45</v>
      </c>
      <c r="F1317">
        <v>86</v>
      </c>
      <c r="G1317">
        <v>35.5</v>
      </c>
      <c r="H1317">
        <v>40000</v>
      </c>
      <c r="I1317" t="s">
        <v>23</v>
      </c>
    </row>
    <row r="1318" spans="1:9" hidden="1" x14ac:dyDescent="0.25">
      <c r="A1318">
        <v>11</v>
      </c>
      <c r="B1318" t="s">
        <v>8</v>
      </c>
      <c r="C1318">
        <v>2021</v>
      </c>
      <c r="D1318">
        <v>86</v>
      </c>
      <c r="E1318" t="s">
        <v>9</v>
      </c>
      <c r="F1318">
        <v>50</v>
      </c>
      <c r="G1318">
        <v>36</v>
      </c>
      <c r="H1318">
        <v>40000</v>
      </c>
      <c r="I1318" t="s">
        <v>23</v>
      </c>
    </row>
    <row r="1319" spans="1:9" hidden="1" x14ac:dyDescent="0.25">
      <c r="A1319">
        <v>12</v>
      </c>
      <c r="B1319" t="s">
        <v>8</v>
      </c>
      <c r="C1319">
        <v>2021</v>
      </c>
      <c r="D1319">
        <v>50</v>
      </c>
      <c r="E1319">
        <v>70</v>
      </c>
      <c r="F1319">
        <v>86</v>
      </c>
      <c r="G1319">
        <v>34</v>
      </c>
      <c r="H1319">
        <v>40000</v>
      </c>
      <c r="I1319" t="s">
        <v>23</v>
      </c>
    </row>
    <row r="1320" spans="1:9" hidden="1" x14ac:dyDescent="0.25">
      <c r="A1320">
        <v>13</v>
      </c>
      <c r="B1320" t="s">
        <v>8</v>
      </c>
      <c r="C1320">
        <v>2021</v>
      </c>
      <c r="D1320">
        <v>86</v>
      </c>
      <c r="E1320" t="s">
        <v>9</v>
      </c>
      <c r="F1320">
        <v>59</v>
      </c>
      <c r="G1320">
        <v>27</v>
      </c>
      <c r="H1320">
        <v>40000</v>
      </c>
      <c r="I1320" t="s">
        <v>23</v>
      </c>
    </row>
    <row r="1321" spans="1:9" hidden="1" x14ac:dyDescent="0.25">
      <c r="A1321">
        <v>14</v>
      </c>
      <c r="B1321" t="s">
        <v>8</v>
      </c>
      <c r="C1321">
        <v>2021</v>
      </c>
      <c r="D1321">
        <v>59</v>
      </c>
      <c r="E1321">
        <v>140</v>
      </c>
      <c r="F1321">
        <v>172</v>
      </c>
      <c r="G1321">
        <v>27</v>
      </c>
      <c r="H1321">
        <v>40000</v>
      </c>
      <c r="I1321" t="s">
        <v>23</v>
      </c>
    </row>
    <row r="1322" spans="1:9" hidden="1" x14ac:dyDescent="0.25">
      <c r="A1322">
        <v>15</v>
      </c>
      <c r="B1322" t="s">
        <v>8</v>
      </c>
      <c r="C1322">
        <v>2021</v>
      </c>
      <c r="D1322">
        <v>172</v>
      </c>
      <c r="E1322" t="s">
        <v>9</v>
      </c>
      <c r="F1322">
        <v>134.5</v>
      </c>
      <c r="G1322">
        <v>37.5</v>
      </c>
      <c r="H1322">
        <v>40000</v>
      </c>
      <c r="I1322" t="s">
        <v>23</v>
      </c>
    </row>
    <row r="1323" spans="1:9" hidden="1" x14ac:dyDescent="0.25">
      <c r="A1323">
        <v>16</v>
      </c>
      <c r="B1323" t="s">
        <v>8</v>
      </c>
      <c r="C1323">
        <v>2021</v>
      </c>
      <c r="D1323">
        <v>134.5</v>
      </c>
      <c r="E1323">
        <v>-2</v>
      </c>
      <c r="F1323">
        <v>125.5</v>
      </c>
      <c r="G1323">
        <v>7</v>
      </c>
      <c r="H1323">
        <v>40000</v>
      </c>
      <c r="I1323" t="s">
        <v>23</v>
      </c>
    </row>
    <row r="1324" spans="1:9" hidden="1" x14ac:dyDescent="0.25">
      <c r="A1324">
        <v>17</v>
      </c>
      <c r="B1324" t="s">
        <v>8</v>
      </c>
      <c r="C1324">
        <v>2021</v>
      </c>
      <c r="D1324">
        <v>125.5</v>
      </c>
      <c r="E1324" t="s">
        <v>9</v>
      </c>
      <c r="F1324">
        <v>99</v>
      </c>
      <c r="G1324">
        <v>26.5</v>
      </c>
      <c r="H1324">
        <v>40000</v>
      </c>
      <c r="I1324" t="s">
        <v>23</v>
      </c>
    </row>
    <row r="1325" spans="1:9" hidden="1" x14ac:dyDescent="0.25">
      <c r="A1325">
        <v>18</v>
      </c>
      <c r="B1325" t="s">
        <v>8</v>
      </c>
      <c r="C1325">
        <v>2021</v>
      </c>
      <c r="D1325">
        <v>99</v>
      </c>
      <c r="E1325" t="s">
        <v>9</v>
      </c>
      <c r="F1325">
        <v>71.75</v>
      </c>
      <c r="G1325">
        <v>27.25</v>
      </c>
      <c r="H1325">
        <v>40000</v>
      </c>
      <c r="I1325" t="s">
        <v>23</v>
      </c>
    </row>
    <row r="1326" spans="1:9" hidden="1" x14ac:dyDescent="0.25">
      <c r="A1326">
        <v>19</v>
      </c>
      <c r="B1326" t="s">
        <v>8</v>
      </c>
      <c r="C1326">
        <v>2021</v>
      </c>
      <c r="D1326">
        <v>71.75</v>
      </c>
      <c r="E1326" t="s">
        <v>9</v>
      </c>
      <c r="F1326">
        <v>43.5</v>
      </c>
      <c r="G1326">
        <v>28.25</v>
      </c>
      <c r="H1326">
        <v>40000</v>
      </c>
      <c r="I1326" t="s">
        <v>23</v>
      </c>
    </row>
    <row r="1327" spans="1:9" hidden="1" x14ac:dyDescent="0.25">
      <c r="A1327">
        <v>20</v>
      </c>
      <c r="B1327" t="s">
        <v>8</v>
      </c>
      <c r="C1327">
        <v>2021</v>
      </c>
      <c r="D1327">
        <v>43.5</v>
      </c>
      <c r="E1327">
        <v>140</v>
      </c>
      <c r="F1327">
        <v>164.5</v>
      </c>
      <c r="G1327">
        <v>19</v>
      </c>
      <c r="H1327">
        <v>40000</v>
      </c>
      <c r="I1327" t="s">
        <v>23</v>
      </c>
    </row>
    <row r="1328" spans="1:9" hidden="1" x14ac:dyDescent="0.25">
      <c r="A1328">
        <v>21</v>
      </c>
      <c r="B1328" t="s">
        <v>8</v>
      </c>
      <c r="C1328">
        <v>2021</v>
      </c>
      <c r="D1328">
        <v>164.5</v>
      </c>
      <c r="E1328" t="s">
        <v>9</v>
      </c>
      <c r="F1328">
        <v>147</v>
      </c>
      <c r="G1328">
        <v>17.5</v>
      </c>
      <c r="H1328">
        <v>40000</v>
      </c>
      <c r="I1328" t="s">
        <v>23</v>
      </c>
    </row>
    <row r="1329" spans="1:9" hidden="1" x14ac:dyDescent="0.25">
      <c r="A1329">
        <v>22</v>
      </c>
      <c r="B1329" t="s">
        <v>8</v>
      </c>
      <c r="C1329">
        <v>2021</v>
      </c>
      <c r="D1329">
        <v>147</v>
      </c>
      <c r="E1329" t="s">
        <v>9</v>
      </c>
      <c r="F1329">
        <v>117.5</v>
      </c>
      <c r="G1329">
        <v>29.5</v>
      </c>
      <c r="H1329">
        <v>40000</v>
      </c>
      <c r="I1329" t="s">
        <v>23</v>
      </c>
    </row>
    <row r="1330" spans="1:9" hidden="1" x14ac:dyDescent="0.25">
      <c r="A1330">
        <v>23</v>
      </c>
      <c r="B1330" t="s">
        <v>8</v>
      </c>
      <c r="C1330">
        <v>2021</v>
      </c>
      <c r="D1330">
        <v>117.5</v>
      </c>
      <c r="E1330" t="s">
        <v>9</v>
      </c>
      <c r="F1330">
        <v>93</v>
      </c>
      <c r="G1330">
        <v>24.5</v>
      </c>
      <c r="H1330">
        <v>40000</v>
      </c>
      <c r="I1330" t="s">
        <v>23</v>
      </c>
    </row>
    <row r="1331" spans="1:9" hidden="1" x14ac:dyDescent="0.25">
      <c r="A1331">
        <v>24</v>
      </c>
      <c r="B1331" t="s">
        <v>8</v>
      </c>
      <c r="C1331">
        <v>2021</v>
      </c>
      <c r="D1331">
        <v>93</v>
      </c>
      <c r="E1331" t="s">
        <v>9</v>
      </c>
      <c r="F1331">
        <v>69.5</v>
      </c>
      <c r="G1331">
        <v>23.5</v>
      </c>
      <c r="H1331">
        <v>40000</v>
      </c>
      <c r="I1331" t="s">
        <v>23</v>
      </c>
    </row>
    <row r="1332" spans="1:9" hidden="1" x14ac:dyDescent="0.25">
      <c r="A1332">
        <v>25</v>
      </c>
      <c r="B1332" t="s">
        <v>8</v>
      </c>
      <c r="C1332">
        <v>2021</v>
      </c>
      <c r="D1332">
        <v>69.5</v>
      </c>
      <c r="E1332" t="s">
        <v>9</v>
      </c>
      <c r="F1332">
        <v>42</v>
      </c>
      <c r="G1332">
        <v>27.5</v>
      </c>
      <c r="H1332">
        <v>40000</v>
      </c>
      <c r="I1332" t="s">
        <v>23</v>
      </c>
    </row>
    <row r="1333" spans="1:9" hidden="1" x14ac:dyDescent="0.25">
      <c r="A1333">
        <v>26</v>
      </c>
      <c r="B1333" t="s">
        <v>8</v>
      </c>
      <c r="C1333">
        <v>2021</v>
      </c>
      <c r="D1333">
        <v>42</v>
      </c>
      <c r="E1333">
        <v>97</v>
      </c>
      <c r="F1333">
        <v>115</v>
      </c>
      <c r="G1333">
        <v>24</v>
      </c>
      <c r="H1333">
        <v>40000</v>
      </c>
      <c r="I1333" t="s">
        <v>23</v>
      </c>
    </row>
    <row r="1334" spans="1:9" hidden="1" x14ac:dyDescent="0.25">
      <c r="A1334">
        <v>27</v>
      </c>
      <c r="B1334" t="s">
        <v>8</v>
      </c>
      <c r="C1334">
        <v>2021</v>
      </c>
      <c r="D1334">
        <v>115</v>
      </c>
      <c r="E1334" t="s">
        <v>9</v>
      </c>
      <c r="F1334">
        <v>85</v>
      </c>
      <c r="G1334">
        <v>30</v>
      </c>
      <c r="H1334">
        <v>40000</v>
      </c>
      <c r="I1334" t="s">
        <v>23</v>
      </c>
    </row>
    <row r="1335" spans="1:9" hidden="1" x14ac:dyDescent="0.25">
      <c r="A1335">
        <v>28</v>
      </c>
      <c r="B1335" t="s">
        <v>8</v>
      </c>
      <c r="C1335">
        <v>2021</v>
      </c>
      <c r="D1335">
        <v>85</v>
      </c>
      <c r="E1335" t="s">
        <v>9</v>
      </c>
      <c r="F1335">
        <v>56.75</v>
      </c>
      <c r="G1335">
        <v>28.25</v>
      </c>
      <c r="H1335">
        <v>40000</v>
      </c>
      <c r="I1335" t="s">
        <v>23</v>
      </c>
    </row>
    <row r="1336" spans="1:9" hidden="1" x14ac:dyDescent="0.25">
      <c r="A1336">
        <v>29</v>
      </c>
      <c r="B1336" t="s">
        <v>8</v>
      </c>
      <c r="C1336">
        <v>2021</v>
      </c>
      <c r="D1336">
        <v>56.75</v>
      </c>
      <c r="E1336">
        <v>70</v>
      </c>
      <c r="F1336">
        <v>88.25</v>
      </c>
      <c r="G1336">
        <v>38.5</v>
      </c>
      <c r="H1336">
        <v>40000</v>
      </c>
      <c r="I1336" t="s">
        <v>23</v>
      </c>
    </row>
    <row r="1337" spans="1:9" hidden="1" x14ac:dyDescent="0.25">
      <c r="A1337">
        <v>30</v>
      </c>
      <c r="B1337" t="s">
        <v>8</v>
      </c>
      <c r="C1337">
        <v>2021</v>
      </c>
      <c r="D1337">
        <v>88.25</v>
      </c>
      <c r="E1337">
        <v>-20</v>
      </c>
      <c r="F1337">
        <v>25</v>
      </c>
      <c r="G1337">
        <v>43.25</v>
      </c>
      <c r="H1337">
        <v>40000</v>
      </c>
      <c r="I1337" t="s">
        <v>23</v>
      </c>
    </row>
    <row r="1338" spans="1:9" hidden="1" x14ac:dyDescent="0.25">
      <c r="A1338">
        <v>31</v>
      </c>
      <c r="B1338" t="s">
        <v>8</v>
      </c>
      <c r="C1338">
        <v>2021</v>
      </c>
      <c r="D1338">
        <v>25</v>
      </c>
      <c r="E1338">
        <v>47</v>
      </c>
      <c r="F1338">
        <v>36</v>
      </c>
      <c r="G1338">
        <v>36</v>
      </c>
      <c r="H1338">
        <v>40000</v>
      </c>
      <c r="I1338" t="s">
        <v>23</v>
      </c>
    </row>
    <row r="1339" spans="1:9" x14ac:dyDescent="0.25">
      <c r="A1339">
        <v>1</v>
      </c>
      <c r="B1339" t="s">
        <v>11</v>
      </c>
      <c r="C1339">
        <v>2021</v>
      </c>
      <c r="D1339">
        <v>20.625</v>
      </c>
      <c r="E1339" t="s">
        <v>9</v>
      </c>
      <c r="F1339">
        <v>16</v>
      </c>
      <c r="G1339">
        <v>4.625</v>
      </c>
      <c r="H1339">
        <v>40000</v>
      </c>
      <c r="I1339" t="s">
        <v>22</v>
      </c>
    </row>
    <row r="1340" spans="1:9" x14ac:dyDescent="0.25">
      <c r="A1340">
        <v>2</v>
      </c>
      <c r="B1340" t="s">
        <v>11</v>
      </c>
      <c r="C1340">
        <v>2021</v>
      </c>
      <c r="D1340">
        <v>16</v>
      </c>
      <c r="E1340">
        <v>20</v>
      </c>
      <c r="F1340">
        <v>29.75</v>
      </c>
      <c r="G1340">
        <v>6.25</v>
      </c>
      <c r="H1340">
        <v>40000</v>
      </c>
      <c r="I1340" t="s">
        <v>22</v>
      </c>
    </row>
    <row r="1341" spans="1:9" x14ac:dyDescent="0.25">
      <c r="A1341">
        <v>3</v>
      </c>
      <c r="B1341" t="s">
        <v>11</v>
      </c>
      <c r="C1341">
        <v>2021</v>
      </c>
      <c r="D1341">
        <v>29.75</v>
      </c>
      <c r="E1341" t="s">
        <v>9</v>
      </c>
      <c r="F1341">
        <v>20.75</v>
      </c>
      <c r="G1341">
        <v>9</v>
      </c>
      <c r="H1341">
        <v>40000</v>
      </c>
      <c r="I1341" t="s">
        <v>22</v>
      </c>
    </row>
    <row r="1342" spans="1:9" x14ac:dyDescent="0.25">
      <c r="A1342">
        <v>4</v>
      </c>
      <c r="B1342" t="s">
        <v>11</v>
      </c>
      <c r="C1342">
        <v>2021</v>
      </c>
      <c r="D1342">
        <v>20.75</v>
      </c>
      <c r="E1342" t="s">
        <v>9</v>
      </c>
      <c r="F1342">
        <v>9.25</v>
      </c>
      <c r="G1342">
        <v>11.5</v>
      </c>
      <c r="H1342">
        <v>40000</v>
      </c>
      <c r="I1342" t="s">
        <v>22</v>
      </c>
    </row>
    <row r="1343" spans="1:9" x14ac:dyDescent="0.25">
      <c r="A1343">
        <v>5</v>
      </c>
      <c r="B1343" t="s">
        <v>11</v>
      </c>
      <c r="C1343">
        <v>2021</v>
      </c>
      <c r="D1343">
        <v>9.25</v>
      </c>
      <c r="E1343">
        <v>20</v>
      </c>
      <c r="F1343">
        <v>17.25</v>
      </c>
      <c r="G1343">
        <v>12</v>
      </c>
      <c r="H1343">
        <v>40000</v>
      </c>
      <c r="I1343" t="s">
        <v>22</v>
      </c>
    </row>
    <row r="1344" spans="1:9" x14ac:dyDescent="0.25">
      <c r="A1344">
        <v>6</v>
      </c>
      <c r="B1344" t="s">
        <v>11</v>
      </c>
      <c r="C1344">
        <v>2021</v>
      </c>
      <c r="D1344">
        <v>17.25</v>
      </c>
      <c r="E1344">
        <v>5</v>
      </c>
      <c r="F1344">
        <v>8.375</v>
      </c>
      <c r="G1344">
        <v>13.875</v>
      </c>
      <c r="H1344">
        <v>40000</v>
      </c>
      <c r="I1344" t="s">
        <v>22</v>
      </c>
    </row>
    <row r="1345" spans="1:9" x14ac:dyDescent="0.25">
      <c r="A1345">
        <v>7</v>
      </c>
      <c r="B1345" t="s">
        <v>11</v>
      </c>
      <c r="C1345">
        <v>2021</v>
      </c>
      <c r="D1345">
        <v>8.375</v>
      </c>
      <c r="E1345">
        <v>30</v>
      </c>
      <c r="F1345">
        <v>24.75</v>
      </c>
      <c r="G1345">
        <v>13.625</v>
      </c>
      <c r="H1345">
        <v>40000</v>
      </c>
      <c r="I1345" t="s">
        <v>22</v>
      </c>
    </row>
    <row r="1346" spans="1:9" x14ac:dyDescent="0.25">
      <c r="A1346">
        <v>8</v>
      </c>
      <c r="B1346" t="s">
        <v>11</v>
      </c>
      <c r="C1346">
        <v>2021</v>
      </c>
      <c r="D1346">
        <v>24.75</v>
      </c>
      <c r="E1346" t="s">
        <v>9</v>
      </c>
      <c r="F1346">
        <v>15.125</v>
      </c>
      <c r="G1346">
        <v>9.625</v>
      </c>
      <c r="H1346">
        <v>40000</v>
      </c>
      <c r="I1346" t="s">
        <v>22</v>
      </c>
    </row>
    <row r="1347" spans="1:9" x14ac:dyDescent="0.25">
      <c r="A1347">
        <v>9</v>
      </c>
      <c r="B1347" t="s">
        <v>11</v>
      </c>
      <c r="C1347">
        <v>2021</v>
      </c>
      <c r="D1347">
        <v>15.125</v>
      </c>
      <c r="E1347">
        <v>20</v>
      </c>
      <c r="F1347">
        <v>24.625</v>
      </c>
      <c r="G1347">
        <v>10.5</v>
      </c>
      <c r="H1347">
        <v>40000</v>
      </c>
      <c r="I1347" t="s">
        <v>22</v>
      </c>
    </row>
    <row r="1348" spans="1:9" x14ac:dyDescent="0.25">
      <c r="A1348">
        <v>10</v>
      </c>
      <c r="B1348" t="s">
        <v>11</v>
      </c>
      <c r="C1348">
        <v>2021</v>
      </c>
      <c r="D1348">
        <v>24.625</v>
      </c>
      <c r="E1348" t="s">
        <v>9</v>
      </c>
      <c r="F1348">
        <v>16.75</v>
      </c>
      <c r="G1348">
        <v>7.875</v>
      </c>
      <c r="H1348">
        <v>40000</v>
      </c>
      <c r="I1348" t="s">
        <v>22</v>
      </c>
    </row>
    <row r="1349" spans="1:9" x14ac:dyDescent="0.25">
      <c r="A1349">
        <v>11</v>
      </c>
      <c r="B1349" t="s">
        <v>11</v>
      </c>
      <c r="C1349">
        <v>2021</v>
      </c>
      <c r="D1349">
        <v>16.75</v>
      </c>
      <c r="E1349">
        <v>30</v>
      </c>
      <c r="F1349">
        <v>40.625</v>
      </c>
      <c r="G1349">
        <v>6.125</v>
      </c>
      <c r="H1349">
        <v>40000</v>
      </c>
      <c r="I1349" t="s">
        <v>22</v>
      </c>
    </row>
    <row r="1350" spans="1:9" x14ac:dyDescent="0.25">
      <c r="A1350">
        <v>12</v>
      </c>
      <c r="B1350" t="s">
        <v>11</v>
      </c>
      <c r="C1350">
        <v>2021</v>
      </c>
      <c r="D1350">
        <v>40.625</v>
      </c>
      <c r="E1350" t="s">
        <v>9</v>
      </c>
      <c r="F1350">
        <v>27.625</v>
      </c>
      <c r="G1350">
        <v>13</v>
      </c>
      <c r="H1350">
        <v>40000</v>
      </c>
      <c r="I1350" t="s">
        <v>22</v>
      </c>
    </row>
    <row r="1351" spans="1:9" x14ac:dyDescent="0.25">
      <c r="A1351">
        <v>13</v>
      </c>
      <c r="B1351" t="s">
        <v>11</v>
      </c>
      <c r="C1351">
        <v>2021</v>
      </c>
      <c r="D1351">
        <v>27.625</v>
      </c>
      <c r="E1351">
        <v>20</v>
      </c>
      <c r="F1351">
        <v>24.5</v>
      </c>
      <c r="G1351">
        <v>23.125</v>
      </c>
      <c r="H1351">
        <v>40000</v>
      </c>
      <c r="I1351" t="s">
        <v>22</v>
      </c>
    </row>
    <row r="1352" spans="1:9" x14ac:dyDescent="0.25">
      <c r="A1352">
        <v>14</v>
      </c>
      <c r="B1352" t="s">
        <v>11</v>
      </c>
      <c r="C1352">
        <v>2021</v>
      </c>
      <c r="D1352">
        <v>24.5</v>
      </c>
      <c r="E1352">
        <v>30</v>
      </c>
      <c r="F1352">
        <v>42</v>
      </c>
      <c r="G1352">
        <v>12.5</v>
      </c>
      <c r="H1352">
        <v>40000</v>
      </c>
      <c r="I1352" t="s">
        <v>22</v>
      </c>
    </row>
    <row r="1353" spans="1:9" x14ac:dyDescent="0.25">
      <c r="A1353">
        <v>15</v>
      </c>
      <c r="B1353" t="s">
        <v>11</v>
      </c>
      <c r="C1353">
        <v>2021</v>
      </c>
      <c r="D1353">
        <v>42</v>
      </c>
      <c r="E1353" t="s">
        <v>9</v>
      </c>
      <c r="F1353">
        <v>33.25</v>
      </c>
      <c r="G1353">
        <v>8.75</v>
      </c>
      <c r="H1353">
        <v>40000</v>
      </c>
      <c r="I1353" t="s">
        <v>22</v>
      </c>
    </row>
    <row r="1354" spans="1:9" x14ac:dyDescent="0.25">
      <c r="A1354">
        <v>16</v>
      </c>
      <c r="B1354" t="s">
        <v>11</v>
      </c>
      <c r="C1354">
        <v>2021</v>
      </c>
      <c r="D1354">
        <v>33.25</v>
      </c>
      <c r="E1354" t="s">
        <v>9</v>
      </c>
      <c r="F1354">
        <v>26.75</v>
      </c>
      <c r="G1354">
        <v>6.5</v>
      </c>
      <c r="H1354">
        <v>40000</v>
      </c>
      <c r="I1354" t="s">
        <v>22</v>
      </c>
    </row>
    <row r="1355" spans="1:9" x14ac:dyDescent="0.25">
      <c r="A1355">
        <v>17</v>
      </c>
      <c r="B1355" t="s">
        <v>11</v>
      </c>
      <c r="C1355">
        <v>2021</v>
      </c>
      <c r="D1355">
        <v>26.75</v>
      </c>
      <c r="E1355" t="s">
        <v>9</v>
      </c>
      <c r="F1355">
        <v>19.5</v>
      </c>
      <c r="G1355">
        <v>7.25</v>
      </c>
      <c r="H1355">
        <v>40000</v>
      </c>
      <c r="I1355" t="s">
        <v>22</v>
      </c>
    </row>
    <row r="1356" spans="1:9" x14ac:dyDescent="0.25">
      <c r="A1356">
        <v>18</v>
      </c>
      <c r="B1356" t="s">
        <v>11</v>
      </c>
      <c r="C1356">
        <v>2021</v>
      </c>
      <c r="D1356">
        <v>19.5</v>
      </c>
      <c r="E1356">
        <v>30</v>
      </c>
      <c r="F1356">
        <v>44.25</v>
      </c>
      <c r="G1356">
        <v>5.25</v>
      </c>
      <c r="H1356">
        <v>40000</v>
      </c>
      <c r="I1356" t="s">
        <v>22</v>
      </c>
    </row>
    <row r="1357" spans="1:9" x14ac:dyDescent="0.25">
      <c r="A1357">
        <v>19</v>
      </c>
      <c r="B1357" t="s">
        <v>11</v>
      </c>
      <c r="C1357">
        <v>2021</v>
      </c>
      <c r="D1357">
        <v>44.25</v>
      </c>
      <c r="E1357" t="s">
        <v>9</v>
      </c>
      <c r="F1357">
        <v>31.25</v>
      </c>
      <c r="G1357">
        <v>13</v>
      </c>
      <c r="H1357">
        <v>40000</v>
      </c>
      <c r="I1357" t="s">
        <v>22</v>
      </c>
    </row>
    <row r="1358" spans="1:9" x14ac:dyDescent="0.25">
      <c r="A1358">
        <v>20</v>
      </c>
      <c r="B1358" t="s">
        <v>11</v>
      </c>
      <c r="C1358">
        <v>2021</v>
      </c>
      <c r="D1358">
        <v>31.25</v>
      </c>
      <c r="E1358">
        <v>30</v>
      </c>
      <c r="F1358">
        <v>48.125</v>
      </c>
      <c r="G1358">
        <v>13.125</v>
      </c>
      <c r="H1358">
        <v>40000</v>
      </c>
      <c r="I1358" t="s">
        <v>22</v>
      </c>
    </row>
    <row r="1359" spans="1:9" x14ac:dyDescent="0.25">
      <c r="A1359">
        <v>21</v>
      </c>
      <c r="B1359" t="s">
        <v>11</v>
      </c>
      <c r="C1359">
        <v>2021</v>
      </c>
      <c r="D1359">
        <v>48.125</v>
      </c>
      <c r="E1359" t="s">
        <v>9</v>
      </c>
      <c r="F1359">
        <v>33</v>
      </c>
      <c r="G1359">
        <v>15.125</v>
      </c>
      <c r="H1359">
        <v>40000</v>
      </c>
      <c r="I1359" t="s">
        <v>22</v>
      </c>
    </row>
    <row r="1360" spans="1:9" x14ac:dyDescent="0.25">
      <c r="A1360">
        <v>22</v>
      </c>
      <c r="B1360" t="s">
        <v>11</v>
      </c>
      <c r="C1360">
        <v>2021</v>
      </c>
      <c r="D1360">
        <v>33</v>
      </c>
      <c r="E1360" t="s">
        <v>9</v>
      </c>
      <c r="F1360">
        <v>25.875</v>
      </c>
      <c r="G1360">
        <v>7.125</v>
      </c>
      <c r="H1360">
        <v>40000</v>
      </c>
      <c r="I1360" t="s">
        <v>22</v>
      </c>
    </row>
    <row r="1361" spans="1:9" x14ac:dyDescent="0.25">
      <c r="A1361">
        <v>23</v>
      </c>
      <c r="B1361" t="s">
        <v>11</v>
      </c>
      <c r="C1361">
        <v>2021</v>
      </c>
      <c r="D1361">
        <v>25.875</v>
      </c>
      <c r="E1361">
        <v>25</v>
      </c>
      <c r="F1361">
        <v>44.25</v>
      </c>
      <c r="G1361">
        <v>6.625</v>
      </c>
      <c r="H1361">
        <v>40000</v>
      </c>
      <c r="I1361" t="s">
        <v>22</v>
      </c>
    </row>
    <row r="1362" spans="1:9" x14ac:dyDescent="0.25">
      <c r="A1362">
        <v>24</v>
      </c>
      <c r="B1362" t="s">
        <v>11</v>
      </c>
      <c r="C1362">
        <v>2021</v>
      </c>
      <c r="D1362">
        <v>44.25</v>
      </c>
      <c r="E1362" t="s">
        <v>9</v>
      </c>
      <c r="F1362">
        <v>38.875</v>
      </c>
      <c r="G1362">
        <v>5.375</v>
      </c>
      <c r="H1362">
        <v>40000</v>
      </c>
      <c r="I1362" t="s">
        <v>22</v>
      </c>
    </row>
    <row r="1363" spans="1:9" x14ac:dyDescent="0.25">
      <c r="A1363">
        <v>25</v>
      </c>
      <c r="B1363" t="s">
        <v>8</v>
      </c>
      <c r="C1363">
        <v>2021</v>
      </c>
      <c r="D1363">
        <v>38.875</v>
      </c>
      <c r="E1363" t="s">
        <v>9</v>
      </c>
      <c r="F1363">
        <v>27.25</v>
      </c>
      <c r="G1363">
        <v>11.625</v>
      </c>
      <c r="H1363">
        <v>40000</v>
      </c>
      <c r="I1363" t="s">
        <v>22</v>
      </c>
    </row>
    <row r="1364" spans="1:9" x14ac:dyDescent="0.25">
      <c r="A1364">
        <v>26</v>
      </c>
      <c r="B1364" t="s">
        <v>11</v>
      </c>
      <c r="C1364">
        <v>2021</v>
      </c>
      <c r="D1364">
        <v>27.25</v>
      </c>
      <c r="E1364" t="s">
        <v>9</v>
      </c>
      <c r="F1364">
        <v>11.875</v>
      </c>
      <c r="G1364">
        <v>15.375</v>
      </c>
      <c r="H1364">
        <v>40000</v>
      </c>
      <c r="I1364" t="s">
        <v>22</v>
      </c>
    </row>
    <row r="1365" spans="1:9" x14ac:dyDescent="0.25">
      <c r="A1365">
        <v>27</v>
      </c>
      <c r="B1365" t="s">
        <v>11</v>
      </c>
      <c r="C1365">
        <v>2021</v>
      </c>
      <c r="D1365">
        <v>11.875</v>
      </c>
      <c r="E1365">
        <v>40</v>
      </c>
      <c r="F1365">
        <v>27.024999999999999</v>
      </c>
      <c r="G1365">
        <v>24.85</v>
      </c>
      <c r="H1365">
        <v>40000</v>
      </c>
      <c r="I1365" t="s">
        <v>22</v>
      </c>
    </row>
    <row r="1366" spans="1:9" x14ac:dyDescent="0.25">
      <c r="A1366">
        <v>28</v>
      </c>
      <c r="B1366" t="s">
        <v>11</v>
      </c>
      <c r="C1366">
        <v>2021</v>
      </c>
      <c r="D1366">
        <v>27.024999999999999</v>
      </c>
      <c r="E1366">
        <v>20</v>
      </c>
      <c r="F1366">
        <v>23.875</v>
      </c>
      <c r="G1366">
        <v>23.15</v>
      </c>
      <c r="H1366">
        <v>40000</v>
      </c>
      <c r="I1366" t="s">
        <v>22</v>
      </c>
    </row>
    <row r="1367" spans="1:9" hidden="1" x14ac:dyDescent="0.25">
      <c r="A1367">
        <v>1</v>
      </c>
      <c r="B1367" t="s">
        <v>11</v>
      </c>
      <c r="C1367">
        <v>2021</v>
      </c>
      <c r="D1367">
        <v>36</v>
      </c>
      <c r="E1367">
        <v>70</v>
      </c>
      <c r="F1367">
        <v>90</v>
      </c>
      <c r="G1367">
        <v>16</v>
      </c>
      <c r="H1367">
        <v>40000</v>
      </c>
      <c r="I1367" t="s">
        <v>23</v>
      </c>
    </row>
    <row r="1368" spans="1:9" hidden="1" x14ac:dyDescent="0.25">
      <c r="A1368">
        <v>2</v>
      </c>
      <c r="B1368" t="s">
        <v>11</v>
      </c>
      <c r="C1368">
        <v>2021</v>
      </c>
      <c r="D1368">
        <v>90</v>
      </c>
      <c r="E1368">
        <v>-23</v>
      </c>
      <c r="F1368">
        <v>27.5</v>
      </c>
      <c r="G1368">
        <v>39.5</v>
      </c>
      <c r="H1368">
        <v>40000</v>
      </c>
      <c r="I1368" t="s">
        <v>23</v>
      </c>
    </row>
    <row r="1369" spans="1:9" hidden="1" x14ac:dyDescent="0.25">
      <c r="A1369">
        <v>3</v>
      </c>
      <c r="B1369" t="s">
        <v>11</v>
      </c>
      <c r="C1369">
        <v>2021</v>
      </c>
      <c r="D1369">
        <v>27.5</v>
      </c>
      <c r="E1369">
        <v>70</v>
      </c>
      <c r="F1369">
        <v>73</v>
      </c>
      <c r="G1369">
        <v>24.5</v>
      </c>
      <c r="H1369">
        <v>40000</v>
      </c>
      <c r="I1369" t="s">
        <v>23</v>
      </c>
    </row>
    <row r="1370" spans="1:9" hidden="1" x14ac:dyDescent="0.25">
      <c r="A1370">
        <v>4</v>
      </c>
      <c r="B1370" t="s">
        <v>11</v>
      </c>
      <c r="C1370">
        <v>2021</v>
      </c>
      <c r="D1370">
        <v>73</v>
      </c>
      <c r="E1370" t="s">
        <v>9</v>
      </c>
      <c r="F1370">
        <v>48</v>
      </c>
      <c r="G1370">
        <v>25</v>
      </c>
      <c r="H1370">
        <v>40000</v>
      </c>
      <c r="I1370" t="s">
        <v>23</v>
      </c>
    </row>
    <row r="1371" spans="1:9" hidden="1" x14ac:dyDescent="0.25">
      <c r="A1371">
        <v>5</v>
      </c>
      <c r="B1371" t="s">
        <v>11</v>
      </c>
      <c r="C1371">
        <v>2021</v>
      </c>
      <c r="D1371">
        <v>48</v>
      </c>
      <c r="E1371">
        <v>48</v>
      </c>
      <c r="F1371">
        <v>64.875</v>
      </c>
      <c r="G1371">
        <v>31.125</v>
      </c>
      <c r="H1371">
        <v>40000</v>
      </c>
      <c r="I1371" t="s">
        <v>23</v>
      </c>
    </row>
    <row r="1372" spans="1:9" hidden="1" x14ac:dyDescent="0.25">
      <c r="A1372">
        <v>6</v>
      </c>
      <c r="B1372" t="s">
        <v>11</v>
      </c>
      <c r="C1372">
        <v>2021</v>
      </c>
      <c r="D1372">
        <v>64.875</v>
      </c>
      <c r="E1372">
        <v>-8</v>
      </c>
      <c r="F1372">
        <v>0</v>
      </c>
      <c r="G1372">
        <v>56.875</v>
      </c>
      <c r="H1372">
        <v>40000</v>
      </c>
      <c r="I1372" t="s">
        <v>23</v>
      </c>
    </row>
    <row r="1373" spans="1:9" hidden="1" x14ac:dyDescent="0.25">
      <c r="A1373">
        <v>7</v>
      </c>
      <c r="B1373" t="s">
        <v>11</v>
      </c>
      <c r="C1373">
        <v>2021</v>
      </c>
      <c r="D1373">
        <v>0</v>
      </c>
      <c r="E1373">
        <v>145</v>
      </c>
      <c r="F1373">
        <v>104.5</v>
      </c>
      <c r="G1373">
        <v>40.5</v>
      </c>
      <c r="H1373">
        <v>40000</v>
      </c>
      <c r="I1373" t="s">
        <v>23</v>
      </c>
    </row>
    <row r="1374" spans="1:9" hidden="1" x14ac:dyDescent="0.25">
      <c r="A1374">
        <v>8</v>
      </c>
      <c r="B1374" t="s">
        <v>11</v>
      </c>
      <c r="C1374">
        <v>2021</v>
      </c>
      <c r="D1374">
        <v>104.5</v>
      </c>
      <c r="E1374" t="s">
        <v>9</v>
      </c>
      <c r="F1374">
        <v>83</v>
      </c>
      <c r="G1374">
        <v>21.5</v>
      </c>
      <c r="H1374">
        <v>40000</v>
      </c>
      <c r="I1374" t="s">
        <v>23</v>
      </c>
    </row>
    <row r="1375" spans="1:9" hidden="1" x14ac:dyDescent="0.25">
      <c r="A1375">
        <v>9</v>
      </c>
      <c r="B1375" t="s">
        <v>11</v>
      </c>
      <c r="C1375">
        <v>2021</v>
      </c>
      <c r="D1375">
        <v>83</v>
      </c>
      <c r="E1375">
        <v>-20</v>
      </c>
      <c r="F1375">
        <v>38.5</v>
      </c>
      <c r="G1375">
        <v>24.5</v>
      </c>
      <c r="H1375">
        <v>40000</v>
      </c>
      <c r="I1375" t="s">
        <v>23</v>
      </c>
    </row>
    <row r="1376" spans="1:9" hidden="1" x14ac:dyDescent="0.25">
      <c r="A1376">
        <v>10</v>
      </c>
      <c r="B1376" t="s">
        <v>11</v>
      </c>
      <c r="C1376">
        <v>2021</v>
      </c>
      <c r="D1376">
        <v>38.5</v>
      </c>
      <c r="E1376">
        <v>70</v>
      </c>
      <c r="F1376">
        <v>83.5</v>
      </c>
      <c r="G1376">
        <v>25</v>
      </c>
      <c r="H1376">
        <v>40000</v>
      </c>
      <c r="I1376" t="s">
        <v>23</v>
      </c>
    </row>
    <row r="1377" spans="1:9" hidden="1" x14ac:dyDescent="0.25">
      <c r="A1377">
        <v>11</v>
      </c>
      <c r="B1377" t="s">
        <v>11</v>
      </c>
      <c r="C1377">
        <v>2021</v>
      </c>
      <c r="D1377">
        <v>83.5</v>
      </c>
      <c r="E1377">
        <v>38</v>
      </c>
      <c r="F1377">
        <v>96.5</v>
      </c>
      <c r="G1377">
        <v>25</v>
      </c>
      <c r="H1377">
        <v>40000</v>
      </c>
      <c r="I1377" t="s">
        <v>23</v>
      </c>
    </row>
    <row r="1378" spans="1:9" hidden="1" x14ac:dyDescent="0.25">
      <c r="A1378">
        <v>12</v>
      </c>
      <c r="B1378" t="s">
        <v>11</v>
      </c>
      <c r="C1378">
        <v>2021</v>
      </c>
      <c r="D1378">
        <v>96.5</v>
      </c>
      <c r="E1378" t="s">
        <v>9</v>
      </c>
      <c r="F1378">
        <v>58.5</v>
      </c>
      <c r="G1378">
        <v>38</v>
      </c>
      <c r="H1378">
        <v>40000</v>
      </c>
      <c r="I1378" t="s">
        <v>23</v>
      </c>
    </row>
    <row r="1379" spans="1:9" hidden="1" x14ac:dyDescent="0.25">
      <c r="A1379">
        <v>13</v>
      </c>
      <c r="B1379" t="s">
        <v>11</v>
      </c>
      <c r="C1379">
        <v>2021</v>
      </c>
      <c r="D1379">
        <v>58.5</v>
      </c>
      <c r="E1379">
        <v>82</v>
      </c>
      <c r="F1379">
        <v>86</v>
      </c>
      <c r="G1379">
        <v>54.5</v>
      </c>
      <c r="H1379">
        <v>40000</v>
      </c>
      <c r="I1379" t="s">
        <v>23</v>
      </c>
    </row>
    <row r="1380" spans="1:9" hidden="1" x14ac:dyDescent="0.25">
      <c r="A1380">
        <v>14</v>
      </c>
      <c r="B1380" t="s">
        <v>11</v>
      </c>
      <c r="C1380">
        <v>2021</v>
      </c>
      <c r="D1380">
        <v>86</v>
      </c>
      <c r="E1380">
        <v>75</v>
      </c>
      <c r="F1380">
        <v>113</v>
      </c>
      <c r="G1380">
        <v>48</v>
      </c>
      <c r="H1380">
        <v>40000</v>
      </c>
      <c r="I1380" t="s">
        <v>23</v>
      </c>
    </row>
    <row r="1381" spans="1:9" hidden="1" x14ac:dyDescent="0.25">
      <c r="A1381">
        <v>15</v>
      </c>
      <c r="B1381" t="s">
        <v>11</v>
      </c>
      <c r="C1381">
        <v>2021</v>
      </c>
      <c r="D1381">
        <v>113</v>
      </c>
      <c r="E1381">
        <v>70</v>
      </c>
      <c r="F1381">
        <v>158.5</v>
      </c>
      <c r="G1381">
        <v>24.5</v>
      </c>
      <c r="H1381">
        <v>40000</v>
      </c>
      <c r="I1381" t="s">
        <v>23</v>
      </c>
    </row>
    <row r="1382" spans="1:9" hidden="1" x14ac:dyDescent="0.25">
      <c r="A1382">
        <v>16</v>
      </c>
      <c r="B1382" t="s">
        <v>11</v>
      </c>
      <c r="C1382">
        <v>2021</v>
      </c>
      <c r="D1382">
        <v>158.5</v>
      </c>
      <c r="E1382" t="s">
        <v>9</v>
      </c>
      <c r="F1382">
        <v>138</v>
      </c>
      <c r="G1382">
        <v>20.5</v>
      </c>
      <c r="H1382">
        <v>40000</v>
      </c>
      <c r="I1382" t="s">
        <v>23</v>
      </c>
    </row>
    <row r="1383" spans="1:9" hidden="1" x14ac:dyDescent="0.25">
      <c r="A1383">
        <v>17</v>
      </c>
      <c r="B1383" t="s">
        <v>11</v>
      </c>
      <c r="C1383">
        <v>2021</v>
      </c>
      <c r="D1383">
        <v>138</v>
      </c>
      <c r="E1383" t="s">
        <v>9</v>
      </c>
      <c r="F1383">
        <v>109</v>
      </c>
      <c r="G1383">
        <v>29</v>
      </c>
      <c r="H1383">
        <v>40000</v>
      </c>
      <c r="I1383" t="s">
        <v>23</v>
      </c>
    </row>
    <row r="1384" spans="1:9" hidden="1" x14ac:dyDescent="0.25">
      <c r="A1384">
        <v>18</v>
      </c>
      <c r="B1384" t="s">
        <v>11</v>
      </c>
      <c r="C1384">
        <v>2021</v>
      </c>
      <c r="D1384">
        <v>109</v>
      </c>
      <c r="E1384">
        <v>40</v>
      </c>
      <c r="F1384">
        <v>120.25</v>
      </c>
      <c r="G1384">
        <v>28.75</v>
      </c>
      <c r="H1384">
        <v>40000</v>
      </c>
      <c r="I1384" t="s">
        <v>23</v>
      </c>
    </row>
    <row r="1385" spans="1:9" hidden="1" x14ac:dyDescent="0.25">
      <c r="A1385">
        <v>19</v>
      </c>
      <c r="B1385" t="s">
        <v>11</v>
      </c>
      <c r="C1385">
        <v>2021</v>
      </c>
      <c r="D1385">
        <v>120.25</v>
      </c>
      <c r="E1385" t="s">
        <v>9</v>
      </c>
      <c r="F1385">
        <v>81.5</v>
      </c>
      <c r="G1385">
        <v>38.75</v>
      </c>
      <c r="H1385">
        <v>40000</v>
      </c>
      <c r="I1385" t="s">
        <v>23</v>
      </c>
    </row>
    <row r="1386" spans="1:9" hidden="1" x14ac:dyDescent="0.25">
      <c r="A1386">
        <v>20</v>
      </c>
      <c r="B1386" t="s">
        <v>11</v>
      </c>
      <c r="C1386">
        <v>2021</v>
      </c>
      <c r="D1386">
        <v>81.5</v>
      </c>
      <c r="E1386">
        <v>72</v>
      </c>
      <c r="F1386">
        <v>95</v>
      </c>
      <c r="G1386">
        <v>58.5</v>
      </c>
      <c r="H1386">
        <v>40000</v>
      </c>
      <c r="I1386" t="s">
        <v>23</v>
      </c>
    </row>
    <row r="1387" spans="1:9" hidden="1" x14ac:dyDescent="0.25">
      <c r="A1387">
        <v>21</v>
      </c>
      <c r="B1387" t="s">
        <v>11</v>
      </c>
      <c r="C1387">
        <v>2021</v>
      </c>
      <c r="D1387">
        <v>95</v>
      </c>
      <c r="E1387" t="s">
        <v>9</v>
      </c>
      <c r="F1387">
        <v>40</v>
      </c>
      <c r="G1387">
        <v>55</v>
      </c>
      <c r="H1387">
        <v>40000</v>
      </c>
      <c r="I1387" t="s">
        <v>23</v>
      </c>
    </row>
    <row r="1388" spans="1:9" hidden="1" x14ac:dyDescent="0.25">
      <c r="A1388">
        <v>22</v>
      </c>
      <c r="B1388" t="s">
        <v>11</v>
      </c>
      <c r="C1388">
        <v>2021</v>
      </c>
      <c r="D1388">
        <v>40</v>
      </c>
      <c r="E1388">
        <v>105</v>
      </c>
      <c r="F1388">
        <v>125</v>
      </c>
      <c r="G1388">
        <v>20</v>
      </c>
      <c r="H1388">
        <v>40000</v>
      </c>
      <c r="I1388" t="s">
        <v>23</v>
      </c>
    </row>
    <row r="1389" spans="1:9" hidden="1" x14ac:dyDescent="0.25">
      <c r="A1389">
        <v>23</v>
      </c>
      <c r="B1389" t="s">
        <v>11</v>
      </c>
      <c r="C1389">
        <v>2021</v>
      </c>
      <c r="D1389">
        <v>125</v>
      </c>
      <c r="E1389">
        <v>-27</v>
      </c>
      <c r="F1389">
        <v>70</v>
      </c>
      <c r="G1389">
        <v>28</v>
      </c>
      <c r="H1389">
        <v>40000</v>
      </c>
      <c r="I1389" t="s">
        <v>23</v>
      </c>
    </row>
    <row r="1390" spans="1:9" hidden="1" x14ac:dyDescent="0.25">
      <c r="A1390">
        <v>24</v>
      </c>
      <c r="B1390" t="s">
        <v>11</v>
      </c>
      <c r="C1390">
        <v>2021</v>
      </c>
      <c r="D1390">
        <v>70</v>
      </c>
      <c r="E1390">
        <v>105</v>
      </c>
      <c r="F1390">
        <v>145</v>
      </c>
      <c r="G1390">
        <v>30</v>
      </c>
      <c r="H1390">
        <v>40000</v>
      </c>
      <c r="I1390" t="s">
        <v>23</v>
      </c>
    </row>
    <row r="1391" spans="1:9" hidden="1" x14ac:dyDescent="0.25">
      <c r="A1391">
        <v>25</v>
      </c>
      <c r="B1391" t="s">
        <v>11</v>
      </c>
      <c r="C1391">
        <v>2021</v>
      </c>
      <c r="D1391">
        <v>145</v>
      </c>
      <c r="E1391" t="s">
        <v>9</v>
      </c>
      <c r="F1391">
        <v>111.5</v>
      </c>
      <c r="G1391">
        <v>33.5</v>
      </c>
      <c r="H1391">
        <v>40000</v>
      </c>
      <c r="I1391" t="s">
        <v>23</v>
      </c>
    </row>
    <row r="1392" spans="1:9" hidden="1" x14ac:dyDescent="0.25">
      <c r="A1392">
        <v>26</v>
      </c>
      <c r="B1392" t="s">
        <v>11</v>
      </c>
      <c r="C1392">
        <v>2021</v>
      </c>
      <c r="D1392">
        <v>111.5</v>
      </c>
      <c r="E1392">
        <v>68</v>
      </c>
      <c r="F1392">
        <v>134.5</v>
      </c>
      <c r="G1392">
        <v>45</v>
      </c>
      <c r="H1392">
        <v>40000</v>
      </c>
      <c r="I1392" t="s">
        <v>23</v>
      </c>
    </row>
    <row r="1393" spans="1:9" hidden="1" x14ac:dyDescent="0.25">
      <c r="A1393">
        <v>27</v>
      </c>
      <c r="B1393" t="s">
        <v>11</v>
      </c>
      <c r="C1393">
        <v>2021</v>
      </c>
      <c r="D1393">
        <v>134.5</v>
      </c>
      <c r="E1393">
        <v>30</v>
      </c>
      <c r="F1393">
        <v>100</v>
      </c>
      <c r="G1393">
        <v>64.5</v>
      </c>
      <c r="H1393">
        <v>40000</v>
      </c>
      <c r="I1393" t="s">
        <v>23</v>
      </c>
    </row>
    <row r="1394" spans="1:9" hidden="1" x14ac:dyDescent="0.25">
      <c r="A1394">
        <v>28</v>
      </c>
      <c r="B1394" t="s">
        <v>11</v>
      </c>
      <c r="C1394">
        <v>2021</v>
      </c>
      <c r="D1394">
        <v>100</v>
      </c>
      <c r="E1394">
        <v>-23</v>
      </c>
      <c r="F1394">
        <v>14</v>
      </c>
      <c r="G1394">
        <v>63</v>
      </c>
      <c r="H1394">
        <v>40000</v>
      </c>
      <c r="I1394" t="s">
        <v>23</v>
      </c>
    </row>
    <row r="1395" spans="1:9" x14ac:dyDescent="0.25">
      <c r="A1395">
        <v>1</v>
      </c>
      <c r="B1395" t="s">
        <v>12</v>
      </c>
      <c r="C1395">
        <v>2021</v>
      </c>
      <c r="D1395">
        <v>23.875</v>
      </c>
      <c r="E1395" t="s">
        <v>9</v>
      </c>
      <c r="F1395">
        <v>16</v>
      </c>
      <c r="G1395">
        <v>7.875</v>
      </c>
      <c r="H1395">
        <v>40000</v>
      </c>
      <c r="I1395" t="s">
        <v>22</v>
      </c>
    </row>
    <row r="1396" spans="1:9" x14ac:dyDescent="0.25">
      <c r="A1396">
        <v>2</v>
      </c>
      <c r="B1396" t="s">
        <v>12</v>
      </c>
      <c r="C1396">
        <v>2021</v>
      </c>
      <c r="D1396">
        <v>16</v>
      </c>
      <c r="E1396">
        <v>30</v>
      </c>
      <c r="F1396">
        <v>33.25</v>
      </c>
      <c r="G1396">
        <v>12.75</v>
      </c>
      <c r="H1396">
        <v>40000</v>
      </c>
      <c r="I1396" t="s">
        <v>22</v>
      </c>
    </row>
    <row r="1397" spans="1:9" x14ac:dyDescent="0.25">
      <c r="A1397">
        <v>3</v>
      </c>
      <c r="B1397" t="s">
        <v>12</v>
      </c>
      <c r="C1397">
        <v>2021</v>
      </c>
      <c r="D1397">
        <v>33.25</v>
      </c>
      <c r="E1397" t="s">
        <v>9</v>
      </c>
      <c r="F1397">
        <v>24</v>
      </c>
      <c r="G1397">
        <v>9.25</v>
      </c>
      <c r="H1397">
        <v>40000</v>
      </c>
      <c r="I1397" t="s">
        <v>22</v>
      </c>
    </row>
    <row r="1398" spans="1:9" x14ac:dyDescent="0.25">
      <c r="A1398">
        <v>4</v>
      </c>
      <c r="B1398" t="s">
        <v>12</v>
      </c>
      <c r="C1398">
        <v>2021</v>
      </c>
      <c r="D1398">
        <v>24</v>
      </c>
      <c r="E1398">
        <v>30</v>
      </c>
      <c r="F1398">
        <v>42.875</v>
      </c>
      <c r="G1398">
        <v>11.125</v>
      </c>
      <c r="H1398">
        <v>40000</v>
      </c>
      <c r="I1398" t="s">
        <v>22</v>
      </c>
    </row>
    <row r="1399" spans="1:9" x14ac:dyDescent="0.25">
      <c r="A1399">
        <v>5</v>
      </c>
      <c r="B1399" t="s">
        <v>12</v>
      </c>
      <c r="C1399">
        <v>2021</v>
      </c>
      <c r="D1399">
        <v>42.875</v>
      </c>
      <c r="E1399" t="s">
        <v>9</v>
      </c>
      <c r="F1399">
        <v>25.25</v>
      </c>
      <c r="G1399">
        <v>17.625</v>
      </c>
      <c r="H1399">
        <v>40000</v>
      </c>
      <c r="I1399" t="s">
        <v>22</v>
      </c>
    </row>
    <row r="1400" spans="1:9" x14ac:dyDescent="0.25">
      <c r="A1400">
        <v>6</v>
      </c>
      <c r="B1400" t="s">
        <v>12</v>
      </c>
      <c r="C1400">
        <v>2021</v>
      </c>
      <c r="D1400">
        <v>25.25</v>
      </c>
      <c r="E1400">
        <v>50</v>
      </c>
      <c r="F1400">
        <v>57</v>
      </c>
      <c r="G1400">
        <v>18.25</v>
      </c>
      <c r="H1400">
        <v>40000</v>
      </c>
      <c r="I1400" t="s">
        <v>22</v>
      </c>
    </row>
    <row r="1401" spans="1:9" x14ac:dyDescent="0.25">
      <c r="A1401">
        <v>7</v>
      </c>
      <c r="B1401" t="s">
        <v>12</v>
      </c>
      <c r="C1401">
        <v>2021</v>
      </c>
      <c r="D1401">
        <v>57</v>
      </c>
      <c r="E1401" t="s">
        <v>9</v>
      </c>
      <c r="F1401">
        <v>30</v>
      </c>
      <c r="G1401">
        <v>27</v>
      </c>
      <c r="H1401">
        <v>40000</v>
      </c>
      <c r="I1401" t="s">
        <v>22</v>
      </c>
    </row>
    <row r="1402" spans="1:9" x14ac:dyDescent="0.25">
      <c r="A1402">
        <v>8</v>
      </c>
      <c r="B1402" t="s">
        <v>12</v>
      </c>
      <c r="C1402">
        <v>2021</v>
      </c>
      <c r="D1402">
        <v>30</v>
      </c>
      <c r="E1402" t="s">
        <v>9</v>
      </c>
      <c r="F1402">
        <v>18</v>
      </c>
      <c r="G1402">
        <v>12</v>
      </c>
      <c r="H1402">
        <v>40000</v>
      </c>
      <c r="I1402" t="s">
        <v>22</v>
      </c>
    </row>
    <row r="1403" spans="1:9" x14ac:dyDescent="0.25">
      <c r="A1403">
        <v>9</v>
      </c>
      <c r="B1403" t="s">
        <v>12</v>
      </c>
      <c r="C1403">
        <v>2021</v>
      </c>
      <c r="D1403">
        <v>18</v>
      </c>
      <c r="E1403">
        <v>40</v>
      </c>
      <c r="F1403">
        <v>54.25</v>
      </c>
      <c r="G1403">
        <v>3.75</v>
      </c>
      <c r="H1403">
        <v>40000</v>
      </c>
      <c r="I1403" t="s">
        <v>22</v>
      </c>
    </row>
    <row r="1404" spans="1:9" x14ac:dyDescent="0.25">
      <c r="A1404">
        <v>10</v>
      </c>
      <c r="B1404" t="s">
        <v>12</v>
      </c>
      <c r="C1404">
        <v>2021</v>
      </c>
      <c r="D1404">
        <v>54.25</v>
      </c>
      <c r="E1404" t="s">
        <v>9</v>
      </c>
      <c r="F1404">
        <v>44.5</v>
      </c>
      <c r="G1404">
        <v>9.75</v>
      </c>
      <c r="H1404">
        <v>40000</v>
      </c>
      <c r="I1404" t="s">
        <v>22</v>
      </c>
    </row>
    <row r="1405" spans="1:9" x14ac:dyDescent="0.25">
      <c r="A1405">
        <v>11</v>
      </c>
      <c r="B1405" t="s">
        <v>12</v>
      </c>
      <c r="C1405">
        <v>2021</v>
      </c>
      <c r="D1405">
        <v>44.5</v>
      </c>
      <c r="E1405" t="s">
        <v>9</v>
      </c>
      <c r="F1405">
        <v>37.375</v>
      </c>
      <c r="G1405">
        <v>7.125</v>
      </c>
      <c r="H1405">
        <v>40000</v>
      </c>
      <c r="I1405" t="s">
        <v>22</v>
      </c>
    </row>
    <row r="1406" spans="1:9" x14ac:dyDescent="0.25">
      <c r="A1406">
        <v>12</v>
      </c>
      <c r="B1406" t="s">
        <v>12</v>
      </c>
      <c r="C1406">
        <v>2021</v>
      </c>
      <c r="D1406">
        <v>37.375</v>
      </c>
      <c r="E1406" t="s">
        <v>9</v>
      </c>
      <c r="F1406">
        <v>18.5</v>
      </c>
      <c r="G1406">
        <v>18.875</v>
      </c>
      <c r="H1406">
        <v>40000</v>
      </c>
      <c r="I1406" t="s">
        <v>22</v>
      </c>
    </row>
    <row r="1407" spans="1:9" x14ac:dyDescent="0.25">
      <c r="A1407">
        <v>13</v>
      </c>
      <c r="B1407" t="s">
        <v>12</v>
      </c>
      <c r="C1407">
        <v>2021</v>
      </c>
      <c r="D1407">
        <v>18.5</v>
      </c>
      <c r="E1407">
        <v>50</v>
      </c>
      <c r="F1407">
        <v>46.5</v>
      </c>
      <c r="G1407">
        <v>22</v>
      </c>
      <c r="H1407">
        <v>40000</v>
      </c>
      <c r="I1407" t="s">
        <v>22</v>
      </c>
    </row>
    <row r="1408" spans="1:9" x14ac:dyDescent="0.25">
      <c r="A1408">
        <v>14</v>
      </c>
      <c r="B1408" t="s">
        <v>12</v>
      </c>
      <c r="C1408">
        <v>2021</v>
      </c>
      <c r="D1408">
        <v>46.5</v>
      </c>
      <c r="E1408" t="s">
        <v>9</v>
      </c>
      <c r="F1408">
        <v>23</v>
      </c>
      <c r="G1408">
        <v>23.5</v>
      </c>
      <c r="H1408">
        <v>40000</v>
      </c>
      <c r="I1408" t="s">
        <v>22</v>
      </c>
    </row>
    <row r="1409" spans="1:9" x14ac:dyDescent="0.25">
      <c r="A1409">
        <v>15</v>
      </c>
      <c r="B1409" t="s">
        <v>12</v>
      </c>
      <c r="C1409">
        <v>2021</v>
      </c>
      <c r="D1409">
        <v>23</v>
      </c>
      <c r="E1409">
        <v>50</v>
      </c>
      <c r="F1409">
        <v>66.5</v>
      </c>
      <c r="G1409">
        <v>6.5</v>
      </c>
      <c r="H1409">
        <v>40000</v>
      </c>
      <c r="I1409" t="s">
        <v>22</v>
      </c>
    </row>
    <row r="1410" spans="1:9" x14ac:dyDescent="0.25">
      <c r="A1410">
        <v>16</v>
      </c>
      <c r="B1410" t="s">
        <v>12</v>
      </c>
      <c r="C1410">
        <v>2021</v>
      </c>
      <c r="D1410">
        <v>66.5</v>
      </c>
      <c r="E1410" t="s">
        <v>9</v>
      </c>
      <c r="F1410">
        <v>57.5</v>
      </c>
      <c r="G1410">
        <v>9</v>
      </c>
      <c r="H1410">
        <v>40000</v>
      </c>
      <c r="I1410" t="s">
        <v>22</v>
      </c>
    </row>
    <row r="1411" spans="1:9" x14ac:dyDescent="0.25">
      <c r="A1411">
        <v>17</v>
      </c>
      <c r="B1411" t="s">
        <v>12</v>
      </c>
      <c r="C1411">
        <v>2021</v>
      </c>
      <c r="D1411">
        <v>57.5</v>
      </c>
      <c r="E1411" t="s">
        <v>9</v>
      </c>
      <c r="F1411">
        <v>45.875</v>
      </c>
      <c r="G1411">
        <v>11.625</v>
      </c>
      <c r="H1411">
        <v>40000</v>
      </c>
      <c r="I1411" t="s">
        <v>22</v>
      </c>
    </row>
    <row r="1412" spans="1:9" x14ac:dyDescent="0.25">
      <c r="A1412">
        <v>18</v>
      </c>
      <c r="B1412" t="s">
        <v>12</v>
      </c>
      <c r="C1412">
        <v>2021</v>
      </c>
      <c r="D1412">
        <v>45.875</v>
      </c>
      <c r="E1412" t="s">
        <v>9</v>
      </c>
      <c r="F1412">
        <v>31.875</v>
      </c>
      <c r="G1412">
        <v>14</v>
      </c>
      <c r="H1412">
        <v>40000</v>
      </c>
      <c r="I1412" t="s">
        <v>22</v>
      </c>
    </row>
    <row r="1413" spans="1:9" x14ac:dyDescent="0.25">
      <c r="A1413">
        <v>19</v>
      </c>
      <c r="B1413" t="s">
        <v>12</v>
      </c>
      <c r="C1413">
        <v>2021</v>
      </c>
      <c r="D1413">
        <v>31.875</v>
      </c>
      <c r="E1413">
        <v>50</v>
      </c>
      <c r="F1413">
        <v>66</v>
      </c>
      <c r="G1413">
        <v>15.875</v>
      </c>
      <c r="H1413">
        <v>40000</v>
      </c>
      <c r="I1413" t="s">
        <v>22</v>
      </c>
    </row>
    <row r="1414" spans="1:9" x14ac:dyDescent="0.25">
      <c r="A1414">
        <v>20</v>
      </c>
      <c r="B1414" t="s">
        <v>12</v>
      </c>
      <c r="C1414">
        <v>2021</v>
      </c>
      <c r="D1414">
        <v>66</v>
      </c>
      <c r="E1414" t="s">
        <v>9</v>
      </c>
      <c r="F1414">
        <v>44.75</v>
      </c>
      <c r="G1414">
        <v>21.25</v>
      </c>
      <c r="H1414">
        <v>40000</v>
      </c>
      <c r="I1414" t="s">
        <v>22</v>
      </c>
    </row>
    <row r="1415" spans="1:9" x14ac:dyDescent="0.25">
      <c r="A1415">
        <v>21</v>
      </c>
      <c r="B1415" t="s">
        <v>12</v>
      </c>
      <c r="C1415">
        <v>2021</v>
      </c>
      <c r="D1415">
        <v>44.75</v>
      </c>
      <c r="E1415">
        <v>20</v>
      </c>
      <c r="F1415">
        <v>35.25</v>
      </c>
      <c r="G1415">
        <v>29.5</v>
      </c>
      <c r="H1415">
        <v>40000</v>
      </c>
      <c r="I1415" t="s">
        <v>22</v>
      </c>
    </row>
    <row r="1416" spans="1:9" x14ac:dyDescent="0.25">
      <c r="A1416">
        <v>22</v>
      </c>
      <c r="B1416" t="s">
        <v>12</v>
      </c>
      <c r="C1416">
        <v>2021</v>
      </c>
      <c r="D1416">
        <v>35.25</v>
      </c>
      <c r="E1416">
        <v>20</v>
      </c>
      <c r="F1416">
        <v>33.75</v>
      </c>
      <c r="G1416">
        <v>21.5</v>
      </c>
      <c r="H1416">
        <v>40000</v>
      </c>
      <c r="I1416" t="s">
        <v>22</v>
      </c>
    </row>
    <row r="1417" spans="1:9" x14ac:dyDescent="0.25">
      <c r="A1417">
        <v>23</v>
      </c>
      <c r="B1417" t="s">
        <v>12</v>
      </c>
      <c r="C1417">
        <v>2021</v>
      </c>
      <c r="D1417">
        <v>33.75</v>
      </c>
      <c r="E1417">
        <v>50</v>
      </c>
      <c r="F1417">
        <v>75.5</v>
      </c>
      <c r="G1417">
        <v>8.25</v>
      </c>
      <c r="H1417">
        <v>40000</v>
      </c>
      <c r="I1417" t="s">
        <v>22</v>
      </c>
    </row>
    <row r="1418" spans="1:9" x14ac:dyDescent="0.25">
      <c r="A1418">
        <v>24</v>
      </c>
      <c r="B1418" t="s">
        <v>12</v>
      </c>
      <c r="C1418">
        <v>2021</v>
      </c>
      <c r="D1418">
        <v>75.5</v>
      </c>
      <c r="E1418" t="s">
        <v>9</v>
      </c>
      <c r="F1418">
        <v>68</v>
      </c>
      <c r="G1418">
        <v>7.5</v>
      </c>
      <c r="H1418">
        <v>40000</v>
      </c>
      <c r="I1418" t="s">
        <v>22</v>
      </c>
    </row>
    <row r="1419" spans="1:9" x14ac:dyDescent="0.25">
      <c r="A1419">
        <v>25</v>
      </c>
      <c r="B1419" t="s">
        <v>12</v>
      </c>
      <c r="C1419">
        <v>2021</v>
      </c>
      <c r="D1419">
        <v>68</v>
      </c>
      <c r="E1419" t="s">
        <v>9</v>
      </c>
      <c r="F1419">
        <v>57.625</v>
      </c>
      <c r="G1419">
        <v>10.375</v>
      </c>
      <c r="H1419">
        <v>40000</v>
      </c>
      <c r="I1419" t="s">
        <v>22</v>
      </c>
    </row>
    <row r="1420" spans="1:9" x14ac:dyDescent="0.25">
      <c r="A1420">
        <v>26</v>
      </c>
      <c r="B1420" t="s">
        <v>12</v>
      </c>
      <c r="C1420">
        <v>2021</v>
      </c>
      <c r="D1420">
        <v>57.625</v>
      </c>
      <c r="E1420" t="s">
        <v>9</v>
      </c>
      <c r="F1420">
        <v>46.875</v>
      </c>
      <c r="G1420">
        <v>10.75</v>
      </c>
      <c r="H1420">
        <v>40000</v>
      </c>
      <c r="I1420" t="s">
        <v>22</v>
      </c>
    </row>
    <row r="1421" spans="1:9" x14ac:dyDescent="0.25">
      <c r="A1421">
        <v>27</v>
      </c>
      <c r="B1421" t="s">
        <v>12</v>
      </c>
      <c r="C1421">
        <v>2021</v>
      </c>
      <c r="D1421">
        <v>46.875</v>
      </c>
      <c r="E1421">
        <v>20</v>
      </c>
      <c r="F1421">
        <v>35.875</v>
      </c>
      <c r="G1421">
        <v>31</v>
      </c>
      <c r="H1421">
        <v>40000</v>
      </c>
      <c r="I1421" t="s">
        <v>22</v>
      </c>
    </row>
    <row r="1422" spans="1:9" x14ac:dyDescent="0.25">
      <c r="A1422">
        <v>28</v>
      </c>
      <c r="B1422" t="s">
        <v>12</v>
      </c>
      <c r="C1422">
        <v>2021</v>
      </c>
      <c r="D1422">
        <v>35.875</v>
      </c>
      <c r="E1422">
        <v>40</v>
      </c>
      <c r="F1422">
        <v>52.75</v>
      </c>
      <c r="G1422">
        <v>23.125</v>
      </c>
      <c r="H1422">
        <v>40000</v>
      </c>
      <c r="I1422" t="s">
        <v>22</v>
      </c>
    </row>
    <row r="1423" spans="1:9" x14ac:dyDescent="0.25">
      <c r="A1423">
        <v>29</v>
      </c>
      <c r="B1423" t="s">
        <v>12</v>
      </c>
      <c r="C1423">
        <v>2021</v>
      </c>
      <c r="D1423">
        <v>52.75</v>
      </c>
      <c r="E1423">
        <v>50</v>
      </c>
      <c r="F1423">
        <v>93</v>
      </c>
      <c r="G1423">
        <v>9.75</v>
      </c>
      <c r="H1423">
        <v>40000</v>
      </c>
      <c r="I1423" t="s">
        <v>22</v>
      </c>
    </row>
    <row r="1424" spans="1:9" x14ac:dyDescent="0.25">
      <c r="A1424">
        <v>30</v>
      </c>
      <c r="B1424" t="s">
        <v>12</v>
      </c>
      <c r="C1424">
        <v>2021</v>
      </c>
      <c r="D1424">
        <v>93</v>
      </c>
      <c r="E1424" t="s">
        <v>9</v>
      </c>
      <c r="F1424">
        <v>83</v>
      </c>
      <c r="G1424">
        <v>10</v>
      </c>
      <c r="H1424">
        <v>40000</v>
      </c>
      <c r="I1424" t="s">
        <v>22</v>
      </c>
    </row>
    <row r="1425" spans="1:9" x14ac:dyDescent="0.25">
      <c r="A1425">
        <v>31</v>
      </c>
      <c r="B1425" t="s">
        <v>12</v>
      </c>
      <c r="C1425">
        <v>2021</v>
      </c>
      <c r="D1425">
        <v>83</v>
      </c>
      <c r="E1425" t="s">
        <v>9</v>
      </c>
      <c r="F1425">
        <v>63.25</v>
      </c>
      <c r="G1425">
        <v>19.75</v>
      </c>
      <c r="H1425">
        <v>40000</v>
      </c>
      <c r="I1425" t="s">
        <v>22</v>
      </c>
    </row>
    <row r="1426" spans="1:9" hidden="1" x14ac:dyDescent="0.25">
      <c r="A1426">
        <v>1</v>
      </c>
      <c r="B1426" t="s">
        <v>12</v>
      </c>
      <c r="C1426">
        <v>2021</v>
      </c>
      <c r="D1426">
        <v>14</v>
      </c>
      <c r="E1426">
        <v>105</v>
      </c>
      <c r="F1426">
        <v>100.5</v>
      </c>
      <c r="G1426">
        <v>18.5</v>
      </c>
      <c r="H1426">
        <v>40000</v>
      </c>
      <c r="I1426" t="s">
        <v>23</v>
      </c>
    </row>
    <row r="1427" spans="1:9" hidden="1" x14ac:dyDescent="0.25">
      <c r="A1427">
        <v>2</v>
      </c>
      <c r="B1427" t="s">
        <v>12</v>
      </c>
      <c r="C1427">
        <v>2021</v>
      </c>
      <c r="D1427">
        <v>100.5</v>
      </c>
      <c r="E1427">
        <v>-30</v>
      </c>
      <c r="F1427">
        <v>43</v>
      </c>
      <c r="G1427">
        <v>27.5</v>
      </c>
      <c r="H1427">
        <v>40000</v>
      </c>
      <c r="I1427" t="s">
        <v>23</v>
      </c>
    </row>
    <row r="1428" spans="1:9" hidden="1" x14ac:dyDescent="0.25">
      <c r="A1428">
        <v>3</v>
      </c>
      <c r="B1428" t="s">
        <v>12</v>
      </c>
      <c r="C1428">
        <v>2021</v>
      </c>
      <c r="D1428">
        <v>43</v>
      </c>
      <c r="E1428">
        <v>70</v>
      </c>
      <c r="F1428">
        <v>88</v>
      </c>
      <c r="G1428">
        <v>25</v>
      </c>
      <c r="H1428">
        <v>40000</v>
      </c>
      <c r="I1428" t="s">
        <v>23</v>
      </c>
    </row>
    <row r="1429" spans="1:9" hidden="1" x14ac:dyDescent="0.25">
      <c r="A1429">
        <v>4</v>
      </c>
      <c r="B1429" t="s">
        <v>12</v>
      </c>
      <c r="C1429">
        <v>2021</v>
      </c>
      <c r="D1429">
        <v>88</v>
      </c>
      <c r="E1429">
        <v>75</v>
      </c>
      <c r="F1429">
        <v>127.5</v>
      </c>
      <c r="G1429">
        <v>35.5</v>
      </c>
      <c r="H1429">
        <v>40000</v>
      </c>
      <c r="I1429" t="s">
        <v>23</v>
      </c>
    </row>
    <row r="1430" spans="1:9" hidden="1" x14ac:dyDescent="0.25">
      <c r="A1430">
        <v>5</v>
      </c>
      <c r="B1430" t="s">
        <v>12</v>
      </c>
      <c r="C1430">
        <v>2021</v>
      </c>
      <c r="D1430">
        <v>127.5</v>
      </c>
      <c r="E1430">
        <v>105</v>
      </c>
      <c r="F1430">
        <v>185.5</v>
      </c>
      <c r="G1430">
        <v>47</v>
      </c>
      <c r="H1430">
        <v>40000</v>
      </c>
      <c r="I1430" t="s">
        <v>23</v>
      </c>
    </row>
    <row r="1431" spans="1:9" hidden="1" x14ac:dyDescent="0.25">
      <c r="A1431">
        <v>6</v>
      </c>
      <c r="B1431" t="s">
        <v>12</v>
      </c>
      <c r="C1431">
        <v>2021</v>
      </c>
      <c r="D1431">
        <v>185.5</v>
      </c>
      <c r="E1431">
        <v>-53</v>
      </c>
      <c r="F1431">
        <v>79</v>
      </c>
      <c r="G1431">
        <v>53.5</v>
      </c>
      <c r="H1431">
        <v>40000</v>
      </c>
      <c r="I1431" t="s">
        <v>23</v>
      </c>
    </row>
    <row r="1432" spans="1:9" hidden="1" x14ac:dyDescent="0.25">
      <c r="A1432">
        <v>7</v>
      </c>
      <c r="B1432" t="s">
        <v>12</v>
      </c>
      <c r="C1432">
        <v>2021</v>
      </c>
      <c r="D1432">
        <v>79</v>
      </c>
      <c r="E1432" t="s">
        <v>9</v>
      </c>
      <c r="F1432">
        <v>16</v>
      </c>
      <c r="G1432">
        <v>63</v>
      </c>
      <c r="H1432">
        <v>40000</v>
      </c>
      <c r="I1432" t="s">
        <v>23</v>
      </c>
    </row>
    <row r="1433" spans="1:9" hidden="1" x14ac:dyDescent="0.25">
      <c r="A1433">
        <v>8</v>
      </c>
      <c r="B1433" t="s">
        <v>12</v>
      </c>
      <c r="C1433">
        <v>2021</v>
      </c>
      <c r="D1433">
        <v>16</v>
      </c>
      <c r="E1433">
        <v>67</v>
      </c>
      <c r="F1433">
        <v>39</v>
      </c>
      <c r="G1433">
        <v>44</v>
      </c>
      <c r="H1433">
        <v>40000</v>
      </c>
      <c r="I1433" t="s">
        <v>23</v>
      </c>
    </row>
    <row r="1434" spans="1:9" hidden="1" x14ac:dyDescent="0.25">
      <c r="A1434">
        <v>9</v>
      </c>
      <c r="B1434" t="s">
        <v>12</v>
      </c>
      <c r="C1434">
        <v>2021</v>
      </c>
      <c r="D1434">
        <v>39</v>
      </c>
      <c r="E1434">
        <v>65</v>
      </c>
      <c r="F1434">
        <v>87</v>
      </c>
      <c r="G1434">
        <v>17</v>
      </c>
      <c r="H1434">
        <v>40000</v>
      </c>
      <c r="I1434" t="s">
        <v>23</v>
      </c>
    </row>
    <row r="1435" spans="1:9" hidden="1" x14ac:dyDescent="0.25">
      <c r="A1435">
        <v>10</v>
      </c>
      <c r="B1435" t="s">
        <v>12</v>
      </c>
      <c r="C1435">
        <v>2021</v>
      </c>
      <c r="D1435">
        <v>87</v>
      </c>
      <c r="E1435" t="s">
        <v>9</v>
      </c>
      <c r="F1435">
        <v>63</v>
      </c>
      <c r="G1435">
        <v>24</v>
      </c>
      <c r="H1435">
        <v>40000</v>
      </c>
      <c r="I1435" t="s">
        <v>23</v>
      </c>
    </row>
    <row r="1436" spans="1:9" hidden="1" x14ac:dyDescent="0.25">
      <c r="A1436">
        <v>11</v>
      </c>
      <c r="B1436" t="s">
        <v>12</v>
      </c>
      <c r="C1436">
        <v>2021</v>
      </c>
      <c r="D1436">
        <v>63</v>
      </c>
      <c r="E1436">
        <v>70</v>
      </c>
      <c r="F1436">
        <v>100.5</v>
      </c>
      <c r="G1436">
        <v>32.5</v>
      </c>
      <c r="H1436">
        <v>40000</v>
      </c>
      <c r="I1436" t="s">
        <v>23</v>
      </c>
    </row>
    <row r="1437" spans="1:9" hidden="1" x14ac:dyDescent="0.25">
      <c r="A1437">
        <v>12</v>
      </c>
      <c r="B1437" t="s">
        <v>12</v>
      </c>
      <c r="C1437">
        <v>2021</v>
      </c>
      <c r="D1437">
        <v>100.5</v>
      </c>
      <c r="E1437" t="s">
        <v>9</v>
      </c>
      <c r="F1437">
        <v>53</v>
      </c>
      <c r="G1437">
        <v>47.5</v>
      </c>
      <c r="H1437">
        <v>40000</v>
      </c>
      <c r="I1437" t="s">
        <v>23</v>
      </c>
    </row>
    <row r="1438" spans="1:9" hidden="1" x14ac:dyDescent="0.25">
      <c r="A1438">
        <v>13</v>
      </c>
      <c r="B1438" t="s">
        <v>12</v>
      </c>
      <c r="C1438">
        <v>2021</v>
      </c>
      <c r="D1438">
        <v>53</v>
      </c>
      <c r="E1438">
        <v>18</v>
      </c>
      <c r="F1438">
        <v>26</v>
      </c>
      <c r="G1438">
        <v>45</v>
      </c>
      <c r="H1438">
        <v>40000</v>
      </c>
      <c r="I1438" t="s">
        <v>23</v>
      </c>
    </row>
    <row r="1439" spans="1:9" hidden="1" x14ac:dyDescent="0.25">
      <c r="A1439">
        <v>14</v>
      </c>
      <c r="B1439" t="s">
        <v>12</v>
      </c>
      <c r="C1439">
        <v>2021</v>
      </c>
      <c r="D1439">
        <v>26</v>
      </c>
      <c r="E1439">
        <v>105</v>
      </c>
      <c r="F1439">
        <v>77</v>
      </c>
      <c r="G1439">
        <v>54</v>
      </c>
      <c r="H1439">
        <v>40000</v>
      </c>
      <c r="I1439" t="s">
        <v>23</v>
      </c>
    </row>
    <row r="1440" spans="1:9" hidden="1" x14ac:dyDescent="0.25">
      <c r="A1440">
        <v>15</v>
      </c>
      <c r="B1440" t="s">
        <v>12</v>
      </c>
      <c r="C1440">
        <v>2021</v>
      </c>
      <c r="D1440">
        <v>77</v>
      </c>
      <c r="E1440">
        <v>55</v>
      </c>
      <c r="F1440">
        <v>99</v>
      </c>
      <c r="G1440">
        <v>33</v>
      </c>
      <c r="H1440">
        <v>40000</v>
      </c>
      <c r="I1440" t="s">
        <v>23</v>
      </c>
    </row>
    <row r="1441" spans="1:9" hidden="1" x14ac:dyDescent="0.25">
      <c r="A1441">
        <v>16</v>
      </c>
      <c r="B1441" t="s">
        <v>12</v>
      </c>
      <c r="C1441">
        <v>2021</v>
      </c>
      <c r="D1441">
        <v>99</v>
      </c>
      <c r="E1441">
        <v>-3</v>
      </c>
      <c r="F1441">
        <v>66.5</v>
      </c>
      <c r="G1441">
        <v>29.5</v>
      </c>
      <c r="H1441">
        <v>40000</v>
      </c>
      <c r="I1441" t="s">
        <v>23</v>
      </c>
    </row>
    <row r="1442" spans="1:9" hidden="1" x14ac:dyDescent="0.25">
      <c r="A1442">
        <v>17</v>
      </c>
      <c r="B1442" t="s">
        <v>12</v>
      </c>
      <c r="C1442">
        <v>2021</v>
      </c>
      <c r="D1442">
        <v>66.5</v>
      </c>
      <c r="E1442" t="s">
        <v>9</v>
      </c>
      <c r="F1442">
        <v>33.5</v>
      </c>
      <c r="G1442">
        <v>33</v>
      </c>
      <c r="H1442">
        <v>40000</v>
      </c>
      <c r="I1442" t="s">
        <v>23</v>
      </c>
    </row>
    <row r="1443" spans="1:9" hidden="1" x14ac:dyDescent="0.25">
      <c r="A1443">
        <v>18</v>
      </c>
      <c r="B1443" t="s">
        <v>12</v>
      </c>
      <c r="C1443">
        <v>2021</v>
      </c>
      <c r="D1443">
        <v>33.5</v>
      </c>
      <c r="E1443">
        <v>50</v>
      </c>
      <c r="F1443">
        <v>59</v>
      </c>
      <c r="G1443">
        <v>24.5</v>
      </c>
      <c r="H1443">
        <v>40000</v>
      </c>
      <c r="I1443" t="s">
        <v>23</v>
      </c>
    </row>
    <row r="1444" spans="1:9" hidden="1" x14ac:dyDescent="0.25">
      <c r="A1444">
        <v>19</v>
      </c>
      <c r="B1444" t="s">
        <v>12</v>
      </c>
      <c r="C1444">
        <v>2021</v>
      </c>
      <c r="D1444">
        <v>59</v>
      </c>
      <c r="E1444">
        <v>120</v>
      </c>
      <c r="F1444">
        <v>147</v>
      </c>
      <c r="G1444">
        <v>32</v>
      </c>
      <c r="H1444">
        <v>40000</v>
      </c>
      <c r="I1444" t="s">
        <v>23</v>
      </c>
    </row>
    <row r="1445" spans="1:9" hidden="1" x14ac:dyDescent="0.25">
      <c r="A1445">
        <v>20</v>
      </c>
      <c r="B1445" t="s">
        <v>12</v>
      </c>
      <c r="C1445">
        <v>2021</v>
      </c>
      <c r="D1445">
        <v>147</v>
      </c>
      <c r="E1445" t="s">
        <v>9</v>
      </c>
      <c r="F1445">
        <v>84</v>
      </c>
      <c r="G1445">
        <v>63</v>
      </c>
      <c r="H1445">
        <v>40000</v>
      </c>
      <c r="I1445" t="s">
        <v>23</v>
      </c>
    </row>
    <row r="1446" spans="1:9" hidden="1" x14ac:dyDescent="0.25">
      <c r="A1446">
        <v>21</v>
      </c>
      <c r="B1446" t="s">
        <v>12</v>
      </c>
      <c r="C1446">
        <v>2021</v>
      </c>
      <c r="D1446">
        <v>84</v>
      </c>
      <c r="E1446">
        <v>50</v>
      </c>
      <c r="F1446">
        <v>79.5</v>
      </c>
      <c r="G1446">
        <v>54.5</v>
      </c>
      <c r="H1446">
        <v>40000</v>
      </c>
      <c r="I1446" t="s">
        <v>23</v>
      </c>
    </row>
    <row r="1447" spans="1:9" hidden="1" x14ac:dyDescent="0.25">
      <c r="A1447">
        <v>22</v>
      </c>
      <c r="B1447" t="s">
        <v>12</v>
      </c>
      <c r="C1447">
        <v>2021</v>
      </c>
      <c r="D1447">
        <v>79.5</v>
      </c>
      <c r="E1447" t="s">
        <v>9</v>
      </c>
      <c r="F1447">
        <v>38.5</v>
      </c>
      <c r="G1447">
        <v>41</v>
      </c>
      <c r="H1447">
        <v>40000</v>
      </c>
      <c r="I1447" t="s">
        <v>23</v>
      </c>
    </row>
    <row r="1448" spans="1:9" hidden="1" x14ac:dyDescent="0.25">
      <c r="A1448">
        <v>23</v>
      </c>
      <c r="B1448" t="s">
        <v>12</v>
      </c>
      <c r="C1448">
        <v>2021</v>
      </c>
      <c r="D1448">
        <v>38.5</v>
      </c>
      <c r="E1448">
        <v>110</v>
      </c>
      <c r="F1448">
        <v>116</v>
      </c>
      <c r="G1448">
        <v>32.5</v>
      </c>
      <c r="H1448">
        <v>40000</v>
      </c>
      <c r="I1448" t="s">
        <v>23</v>
      </c>
    </row>
    <row r="1449" spans="1:9" hidden="1" x14ac:dyDescent="0.25">
      <c r="A1449">
        <v>24</v>
      </c>
      <c r="B1449" t="s">
        <v>12</v>
      </c>
      <c r="C1449">
        <v>2021</v>
      </c>
      <c r="D1449">
        <v>116</v>
      </c>
      <c r="E1449" t="s">
        <v>9</v>
      </c>
      <c r="F1449">
        <v>84</v>
      </c>
      <c r="G1449">
        <v>32</v>
      </c>
      <c r="H1449">
        <v>40000</v>
      </c>
      <c r="I1449" t="s">
        <v>23</v>
      </c>
    </row>
    <row r="1450" spans="1:9" hidden="1" x14ac:dyDescent="0.25">
      <c r="A1450">
        <v>25</v>
      </c>
      <c r="B1450" t="s">
        <v>12</v>
      </c>
      <c r="C1450">
        <v>2021</v>
      </c>
      <c r="D1450">
        <v>84</v>
      </c>
      <c r="E1450" t="s">
        <v>9</v>
      </c>
      <c r="F1450">
        <v>56.75</v>
      </c>
      <c r="G1450">
        <v>27.25</v>
      </c>
      <c r="H1450">
        <v>40000</v>
      </c>
      <c r="I1450" t="s">
        <v>23</v>
      </c>
    </row>
    <row r="1451" spans="1:9" hidden="1" x14ac:dyDescent="0.25">
      <c r="A1451">
        <v>26</v>
      </c>
      <c r="B1451" t="s">
        <v>12</v>
      </c>
      <c r="C1451">
        <v>2021</v>
      </c>
      <c r="D1451">
        <v>56.75</v>
      </c>
      <c r="E1451">
        <v>20</v>
      </c>
      <c r="F1451">
        <v>29.5</v>
      </c>
      <c r="G1451">
        <v>47.25</v>
      </c>
      <c r="H1451">
        <v>40000</v>
      </c>
      <c r="I1451" t="s">
        <v>23</v>
      </c>
    </row>
    <row r="1452" spans="1:9" hidden="1" x14ac:dyDescent="0.25">
      <c r="A1452">
        <v>27</v>
      </c>
      <c r="B1452" t="s">
        <v>12</v>
      </c>
      <c r="C1452">
        <v>2021</v>
      </c>
      <c r="D1452">
        <v>29.5</v>
      </c>
      <c r="E1452">
        <v>180</v>
      </c>
      <c r="F1452">
        <v>144.5</v>
      </c>
      <c r="G1452">
        <v>65</v>
      </c>
      <c r="H1452">
        <v>40000</v>
      </c>
      <c r="I1452" t="s">
        <v>23</v>
      </c>
    </row>
    <row r="1453" spans="1:9" hidden="1" x14ac:dyDescent="0.25">
      <c r="A1453">
        <v>28</v>
      </c>
      <c r="B1453" t="s">
        <v>12</v>
      </c>
      <c r="C1453">
        <v>2021</v>
      </c>
      <c r="D1453">
        <v>144.5</v>
      </c>
      <c r="E1453" t="s">
        <v>9</v>
      </c>
      <c r="F1453">
        <v>95.5</v>
      </c>
      <c r="G1453">
        <v>49</v>
      </c>
      <c r="H1453">
        <v>40000</v>
      </c>
      <c r="I1453" t="s">
        <v>23</v>
      </c>
    </row>
    <row r="1454" spans="1:9" hidden="1" x14ac:dyDescent="0.25">
      <c r="A1454">
        <v>29</v>
      </c>
      <c r="B1454" t="s">
        <v>12</v>
      </c>
      <c r="C1454">
        <v>2021</v>
      </c>
      <c r="D1454">
        <v>95.5</v>
      </c>
      <c r="E1454">
        <v>100</v>
      </c>
      <c r="F1454">
        <v>159</v>
      </c>
      <c r="G1454">
        <v>36.5</v>
      </c>
      <c r="H1454">
        <v>40000</v>
      </c>
      <c r="I1454" t="s">
        <v>23</v>
      </c>
    </row>
    <row r="1455" spans="1:9" hidden="1" x14ac:dyDescent="0.25">
      <c r="A1455">
        <v>30</v>
      </c>
      <c r="B1455" t="s">
        <v>12</v>
      </c>
      <c r="C1455">
        <v>2021</v>
      </c>
      <c r="D1455">
        <v>159</v>
      </c>
      <c r="E1455" t="s">
        <v>9</v>
      </c>
      <c r="F1455">
        <v>120</v>
      </c>
      <c r="G1455">
        <v>39</v>
      </c>
      <c r="H1455">
        <v>40000</v>
      </c>
      <c r="I1455" t="s">
        <v>23</v>
      </c>
    </row>
    <row r="1456" spans="1:9" hidden="1" x14ac:dyDescent="0.25">
      <c r="A1456">
        <v>31</v>
      </c>
      <c r="B1456" t="s">
        <v>12</v>
      </c>
      <c r="C1456">
        <v>2021</v>
      </c>
      <c r="D1456">
        <v>120</v>
      </c>
      <c r="E1456" t="s">
        <v>9</v>
      </c>
      <c r="F1456">
        <v>48.5</v>
      </c>
      <c r="G1456">
        <v>71.5</v>
      </c>
      <c r="H1456">
        <v>40000</v>
      </c>
      <c r="I1456" t="s">
        <v>23</v>
      </c>
    </row>
    <row r="1457" spans="1:9" x14ac:dyDescent="0.25">
      <c r="A1457">
        <v>1</v>
      </c>
      <c r="B1457" t="s">
        <v>13</v>
      </c>
      <c r="C1457">
        <v>2021</v>
      </c>
      <c r="D1457">
        <v>63.25</v>
      </c>
      <c r="E1457" t="s">
        <v>9</v>
      </c>
      <c r="F1457">
        <v>45.25</v>
      </c>
      <c r="G1457">
        <v>18</v>
      </c>
      <c r="H1457">
        <v>40000</v>
      </c>
      <c r="I1457" t="s">
        <v>22</v>
      </c>
    </row>
    <row r="1458" spans="1:9" x14ac:dyDescent="0.25">
      <c r="A1458">
        <v>2</v>
      </c>
      <c r="B1458" t="s">
        <v>13</v>
      </c>
      <c r="C1458">
        <v>2021</v>
      </c>
      <c r="D1458">
        <v>45.25</v>
      </c>
      <c r="E1458" t="s">
        <v>9</v>
      </c>
      <c r="F1458">
        <v>14</v>
      </c>
      <c r="G1458">
        <v>31.25</v>
      </c>
      <c r="H1458">
        <v>40000</v>
      </c>
      <c r="I1458" t="s">
        <v>22</v>
      </c>
    </row>
    <row r="1459" spans="1:9" x14ac:dyDescent="0.25">
      <c r="A1459">
        <v>3</v>
      </c>
      <c r="B1459" t="s">
        <v>13</v>
      </c>
      <c r="C1459">
        <v>2021</v>
      </c>
      <c r="D1459">
        <v>14</v>
      </c>
      <c r="E1459">
        <v>60</v>
      </c>
      <c r="F1459">
        <v>55.875</v>
      </c>
      <c r="G1459">
        <v>18.125</v>
      </c>
      <c r="H1459">
        <v>40000</v>
      </c>
      <c r="I1459" t="s">
        <v>22</v>
      </c>
    </row>
    <row r="1460" spans="1:9" x14ac:dyDescent="0.25">
      <c r="A1460">
        <v>4</v>
      </c>
      <c r="B1460" t="s">
        <v>13</v>
      </c>
      <c r="C1460">
        <v>2021</v>
      </c>
      <c r="D1460">
        <v>55.875</v>
      </c>
      <c r="E1460" t="s">
        <v>9</v>
      </c>
      <c r="F1460">
        <v>34.125</v>
      </c>
      <c r="G1460">
        <v>21.75</v>
      </c>
      <c r="H1460">
        <v>40000</v>
      </c>
      <c r="I1460" t="s">
        <v>22</v>
      </c>
    </row>
    <row r="1461" spans="1:9" x14ac:dyDescent="0.25">
      <c r="A1461">
        <v>5</v>
      </c>
      <c r="B1461" t="s">
        <v>13</v>
      </c>
      <c r="C1461">
        <v>2021</v>
      </c>
      <c r="D1461">
        <v>34.125</v>
      </c>
      <c r="E1461" t="s">
        <v>9</v>
      </c>
      <c r="F1461">
        <v>25.75</v>
      </c>
      <c r="G1461">
        <v>8.375</v>
      </c>
      <c r="H1461">
        <v>40000</v>
      </c>
      <c r="I1461" t="s">
        <v>22</v>
      </c>
    </row>
    <row r="1462" spans="1:9" x14ac:dyDescent="0.25">
      <c r="A1462">
        <v>6</v>
      </c>
      <c r="B1462" t="s">
        <v>13</v>
      </c>
      <c r="C1462">
        <v>2021</v>
      </c>
      <c r="D1462">
        <v>25.75</v>
      </c>
      <c r="E1462">
        <v>20</v>
      </c>
      <c r="F1462">
        <v>36.75</v>
      </c>
      <c r="G1462">
        <v>9</v>
      </c>
      <c r="H1462">
        <v>40000</v>
      </c>
      <c r="I1462" t="s">
        <v>22</v>
      </c>
    </row>
    <row r="1463" spans="1:9" x14ac:dyDescent="0.25">
      <c r="A1463">
        <v>7</v>
      </c>
      <c r="B1463" t="s">
        <v>13</v>
      </c>
      <c r="C1463">
        <v>2021</v>
      </c>
      <c r="D1463">
        <v>36.75</v>
      </c>
      <c r="E1463" t="s">
        <v>9</v>
      </c>
      <c r="F1463">
        <v>27.75</v>
      </c>
      <c r="G1463">
        <v>9</v>
      </c>
      <c r="H1463">
        <v>40000</v>
      </c>
      <c r="I1463" t="s">
        <v>22</v>
      </c>
    </row>
    <row r="1464" spans="1:9" x14ac:dyDescent="0.25">
      <c r="A1464">
        <v>8</v>
      </c>
      <c r="B1464" t="s">
        <v>13</v>
      </c>
      <c r="C1464">
        <v>2021</v>
      </c>
      <c r="D1464">
        <v>27.75</v>
      </c>
      <c r="E1464">
        <v>50</v>
      </c>
      <c r="F1464">
        <v>68</v>
      </c>
      <c r="G1464">
        <v>9.75</v>
      </c>
      <c r="H1464">
        <v>40000</v>
      </c>
      <c r="I1464" t="s">
        <v>22</v>
      </c>
    </row>
    <row r="1465" spans="1:9" x14ac:dyDescent="0.25">
      <c r="A1465">
        <v>9</v>
      </c>
      <c r="B1465" t="s">
        <v>13</v>
      </c>
      <c r="C1465">
        <v>2021</v>
      </c>
      <c r="D1465">
        <v>68</v>
      </c>
      <c r="E1465" t="s">
        <v>9</v>
      </c>
      <c r="F1465">
        <v>55.625</v>
      </c>
      <c r="G1465">
        <v>12.375</v>
      </c>
      <c r="H1465">
        <v>40000</v>
      </c>
      <c r="I1465" t="s">
        <v>22</v>
      </c>
    </row>
    <row r="1466" spans="1:9" x14ac:dyDescent="0.25">
      <c r="A1466">
        <v>10</v>
      </c>
      <c r="B1466" t="s">
        <v>13</v>
      </c>
      <c r="C1466">
        <v>2021</v>
      </c>
      <c r="D1466">
        <v>55.625</v>
      </c>
      <c r="E1466" t="s">
        <v>9</v>
      </c>
      <c r="F1466">
        <v>36.75</v>
      </c>
      <c r="G1466">
        <v>18.875</v>
      </c>
      <c r="H1466">
        <v>40000</v>
      </c>
      <c r="I1466" t="s">
        <v>22</v>
      </c>
    </row>
    <row r="1467" spans="1:9" x14ac:dyDescent="0.25">
      <c r="A1467">
        <v>11</v>
      </c>
      <c r="B1467" t="s">
        <v>13</v>
      </c>
      <c r="C1467">
        <v>2021</v>
      </c>
      <c r="D1467">
        <v>36.75</v>
      </c>
      <c r="E1467">
        <v>50</v>
      </c>
      <c r="F1467">
        <v>67.5</v>
      </c>
      <c r="G1467">
        <v>19.25</v>
      </c>
      <c r="H1467">
        <v>40000</v>
      </c>
      <c r="I1467" t="s">
        <v>22</v>
      </c>
    </row>
    <row r="1468" spans="1:9" x14ac:dyDescent="0.25">
      <c r="A1468">
        <v>12</v>
      </c>
      <c r="B1468" t="s">
        <v>13</v>
      </c>
      <c r="C1468">
        <v>2021</v>
      </c>
      <c r="D1468">
        <v>67.5</v>
      </c>
      <c r="E1468" t="s">
        <v>9</v>
      </c>
      <c r="F1468">
        <v>59.375</v>
      </c>
      <c r="G1468">
        <v>8.125</v>
      </c>
      <c r="H1468">
        <v>40000</v>
      </c>
      <c r="I1468" t="s">
        <v>22</v>
      </c>
    </row>
    <row r="1469" spans="1:9" x14ac:dyDescent="0.25">
      <c r="A1469">
        <v>13</v>
      </c>
      <c r="B1469" t="s">
        <v>13</v>
      </c>
      <c r="C1469">
        <v>2021</v>
      </c>
      <c r="D1469">
        <v>59.375</v>
      </c>
      <c r="E1469" t="s">
        <v>9</v>
      </c>
      <c r="F1469">
        <v>50</v>
      </c>
      <c r="G1469">
        <v>9.375</v>
      </c>
      <c r="H1469">
        <v>40000</v>
      </c>
      <c r="I1469" t="s">
        <v>22</v>
      </c>
    </row>
    <row r="1470" spans="1:9" x14ac:dyDescent="0.25">
      <c r="A1470">
        <v>14</v>
      </c>
      <c r="B1470" t="s">
        <v>13</v>
      </c>
      <c r="C1470">
        <v>2021</v>
      </c>
      <c r="D1470">
        <v>50</v>
      </c>
      <c r="E1470" t="s">
        <v>9</v>
      </c>
      <c r="F1470">
        <v>44.25</v>
      </c>
      <c r="G1470">
        <v>5.75</v>
      </c>
      <c r="H1470">
        <v>40000</v>
      </c>
      <c r="I1470" t="s">
        <v>22</v>
      </c>
    </row>
    <row r="1471" spans="1:9" x14ac:dyDescent="0.25">
      <c r="A1471">
        <v>15</v>
      </c>
      <c r="B1471" t="s">
        <v>13</v>
      </c>
      <c r="C1471">
        <v>2021</v>
      </c>
      <c r="D1471">
        <v>44.25</v>
      </c>
      <c r="E1471">
        <v>50</v>
      </c>
      <c r="F1471">
        <v>86</v>
      </c>
      <c r="G1471">
        <v>8.25</v>
      </c>
      <c r="H1471">
        <v>40000</v>
      </c>
      <c r="I1471" t="s">
        <v>22</v>
      </c>
    </row>
    <row r="1472" spans="1:9" x14ac:dyDescent="0.25">
      <c r="A1472">
        <v>16</v>
      </c>
      <c r="B1472" t="s">
        <v>13</v>
      </c>
      <c r="C1472">
        <v>2021</v>
      </c>
      <c r="D1472">
        <v>86</v>
      </c>
      <c r="E1472" t="s">
        <v>9</v>
      </c>
      <c r="F1472">
        <v>69</v>
      </c>
      <c r="G1472">
        <v>17</v>
      </c>
      <c r="H1472">
        <v>40000</v>
      </c>
      <c r="I1472" t="s">
        <v>22</v>
      </c>
    </row>
    <row r="1473" spans="1:9" x14ac:dyDescent="0.25">
      <c r="A1473">
        <v>17</v>
      </c>
      <c r="B1473" t="s">
        <v>13</v>
      </c>
      <c r="C1473">
        <v>2021</v>
      </c>
      <c r="D1473">
        <v>69</v>
      </c>
      <c r="E1473" t="s">
        <v>9</v>
      </c>
      <c r="F1473">
        <v>49.75</v>
      </c>
      <c r="G1473">
        <v>19.25</v>
      </c>
      <c r="H1473">
        <v>40000</v>
      </c>
      <c r="I1473" t="s">
        <v>22</v>
      </c>
    </row>
    <row r="1474" spans="1:9" x14ac:dyDescent="0.25">
      <c r="A1474">
        <v>18</v>
      </c>
      <c r="B1474" t="s">
        <v>13</v>
      </c>
      <c r="C1474">
        <v>2021</v>
      </c>
      <c r="D1474">
        <v>49.75</v>
      </c>
      <c r="E1474" t="s">
        <v>9</v>
      </c>
      <c r="F1474">
        <v>19.75</v>
      </c>
      <c r="G1474">
        <v>30</v>
      </c>
      <c r="H1474">
        <v>40000</v>
      </c>
      <c r="I1474" t="s">
        <v>22</v>
      </c>
    </row>
    <row r="1475" spans="1:9" x14ac:dyDescent="0.25">
      <c r="A1475">
        <v>19</v>
      </c>
      <c r="B1475" t="s">
        <v>13</v>
      </c>
      <c r="C1475">
        <v>2021</v>
      </c>
      <c r="D1475">
        <v>19.75</v>
      </c>
      <c r="E1475">
        <v>20</v>
      </c>
      <c r="F1475">
        <v>31.125</v>
      </c>
      <c r="G1475">
        <v>8.625</v>
      </c>
      <c r="H1475">
        <v>40000</v>
      </c>
      <c r="I1475" t="s">
        <v>22</v>
      </c>
    </row>
    <row r="1476" spans="1:9" x14ac:dyDescent="0.25">
      <c r="A1476">
        <v>20</v>
      </c>
      <c r="B1476" t="s">
        <v>13</v>
      </c>
      <c r="C1476">
        <v>2021</v>
      </c>
      <c r="D1476">
        <v>31.125</v>
      </c>
      <c r="E1476" t="s">
        <v>9</v>
      </c>
      <c r="F1476">
        <v>21.25</v>
      </c>
      <c r="G1476">
        <v>9.875</v>
      </c>
      <c r="H1476">
        <v>40000</v>
      </c>
      <c r="I1476" t="s">
        <v>22</v>
      </c>
    </row>
    <row r="1477" spans="1:9" x14ac:dyDescent="0.25">
      <c r="A1477">
        <v>21</v>
      </c>
      <c r="B1477" t="s">
        <v>13</v>
      </c>
      <c r="C1477">
        <v>2021</v>
      </c>
      <c r="D1477">
        <v>21.25</v>
      </c>
      <c r="E1477">
        <v>30</v>
      </c>
      <c r="F1477">
        <v>42</v>
      </c>
      <c r="G1477">
        <v>9.25</v>
      </c>
      <c r="H1477">
        <v>40000</v>
      </c>
      <c r="I1477" t="s">
        <v>22</v>
      </c>
    </row>
    <row r="1478" spans="1:9" x14ac:dyDescent="0.25">
      <c r="A1478">
        <v>22</v>
      </c>
      <c r="B1478" t="s">
        <v>13</v>
      </c>
      <c r="C1478">
        <v>2021</v>
      </c>
      <c r="D1478">
        <v>42</v>
      </c>
      <c r="E1478" t="s">
        <v>9</v>
      </c>
      <c r="F1478">
        <v>29.875</v>
      </c>
      <c r="G1478">
        <v>12.125</v>
      </c>
      <c r="H1478">
        <v>40000</v>
      </c>
      <c r="I1478" t="s">
        <v>22</v>
      </c>
    </row>
    <row r="1479" spans="1:9" x14ac:dyDescent="0.25">
      <c r="A1479">
        <v>23</v>
      </c>
      <c r="B1479" t="s">
        <v>13</v>
      </c>
      <c r="C1479">
        <v>2021</v>
      </c>
      <c r="D1479">
        <v>29.875</v>
      </c>
      <c r="E1479">
        <v>50</v>
      </c>
      <c r="F1479">
        <v>70.75</v>
      </c>
      <c r="G1479">
        <v>9.125</v>
      </c>
      <c r="H1479">
        <v>40000</v>
      </c>
      <c r="I1479" t="s">
        <v>22</v>
      </c>
    </row>
    <row r="1480" spans="1:9" x14ac:dyDescent="0.25">
      <c r="A1480">
        <v>24</v>
      </c>
      <c r="B1480" t="s">
        <v>13</v>
      </c>
      <c r="C1480">
        <v>2021</v>
      </c>
      <c r="D1480">
        <v>70.75</v>
      </c>
      <c r="E1480" t="s">
        <v>9</v>
      </c>
      <c r="F1480">
        <v>42.25</v>
      </c>
      <c r="G1480">
        <v>28.5</v>
      </c>
      <c r="H1480">
        <v>40000</v>
      </c>
      <c r="I1480" t="s">
        <v>22</v>
      </c>
    </row>
    <row r="1481" spans="1:9" x14ac:dyDescent="0.25">
      <c r="A1481">
        <v>25</v>
      </c>
      <c r="B1481" t="s">
        <v>13</v>
      </c>
      <c r="C1481">
        <v>2021</v>
      </c>
      <c r="D1481">
        <v>42.25</v>
      </c>
      <c r="E1481">
        <v>20</v>
      </c>
      <c r="F1481">
        <v>41.25</v>
      </c>
      <c r="G1481">
        <v>21</v>
      </c>
      <c r="H1481">
        <v>40000</v>
      </c>
      <c r="I1481" t="s">
        <v>22</v>
      </c>
    </row>
    <row r="1482" spans="1:9" x14ac:dyDescent="0.25">
      <c r="A1482">
        <v>26</v>
      </c>
      <c r="B1482" t="s">
        <v>13</v>
      </c>
      <c r="C1482">
        <v>2021</v>
      </c>
      <c r="D1482">
        <v>41.25</v>
      </c>
      <c r="E1482" t="s">
        <v>9</v>
      </c>
      <c r="F1482">
        <v>34.25</v>
      </c>
      <c r="G1482">
        <v>7</v>
      </c>
      <c r="H1482">
        <v>40000</v>
      </c>
      <c r="I1482" t="s">
        <v>22</v>
      </c>
    </row>
    <row r="1483" spans="1:9" x14ac:dyDescent="0.25">
      <c r="A1483">
        <v>27</v>
      </c>
      <c r="B1483" t="s">
        <v>13</v>
      </c>
      <c r="C1483">
        <v>2021</v>
      </c>
      <c r="D1483">
        <v>34.25</v>
      </c>
      <c r="E1483">
        <v>40</v>
      </c>
      <c r="F1483">
        <v>67.5</v>
      </c>
      <c r="G1483">
        <v>6.75</v>
      </c>
      <c r="H1483">
        <v>40000</v>
      </c>
      <c r="I1483" t="s">
        <v>22</v>
      </c>
    </row>
    <row r="1484" spans="1:9" x14ac:dyDescent="0.25">
      <c r="A1484">
        <v>28</v>
      </c>
      <c r="B1484" t="s">
        <v>13</v>
      </c>
      <c r="C1484">
        <v>2021</v>
      </c>
      <c r="D1484">
        <v>67.5</v>
      </c>
      <c r="E1484" t="s">
        <v>9</v>
      </c>
      <c r="F1484">
        <v>64.5</v>
      </c>
      <c r="G1484">
        <v>3</v>
      </c>
      <c r="H1484">
        <v>40000</v>
      </c>
      <c r="I1484" t="s">
        <v>22</v>
      </c>
    </row>
    <row r="1485" spans="1:9" x14ac:dyDescent="0.25">
      <c r="A1485">
        <v>29</v>
      </c>
      <c r="B1485" t="s">
        <v>13</v>
      </c>
      <c r="C1485">
        <v>2021</v>
      </c>
      <c r="D1485">
        <v>64.5</v>
      </c>
      <c r="E1485">
        <v>50</v>
      </c>
      <c r="F1485">
        <v>110</v>
      </c>
      <c r="G1485">
        <v>4.5</v>
      </c>
      <c r="H1485">
        <v>40000</v>
      </c>
      <c r="I1485" t="s">
        <v>22</v>
      </c>
    </row>
    <row r="1486" spans="1:9" x14ac:dyDescent="0.25">
      <c r="A1486">
        <v>30</v>
      </c>
      <c r="B1486" t="s">
        <v>13</v>
      </c>
      <c r="C1486">
        <v>2021</v>
      </c>
      <c r="D1486">
        <v>110</v>
      </c>
      <c r="E1486" t="s">
        <v>9</v>
      </c>
      <c r="F1486">
        <v>103.25</v>
      </c>
      <c r="G1486">
        <v>6.75</v>
      </c>
      <c r="H1486">
        <v>40000</v>
      </c>
      <c r="I1486" t="s">
        <v>22</v>
      </c>
    </row>
    <row r="1487" spans="1:9" hidden="1" x14ac:dyDescent="0.25">
      <c r="A1487">
        <v>1</v>
      </c>
      <c r="B1487" t="s">
        <v>13</v>
      </c>
      <c r="C1487">
        <v>2021</v>
      </c>
      <c r="D1487">
        <v>48.5</v>
      </c>
      <c r="E1487">
        <v>50</v>
      </c>
      <c r="F1487">
        <v>46</v>
      </c>
      <c r="G1487">
        <v>52.5</v>
      </c>
      <c r="H1487">
        <v>40000</v>
      </c>
      <c r="I1487" t="s">
        <v>23</v>
      </c>
    </row>
    <row r="1488" spans="1:9" hidden="1" x14ac:dyDescent="0.25">
      <c r="A1488">
        <v>2</v>
      </c>
      <c r="B1488" t="s">
        <v>13</v>
      </c>
      <c r="C1488">
        <v>2021</v>
      </c>
      <c r="D1488">
        <v>46</v>
      </c>
      <c r="E1488">
        <v>100</v>
      </c>
      <c r="F1488">
        <v>80</v>
      </c>
      <c r="G1488">
        <v>66</v>
      </c>
      <c r="H1488">
        <v>40000</v>
      </c>
      <c r="I1488" t="s">
        <v>23</v>
      </c>
    </row>
    <row r="1489" spans="1:9" hidden="1" x14ac:dyDescent="0.25">
      <c r="A1489">
        <v>3</v>
      </c>
      <c r="B1489" t="s">
        <v>13</v>
      </c>
      <c r="C1489">
        <v>2021</v>
      </c>
      <c r="D1489">
        <v>80</v>
      </c>
      <c r="E1489">
        <v>60</v>
      </c>
      <c r="F1489">
        <v>78</v>
      </c>
      <c r="G1489">
        <v>62</v>
      </c>
      <c r="H1489">
        <v>40000</v>
      </c>
      <c r="I1489" t="s">
        <v>23</v>
      </c>
    </row>
    <row r="1490" spans="1:9" hidden="1" x14ac:dyDescent="0.25">
      <c r="A1490">
        <v>4</v>
      </c>
      <c r="B1490" t="s">
        <v>13</v>
      </c>
      <c r="C1490">
        <v>2021</v>
      </c>
      <c r="D1490">
        <v>78</v>
      </c>
      <c r="E1490" t="s">
        <v>9</v>
      </c>
      <c r="F1490">
        <v>16</v>
      </c>
      <c r="G1490">
        <v>62</v>
      </c>
      <c r="H1490">
        <v>40000</v>
      </c>
      <c r="I1490" t="s">
        <v>23</v>
      </c>
    </row>
    <row r="1491" spans="1:9" hidden="1" x14ac:dyDescent="0.25">
      <c r="A1491">
        <v>5</v>
      </c>
      <c r="B1491" t="s">
        <v>13</v>
      </c>
      <c r="C1491">
        <v>2021</v>
      </c>
      <c r="D1491">
        <v>16</v>
      </c>
      <c r="E1491">
        <v>110</v>
      </c>
      <c r="F1491">
        <v>101</v>
      </c>
      <c r="G1491">
        <v>25</v>
      </c>
      <c r="H1491">
        <v>40000</v>
      </c>
      <c r="I1491" t="s">
        <v>23</v>
      </c>
    </row>
    <row r="1492" spans="1:9" hidden="1" x14ac:dyDescent="0.25">
      <c r="A1492">
        <v>6</v>
      </c>
      <c r="B1492" t="s">
        <v>13</v>
      </c>
      <c r="C1492">
        <v>2021</v>
      </c>
      <c r="D1492">
        <v>101</v>
      </c>
      <c r="E1492" t="s">
        <v>9</v>
      </c>
      <c r="F1492">
        <v>68</v>
      </c>
      <c r="G1492">
        <v>33</v>
      </c>
      <c r="H1492">
        <v>40000</v>
      </c>
      <c r="I1492" t="s">
        <v>23</v>
      </c>
    </row>
    <row r="1493" spans="1:9" hidden="1" x14ac:dyDescent="0.25">
      <c r="A1493">
        <v>7</v>
      </c>
      <c r="B1493" t="s">
        <v>13</v>
      </c>
      <c r="C1493">
        <v>2021</v>
      </c>
      <c r="D1493">
        <v>68</v>
      </c>
      <c r="E1493" t="s">
        <v>9</v>
      </c>
      <c r="F1493">
        <v>36</v>
      </c>
      <c r="G1493">
        <v>32</v>
      </c>
      <c r="H1493">
        <v>40000</v>
      </c>
      <c r="I1493" t="s">
        <v>23</v>
      </c>
    </row>
    <row r="1494" spans="1:9" hidden="1" x14ac:dyDescent="0.25">
      <c r="A1494">
        <v>8</v>
      </c>
      <c r="B1494" t="s">
        <v>13</v>
      </c>
      <c r="C1494">
        <v>2021</v>
      </c>
      <c r="D1494">
        <v>36</v>
      </c>
      <c r="E1494">
        <v>150</v>
      </c>
      <c r="F1494">
        <v>149.5</v>
      </c>
      <c r="G1494">
        <v>36.5</v>
      </c>
      <c r="H1494">
        <v>40000</v>
      </c>
      <c r="I1494" t="s">
        <v>23</v>
      </c>
    </row>
    <row r="1495" spans="1:9" hidden="1" x14ac:dyDescent="0.25">
      <c r="A1495">
        <v>9</v>
      </c>
      <c r="B1495" t="s">
        <v>13</v>
      </c>
      <c r="C1495">
        <v>2021</v>
      </c>
      <c r="D1495">
        <v>149.5</v>
      </c>
      <c r="E1495" t="s">
        <v>9</v>
      </c>
      <c r="F1495">
        <v>101</v>
      </c>
      <c r="G1495">
        <v>48.5</v>
      </c>
      <c r="H1495">
        <v>40000</v>
      </c>
      <c r="I1495" t="s">
        <v>23</v>
      </c>
    </row>
    <row r="1496" spans="1:9" hidden="1" x14ac:dyDescent="0.25">
      <c r="A1496">
        <v>10</v>
      </c>
      <c r="B1496" t="s">
        <v>13</v>
      </c>
      <c r="C1496">
        <v>2021</v>
      </c>
      <c r="D1496">
        <v>101</v>
      </c>
      <c r="E1496" t="s">
        <v>9</v>
      </c>
      <c r="F1496">
        <v>40</v>
      </c>
      <c r="G1496">
        <v>61</v>
      </c>
      <c r="H1496">
        <v>40000</v>
      </c>
      <c r="I1496" t="s">
        <v>23</v>
      </c>
    </row>
    <row r="1497" spans="1:9" hidden="1" x14ac:dyDescent="0.25">
      <c r="A1497">
        <v>11</v>
      </c>
      <c r="B1497" t="s">
        <v>13</v>
      </c>
      <c r="C1497">
        <v>2021</v>
      </c>
      <c r="D1497">
        <v>40</v>
      </c>
      <c r="E1497">
        <v>90</v>
      </c>
      <c r="F1497">
        <v>73</v>
      </c>
      <c r="G1497">
        <v>57</v>
      </c>
      <c r="H1497">
        <v>40000</v>
      </c>
      <c r="I1497" t="s">
        <v>23</v>
      </c>
    </row>
    <row r="1498" spans="1:9" hidden="1" x14ac:dyDescent="0.25">
      <c r="A1498">
        <v>12</v>
      </c>
      <c r="B1498" t="s">
        <v>13</v>
      </c>
      <c r="C1498">
        <v>2021</v>
      </c>
      <c r="D1498">
        <v>73</v>
      </c>
      <c r="E1498" t="s">
        <v>9</v>
      </c>
      <c r="F1498">
        <v>40.5</v>
      </c>
      <c r="G1498">
        <v>32.5</v>
      </c>
      <c r="H1498">
        <v>40000</v>
      </c>
      <c r="I1498" t="s">
        <v>23</v>
      </c>
    </row>
    <row r="1499" spans="1:9" hidden="1" x14ac:dyDescent="0.25">
      <c r="A1499">
        <v>13</v>
      </c>
      <c r="B1499" t="s">
        <v>13</v>
      </c>
      <c r="C1499">
        <v>2021</v>
      </c>
      <c r="D1499">
        <v>40.5</v>
      </c>
      <c r="E1499">
        <v>30</v>
      </c>
      <c r="F1499">
        <v>43</v>
      </c>
      <c r="G1499">
        <v>27.5</v>
      </c>
      <c r="H1499">
        <v>40000</v>
      </c>
      <c r="I1499" t="s">
        <v>23</v>
      </c>
    </row>
    <row r="1500" spans="1:9" hidden="1" x14ac:dyDescent="0.25">
      <c r="A1500">
        <v>14</v>
      </c>
      <c r="B1500" t="s">
        <v>13</v>
      </c>
      <c r="C1500">
        <v>2021</v>
      </c>
      <c r="D1500">
        <v>43</v>
      </c>
      <c r="E1500" t="s">
        <v>9</v>
      </c>
      <c r="F1500">
        <v>19.5</v>
      </c>
      <c r="G1500">
        <v>23.5</v>
      </c>
      <c r="H1500">
        <v>40000</v>
      </c>
      <c r="I1500" t="s">
        <v>23</v>
      </c>
    </row>
    <row r="1501" spans="1:9" hidden="1" x14ac:dyDescent="0.25">
      <c r="A1501">
        <v>15</v>
      </c>
      <c r="B1501" t="s">
        <v>13</v>
      </c>
      <c r="C1501">
        <v>2021</v>
      </c>
      <c r="D1501">
        <v>19.5</v>
      </c>
      <c r="E1501">
        <v>150</v>
      </c>
      <c r="F1501">
        <v>133.5</v>
      </c>
      <c r="G1501">
        <v>36</v>
      </c>
      <c r="H1501">
        <v>40000</v>
      </c>
      <c r="I1501" t="s">
        <v>23</v>
      </c>
    </row>
    <row r="1502" spans="1:9" hidden="1" x14ac:dyDescent="0.25">
      <c r="A1502">
        <v>16</v>
      </c>
      <c r="B1502" t="s">
        <v>13</v>
      </c>
      <c r="C1502">
        <v>2021</v>
      </c>
      <c r="D1502">
        <v>133.5</v>
      </c>
      <c r="E1502" t="s">
        <v>9</v>
      </c>
      <c r="F1502">
        <v>83</v>
      </c>
      <c r="G1502">
        <v>50.5</v>
      </c>
      <c r="H1502">
        <v>40000</v>
      </c>
      <c r="I1502" t="s">
        <v>23</v>
      </c>
    </row>
    <row r="1503" spans="1:9" hidden="1" x14ac:dyDescent="0.25">
      <c r="A1503">
        <v>17</v>
      </c>
      <c r="B1503" t="s">
        <v>13</v>
      </c>
      <c r="C1503">
        <v>2021</v>
      </c>
      <c r="D1503">
        <v>83</v>
      </c>
      <c r="E1503" t="s">
        <v>9</v>
      </c>
      <c r="F1503">
        <v>29.5</v>
      </c>
      <c r="G1503">
        <v>53.5</v>
      </c>
      <c r="H1503">
        <v>40000</v>
      </c>
      <c r="I1503" t="s">
        <v>23</v>
      </c>
    </row>
    <row r="1504" spans="1:9" hidden="1" x14ac:dyDescent="0.25">
      <c r="A1504">
        <v>18</v>
      </c>
      <c r="B1504" t="s">
        <v>13</v>
      </c>
      <c r="C1504">
        <v>2021</v>
      </c>
      <c r="D1504">
        <v>29.5</v>
      </c>
      <c r="E1504">
        <v>50</v>
      </c>
      <c r="F1504">
        <v>19</v>
      </c>
      <c r="G1504">
        <v>60.5</v>
      </c>
      <c r="H1504">
        <v>40000</v>
      </c>
      <c r="I1504" t="s">
        <v>23</v>
      </c>
    </row>
    <row r="1505" spans="1:9" hidden="1" x14ac:dyDescent="0.25">
      <c r="A1505">
        <v>19</v>
      </c>
      <c r="B1505" t="s">
        <v>13</v>
      </c>
      <c r="C1505">
        <v>2021</v>
      </c>
      <c r="D1505">
        <v>19</v>
      </c>
      <c r="E1505">
        <v>40</v>
      </c>
      <c r="F1505">
        <v>35</v>
      </c>
      <c r="G1505">
        <v>24</v>
      </c>
      <c r="H1505">
        <v>40000</v>
      </c>
      <c r="I1505" t="s">
        <v>23</v>
      </c>
    </row>
    <row r="1506" spans="1:9" hidden="1" x14ac:dyDescent="0.25">
      <c r="A1506">
        <v>20</v>
      </c>
      <c r="B1506" t="s">
        <v>13</v>
      </c>
      <c r="C1506">
        <v>2021</v>
      </c>
      <c r="D1506">
        <v>35</v>
      </c>
      <c r="E1506">
        <v>30</v>
      </c>
      <c r="F1506">
        <v>35.5</v>
      </c>
      <c r="G1506">
        <v>29.5</v>
      </c>
      <c r="H1506">
        <v>40000</v>
      </c>
      <c r="I1506" t="s">
        <v>23</v>
      </c>
    </row>
    <row r="1507" spans="1:9" hidden="1" x14ac:dyDescent="0.25">
      <c r="A1507">
        <v>21</v>
      </c>
      <c r="B1507" t="s">
        <v>13</v>
      </c>
      <c r="C1507">
        <v>2021</v>
      </c>
      <c r="D1507">
        <v>35.5</v>
      </c>
      <c r="E1507">
        <v>30</v>
      </c>
      <c r="F1507">
        <v>42</v>
      </c>
      <c r="G1507">
        <v>23.5</v>
      </c>
      <c r="H1507">
        <v>40000</v>
      </c>
      <c r="I1507" t="s">
        <v>23</v>
      </c>
    </row>
    <row r="1508" spans="1:9" hidden="1" x14ac:dyDescent="0.25">
      <c r="A1508">
        <v>22</v>
      </c>
      <c r="B1508" t="s">
        <v>13</v>
      </c>
      <c r="C1508">
        <v>2021</v>
      </c>
      <c r="D1508">
        <v>42</v>
      </c>
      <c r="E1508">
        <v>50</v>
      </c>
      <c r="F1508">
        <v>63.375</v>
      </c>
      <c r="G1508">
        <v>28.625</v>
      </c>
      <c r="H1508">
        <v>40000</v>
      </c>
      <c r="I1508" t="s">
        <v>23</v>
      </c>
    </row>
    <row r="1509" spans="1:9" hidden="1" x14ac:dyDescent="0.25">
      <c r="A1509">
        <v>23</v>
      </c>
      <c r="B1509" t="s">
        <v>13</v>
      </c>
      <c r="C1509">
        <v>2021</v>
      </c>
      <c r="D1509">
        <v>63.375</v>
      </c>
      <c r="E1509">
        <v>100</v>
      </c>
      <c r="F1509">
        <v>125</v>
      </c>
      <c r="G1509">
        <v>38.375</v>
      </c>
      <c r="H1509">
        <v>40000</v>
      </c>
      <c r="I1509" t="s">
        <v>23</v>
      </c>
    </row>
    <row r="1510" spans="1:9" hidden="1" x14ac:dyDescent="0.25">
      <c r="A1510">
        <v>24</v>
      </c>
      <c r="B1510" t="s">
        <v>13</v>
      </c>
      <c r="C1510">
        <v>2021</v>
      </c>
      <c r="D1510">
        <v>125</v>
      </c>
      <c r="E1510" t="s">
        <v>9</v>
      </c>
      <c r="F1510">
        <v>55</v>
      </c>
      <c r="G1510">
        <v>70</v>
      </c>
      <c r="H1510">
        <v>40000</v>
      </c>
      <c r="I1510" t="s">
        <v>23</v>
      </c>
    </row>
    <row r="1511" spans="1:9" hidden="1" x14ac:dyDescent="0.25">
      <c r="A1511">
        <v>25</v>
      </c>
      <c r="B1511" t="s">
        <v>13</v>
      </c>
      <c r="C1511">
        <v>2021</v>
      </c>
      <c r="D1511">
        <v>55</v>
      </c>
      <c r="E1511">
        <v>40</v>
      </c>
      <c r="F1511">
        <v>44</v>
      </c>
      <c r="G1511">
        <v>51</v>
      </c>
      <c r="H1511">
        <v>40000</v>
      </c>
      <c r="I1511" t="s">
        <v>23</v>
      </c>
    </row>
    <row r="1512" spans="1:9" hidden="1" x14ac:dyDescent="0.25">
      <c r="A1512">
        <v>26</v>
      </c>
      <c r="B1512" t="s">
        <v>13</v>
      </c>
      <c r="C1512">
        <v>2021</v>
      </c>
      <c r="D1512">
        <v>44</v>
      </c>
      <c r="E1512" t="s">
        <v>9</v>
      </c>
      <c r="F1512">
        <v>20</v>
      </c>
      <c r="G1512">
        <v>24</v>
      </c>
      <c r="H1512">
        <v>40000</v>
      </c>
      <c r="I1512" t="s">
        <v>23</v>
      </c>
    </row>
    <row r="1513" spans="1:9" hidden="1" x14ac:dyDescent="0.25">
      <c r="A1513">
        <v>27</v>
      </c>
      <c r="B1513" t="s">
        <v>13</v>
      </c>
      <c r="C1513">
        <v>2021</v>
      </c>
      <c r="D1513">
        <v>20</v>
      </c>
      <c r="E1513">
        <v>50</v>
      </c>
      <c r="F1513">
        <v>47</v>
      </c>
      <c r="G1513">
        <v>23</v>
      </c>
      <c r="H1513">
        <v>40000</v>
      </c>
      <c r="I1513" t="s">
        <v>23</v>
      </c>
    </row>
    <row r="1514" spans="1:9" hidden="1" x14ac:dyDescent="0.25">
      <c r="A1514">
        <v>28</v>
      </c>
      <c r="B1514" t="s">
        <v>13</v>
      </c>
      <c r="C1514">
        <v>2021</v>
      </c>
      <c r="D1514">
        <v>47</v>
      </c>
      <c r="E1514" t="s">
        <v>9</v>
      </c>
      <c r="F1514">
        <v>41</v>
      </c>
      <c r="G1514">
        <v>6</v>
      </c>
      <c r="H1514">
        <v>40000</v>
      </c>
      <c r="I1514" t="s">
        <v>23</v>
      </c>
    </row>
    <row r="1515" spans="1:9" hidden="1" x14ac:dyDescent="0.25">
      <c r="A1515">
        <v>29</v>
      </c>
      <c r="B1515" t="s">
        <v>13</v>
      </c>
      <c r="C1515">
        <v>2021</v>
      </c>
      <c r="D1515">
        <v>41</v>
      </c>
      <c r="E1515">
        <v>120</v>
      </c>
      <c r="F1515">
        <v>144.5</v>
      </c>
      <c r="G1515">
        <v>16.5</v>
      </c>
      <c r="H1515">
        <v>40000</v>
      </c>
      <c r="I1515" t="s">
        <v>23</v>
      </c>
    </row>
    <row r="1516" spans="1:9" hidden="1" x14ac:dyDescent="0.25">
      <c r="A1516">
        <v>30</v>
      </c>
      <c r="B1516" t="s">
        <v>13</v>
      </c>
      <c r="C1516">
        <v>2021</v>
      </c>
      <c r="D1516">
        <v>144.5</v>
      </c>
      <c r="E1516" t="s">
        <v>9</v>
      </c>
      <c r="F1516">
        <v>109</v>
      </c>
      <c r="G1516">
        <v>35.5</v>
      </c>
      <c r="H1516">
        <v>40000</v>
      </c>
      <c r="I1516" t="s">
        <v>23</v>
      </c>
    </row>
    <row r="1517" spans="1:9" hidden="1" x14ac:dyDescent="0.25">
      <c r="A1517">
        <v>1</v>
      </c>
      <c r="B1517" t="s">
        <v>13</v>
      </c>
      <c r="C1517">
        <v>2021</v>
      </c>
      <c r="D1517" t="s">
        <v>9</v>
      </c>
      <c r="E1517">
        <v>90</v>
      </c>
      <c r="F1517">
        <v>44</v>
      </c>
      <c r="G1517">
        <v>46</v>
      </c>
      <c r="H1517">
        <v>40000</v>
      </c>
      <c r="I1517" t="s">
        <v>25</v>
      </c>
    </row>
    <row r="1518" spans="1:9" hidden="1" x14ac:dyDescent="0.25">
      <c r="A1518">
        <v>2</v>
      </c>
      <c r="B1518" t="s">
        <v>13</v>
      </c>
      <c r="C1518">
        <v>2021</v>
      </c>
      <c r="D1518">
        <v>44</v>
      </c>
      <c r="E1518">
        <v>40</v>
      </c>
      <c r="F1518">
        <v>34</v>
      </c>
      <c r="G1518">
        <v>50</v>
      </c>
      <c r="H1518">
        <v>40000</v>
      </c>
      <c r="I1518" t="s">
        <v>25</v>
      </c>
    </row>
    <row r="1519" spans="1:9" hidden="1" x14ac:dyDescent="0.25">
      <c r="A1519">
        <v>3</v>
      </c>
      <c r="B1519" t="s">
        <v>13</v>
      </c>
      <c r="C1519">
        <v>2021</v>
      </c>
      <c r="D1519">
        <v>34</v>
      </c>
      <c r="E1519">
        <v>66</v>
      </c>
      <c r="F1519">
        <v>49</v>
      </c>
      <c r="G1519">
        <v>51</v>
      </c>
      <c r="H1519">
        <v>40000</v>
      </c>
      <c r="I1519" t="s">
        <v>25</v>
      </c>
    </row>
    <row r="1520" spans="1:9" hidden="1" x14ac:dyDescent="0.25">
      <c r="A1520">
        <v>4</v>
      </c>
      <c r="B1520" t="s">
        <v>13</v>
      </c>
      <c r="C1520">
        <v>2021</v>
      </c>
      <c r="D1520">
        <v>49</v>
      </c>
      <c r="E1520" t="s">
        <v>9</v>
      </c>
      <c r="F1520">
        <v>1</v>
      </c>
      <c r="G1520">
        <v>48</v>
      </c>
      <c r="H1520">
        <v>40000</v>
      </c>
      <c r="I1520" t="s">
        <v>25</v>
      </c>
    </row>
    <row r="1521" spans="1:9" hidden="1" x14ac:dyDescent="0.25">
      <c r="A1521">
        <v>5</v>
      </c>
      <c r="B1521" t="s">
        <v>13</v>
      </c>
      <c r="C1521">
        <v>2021</v>
      </c>
      <c r="D1521">
        <v>1</v>
      </c>
      <c r="E1521">
        <v>30</v>
      </c>
      <c r="F1521">
        <v>13.5</v>
      </c>
      <c r="G1521">
        <v>17.5</v>
      </c>
      <c r="H1521">
        <v>40000</v>
      </c>
      <c r="I1521" t="s">
        <v>25</v>
      </c>
    </row>
    <row r="1522" spans="1:9" hidden="1" x14ac:dyDescent="0.25">
      <c r="A1522">
        <v>6</v>
      </c>
      <c r="B1522" t="s">
        <v>13</v>
      </c>
      <c r="C1522">
        <v>2021</v>
      </c>
      <c r="D1522">
        <v>13.5</v>
      </c>
      <c r="E1522">
        <v>40</v>
      </c>
      <c r="F1522">
        <v>29.5</v>
      </c>
      <c r="G1522">
        <v>24</v>
      </c>
      <c r="H1522">
        <v>40000</v>
      </c>
      <c r="I1522" t="s">
        <v>25</v>
      </c>
    </row>
    <row r="1523" spans="1:9" hidden="1" x14ac:dyDescent="0.25">
      <c r="A1523">
        <v>7</v>
      </c>
      <c r="B1523" t="s">
        <v>13</v>
      </c>
      <c r="C1523">
        <v>2021</v>
      </c>
      <c r="D1523">
        <v>29.5</v>
      </c>
      <c r="E1523" t="s">
        <v>9</v>
      </c>
      <c r="F1523">
        <v>12</v>
      </c>
      <c r="G1523">
        <v>17.5</v>
      </c>
      <c r="H1523">
        <v>40000</v>
      </c>
      <c r="I1523" t="s">
        <v>25</v>
      </c>
    </row>
    <row r="1524" spans="1:9" hidden="1" x14ac:dyDescent="0.25">
      <c r="A1524">
        <v>8</v>
      </c>
      <c r="B1524" t="s">
        <v>13</v>
      </c>
      <c r="C1524">
        <v>2021</v>
      </c>
      <c r="D1524">
        <v>12</v>
      </c>
      <c r="E1524">
        <v>50</v>
      </c>
      <c r="F1524">
        <v>48.125</v>
      </c>
      <c r="G1524">
        <v>13.875</v>
      </c>
      <c r="H1524">
        <v>40000</v>
      </c>
      <c r="I1524" t="s">
        <v>25</v>
      </c>
    </row>
    <row r="1525" spans="1:9" hidden="1" x14ac:dyDescent="0.25">
      <c r="A1525">
        <v>9</v>
      </c>
      <c r="B1525" t="s">
        <v>13</v>
      </c>
      <c r="C1525">
        <v>2021</v>
      </c>
      <c r="D1525">
        <v>48.125</v>
      </c>
      <c r="E1525">
        <v>70</v>
      </c>
      <c r="F1525">
        <v>93</v>
      </c>
      <c r="G1525">
        <v>25.125</v>
      </c>
      <c r="H1525">
        <v>40000</v>
      </c>
      <c r="I1525" t="s">
        <v>25</v>
      </c>
    </row>
    <row r="1526" spans="1:9" hidden="1" x14ac:dyDescent="0.25">
      <c r="A1526">
        <v>10</v>
      </c>
      <c r="B1526" t="s">
        <v>13</v>
      </c>
      <c r="C1526">
        <v>2021</v>
      </c>
      <c r="D1526">
        <v>93</v>
      </c>
      <c r="E1526" t="s">
        <v>9</v>
      </c>
      <c r="F1526">
        <v>49</v>
      </c>
      <c r="G1526">
        <v>44</v>
      </c>
      <c r="H1526">
        <v>40000</v>
      </c>
      <c r="I1526" t="s">
        <v>25</v>
      </c>
    </row>
    <row r="1527" spans="1:9" hidden="1" x14ac:dyDescent="0.25">
      <c r="A1527">
        <v>11</v>
      </c>
      <c r="B1527" t="s">
        <v>13</v>
      </c>
      <c r="C1527">
        <v>2021</v>
      </c>
      <c r="D1527">
        <v>49</v>
      </c>
      <c r="E1527" t="s">
        <v>9</v>
      </c>
      <c r="F1527">
        <v>16.5</v>
      </c>
      <c r="G1527">
        <v>32.5</v>
      </c>
      <c r="H1527">
        <v>40000</v>
      </c>
      <c r="I1527" t="s">
        <v>25</v>
      </c>
    </row>
    <row r="1528" spans="1:9" hidden="1" x14ac:dyDescent="0.25">
      <c r="A1528">
        <v>12</v>
      </c>
      <c r="B1528" t="s">
        <v>13</v>
      </c>
      <c r="C1528">
        <v>2021</v>
      </c>
      <c r="D1528">
        <v>16.5</v>
      </c>
      <c r="E1528" t="s">
        <v>9</v>
      </c>
      <c r="F1528">
        <v>3.25</v>
      </c>
      <c r="G1528">
        <v>13.25</v>
      </c>
      <c r="H1528">
        <v>40000</v>
      </c>
      <c r="I1528" t="s">
        <v>25</v>
      </c>
    </row>
    <row r="1529" spans="1:9" hidden="1" x14ac:dyDescent="0.25">
      <c r="A1529">
        <v>13</v>
      </c>
      <c r="B1529" t="s">
        <v>13</v>
      </c>
      <c r="C1529">
        <v>2021</v>
      </c>
      <c r="D1529">
        <v>3.25</v>
      </c>
      <c r="E1529">
        <v>20</v>
      </c>
      <c r="F1529">
        <v>6</v>
      </c>
      <c r="G1529">
        <v>17.25</v>
      </c>
      <c r="H1529">
        <v>40000</v>
      </c>
      <c r="I1529" t="s">
        <v>25</v>
      </c>
    </row>
    <row r="1530" spans="1:9" hidden="1" x14ac:dyDescent="0.25">
      <c r="A1530">
        <v>14</v>
      </c>
      <c r="B1530" t="s">
        <v>13</v>
      </c>
      <c r="C1530">
        <v>2021</v>
      </c>
      <c r="D1530">
        <v>6</v>
      </c>
      <c r="E1530">
        <v>71</v>
      </c>
      <c r="F1530">
        <v>60.5</v>
      </c>
      <c r="G1530">
        <v>16.5</v>
      </c>
      <c r="H1530">
        <v>40000</v>
      </c>
      <c r="I1530" t="s">
        <v>25</v>
      </c>
    </row>
    <row r="1531" spans="1:9" hidden="1" x14ac:dyDescent="0.25">
      <c r="A1531">
        <v>15</v>
      </c>
      <c r="B1531" t="s">
        <v>13</v>
      </c>
      <c r="C1531">
        <v>2021</v>
      </c>
      <c r="D1531">
        <v>60.5</v>
      </c>
      <c r="E1531" t="s">
        <v>9</v>
      </c>
      <c r="F1531">
        <v>40.5</v>
      </c>
      <c r="G1531">
        <v>20</v>
      </c>
      <c r="H1531">
        <v>40000</v>
      </c>
      <c r="I1531" t="s">
        <v>25</v>
      </c>
    </row>
    <row r="1532" spans="1:9" hidden="1" x14ac:dyDescent="0.25">
      <c r="A1532">
        <v>16</v>
      </c>
      <c r="B1532" t="s">
        <v>13</v>
      </c>
      <c r="C1532">
        <v>2021</v>
      </c>
      <c r="D1532">
        <v>40.5</v>
      </c>
      <c r="E1532" t="s">
        <v>9</v>
      </c>
      <c r="F1532">
        <v>21</v>
      </c>
      <c r="G1532">
        <v>19.5</v>
      </c>
      <c r="H1532">
        <v>40000</v>
      </c>
      <c r="I1532" t="s">
        <v>25</v>
      </c>
    </row>
    <row r="1533" spans="1:9" hidden="1" x14ac:dyDescent="0.25">
      <c r="A1533">
        <v>17</v>
      </c>
      <c r="B1533" t="s">
        <v>13</v>
      </c>
      <c r="C1533">
        <v>2021</v>
      </c>
      <c r="D1533">
        <v>21</v>
      </c>
      <c r="E1533">
        <v>68</v>
      </c>
      <c r="F1533">
        <v>50</v>
      </c>
      <c r="G1533">
        <v>39</v>
      </c>
      <c r="H1533">
        <v>40000</v>
      </c>
      <c r="I1533" t="s">
        <v>25</v>
      </c>
    </row>
    <row r="1534" spans="1:9" hidden="1" x14ac:dyDescent="0.25">
      <c r="A1534">
        <v>18</v>
      </c>
      <c r="B1534" t="s">
        <v>13</v>
      </c>
      <c r="C1534">
        <v>2021</v>
      </c>
      <c r="D1534">
        <v>50</v>
      </c>
      <c r="E1534" t="s">
        <v>9</v>
      </c>
      <c r="F1534">
        <v>13.5</v>
      </c>
      <c r="G1534">
        <v>36.5</v>
      </c>
      <c r="H1534">
        <v>40000</v>
      </c>
      <c r="I1534" t="s">
        <v>25</v>
      </c>
    </row>
    <row r="1535" spans="1:9" hidden="1" x14ac:dyDescent="0.25">
      <c r="A1535">
        <v>19</v>
      </c>
      <c r="B1535" t="s">
        <v>13</v>
      </c>
      <c r="C1535">
        <v>2021</v>
      </c>
      <c r="D1535">
        <v>13.5</v>
      </c>
      <c r="E1535">
        <v>70</v>
      </c>
      <c r="F1535">
        <v>74</v>
      </c>
      <c r="G1535">
        <v>9.5</v>
      </c>
      <c r="H1535">
        <v>40000</v>
      </c>
      <c r="I1535" t="s">
        <v>25</v>
      </c>
    </row>
    <row r="1536" spans="1:9" hidden="1" x14ac:dyDescent="0.25">
      <c r="A1536">
        <v>20</v>
      </c>
      <c r="B1536" t="s">
        <v>13</v>
      </c>
      <c r="C1536">
        <v>2021</v>
      </c>
      <c r="D1536">
        <v>74</v>
      </c>
      <c r="E1536" t="s">
        <v>9</v>
      </c>
      <c r="F1536">
        <v>56.4</v>
      </c>
      <c r="G1536">
        <v>17.600000000000001</v>
      </c>
      <c r="H1536">
        <v>40000</v>
      </c>
      <c r="I1536" t="s">
        <v>25</v>
      </c>
    </row>
    <row r="1537" spans="1:9" hidden="1" x14ac:dyDescent="0.25">
      <c r="A1537">
        <v>21</v>
      </c>
      <c r="B1537" t="s">
        <v>13</v>
      </c>
      <c r="C1537">
        <v>2021</v>
      </c>
      <c r="D1537">
        <v>56.4</v>
      </c>
      <c r="E1537" t="s">
        <v>9</v>
      </c>
      <c r="F1537">
        <v>45.5</v>
      </c>
      <c r="G1537">
        <v>10.9</v>
      </c>
      <c r="H1537">
        <v>40000</v>
      </c>
      <c r="I1537" t="s">
        <v>25</v>
      </c>
    </row>
    <row r="1538" spans="1:9" hidden="1" x14ac:dyDescent="0.25">
      <c r="A1538">
        <v>22</v>
      </c>
      <c r="B1538" t="s">
        <v>13</v>
      </c>
      <c r="C1538">
        <v>2021</v>
      </c>
      <c r="D1538">
        <v>45.5</v>
      </c>
      <c r="E1538" t="s">
        <v>9</v>
      </c>
      <c r="F1538">
        <v>21</v>
      </c>
      <c r="G1538">
        <v>24.5</v>
      </c>
      <c r="H1538">
        <v>40000</v>
      </c>
      <c r="I1538" t="s">
        <v>25</v>
      </c>
    </row>
    <row r="1539" spans="1:9" hidden="1" x14ac:dyDescent="0.25">
      <c r="A1539">
        <v>23</v>
      </c>
      <c r="B1539" t="s">
        <v>13</v>
      </c>
      <c r="C1539">
        <v>2021</v>
      </c>
      <c r="D1539">
        <v>21</v>
      </c>
      <c r="E1539" t="s">
        <v>9</v>
      </c>
      <c r="F1539">
        <v>2</v>
      </c>
      <c r="G1539">
        <v>19</v>
      </c>
      <c r="H1539">
        <v>40000</v>
      </c>
      <c r="I1539" t="s">
        <v>25</v>
      </c>
    </row>
    <row r="1540" spans="1:9" hidden="1" x14ac:dyDescent="0.25">
      <c r="A1540">
        <v>24</v>
      </c>
      <c r="B1540" t="s">
        <v>13</v>
      </c>
      <c r="C1540">
        <v>2021</v>
      </c>
      <c r="D1540">
        <v>2</v>
      </c>
      <c r="E1540">
        <v>55</v>
      </c>
      <c r="F1540">
        <v>23</v>
      </c>
      <c r="G1540">
        <v>34</v>
      </c>
      <c r="H1540">
        <v>40000</v>
      </c>
      <c r="I1540" t="s">
        <v>25</v>
      </c>
    </row>
    <row r="1541" spans="1:9" hidden="1" x14ac:dyDescent="0.25">
      <c r="A1541">
        <v>25</v>
      </c>
      <c r="B1541" t="s">
        <v>13</v>
      </c>
      <c r="C1541">
        <v>2021</v>
      </c>
      <c r="D1541">
        <v>23</v>
      </c>
      <c r="E1541">
        <v>30</v>
      </c>
      <c r="F1541">
        <v>19</v>
      </c>
      <c r="G1541">
        <v>34</v>
      </c>
      <c r="H1541">
        <v>40000</v>
      </c>
      <c r="I1541" t="s">
        <v>25</v>
      </c>
    </row>
    <row r="1542" spans="1:9" hidden="1" x14ac:dyDescent="0.25">
      <c r="A1542">
        <v>26</v>
      </c>
      <c r="B1542" t="s">
        <v>13</v>
      </c>
      <c r="C1542">
        <v>2021</v>
      </c>
      <c r="D1542">
        <v>19</v>
      </c>
      <c r="E1542" t="s">
        <v>9</v>
      </c>
      <c r="F1542">
        <v>11</v>
      </c>
      <c r="G1542">
        <v>8</v>
      </c>
      <c r="H1542">
        <v>40000</v>
      </c>
      <c r="I1542" t="s">
        <v>25</v>
      </c>
    </row>
    <row r="1543" spans="1:9" hidden="1" x14ac:dyDescent="0.25">
      <c r="A1543">
        <v>27</v>
      </c>
      <c r="B1543" t="s">
        <v>13</v>
      </c>
      <c r="C1543">
        <v>2021</v>
      </c>
      <c r="D1543">
        <v>11</v>
      </c>
      <c r="E1543">
        <v>10</v>
      </c>
      <c r="F1543">
        <v>4.5</v>
      </c>
      <c r="G1543">
        <v>16.5</v>
      </c>
      <c r="H1543">
        <v>40000</v>
      </c>
      <c r="I1543" t="s">
        <v>25</v>
      </c>
    </row>
    <row r="1544" spans="1:9" hidden="1" x14ac:dyDescent="0.25">
      <c r="A1544">
        <v>28</v>
      </c>
      <c r="B1544" t="s">
        <v>13</v>
      </c>
      <c r="C1544">
        <v>2021</v>
      </c>
      <c r="D1544">
        <v>4.5</v>
      </c>
      <c r="E1544">
        <v>20</v>
      </c>
      <c r="F1544">
        <v>23</v>
      </c>
      <c r="G1544">
        <v>1.5</v>
      </c>
      <c r="H1544">
        <v>40000</v>
      </c>
      <c r="I1544" t="s">
        <v>25</v>
      </c>
    </row>
    <row r="1545" spans="1:9" hidden="1" x14ac:dyDescent="0.25">
      <c r="A1545">
        <v>29</v>
      </c>
      <c r="B1545" t="s">
        <v>13</v>
      </c>
      <c r="C1545">
        <v>2021</v>
      </c>
      <c r="D1545">
        <v>23</v>
      </c>
      <c r="E1545">
        <v>50</v>
      </c>
      <c r="F1545">
        <v>66.75</v>
      </c>
      <c r="G1545">
        <v>6.25</v>
      </c>
      <c r="H1545">
        <v>40000</v>
      </c>
      <c r="I1545" t="s">
        <v>25</v>
      </c>
    </row>
    <row r="1546" spans="1:9" hidden="1" x14ac:dyDescent="0.25">
      <c r="A1546">
        <v>30</v>
      </c>
      <c r="B1546" t="s">
        <v>13</v>
      </c>
      <c r="C1546">
        <v>2021</v>
      </c>
      <c r="D1546">
        <v>66.75</v>
      </c>
      <c r="E1546" t="s">
        <v>9</v>
      </c>
      <c r="F1546">
        <v>51.5</v>
      </c>
      <c r="G1546">
        <v>15.25</v>
      </c>
      <c r="H1546">
        <v>40000</v>
      </c>
      <c r="I1546" t="s">
        <v>25</v>
      </c>
    </row>
    <row r="1547" spans="1:9" x14ac:dyDescent="0.25">
      <c r="A1547">
        <v>1</v>
      </c>
      <c r="B1547" t="s">
        <v>14</v>
      </c>
      <c r="C1547">
        <v>2021</v>
      </c>
      <c r="D1547">
        <v>103.25</v>
      </c>
      <c r="E1547" t="s">
        <v>9</v>
      </c>
      <c r="F1547">
        <v>86</v>
      </c>
      <c r="G1547">
        <v>17.25</v>
      </c>
      <c r="H1547">
        <v>40000</v>
      </c>
      <c r="I1547" t="s">
        <v>22</v>
      </c>
    </row>
    <row r="1548" spans="1:9" x14ac:dyDescent="0.25">
      <c r="A1548">
        <v>2</v>
      </c>
      <c r="B1548" t="s">
        <v>14</v>
      </c>
      <c r="C1548">
        <v>2021</v>
      </c>
      <c r="D1548">
        <v>86</v>
      </c>
      <c r="E1548" t="s">
        <v>9</v>
      </c>
      <c r="F1548">
        <v>72.125</v>
      </c>
      <c r="G1548">
        <v>13.875</v>
      </c>
      <c r="H1548">
        <v>40000</v>
      </c>
      <c r="I1548" t="s">
        <v>22</v>
      </c>
    </row>
    <row r="1549" spans="1:9" x14ac:dyDescent="0.25">
      <c r="A1549">
        <v>3</v>
      </c>
      <c r="B1549" t="s">
        <v>14</v>
      </c>
      <c r="C1549">
        <v>2021</v>
      </c>
      <c r="D1549">
        <v>72.125</v>
      </c>
      <c r="E1549" t="s">
        <v>9</v>
      </c>
      <c r="F1549">
        <v>72.125</v>
      </c>
      <c r="G1549">
        <v>0</v>
      </c>
      <c r="H1549">
        <v>40000</v>
      </c>
      <c r="I1549" t="s">
        <v>22</v>
      </c>
    </row>
    <row r="1550" spans="1:9" x14ac:dyDescent="0.25">
      <c r="A1550">
        <v>4</v>
      </c>
      <c r="B1550" t="s">
        <v>14</v>
      </c>
      <c r="C1550">
        <v>2021</v>
      </c>
      <c r="D1550">
        <v>72.125</v>
      </c>
      <c r="E1550" t="s">
        <v>9</v>
      </c>
      <c r="F1550">
        <v>65.625</v>
      </c>
      <c r="G1550">
        <v>6.5</v>
      </c>
      <c r="H1550">
        <v>40000</v>
      </c>
      <c r="I1550" t="s">
        <v>22</v>
      </c>
    </row>
    <row r="1551" spans="1:9" x14ac:dyDescent="0.25">
      <c r="A1551">
        <v>5</v>
      </c>
      <c r="B1551" t="s">
        <v>14</v>
      </c>
      <c r="C1551">
        <v>2021</v>
      </c>
      <c r="D1551">
        <v>65.625</v>
      </c>
      <c r="E1551" t="s">
        <v>9</v>
      </c>
      <c r="F1551">
        <v>65.625</v>
      </c>
      <c r="G1551">
        <v>0</v>
      </c>
      <c r="H1551">
        <v>40000</v>
      </c>
      <c r="I1551" t="s">
        <v>22</v>
      </c>
    </row>
    <row r="1552" spans="1:9" x14ac:dyDescent="0.25">
      <c r="A1552">
        <v>6</v>
      </c>
      <c r="B1552" t="s">
        <v>14</v>
      </c>
      <c r="C1552">
        <v>2021</v>
      </c>
      <c r="D1552">
        <v>65.625</v>
      </c>
      <c r="E1552" t="s">
        <v>9</v>
      </c>
      <c r="F1552">
        <v>57.125</v>
      </c>
      <c r="G1552">
        <v>8.5</v>
      </c>
      <c r="H1552">
        <v>40000</v>
      </c>
      <c r="I1552" t="s">
        <v>22</v>
      </c>
    </row>
    <row r="1553" spans="1:9" x14ac:dyDescent="0.25">
      <c r="A1553">
        <v>7</v>
      </c>
      <c r="B1553" t="s">
        <v>14</v>
      </c>
      <c r="C1553">
        <v>2021</v>
      </c>
      <c r="D1553">
        <v>57.125</v>
      </c>
      <c r="E1553" t="s">
        <v>9</v>
      </c>
      <c r="F1553">
        <v>47.75</v>
      </c>
      <c r="G1553">
        <v>9.375</v>
      </c>
      <c r="H1553">
        <v>40000</v>
      </c>
      <c r="I1553" t="s">
        <v>22</v>
      </c>
    </row>
    <row r="1554" spans="1:9" x14ac:dyDescent="0.25">
      <c r="A1554">
        <v>8</v>
      </c>
      <c r="B1554" t="s">
        <v>14</v>
      </c>
      <c r="C1554">
        <v>2021</v>
      </c>
      <c r="D1554">
        <v>47.75</v>
      </c>
      <c r="E1554">
        <v>-15</v>
      </c>
      <c r="F1554">
        <v>14.875</v>
      </c>
      <c r="G1554">
        <v>17.875</v>
      </c>
      <c r="H1554">
        <v>40000</v>
      </c>
      <c r="I1554" t="s">
        <v>22</v>
      </c>
    </row>
    <row r="1555" spans="1:9" x14ac:dyDescent="0.25">
      <c r="A1555">
        <v>9</v>
      </c>
      <c r="B1555" t="s">
        <v>14</v>
      </c>
      <c r="C1555">
        <v>2021</v>
      </c>
      <c r="D1555">
        <v>14.875</v>
      </c>
      <c r="E1555">
        <v>70</v>
      </c>
      <c r="F1555">
        <v>46.625</v>
      </c>
      <c r="G1555">
        <v>38.25</v>
      </c>
      <c r="H1555">
        <v>40000</v>
      </c>
      <c r="I1555" t="s">
        <v>22</v>
      </c>
    </row>
    <row r="1556" spans="1:9" x14ac:dyDescent="0.25">
      <c r="A1556">
        <v>10</v>
      </c>
      <c r="B1556" t="s">
        <v>14</v>
      </c>
      <c r="C1556">
        <v>2021</v>
      </c>
      <c r="D1556">
        <v>46.625</v>
      </c>
      <c r="E1556">
        <v>-13</v>
      </c>
      <c r="F1556">
        <v>29.5</v>
      </c>
      <c r="G1556">
        <v>4.125</v>
      </c>
      <c r="H1556">
        <v>40000</v>
      </c>
      <c r="I1556" t="s">
        <v>22</v>
      </c>
    </row>
    <row r="1557" spans="1:9" x14ac:dyDescent="0.25">
      <c r="A1557">
        <v>11</v>
      </c>
      <c r="B1557" t="s">
        <v>14</v>
      </c>
      <c r="C1557">
        <v>2021</v>
      </c>
      <c r="D1557">
        <v>29.5</v>
      </c>
      <c r="E1557" t="s">
        <v>9</v>
      </c>
      <c r="F1557">
        <v>14.75</v>
      </c>
      <c r="G1557">
        <v>14.75</v>
      </c>
      <c r="H1557">
        <v>40000</v>
      </c>
      <c r="I1557" t="s">
        <v>22</v>
      </c>
    </row>
    <row r="1558" spans="1:9" x14ac:dyDescent="0.25">
      <c r="A1558">
        <v>12</v>
      </c>
      <c r="B1558" t="s">
        <v>14</v>
      </c>
      <c r="C1558">
        <v>2021</v>
      </c>
      <c r="D1558">
        <v>14.75</v>
      </c>
      <c r="E1558">
        <v>50</v>
      </c>
      <c r="F1558">
        <v>56.25</v>
      </c>
      <c r="G1558">
        <v>8.5</v>
      </c>
      <c r="H1558">
        <v>40000</v>
      </c>
      <c r="I1558" t="s">
        <v>22</v>
      </c>
    </row>
    <row r="1559" spans="1:9" x14ac:dyDescent="0.25">
      <c r="A1559">
        <v>13</v>
      </c>
      <c r="B1559" t="s">
        <v>14</v>
      </c>
      <c r="C1559">
        <v>2021</v>
      </c>
      <c r="D1559">
        <v>56.25</v>
      </c>
      <c r="E1559" t="s">
        <v>9</v>
      </c>
      <c r="F1559">
        <v>47.75</v>
      </c>
      <c r="G1559">
        <v>8.5</v>
      </c>
      <c r="H1559">
        <v>40000</v>
      </c>
      <c r="I1559" t="s">
        <v>22</v>
      </c>
    </row>
    <row r="1560" spans="1:9" x14ac:dyDescent="0.25">
      <c r="A1560">
        <v>14</v>
      </c>
      <c r="B1560" t="s">
        <v>14</v>
      </c>
      <c r="C1560">
        <v>2021</v>
      </c>
      <c r="D1560">
        <v>47.75</v>
      </c>
      <c r="E1560" t="s">
        <v>9</v>
      </c>
      <c r="F1560">
        <v>41.25</v>
      </c>
      <c r="G1560">
        <v>6.5</v>
      </c>
      <c r="H1560">
        <v>40000</v>
      </c>
      <c r="I1560" t="s">
        <v>22</v>
      </c>
    </row>
    <row r="1561" spans="1:9" x14ac:dyDescent="0.25">
      <c r="A1561">
        <v>15</v>
      </c>
      <c r="B1561" t="s">
        <v>14</v>
      </c>
      <c r="C1561">
        <v>2021</v>
      </c>
      <c r="D1561">
        <v>41.25</v>
      </c>
      <c r="E1561" t="s">
        <v>9</v>
      </c>
      <c r="F1561">
        <v>20.75</v>
      </c>
      <c r="G1561">
        <v>20.5</v>
      </c>
      <c r="H1561">
        <v>40000</v>
      </c>
      <c r="I1561" t="s">
        <v>22</v>
      </c>
    </row>
    <row r="1562" spans="1:9" x14ac:dyDescent="0.25">
      <c r="A1562">
        <v>16</v>
      </c>
      <c r="B1562" t="s">
        <v>14</v>
      </c>
      <c r="C1562">
        <v>2021</v>
      </c>
      <c r="D1562">
        <v>20.75</v>
      </c>
      <c r="E1562">
        <v>30</v>
      </c>
      <c r="F1562">
        <v>25.25</v>
      </c>
      <c r="G1562">
        <v>25.5</v>
      </c>
      <c r="H1562">
        <v>40000</v>
      </c>
      <c r="I1562" t="s">
        <v>22</v>
      </c>
    </row>
    <row r="1563" spans="1:9" x14ac:dyDescent="0.25">
      <c r="A1563">
        <v>17</v>
      </c>
      <c r="B1563" t="s">
        <v>14</v>
      </c>
      <c r="C1563">
        <v>2021</v>
      </c>
      <c r="D1563">
        <v>25.25</v>
      </c>
      <c r="E1563" t="s">
        <v>9</v>
      </c>
      <c r="F1563">
        <v>11.25</v>
      </c>
      <c r="G1563">
        <v>14</v>
      </c>
      <c r="H1563">
        <v>40000</v>
      </c>
      <c r="I1563" t="s">
        <v>22</v>
      </c>
    </row>
    <row r="1564" spans="1:9" x14ac:dyDescent="0.25">
      <c r="A1564">
        <v>18</v>
      </c>
      <c r="B1564" t="s">
        <v>14</v>
      </c>
      <c r="C1564">
        <v>2021</v>
      </c>
      <c r="D1564">
        <v>11.25</v>
      </c>
      <c r="E1564" t="s">
        <v>9</v>
      </c>
      <c r="F1564">
        <v>4.75</v>
      </c>
      <c r="G1564">
        <v>6.5</v>
      </c>
      <c r="H1564">
        <v>40000</v>
      </c>
      <c r="I1564" t="s">
        <v>22</v>
      </c>
    </row>
    <row r="1565" spans="1:9" x14ac:dyDescent="0.25">
      <c r="A1565">
        <v>19</v>
      </c>
      <c r="B1565" t="s">
        <v>14</v>
      </c>
      <c r="C1565">
        <v>2021</v>
      </c>
      <c r="D1565">
        <v>4.75</v>
      </c>
      <c r="E1565" t="s">
        <v>9</v>
      </c>
      <c r="F1565">
        <v>4.75</v>
      </c>
      <c r="G1565">
        <v>0</v>
      </c>
      <c r="H1565">
        <v>40000</v>
      </c>
      <c r="I1565" t="s">
        <v>22</v>
      </c>
    </row>
    <row r="1566" spans="1:9" x14ac:dyDescent="0.25">
      <c r="A1566">
        <v>20</v>
      </c>
      <c r="B1566" t="s">
        <v>14</v>
      </c>
      <c r="C1566">
        <v>2021</v>
      </c>
      <c r="D1566">
        <v>4.75</v>
      </c>
      <c r="E1566">
        <v>60</v>
      </c>
      <c r="F1566">
        <v>53.375</v>
      </c>
      <c r="G1566">
        <v>11.375</v>
      </c>
      <c r="H1566">
        <v>40000</v>
      </c>
      <c r="I1566" t="s">
        <v>22</v>
      </c>
    </row>
    <row r="1567" spans="1:9" x14ac:dyDescent="0.25">
      <c r="A1567">
        <v>21</v>
      </c>
      <c r="B1567" t="s">
        <v>14</v>
      </c>
      <c r="C1567">
        <v>2021</v>
      </c>
      <c r="D1567">
        <v>53.375</v>
      </c>
      <c r="E1567" t="s">
        <v>9</v>
      </c>
      <c r="F1567">
        <v>44.5</v>
      </c>
      <c r="G1567">
        <v>8.875</v>
      </c>
      <c r="H1567">
        <v>40000</v>
      </c>
      <c r="I1567" t="s">
        <v>22</v>
      </c>
    </row>
    <row r="1568" spans="1:9" x14ac:dyDescent="0.25">
      <c r="A1568">
        <v>22</v>
      </c>
      <c r="B1568" t="s">
        <v>14</v>
      </c>
      <c r="C1568">
        <v>2021</v>
      </c>
      <c r="D1568">
        <v>44.5</v>
      </c>
      <c r="E1568" t="s">
        <v>9</v>
      </c>
      <c r="F1568">
        <v>37</v>
      </c>
      <c r="G1568">
        <v>7.5</v>
      </c>
      <c r="H1568">
        <v>40000</v>
      </c>
      <c r="I1568" t="s">
        <v>22</v>
      </c>
    </row>
    <row r="1569" spans="1:9" x14ac:dyDescent="0.25">
      <c r="A1569">
        <v>23</v>
      </c>
      <c r="B1569" t="s">
        <v>14</v>
      </c>
      <c r="C1569">
        <v>2021</v>
      </c>
      <c r="D1569">
        <v>37</v>
      </c>
      <c r="E1569">
        <v>50</v>
      </c>
      <c r="F1569">
        <v>65</v>
      </c>
      <c r="G1569">
        <v>22</v>
      </c>
      <c r="H1569">
        <v>40000</v>
      </c>
      <c r="I1569" t="s">
        <v>22</v>
      </c>
    </row>
    <row r="1570" spans="1:9" x14ac:dyDescent="0.25">
      <c r="A1570">
        <v>24</v>
      </c>
      <c r="B1570" t="s">
        <v>14</v>
      </c>
      <c r="C1570">
        <v>2021</v>
      </c>
      <c r="D1570">
        <v>65</v>
      </c>
      <c r="E1570">
        <v>0.5</v>
      </c>
      <c r="F1570">
        <v>60.75</v>
      </c>
      <c r="G1570">
        <v>4.75</v>
      </c>
      <c r="H1570">
        <v>40000</v>
      </c>
      <c r="I1570" t="s">
        <v>22</v>
      </c>
    </row>
    <row r="1571" spans="1:9" x14ac:dyDescent="0.25">
      <c r="A1571">
        <v>25</v>
      </c>
      <c r="B1571" t="s">
        <v>14</v>
      </c>
      <c r="C1571">
        <v>2021</v>
      </c>
      <c r="D1571">
        <v>60.75</v>
      </c>
      <c r="E1571" t="s">
        <v>9</v>
      </c>
      <c r="F1571">
        <v>50.75</v>
      </c>
      <c r="G1571">
        <v>10</v>
      </c>
      <c r="H1571">
        <v>40000</v>
      </c>
      <c r="I1571" t="s">
        <v>22</v>
      </c>
    </row>
    <row r="1572" spans="1:9" x14ac:dyDescent="0.25">
      <c r="A1572">
        <v>26</v>
      </c>
      <c r="B1572" t="s">
        <v>14</v>
      </c>
      <c r="C1572">
        <v>2021</v>
      </c>
      <c r="D1572">
        <v>50.75</v>
      </c>
      <c r="E1572" t="s">
        <v>9</v>
      </c>
      <c r="F1572">
        <v>43.5</v>
      </c>
      <c r="G1572">
        <v>7.25</v>
      </c>
      <c r="H1572">
        <v>40000</v>
      </c>
      <c r="I1572" t="s">
        <v>22</v>
      </c>
    </row>
    <row r="1573" spans="1:9" x14ac:dyDescent="0.25">
      <c r="A1573">
        <v>27</v>
      </c>
      <c r="B1573" t="s">
        <v>14</v>
      </c>
      <c r="C1573">
        <v>2021</v>
      </c>
      <c r="D1573">
        <v>43.5</v>
      </c>
      <c r="E1573" t="s">
        <v>9</v>
      </c>
      <c r="F1573">
        <v>35.125</v>
      </c>
      <c r="G1573">
        <v>8.375</v>
      </c>
      <c r="H1573">
        <v>40000</v>
      </c>
      <c r="I1573" t="s">
        <v>22</v>
      </c>
    </row>
    <row r="1574" spans="1:9" x14ac:dyDescent="0.25">
      <c r="A1574">
        <v>28</v>
      </c>
      <c r="B1574" t="s">
        <v>14</v>
      </c>
      <c r="C1574">
        <v>2021</v>
      </c>
      <c r="D1574">
        <v>35.125</v>
      </c>
      <c r="E1574">
        <v>20</v>
      </c>
      <c r="F1574">
        <v>50.5</v>
      </c>
      <c r="G1574">
        <v>4.625</v>
      </c>
      <c r="H1574">
        <v>40000</v>
      </c>
      <c r="I1574" t="s">
        <v>22</v>
      </c>
    </row>
    <row r="1575" spans="1:9" x14ac:dyDescent="0.25">
      <c r="A1575">
        <v>29</v>
      </c>
      <c r="B1575" t="s">
        <v>14</v>
      </c>
      <c r="C1575">
        <v>2021</v>
      </c>
      <c r="D1575">
        <v>50.5</v>
      </c>
      <c r="E1575" t="s">
        <v>9</v>
      </c>
      <c r="F1575">
        <v>27</v>
      </c>
      <c r="G1575">
        <v>23.5</v>
      </c>
      <c r="H1575">
        <v>40000</v>
      </c>
      <c r="I1575" t="s">
        <v>22</v>
      </c>
    </row>
    <row r="1576" spans="1:9" x14ac:dyDescent="0.25">
      <c r="A1576">
        <v>30</v>
      </c>
      <c r="B1576" t="s">
        <v>14</v>
      </c>
      <c r="C1576">
        <v>2021</v>
      </c>
      <c r="D1576">
        <v>27</v>
      </c>
      <c r="E1576">
        <v>50</v>
      </c>
      <c r="F1576">
        <v>58.875</v>
      </c>
      <c r="G1576">
        <v>18.125</v>
      </c>
      <c r="H1576">
        <v>40000</v>
      </c>
      <c r="I1576" t="s">
        <v>22</v>
      </c>
    </row>
    <row r="1577" spans="1:9" x14ac:dyDescent="0.25">
      <c r="A1577">
        <v>31</v>
      </c>
      <c r="B1577" t="s">
        <v>14</v>
      </c>
      <c r="C1577">
        <v>2021</v>
      </c>
      <c r="D1577">
        <v>58.875</v>
      </c>
      <c r="E1577" t="s">
        <v>9</v>
      </c>
      <c r="F1577">
        <v>47.125</v>
      </c>
      <c r="G1577">
        <v>11.75</v>
      </c>
      <c r="H1577">
        <v>40000</v>
      </c>
      <c r="I1577" t="s">
        <v>22</v>
      </c>
    </row>
    <row r="1578" spans="1:9" hidden="1" x14ac:dyDescent="0.25">
      <c r="A1578">
        <v>1</v>
      </c>
      <c r="B1578" t="s">
        <v>14</v>
      </c>
      <c r="C1578">
        <v>2021</v>
      </c>
      <c r="D1578">
        <v>109</v>
      </c>
      <c r="E1578" t="s">
        <v>9</v>
      </c>
      <c r="F1578">
        <v>60.375</v>
      </c>
      <c r="G1578">
        <v>48.625</v>
      </c>
      <c r="H1578">
        <v>40000</v>
      </c>
      <c r="I1578" t="s">
        <v>23</v>
      </c>
    </row>
    <row r="1579" spans="1:9" hidden="1" x14ac:dyDescent="0.25">
      <c r="A1579">
        <v>2</v>
      </c>
      <c r="B1579" t="s">
        <v>14</v>
      </c>
      <c r="C1579">
        <v>2021</v>
      </c>
      <c r="D1579">
        <v>60.375</v>
      </c>
      <c r="E1579" t="s">
        <v>9</v>
      </c>
      <c r="F1579">
        <v>23.375</v>
      </c>
      <c r="G1579">
        <v>37</v>
      </c>
      <c r="H1579">
        <v>40000</v>
      </c>
      <c r="I1579" t="s">
        <v>23</v>
      </c>
    </row>
    <row r="1580" spans="1:9" hidden="1" x14ac:dyDescent="0.25">
      <c r="A1580">
        <v>3</v>
      </c>
      <c r="B1580" t="s">
        <v>14</v>
      </c>
      <c r="C1580">
        <v>2021</v>
      </c>
      <c r="D1580">
        <v>23.375</v>
      </c>
      <c r="E1580" t="s">
        <v>9</v>
      </c>
      <c r="F1580">
        <v>23.375</v>
      </c>
      <c r="G1580">
        <v>0</v>
      </c>
      <c r="H1580">
        <v>40000</v>
      </c>
      <c r="I1580" t="s">
        <v>23</v>
      </c>
    </row>
    <row r="1581" spans="1:9" hidden="1" x14ac:dyDescent="0.25">
      <c r="A1581">
        <v>4</v>
      </c>
      <c r="B1581" t="s">
        <v>14</v>
      </c>
      <c r="C1581">
        <v>2021</v>
      </c>
      <c r="D1581">
        <v>23.375</v>
      </c>
      <c r="E1581">
        <v>100</v>
      </c>
      <c r="F1581">
        <v>104</v>
      </c>
      <c r="G1581">
        <v>19.375</v>
      </c>
      <c r="H1581">
        <v>40000</v>
      </c>
      <c r="I1581" t="s">
        <v>23</v>
      </c>
    </row>
    <row r="1582" spans="1:9" hidden="1" x14ac:dyDescent="0.25">
      <c r="A1582">
        <v>5</v>
      </c>
      <c r="B1582" t="s">
        <v>14</v>
      </c>
      <c r="C1582">
        <v>2021</v>
      </c>
      <c r="D1582">
        <v>104</v>
      </c>
      <c r="E1582" t="s">
        <v>9</v>
      </c>
      <c r="F1582">
        <v>44</v>
      </c>
      <c r="G1582">
        <v>60</v>
      </c>
      <c r="H1582">
        <v>40000</v>
      </c>
      <c r="I1582" t="s">
        <v>23</v>
      </c>
    </row>
    <row r="1583" spans="1:9" hidden="1" x14ac:dyDescent="0.25">
      <c r="A1583">
        <v>6</v>
      </c>
      <c r="B1583" t="s">
        <v>14</v>
      </c>
      <c r="C1583">
        <v>2021</v>
      </c>
      <c r="D1583">
        <v>44</v>
      </c>
      <c r="E1583">
        <v>100</v>
      </c>
      <c r="F1583">
        <v>98</v>
      </c>
      <c r="G1583">
        <v>46</v>
      </c>
      <c r="H1583">
        <v>40000</v>
      </c>
      <c r="I1583" t="s">
        <v>23</v>
      </c>
    </row>
    <row r="1584" spans="1:9" hidden="1" x14ac:dyDescent="0.25">
      <c r="A1584">
        <v>7</v>
      </c>
      <c r="B1584" t="s">
        <v>14</v>
      </c>
      <c r="C1584">
        <v>2021</v>
      </c>
      <c r="D1584">
        <v>98</v>
      </c>
      <c r="E1584" t="s">
        <v>9</v>
      </c>
      <c r="F1584">
        <v>45.125</v>
      </c>
      <c r="G1584">
        <v>52.875</v>
      </c>
      <c r="H1584">
        <v>40000</v>
      </c>
      <c r="I1584" t="s">
        <v>23</v>
      </c>
    </row>
    <row r="1585" spans="1:9" hidden="1" x14ac:dyDescent="0.25">
      <c r="A1585">
        <v>8</v>
      </c>
      <c r="B1585" t="s">
        <v>14</v>
      </c>
      <c r="C1585">
        <v>2021</v>
      </c>
      <c r="D1585">
        <v>45.125</v>
      </c>
      <c r="E1585">
        <v>215</v>
      </c>
      <c r="F1585">
        <v>114</v>
      </c>
      <c r="G1585">
        <v>146.125</v>
      </c>
      <c r="H1585">
        <v>40000</v>
      </c>
      <c r="I1585" t="s">
        <v>23</v>
      </c>
    </row>
    <row r="1586" spans="1:9" hidden="1" x14ac:dyDescent="0.25">
      <c r="A1586">
        <v>9</v>
      </c>
      <c r="B1586" t="s">
        <v>14</v>
      </c>
      <c r="C1586">
        <v>2021</v>
      </c>
      <c r="D1586">
        <v>114</v>
      </c>
      <c r="E1586">
        <v>90</v>
      </c>
      <c r="F1586">
        <v>132.875</v>
      </c>
      <c r="G1586">
        <v>71.125</v>
      </c>
      <c r="H1586">
        <v>40000</v>
      </c>
      <c r="I1586" t="s">
        <v>23</v>
      </c>
    </row>
    <row r="1587" spans="1:9" hidden="1" x14ac:dyDescent="0.25">
      <c r="A1587">
        <v>10</v>
      </c>
      <c r="B1587" t="s">
        <v>14</v>
      </c>
      <c r="C1587">
        <v>2021</v>
      </c>
      <c r="D1587">
        <v>132.875</v>
      </c>
      <c r="E1587" t="s">
        <v>9</v>
      </c>
      <c r="F1587">
        <v>96</v>
      </c>
      <c r="G1587">
        <v>36.875</v>
      </c>
      <c r="H1587">
        <v>40000</v>
      </c>
      <c r="I1587" t="s">
        <v>23</v>
      </c>
    </row>
    <row r="1588" spans="1:9" hidden="1" x14ac:dyDescent="0.25">
      <c r="A1588">
        <v>11</v>
      </c>
      <c r="B1588" t="s">
        <v>14</v>
      </c>
      <c r="C1588">
        <v>2021</v>
      </c>
      <c r="D1588">
        <v>96</v>
      </c>
      <c r="E1588" t="s">
        <v>9</v>
      </c>
      <c r="F1588">
        <v>58</v>
      </c>
      <c r="G1588">
        <v>38</v>
      </c>
      <c r="H1588">
        <v>40000</v>
      </c>
      <c r="I1588" t="s">
        <v>23</v>
      </c>
    </row>
    <row r="1589" spans="1:9" hidden="1" x14ac:dyDescent="0.25">
      <c r="A1589">
        <v>12</v>
      </c>
      <c r="B1589" t="s">
        <v>14</v>
      </c>
      <c r="C1589">
        <v>2021</v>
      </c>
      <c r="D1589">
        <v>58</v>
      </c>
      <c r="E1589">
        <v>50</v>
      </c>
      <c r="F1589">
        <v>66</v>
      </c>
      <c r="G1589">
        <v>42</v>
      </c>
      <c r="H1589">
        <v>40000</v>
      </c>
      <c r="I1589" t="s">
        <v>23</v>
      </c>
    </row>
    <row r="1590" spans="1:9" hidden="1" x14ac:dyDescent="0.25">
      <c r="A1590">
        <v>13</v>
      </c>
      <c r="B1590" t="s">
        <v>14</v>
      </c>
      <c r="C1590">
        <v>2021</v>
      </c>
      <c r="D1590">
        <v>66</v>
      </c>
      <c r="E1590" t="s">
        <v>9</v>
      </c>
      <c r="F1590">
        <v>24.5</v>
      </c>
      <c r="G1590">
        <v>41.5</v>
      </c>
      <c r="H1590">
        <v>40000</v>
      </c>
      <c r="I1590" t="s">
        <v>23</v>
      </c>
    </row>
    <row r="1591" spans="1:9" hidden="1" x14ac:dyDescent="0.25">
      <c r="A1591">
        <v>14</v>
      </c>
      <c r="B1591" t="s">
        <v>14</v>
      </c>
      <c r="C1591">
        <v>2021</v>
      </c>
      <c r="D1591">
        <v>24.5</v>
      </c>
      <c r="E1591">
        <v>100</v>
      </c>
      <c r="F1591">
        <v>81</v>
      </c>
      <c r="G1591">
        <v>43.5</v>
      </c>
      <c r="H1591">
        <v>40000</v>
      </c>
      <c r="I1591" t="s">
        <v>23</v>
      </c>
    </row>
    <row r="1592" spans="1:9" hidden="1" x14ac:dyDescent="0.25">
      <c r="A1592">
        <v>15</v>
      </c>
      <c r="B1592" t="s">
        <v>14</v>
      </c>
      <c r="C1592">
        <v>2021</v>
      </c>
      <c r="D1592">
        <v>81</v>
      </c>
      <c r="E1592" t="s">
        <v>9</v>
      </c>
      <c r="F1592">
        <v>36.5</v>
      </c>
      <c r="G1592">
        <v>44.5</v>
      </c>
      <c r="H1592">
        <v>40000</v>
      </c>
      <c r="I1592" t="s">
        <v>23</v>
      </c>
    </row>
    <row r="1593" spans="1:9" hidden="1" x14ac:dyDescent="0.25">
      <c r="A1593">
        <v>16</v>
      </c>
      <c r="B1593" t="s">
        <v>14</v>
      </c>
      <c r="C1593">
        <v>2021</v>
      </c>
      <c r="D1593">
        <v>36.5</v>
      </c>
      <c r="E1593">
        <v>90</v>
      </c>
      <c r="F1593">
        <v>71</v>
      </c>
      <c r="G1593">
        <v>55.5</v>
      </c>
      <c r="H1593">
        <v>40000</v>
      </c>
      <c r="I1593" t="s">
        <v>23</v>
      </c>
    </row>
    <row r="1594" spans="1:9" hidden="1" x14ac:dyDescent="0.25">
      <c r="A1594">
        <v>17</v>
      </c>
      <c r="B1594" t="s">
        <v>14</v>
      </c>
      <c r="C1594">
        <v>2021</v>
      </c>
      <c r="D1594">
        <v>71</v>
      </c>
      <c r="E1594" t="s">
        <v>9</v>
      </c>
      <c r="F1594">
        <v>40.375</v>
      </c>
      <c r="G1594">
        <v>30.625</v>
      </c>
      <c r="H1594">
        <v>40000</v>
      </c>
      <c r="I1594" t="s">
        <v>23</v>
      </c>
    </row>
    <row r="1595" spans="1:9" hidden="1" x14ac:dyDescent="0.25">
      <c r="A1595">
        <v>18</v>
      </c>
      <c r="B1595" t="s">
        <v>14</v>
      </c>
      <c r="C1595">
        <v>2021</v>
      </c>
      <c r="D1595">
        <v>40.375</v>
      </c>
      <c r="E1595">
        <v>20</v>
      </c>
      <c r="F1595">
        <v>31.5</v>
      </c>
      <c r="G1595">
        <v>28.875</v>
      </c>
      <c r="H1595">
        <v>40000</v>
      </c>
      <c r="I1595" t="s">
        <v>23</v>
      </c>
    </row>
    <row r="1596" spans="1:9" hidden="1" x14ac:dyDescent="0.25">
      <c r="A1596">
        <v>19</v>
      </c>
      <c r="B1596" t="s">
        <v>14</v>
      </c>
      <c r="C1596">
        <v>2021</v>
      </c>
      <c r="D1596">
        <v>31.5</v>
      </c>
      <c r="E1596" t="s">
        <v>9</v>
      </c>
      <c r="F1596">
        <v>31.5</v>
      </c>
      <c r="G1596">
        <v>0</v>
      </c>
      <c r="H1596">
        <v>40000</v>
      </c>
      <c r="I1596" t="s">
        <v>23</v>
      </c>
    </row>
    <row r="1597" spans="1:9" hidden="1" x14ac:dyDescent="0.25">
      <c r="A1597">
        <v>20</v>
      </c>
      <c r="B1597" t="s">
        <v>14</v>
      </c>
      <c r="C1597">
        <v>2021</v>
      </c>
      <c r="D1597">
        <v>31.5</v>
      </c>
      <c r="E1597">
        <v>160</v>
      </c>
      <c r="F1597">
        <v>153.5</v>
      </c>
      <c r="G1597">
        <v>38</v>
      </c>
      <c r="H1597">
        <v>40000</v>
      </c>
      <c r="I1597" t="s">
        <v>23</v>
      </c>
    </row>
    <row r="1598" spans="1:9" hidden="1" x14ac:dyDescent="0.25">
      <c r="A1598">
        <v>21</v>
      </c>
      <c r="B1598" t="s">
        <v>14</v>
      </c>
      <c r="C1598">
        <v>2021</v>
      </c>
      <c r="D1598">
        <v>153.5</v>
      </c>
      <c r="E1598" t="s">
        <v>9</v>
      </c>
      <c r="F1598">
        <v>118</v>
      </c>
      <c r="G1598">
        <v>35.5</v>
      </c>
      <c r="H1598">
        <v>40000</v>
      </c>
      <c r="I1598" t="s">
        <v>23</v>
      </c>
    </row>
    <row r="1599" spans="1:9" hidden="1" x14ac:dyDescent="0.25">
      <c r="A1599">
        <v>22</v>
      </c>
      <c r="B1599" t="s">
        <v>14</v>
      </c>
      <c r="C1599">
        <v>2021</v>
      </c>
      <c r="D1599">
        <v>118</v>
      </c>
      <c r="E1599" t="s">
        <v>9</v>
      </c>
      <c r="F1599">
        <v>70.5</v>
      </c>
      <c r="G1599">
        <v>47.5</v>
      </c>
      <c r="H1599">
        <v>40000</v>
      </c>
      <c r="I1599" t="s">
        <v>23</v>
      </c>
    </row>
    <row r="1600" spans="1:9" hidden="1" x14ac:dyDescent="0.25">
      <c r="A1600">
        <v>23</v>
      </c>
      <c r="B1600" t="s">
        <v>14</v>
      </c>
      <c r="C1600">
        <v>2021</v>
      </c>
      <c r="D1600">
        <v>70.5</v>
      </c>
      <c r="E1600">
        <v>100</v>
      </c>
      <c r="F1600">
        <v>128</v>
      </c>
      <c r="G1600">
        <v>42.5</v>
      </c>
      <c r="H1600">
        <v>40000</v>
      </c>
      <c r="I1600" t="s">
        <v>23</v>
      </c>
    </row>
    <row r="1601" spans="1:9" hidden="1" x14ac:dyDescent="0.25">
      <c r="A1601">
        <v>24</v>
      </c>
      <c r="B1601" t="s">
        <v>14</v>
      </c>
      <c r="C1601">
        <v>2021</v>
      </c>
      <c r="D1601">
        <v>128</v>
      </c>
      <c r="E1601" t="s">
        <v>9</v>
      </c>
      <c r="F1601">
        <v>95.5</v>
      </c>
      <c r="G1601">
        <v>32.5</v>
      </c>
      <c r="H1601">
        <v>40000</v>
      </c>
      <c r="I1601" t="s">
        <v>23</v>
      </c>
    </row>
    <row r="1602" spans="1:9" hidden="1" x14ac:dyDescent="0.25">
      <c r="A1602">
        <v>25</v>
      </c>
      <c r="B1602" t="s">
        <v>14</v>
      </c>
      <c r="C1602">
        <v>2021</v>
      </c>
      <c r="D1602">
        <v>95.5</v>
      </c>
      <c r="E1602" t="s">
        <v>9</v>
      </c>
      <c r="F1602">
        <v>74</v>
      </c>
      <c r="G1602">
        <v>21.5</v>
      </c>
      <c r="H1602">
        <v>40000</v>
      </c>
      <c r="I1602" t="s">
        <v>23</v>
      </c>
    </row>
    <row r="1603" spans="1:9" hidden="1" x14ac:dyDescent="0.25">
      <c r="A1603">
        <v>26</v>
      </c>
      <c r="B1603" t="s">
        <v>14</v>
      </c>
      <c r="C1603">
        <v>2021</v>
      </c>
      <c r="D1603">
        <v>74</v>
      </c>
      <c r="E1603" t="s">
        <v>9</v>
      </c>
      <c r="F1603">
        <v>50</v>
      </c>
      <c r="G1603">
        <v>24</v>
      </c>
      <c r="H1603">
        <v>40000</v>
      </c>
      <c r="I1603" t="s">
        <v>23</v>
      </c>
    </row>
    <row r="1604" spans="1:9" hidden="1" x14ac:dyDescent="0.25">
      <c r="A1604">
        <v>27</v>
      </c>
      <c r="B1604" t="s">
        <v>14</v>
      </c>
      <c r="C1604">
        <v>2021</v>
      </c>
      <c r="D1604">
        <v>50</v>
      </c>
      <c r="E1604" t="s">
        <v>9</v>
      </c>
      <c r="F1604">
        <v>24.5</v>
      </c>
      <c r="G1604">
        <v>25.5</v>
      </c>
      <c r="H1604">
        <v>40000</v>
      </c>
      <c r="I1604" t="s">
        <v>23</v>
      </c>
    </row>
    <row r="1605" spans="1:9" hidden="1" x14ac:dyDescent="0.25">
      <c r="A1605">
        <v>28</v>
      </c>
      <c r="B1605" t="s">
        <v>14</v>
      </c>
      <c r="C1605">
        <v>2021</v>
      </c>
      <c r="D1605">
        <v>24.5</v>
      </c>
      <c r="E1605">
        <v>120</v>
      </c>
      <c r="F1605">
        <v>125</v>
      </c>
      <c r="G1605">
        <v>19.5</v>
      </c>
      <c r="H1605">
        <v>40000</v>
      </c>
      <c r="I1605" t="s">
        <v>23</v>
      </c>
    </row>
    <row r="1606" spans="1:9" hidden="1" x14ac:dyDescent="0.25">
      <c r="A1606">
        <v>29</v>
      </c>
      <c r="B1606" t="s">
        <v>14</v>
      </c>
      <c r="C1606">
        <v>2021</v>
      </c>
      <c r="D1606">
        <v>125</v>
      </c>
      <c r="E1606" t="s">
        <v>9</v>
      </c>
      <c r="F1606">
        <v>69</v>
      </c>
      <c r="G1606">
        <v>56</v>
      </c>
      <c r="H1606">
        <v>40000</v>
      </c>
      <c r="I1606" t="s">
        <v>23</v>
      </c>
    </row>
    <row r="1607" spans="1:9" hidden="1" x14ac:dyDescent="0.25">
      <c r="A1607">
        <v>30</v>
      </c>
      <c r="B1607" t="s">
        <v>14</v>
      </c>
      <c r="C1607">
        <v>2021</v>
      </c>
      <c r="D1607">
        <v>69</v>
      </c>
      <c r="E1607">
        <v>50</v>
      </c>
      <c r="F1607">
        <v>74</v>
      </c>
      <c r="G1607">
        <v>45</v>
      </c>
      <c r="H1607">
        <v>40000</v>
      </c>
      <c r="I1607" t="s">
        <v>23</v>
      </c>
    </row>
    <row r="1608" spans="1:9" hidden="1" x14ac:dyDescent="0.25">
      <c r="A1608">
        <v>31</v>
      </c>
      <c r="B1608" t="s">
        <v>14</v>
      </c>
      <c r="C1608">
        <v>2021</v>
      </c>
      <c r="D1608">
        <v>74</v>
      </c>
      <c r="E1608" t="s">
        <v>9</v>
      </c>
      <c r="F1608">
        <v>47</v>
      </c>
      <c r="G1608">
        <v>27</v>
      </c>
      <c r="H1608">
        <v>40000</v>
      </c>
      <c r="I1608" t="s">
        <v>23</v>
      </c>
    </row>
    <row r="1609" spans="1:9" hidden="1" x14ac:dyDescent="0.25">
      <c r="A1609">
        <v>1</v>
      </c>
      <c r="B1609" t="s">
        <v>14</v>
      </c>
      <c r="C1609">
        <v>2021</v>
      </c>
      <c r="D1609">
        <v>51.5</v>
      </c>
      <c r="E1609" t="s">
        <v>9</v>
      </c>
      <c r="F1609">
        <v>28.625</v>
      </c>
      <c r="G1609">
        <v>22.875</v>
      </c>
      <c r="H1609">
        <v>40000</v>
      </c>
      <c r="I1609" t="s">
        <v>25</v>
      </c>
    </row>
    <row r="1610" spans="1:9" hidden="1" x14ac:dyDescent="0.25">
      <c r="A1610">
        <v>2</v>
      </c>
      <c r="B1610" t="s">
        <v>14</v>
      </c>
      <c r="C1610">
        <v>2021</v>
      </c>
      <c r="D1610">
        <v>28.625</v>
      </c>
      <c r="E1610">
        <v>40</v>
      </c>
      <c r="F1610">
        <v>36.875</v>
      </c>
      <c r="G1610">
        <v>31.75</v>
      </c>
      <c r="H1610">
        <v>40000</v>
      </c>
      <c r="I1610" t="s">
        <v>25</v>
      </c>
    </row>
    <row r="1611" spans="1:9" hidden="1" x14ac:dyDescent="0.25">
      <c r="A1611">
        <v>3</v>
      </c>
      <c r="B1611" t="s">
        <v>14</v>
      </c>
      <c r="C1611">
        <v>2021</v>
      </c>
      <c r="D1611">
        <v>36.875</v>
      </c>
      <c r="E1611" t="s">
        <v>9</v>
      </c>
      <c r="F1611">
        <v>36.875</v>
      </c>
      <c r="G1611">
        <v>0</v>
      </c>
      <c r="H1611">
        <v>40000</v>
      </c>
      <c r="I1611" t="s">
        <v>25</v>
      </c>
    </row>
    <row r="1612" spans="1:9" hidden="1" x14ac:dyDescent="0.25">
      <c r="A1612">
        <v>4</v>
      </c>
      <c r="B1612" t="s">
        <v>14</v>
      </c>
      <c r="C1612">
        <v>2021</v>
      </c>
      <c r="D1612">
        <v>36.875</v>
      </c>
      <c r="E1612">
        <v>1</v>
      </c>
      <c r="F1612">
        <v>16.5</v>
      </c>
      <c r="G1612">
        <v>21.375</v>
      </c>
      <c r="H1612">
        <v>40000</v>
      </c>
      <c r="I1612" t="s">
        <v>25</v>
      </c>
    </row>
    <row r="1613" spans="1:9" hidden="1" x14ac:dyDescent="0.25">
      <c r="A1613">
        <v>5</v>
      </c>
      <c r="B1613" t="s">
        <v>14</v>
      </c>
      <c r="C1613">
        <v>2021</v>
      </c>
      <c r="D1613">
        <v>16.5</v>
      </c>
      <c r="E1613" t="s">
        <v>9</v>
      </c>
      <c r="F1613">
        <v>1.875</v>
      </c>
      <c r="G1613">
        <v>14.625</v>
      </c>
      <c r="H1613">
        <v>40000</v>
      </c>
      <c r="I1613" t="s">
        <v>25</v>
      </c>
    </row>
    <row r="1614" spans="1:9" hidden="1" x14ac:dyDescent="0.25">
      <c r="A1614">
        <v>6</v>
      </c>
      <c r="B1614" t="s">
        <v>14</v>
      </c>
      <c r="C1614">
        <v>2021</v>
      </c>
      <c r="D1614">
        <v>1.875</v>
      </c>
      <c r="E1614">
        <v>40</v>
      </c>
      <c r="F1614">
        <v>22</v>
      </c>
      <c r="G1614">
        <v>19.875</v>
      </c>
      <c r="H1614">
        <v>40000</v>
      </c>
      <c r="I1614" t="s">
        <v>25</v>
      </c>
    </row>
    <row r="1615" spans="1:9" hidden="1" x14ac:dyDescent="0.25">
      <c r="A1615">
        <v>7</v>
      </c>
      <c r="B1615" t="s">
        <v>14</v>
      </c>
      <c r="C1615">
        <v>2021</v>
      </c>
      <c r="D1615">
        <v>22</v>
      </c>
      <c r="E1615" t="s">
        <v>9</v>
      </c>
      <c r="F1615">
        <v>7.5</v>
      </c>
      <c r="G1615">
        <v>14.5</v>
      </c>
      <c r="H1615">
        <v>40000</v>
      </c>
      <c r="I1615" t="s">
        <v>25</v>
      </c>
    </row>
    <row r="1616" spans="1:9" hidden="1" x14ac:dyDescent="0.25">
      <c r="A1616">
        <v>8</v>
      </c>
      <c r="B1616" t="s">
        <v>14</v>
      </c>
      <c r="C1616">
        <v>2021</v>
      </c>
      <c r="D1616">
        <v>7.5</v>
      </c>
      <c r="E1616">
        <v>50</v>
      </c>
      <c r="F1616">
        <v>25</v>
      </c>
      <c r="G1616">
        <v>32.5</v>
      </c>
      <c r="H1616">
        <v>40000</v>
      </c>
      <c r="I1616" t="s">
        <v>25</v>
      </c>
    </row>
    <row r="1617" spans="1:9" hidden="1" x14ac:dyDescent="0.25">
      <c r="A1617">
        <v>9</v>
      </c>
      <c r="B1617" t="s">
        <v>14</v>
      </c>
      <c r="C1617">
        <v>2021</v>
      </c>
      <c r="D1617">
        <v>25</v>
      </c>
      <c r="E1617">
        <v>79</v>
      </c>
      <c r="F1617">
        <v>41.5</v>
      </c>
      <c r="G1617">
        <v>62.5</v>
      </c>
      <c r="H1617">
        <v>40000</v>
      </c>
      <c r="I1617" t="s">
        <v>25</v>
      </c>
    </row>
    <row r="1618" spans="1:9" hidden="1" x14ac:dyDescent="0.25">
      <c r="A1618">
        <v>10</v>
      </c>
      <c r="B1618" t="s">
        <v>14</v>
      </c>
      <c r="C1618">
        <v>2021</v>
      </c>
      <c r="D1618">
        <v>41.5</v>
      </c>
      <c r="E1618" t="s">
        <v>9</v>
      </c>
      <c r="F1618">
        <v>17</v>
      </c>
      <c r="G1618">
        <v>24.5</v>
      </c>
      <c r="H1618">
        <v>40000</v>
      </c>
      <c r="I1618" t="s">
        <v>25</v>
      </c>
    </row>
    <row r="1619" spans="1:9" hidden="1" x14ac:dyDescent="0.25">
      <c r="A1619">
        <v>11</v>
      </c>
      <c r="B1619" t="s">
        <v>14</v>
      </c>
      <c r="C1619">
        <v>2021</v>
      </c>
      <c r="D1619">
        <v>17</v>
      </c>
      <c r="E1619">
        <v>30</v>
      </c>
      <c r="F1619">
        <v>24</v>
      </c>
      <c r="G1619">
        <v>23</v>
      </c>
      <c r="H1619">
        <v>40000</v>
      </c>
      <c r="I1619" t="s">
        <v>25</v>
      </c>
    </row>
    <row r="1620" spans="1:9" hidden="1" x14ac:dyDescent="0.25">
      <c r="A1620">
        <v>12</v>
      </c>
      <c r="B1620" t="s">
        <v>14</v>
      </c>
      <c r="C1620">
        <v>2021</v>
      </c>
      <c r="D1620">
        <v>24</v>
      </c>
      <c r="E1620" t="s">
        <v>9</v>
      </c>
      <c r="F1620">
        <v>4.625</v>
      </c>
      <c r="G1620">
        <v>19.375</v>
      </c>
      <c r="H1620">
        <v>40000</v>
      </c>
      <c r="I1620" t="s">
        <v>25</v>
      </c>
    </row>
    <row r="1621" spans="1:9" hidden="1" x14ac:dyDescent="0.25">
      <c r="A1621">
        <v>13</v>
      </c>
      <c r="B1621" t="s">
        <v>14</v>
      </c>
      <c r="C1621">
        <v>2021</v>
      </c>
      <c r="D1621">
        <v>4.625</v>
      </c>
      <c r="E1621">
        <v>18</v>
      </c>
      <c r="F1621">
        <v>0</v>
      </c>
      <c r="G1621">
        <v>22.625</v>
      </c>
      <c r="H1621">
        <v>40000</v>
      </c>
      <c r="I1621" t="s">
        <v>25</v>
      </c>
    </row>
    <row r="1622" spans="1:9" hidden="1" x14ac:dyDescent="0.25">
      <c r="A1622">
        <v>14</v>
      </c>
      <c r="B1622" t="s">
        <v>14</v>
      </c>
      <c r="C1622">
        <v>2021</v>
      </c>
      <c r="D1622">
        <v>0</v>
      </c>
      <c r="E1622">
        <v>50</v>
      </c>
      <c r="F1622">
        <v>21.5</v>
      </c>
      <c r="G1622">
        <v>28.5</v>
      </c>
      <c r="H1622">
        <v>40000</v>
      </c>
      <c r="I1622" t="s">
        <v>25</v>
      </c>
    </row>
    <row r="1623" spans="1:9" hidden="1" x14ac:dyDescent="0.25">
      <c r="A1623">
        <v>15</v>
      </c>
      <c r="B1623" t="s">
        <v>14</v>
      </c>
      <c r="C1623">
        <v>2021</v>
      </c>
      <c r="D1623">
        <v>21.5</v>
      </c>
      <c r="E1623">
        <v>47</v>
      </c>
      <c r="F1623">
        <v>31.5</v>
      </c>
      <c r="G1623">
        <v>37</v>
      </c>
      <c r="H1623">
        <v>40000</v>
      </c>
      <c r="I1623" t="s">
        <v>25</v>
      </c>
    </row>
    <row r="1624" spans="1:9" hidden="1" x14ac:dyDescent="0.25">
      <c r="A1624">
        <v>16</v>
      </c>
      <c r="B1624" t="s">
        <v>14</v>
      </c>
      <c r="C1624">
        <v>2021</v>
      </c>
      <c r="D1624">
        <v>31.5</v>
      </c>
      <c r="E1624">
        <v>20</v>
      </c>
      <c r="F1624">
        <v>9.5</v>
      </c>
      <c r="G1624">
        <v>42</v>
      </c>
      <c r="H1624">
        <v>40000</v>
      </c>
      <c r="I1624" t="s">
        <v>25</v>
      </c>
    </row>
    <row r="1625" spans="1:9" hidden="1" x14ac:dyDescent="0.25">
      <c r="A1625">
        <v>17</v>
      </c>
      <c r="B1625" t="s">
        <v>14</v>
      </c>
      <c r="C1625">
        <v>2021</v>
      </c>
      <c r="D1625">
        <v>9.5</v>
      </c>
      <c r="E1625">
        <v>50</v>
      </c>
      <c r="F1625">
        <v>31</v>
      </c>
      <c r="G1625">
        <v>28.5</v>
      </c>
      <c r="H1625">
        <v>40000</v>
      </c>
      <c r="I1625" t="s">
        <v>25</v>
      </c>
    </row>
    <row r="1626" spans="1:9" hidden="1" x14ac:dyDescent="0.25">
      <c r="A1626">
        <v>18</v>
      </c>
      <c r="B1626" t="s">
        <v>14</v>
      </c>
      <c r="C1626">
        <v>2021</v>
      </c>
      <c r="D1626">
        <v>31</v>
      </c>
      <c r="E1626" t="s">
        <v>9</v>
      </c>
      <c r="F1626">
        <v>10</v>
      </c>
      <c r="G1626">
        <v>21</v>
      </c>
      <c r="H1626">
        <v>40000</v>
      </c>
      <c r="I1626" t="s">
        <v>25</v>
      </c>
    </row>
    <row r="1627" spans="1:9" hidden="1" x14ac:dyDescent="0.25">
      <c r="A1627">
        <v>19</v>
      </c>
      <c r="B1627" t="s">
        <v>14</v>
      </c>
      <c r="C1627">
        <v>2021</v>
      </c>
      <c r="D1627">
        <v>10</v>
      </c>
      <c r="E1627" t="s">
        <v>9</v>
      </c>
      <c r="F1627">
        <v>10</v>
      </c>
      <c r="G1627">
        <v>0</v>
      </c>
      <c r="H1627">
        <v>40000</v>
      </c>
      <c r="I1627" t="s">
        <v>25</v>
      </c>
    </row>
    <row r="1628" spans="1:9" hidden="1" x14ac:dyDescent="0.25">
      <c r="A1628">
        <v>20</v>
      </c>
      <c r="B1628" t="s">
        <v>14</v>
      </c>
      <c r="C1628">
        <v>2021</v>
      </c>
      <c r="D1628">
        <v>10</v>
      </c>
      <c r="E1628">
        <v>50</v>
      </c>
      <c r="F1628">
        <v>43.375</v>
      </c>
      <c r="G1628">
        <v>16.625</v>
      </c>
      <c r="H1628">
        <v>40000</v>
      </c>
      <c r="I1628" t="s">
        <v>25</v>
      </c>
    </row>
    <row r="1629" spans="1:9" hidden="1" x14ac:dyDescent="0.25">
      <c r="A1629">
        <v>21</v>
      </c>
      <c r="B1629" t="s">
        <v>14</v>
      </c>
      <c r="C1629">
        <v>2021</v>
      </c>
      <c r="D1629">
        <v>43.375</v>
      </c>
      <c r="E1629" t="s">
        <v>9</v>
      </c>
      <c r="F1629">
        <v>22.75</v>
      </c>
      <c r="G1629">
        <v>20.625</v>
      </c>
      <c r="H1629">
        <v>40000</v>
      </c>
      <c r="I1629" t="s">
        <v>25</v>
      </c>
    </row>
    <row r="1630" spans="1:9" hidden="1" x14ac:dyDescent="0.25">
      <c r="A1630">
        <v>22</v>
      </c>
      <c r="B1630" t="s">
        <v>14</v>
      </c>
      <c r="C1630">
        <v>2021</v>
      </c>
      <c r="D1630">
        <v>22.75</v>
      </c>
      <c r="E1630">
        <v>30</v>
      </c>
      <c r="F1630">
        <v>27</v>
      </c>
      <c r="G1630">
        <v>25.75</v>
      </c>
      <c r="H1630">
        <v>40000</v>
      </c>
      <c r="I1630" t="s">
        <v>25</v>
      </c>
    </row>
    <row r="1631" spans="1:9" hidden="1" x14ac:dyDescent="0.25">
      <c r="A1631">
        <v>23</v>
      </c>
      <c r="B1631" t="s">
        <v>14</v>
      </c>
      <c r="C1631">
        <v>2021</v>
      </c>
      <c r="D1631">
        <v>27</v>
      </c>
      <c r="E1631">
        <v>56</v>
      </c>
      <c r="F1631">
        <v>59</v>
      </c>
      <c r="G1631">
        <v>24</v>
      </c>
      <c r="H1631">
        <v>40000</v>
      </c>
      <c r="I1631" t="s">
        <v>25</v>
      </c>
    </row>
    <row r="1632" spans="1:9" hidden="1" x14ac:dyDescent="0.25">
      <c r="A1632">
        <v>24</v>
      </c>
      <c r="B1632" t="s">
        <v>14</v>
      </c>
      <c r="C1632">
        <v>2021</v>
      </c>
      <c r="D1632">
        <v>59</v>
      </c>
      <c r="E1632" t="s">
        <v>9</v>
      </c>
      <c r="F1632">
        <v>43.25</v>
      </c>
      <c r="G1632">
        <v>15.75</v>
      </c>
      <c r="H1632">
        <v>40000</v>
      </c>
      <c r="I1632" t="s">
        <v>25</v>
      </c>
    </row>
    <row r="1633" spans="1:9" hidden="1" x14ac:dyDescent="0.25">
      <c r="A1633">
        <v>25</v>
      </c>
      <c r="B1633" t="s">
        <v>14</v>
      </c>
      <c r="C1633">
        <v>2021</v>
      </c>
      <c r="D1633">
        <v>43.25</v>
      </c>
      <c r="E1633" t="s">
        <v>9</v>
      </c>
      <c r="F1633">
        <v>29</v>
      </c>
      <c r="G1633">
        <v>14.25</v>
      </c>
      <c r="H1633">
        <v>40000</v>
      </c>
      <c r="I1633" t="s">
        <v>25</v>
      </c>
    </row>
    <row r="1634" spans="1:9" hidden="1" x14ac:dyDescent="0.25">
      <c r="A1634">
        <v>26</v>
      </c>
      <c r="B1634" t="s">
        <v>14</v>
      </c>
      <c r="C1634">
        <v>2021</v>
      </c>
      <c r="D1634">
        <v>29</v>
      </c>
      <c r="E1634" t="s">
        <v>9</v>
      </c>
      <c r="F1634">
        <v>17.75</v>
      </c>
      <c r="G1634">
        <v>11.25</v>
      </c>
      <c r="H1634">
        <v>40000</v>
      </c>
      <c r="I1634" t="s">
        <v>25</v>
      </c>
    </row>
    <row r="1635" spans="1:9" hidden="1" x14ac:dyDescent="0.25">
      <c r="A1635">
        <v>27</v>
      </c>
      <c r="B1635" t="s">
        <v>14</v>
      </c>
      <c r="C1635">
        <v>2021</v>
      </c>
      <c r="D1635">
        <v>17.75</v>
      </c>
      <c r="E1635" t="s">
        <v>9</v>
      </c>
      <c r="F1635">
        <v>1.25</v>
      </c>
      <c r="G1635">
        <v>16.5</v>
      </c>
      <c r="H1635">
        <v>40000</v>
      </c>
      <c r="I1635" t="s">
        <v>25</v>
      </c>
    </row>
    <row r="1636" spans="1:9" hidden="1" x14ac:dyDescent="0.25">
      <c r="A1636">
        <v>28</v>
      </c>
      <c r="B1636" t="s">
        <v>14</v>
      </c>
      <c r="C1636">
        <v>2021</v>
      </c>
      <c r="D1636">
        <v>1.25</v>
      </c>
      <c r="E1636">
        <v>67</v>
      </c>
      <c r="F1636">
        <v>52</v>
      </c>
      <c r="G1636">
        <v>16.25</v>
      </c>
      <c r="H1636">
        <v>40000</v>
      </c>
      <c r="I1636" t="s">
        <v>25</v>
      </c>
    </row>
    <row r="1637" spans="1:9" hidden="1" x14ac:dyDescent="0.25">
      <c r="A1637">
        <v>29</v>
      </c>
      <c r="B1637" t="s">
        <v>14</v>
      </c>
      <c r="C1637">
        <v>2021</v>
      </c>
      <c r="D1637">
        <v>52</v>
      </c>
      <c r="E1637">
        <v>3</v>
      </c>
      <c r="F1637">
        <v>24</v>
      </c>
      <c r="G1637">
        <v>31</v>
      </c>
      <c r="H1637">
        <v>40000</v>
      </c>
      <c r="I1637" t="s">
        <v>25</v>
      </c>
    </row>
    <row r="1638" spans="1:9" hidden="1" x14ac:dyDescent="0.25">
      <c r="A1638">
        <v>30</v>
      </c>
      <c r="B1638" t="s">
        <v>14</v>
      </c>
      <c r="C1638">
        <v>2021</v>
      </c>
      <c r="D1638">
        <v>24</v>
      </c>
      <c r="E1638">
        <v>34</v>
      </c>
      <c r="F1638">
        <v>23.125</v>
      </c>
      <c r="G1638">
        <v>34.875</v>
      </c>
      <c r="H1638">
        <v>40000</v>
      </c>
      <c r="I1638" t="s">
        <v>25</v>
      </c>
    </row>
    <row r="1639" spans="1:9" hidden="1" x14ac:dyDescent="0.25">
      <c r="A1639">
        <v>31</v>
      </c>
      <c r="B1639" t="s">
        <v>14</v>
      </c>
      <c r="C1639">
        <v>2021</v>
      </c>
      <c r="D1639">
        <v>23.125</v>
      </c>
      <c r="E1639">
        <v>30</v>
      </c>
      <c r="F1639">
        <v>41</v>
      </c>
      <c r="G1639">
        <v>12.125</v>
      </c>
      <c r="H1639">
        <v>40000</v>
      </c>
      <c r="I1639" t="s">
        <v>25</v>
      </c>
    </row>
    <row r="1640" spans="1:9" x14ac:dyDescent="0.25">
      <c r="A1640">
        <v>1</v>
      </c>
      <c r="B1640" t="s">
        <v>15</v>
      </c>
      <c r="C1640">
        <v>2021</v>
      </c>
      <c r="D1640">
        <v>47.125</v>
      </c>
      <c r="E1640" t="s">
        <v>9</v>
      </c>
      <c r="F1640">
        <v>38.375</v>
      </c>
      <c r="G1640">
        <v>8.75</v>
      </c>
      <c r="H1640">
        <v>40000</v>
      </c>
      <c r="I1640" t="s">
        <v>22</v>
      </c>
    </row>
    <row r="1641" spans="1:9" x14ac:dyDescent="0.25">
      <c r="A1641">
        <v>2</v>
      </c>
      <c r="B1641" t="s">
        <v>15</v>
      </c>
      <c r="C1641">
        <v>2021</v>
      </c>
      <c r="D1641">
        <v>38.375</v>
      </c>
      <c r="E1641">
        <v>50</v>
      </c>
      <c r="F1641">
        <v>68.375</v>
      </c>
      <c r="G1641">
        <v>20</v>
      </c>
      <c r="H1641">
        <v>40000</v>
      </c>
      <c r="I1641" t="s">
        <v>22</v>
      </c>
    </row>
    <row r="1642" spans="1:9" x14ac:dyDescent="0.25">
      <c r="A1642">
        <v>3</v>
      </c>
      <c r="B1642" t="s">
        <v>15</v>
      </c>
      <c r="C1642">
        <v>2021</v>
      </c>
      <c r="D1642">
        <v>68.375</v>
      </c>
      <c r="E1642" t="s">
        <v>9</v>
      </c>
      <c r="F1642">
        <v>59.5</v>
      </c>
      <c r="G1642">
        <v>8.875</v>
      </c>
      <c r="H1642">
        <v>40000</v>
      </c>
      <c r="I1642" t="s">
        <v>22</v>
      </c>
    </row>
    <row r="1643" spans="1:9" x14ac:dyDescent="0.25">
      <c r="A1643">
        <v>4</v>
      </c>
      <c r="B1643" t="s">
        <v>15</v>
      </c>
      <c r="C1643">
        <v>2021</v>
      </c>
      <c r="D1643">
        <v>59.5</v>
      </c>
      <c r="E1643">
        <v>50</v>
      </c>
      <c r="F1643">
        <v>88.25</v>
      </c>
      <c r="G1643">
        <v>21.25</v>
      </c>
      <c r="H1643">
        <v>40000</v>
      </c>
      <c r="I1643" t="s">
        <v>22</v>
      </c>
    </row>
    <row r="1644" spans="1:9" x14ac:dyDescent="0.25">
      <c r="A1644">
        <v>5</v>
      </c>
      <c r="B1644" t="s">
        <v>15</v>
      </c>
      <c r="C1644">
        <v>2021</v>
      </c>
      <c r="D1644">
        <v>88.25</v>
      </c>
      <c r="E1644" t="s">
        <v>9</v>
      </c>
      <c r="F1644">
        <v>62.75</v>
      </c>
      <c r="G1644">
        <v>25.5</v>
      </c>
      <c r="H1644">
        <v>40000</v>
      </c>
      <c r="I1644" t="s">
        <v>22</v>
      </c>
    </row>
    <row r="1645" spans="1:9" x14ac:dyDescent="0.25">
      <c r="A1645">
        <v>6</v>
      </c>
      <c r="B1645" t="s">
        <v>15</v>
      </c>
      <c r="C1645">
        <v>2021</v>
      </c>
      <c r="D1645">
        <v>62.75</v>
      </c>
      <c r="E1645" t="s">
        <v>9</v>
      </c>
      <c r="F1645">
        <v>32.75</v>
      </c>
      <c r="G1645">
        <v>30</v>
      </c>
      <c r="H1645">
        <v>40000</v>
      </c>
      <c r="I1645" t="s">
        <v>22</v>
      </c>
    </row>
    <row r="1646" spans="1:9" x14ac:dyDescent="0.25">
      <c r="A1646">
        <v>7</v>
      </c>
      <c r="B1646" t="s">
        <v>15</v>
      </c>
      <c r="C1646">
        <v>2021</v>
      </c>
      <c r="D1646">
        <v>32.75</v>
      </c>
      <c r="E1646">
        <v>40</v>
      </c>
      <c r="F1646">
        <v>51.25</v>
      </c>
      <c r="G1646">
        <v>21.5</v>
      </c>
      <c r="H1646">
        <v>40000</v>
      </c>
      <c r="I1646" t="s">
        <v>22</v>
      </c>
    </row>
    <row r="1647" spans="1:9" x14ac:dyDescent="0.25">
      <c r="A1647">
        <v>8</v>
      </c>
      <c r="B1647" t="s">
        <v>15</v>
      </c>
      <c r="C1647">
        <v>2021</v>
      </c>
      <c r="D1647">
        <v>51.25</v>
      </c>
      <c r="E1647" t="s">
        <v>9</v>
      </c>
      <c r="F1647">
        <v>38.375</v>
      </c>
      <c r="G1647">
        <v>12.875</v>
      </c>
      <c r="H1647">
        <v>40000</v>
      </c>
      <c r="I1647" t="s">
        <v>22</v>
      </c>
    </row>
    <row r="1648" spans="1:9" x14ac:dyDescent="0.25">
      <c r="A1648">
        <v>9</v>
      </c>
      <c r="B1648" t="s">
        <v>15</v>
      </c>
      <c r="C1648">
        <v>2021</v>
      </c>
      <c r="D1648">
        <v>38.375</v>
      </c>
      <c r="E1648" t="s">
        <v>9</v>
      </c>
      <c r="F1648">
        <v>28.75</v>
      </c>
      <c r="G1648">
        <v>9.625</v>
      </c>
      <c r="H1648">
        <v>40000</v>
      </c>
      <c r="I1648" t="s">
        <v>22</v>
      </c>
    </row>
    <row r="1649" spans="1:9" x14ac:dyDescent="0.25">
      <c r="A1649">
        <v>10</v>
      </c>
      <c r="B1649" t="s">
        <v>15</v>
      </c>
      <c r="C1649">
        <v>2021</v>
      </c>
      <c r="D1649">
        <v>28.75</v>
      </c>
      <c r="E1649">
        <v>50</v>
      </c>
      <c r="F1649">
        <v>65.75</v>
      </c>
      <c r="G1649">
        <v>13</v>
      </c>
      <c r="H1649">
        <v>40000</v>
      </c>
      <c r="I1649" t="s">
        <v>22</v>
      </c>
    </row>
    <row r="1650" spans="1:9" x14ac:dyDescent="0.25">
      <c r="A1650">
        <v>11</v>
      </c>
      <c r="B1650" t="s">
        <v>15</v>
      </c>
      <c r="C1650">
        <v>2021</v>
      </c>
      <c r="D1650">
        <v>65.75</v>
      </c>
      <c r="E1650" t="s">
        <v>9</v>
      </c>
      <c r="F1650">
        <v>47.25</v>
      </c>
      <c r="G1650">
        <v>18.5</v>
      </c>
      <c r="H1650">
        <v>40000</v>
      </c>
      <c r="I1650" t="s">
        <v>22</v>
      </c>
    </row>
    <row r="1651" spans="1:9" x14ac:dyDescent="0.25">
      <c r="A1651">
        <v>12</v>
      </c>
      <c r="B1651" t="s">
        <v>15</v>
      </c>
      <c r="C1651">
        <v>2021</v>
      </c>
      <c r="D1651">
        <v>47.25</v>
      </c>
      <c r="E1651">
        <v>50</v>
      </c>
      <c r="F1651">
        <v>71</v>
      </c>
      <c r="G1651">
        <v>26.25</v>
      </c>
      <c r="H1651">
        <v>40000</v>
      </c>
      <c r="I1651" t="s">
        <v>22</v>
      </c>
    </row>
    <row r="1652" spans="1:9" x14ac:dyDescent="0.25">
      <c r="A1652">
        <v>13</v>
      </c>
      <c r="B1652" t="s">
        <v>15</v>
      </c>
      <c r="C1652">
        <v>2021</v>
      </c>
      <c r="D1652">
        <v>71</v>
      </c>
      <c r="E1652" t="s">
        <v>9</v>
      </c>
      <c r="F1652">
        <v>51.5</v>
      </c>
      <c r="G1652">
        <v>19.5</v>
      </c>
      <c r="H1652">
        <v>40000</v>
      </c>
      <c r="I1652" t="s">
        <v>22</v>
      </c>
    </row>
    <row r="1653" spans="1:9" x14ac:dyDescent="0.25">
      <c r="A1653">
        <v>14</v>
      </c>
      <c r="B1653" t="s">
        <v>15</v>
      </c>
      <c r="C1653">
        <v>2021</v>
      </c>
      <c r="D1653">
        <v>51.5</v>
      </c>
      <c r="E1653">
        <v>50</v>
      </c>
      <c r="F1653">
        <v>83</v>
      </c>
      <c r="G1653">
        <v>18.5</v>
      </c>
      <c r="H1653">
        <v>40000</v>
      </c>
      <c r="I1653" t="s">
        <v>22</v>
      </c>
    </row>
    <row r="1654" spans="1:9" x14ac:dyDescent="0.25">
      <c r="A1654">
        <v>15</v>
      </c>
      <c r="B1654" t="s">
        <v>15</v>
      </c>
      <c r="C1654">
        <v>2021</v>
      </c>
      <c r="D1654">
        <v>83</v>
      </c>
      <c r="E1654" t="s">
        <v>9</v>
      </c>
      <c r="F1654">
        <v>51</v>
      </c>
      <c r="G1654">
        <v>32</v>
      </c>
      <c r="H1654">
        <v>40000</v>
      </c>
      <c r="I1654" t="s">
        <v>22</v>
      </c>
    </row>
    <row r="1655" spans="1:9" x14ac:dyDescent="0.25">
      <c r="A1655">
        <v>16</v>
      </c>
      <c r="B1655" t="s">
        <v>15</v>
      </c>
      <c r="C1655">
        <v>2021</v>
      </c>
      <c r="D1655">
        <v>51</v>
      </c>
      <c r="E1655" t="s">
        <v>9</v>
      </c>
      <c r="F1655">
        <v>27</v>
      </c>
      <c r="G1655">
        <v>24</v>
      </c>
      <c r="H1655">
        <v>40000</v>
      </c>
      <c r="I1655" t="s">
        <v>22</v>
      </c>
    </row>
    <row r="1656" spans="1:9" x14ac:dyDescent="0.25">
      <c r="A1656">
        <v>17</v>
      </c>
      <c r="B1656" t="s">
        <v>15</v>
      </c>
      <c r="C1656">
        <v>2021</v>
      </c>
      <c r="D1656">
        <v>27</v>
      </c>
      <c r="E1656">
        <v>100</v>
      </c>
      <c r="F1656">
        <v>105.5</v>
      </c>
      <c r="G1656">
        <v>21.5</v>
      </c>
      <c r="H1656">
        <v>40000</v>
      </c>
      <c r="I1656" t="s">
        <v>22</v>
      </c>
    </row>
    <row r="1657" spans="1:9" x14ac:dyDescent="0.25">
      <c r="A1657">
        <v>18</v>
      </c>
      <c r="B1657" t="s">
        <v>15</v>
      </c>
      <c r="C1657">
        <v>2021</v>
      </c>
      <c r="D1657">
        <v>105.5</v>
      </c>
      <c r="E1657" t="s">
        <v>9</v>
      </c>
      <c r="F1657">
        <v>67</v>
      </c>
      <c r="G1657">
        <v>38.5</v>
      </c>
      <c r="H1657">
        <v>40000</v>
      </c>
      <c r="I1657" t="s">
        <v>22</v>
      </c>
    </row>
    <row r="1658" spans="1:9" x14ac:dyDescent="0.25">
      <c r="A1658">
        <v>19</v>
      </c>
      <c r="B1658" t="s">
        <v>15</v>
      </c>
      <c r="C1658">
        <v>2021</v>
      </c>
      <c r="D1658">
        <v>67</v>
      </c>
      <c r="E1658">
        <v>50</v>
      </c>
      <c r="F1658">
        <v>89</v>
      </c>
      <c r="G1658">
        <v>28</v>
      </c>
      <c r="H1658">
        <v>40000</v>
      </c>
      <c r="I1658" t="s">
        <v>22</v>
      </c>
    </row>
    <row r="1659" spans="1:9" x14ac:dyDescent="0.25">
      <c r="A1659">
        <v>20</v>
      </c>
      <c r="B1659" t="s">
        <v>15</v>
      </c>
      <c r="C1659">
        <v>2021</v>
      </c>
      <c r="D1659">
        <v>89</v>
      </c>
      <c r="E1659">
        <v>50</v>
      </c>
      <c r="F1659">
        <v>114</v>
      </c>
      <c r="G1659">
        <v>25</v>
      </c>
      <c r="H1659">
        <v>40000</v>
      </c>
      <c r="I1659" t="s">
        <v>22</v>
      </c>
    </row>
    <row r="1660" spans="1:9" x14ac:dyDescent="0.25">
      <c r="A1660">
        <v>21</v>
      </c>
      <c r="B1660" t="s">
        <v>15</v>
      </c>
      <c r="C1660">
        <v>2021</v>
      </c>
      <c r="D1660">
        <v>114</v>
      </c>
      <c r="E1660" t="s">
        <v>9</v>
      </c>
      <c r="F1660">
        <v>98</v>
      </c>
      <c r="G1660">
        <v>16</v>
      </c>
      <c r="H1660">
        <v>40000</v>
      </c>
      <c r="I1660" t="s">
        <v>22</v>
      </c>
    </row>
    <row r="1661" spans="1:9" x14ac:dyDescent="0.25">
      <c r="A1661">
        <v>22</v>
      </c>
      <c r="B1661" t="s">
        <v>15</v>
      </c>
      <c r="C1661">
        <v>2021</v>
      </c>
      <c r="D1661">
        <v>98</v>
      </c>
      <c r="E1661" t="s">
        <v>9</v>
      </c>
      <c r="F1661">
        <v>84</v>
      </c>
      <c r="G1661">
        <v>14</v>
      </c>
      <c r="H1661">
        <v>40000</v>
      </c>
      <c r="I1661" t="s">
        <v>22</v>
      </c>
    </row>
    <row r="1662" spans="1:9" x14ac:dyDescent="0.25">
      <c r="A1662">
        <v>23</v>
      </c>
      <c r="B1662" t="s">
        <v>15</v>
      </c>
      <c r="C1662">
        <v>2021</v>
      </c>
      <c r="D1662">
        <v>84</v>
      </c>
      <c r="E1662">
        <v>20</v>
      </c>
      <c r="F1662">
        <v>99</v>
      </c>
      <c r="G1662">
        <v>5</v>
      </c>
      <c r="H1662">
        <v>40000</v>
      </c>
      <c r="I1662" t="s">
        <v>22</v>
      </c>
    </row>
    <row r="1663" spans="1:9" x14ac:dyDescent="0.25">
      <c r="A1663">
        <v>24</v>
      </c>
      <c r="B1663" t="s">
        <v>15</v>
      </c>
      <c r="C1663">
        <v>2021</v>
      </c>
      <c r="D1663">
        <v>99</v>
      </c>
      <c r="E1663" t="s">
        <v>9</v>
      </c>
      <c r="F1663">
        <v>69.375</v>
      </c>
      <c r="G1663">
        <v>29.625</v>
      </c>
      <c r="H1663">
        <v>40000</v>
      </c>
      <c r="I1663" t="s">
        <v>22</v>
      </c>
    </row>
    <row r="1664" spans="1:9" x14ac:dyDescent="0.25">
      <c r="A1664">
        <v>25</v>
      </c>
      <c r="B1664" t="s">
        <v>15</v>
      </c>
      <c r="C1664">
        <v>2021</v>
      </c>
      <c r="D1664">
        <v>69.375</v>
      </c>
      <c r="E1664" t="s">
        <v>9</v>
      </c>
      <c r="F1664">
        <v>38</v>
      </c>
      <c r="G1664">
        <v>31.375</v>
      </c>
      <c r="H1664">
        <v>40000</v>
      </c>
      <c r="I1664" t="s">
        <v>22</v>
      </c>
    </row>
    <row r="1665" spans="1:9" x14ac:dyDescent="0.25">
      <c r="A1665">
        <v>26</v>
      </c>
      <c r="B1665" t="s">
        <v>15</v>
      </c>
      <c r="C1665">
        <v>2021</v>
      </c>
      <c r="D1665">
        <v>38</v>
      </c>
      <c r="E1665">
        <v>100</v>
      </c>
      <c r="F1665">
        <v>100</v>
      </c>
      <c r="G1665">
        <v>38</v>
      </c>
      <c r="H1665">
        <v>40000</v>
      </c>
      <c r="I1665" t="s">
        <v>22</v>
      </c>
    </row>
    <row r="1666" spans="1:9" x14ac:dyDescent="0.25">
      <c r="A1666">
        <v>27</v>
      </c>
      <c r="B1666" t="s">
        <v>15</v>
      </c>
      <c r="C1666">
        <v>2021</v>
      </c>
      <c r="D1666">
        <v>100</v>
      </c>
      <c r="E1666" t="s">
        <v>9</v>
      </c>
      <c r="F1666">
        <v>56.75</v>
      </c>
      <c r="G1666">
        <v>43.25</v>
      </c>
      <c r="H1666">
        <v>40000</v>
      </c>
      <c r="I1666" t="s">
        <v>22</v>
      </c>
    </row>
    <row r="1667" spans="1:9" x14ac:dyDescent="0.25">
      <c r="A1667">
        <v>28</v>
      </c>
      <c r="B1667" t="s">
        <v>15</v>
      </c>
      <c r="C1667">
        <v>2021</v>
      </c>
      <c r="D1667">
        <v>56.75</v>
      </c>
      <c r="E1667" t="s">
        <v>9</v>
      </c>
      <c r="F1667">
        <v>43</v>
      </c>
      <c r="G1667">
        <v>13.75</v>
      </c>
      <c r="H1667">
        <v>40000</v>
      </c>
      <c r="I1667" t="s">
        <v>22</v>
      </c>
    </row>
    <row r="1668" spans="1:9" x14ac:dyDescent="0.25">
      <c r="A1668">
        <v>30</v>
      </c>
      <c r="B1668" t="s">
        <v>15</v>
      </c>
      <c r="C1668">
        <v>2021</v>
      </c>
      <c r="D1668">
        <v>10.75</v>
      </c>
      <c r="E1668">
        <v>100</v>
      </c>
      <c r="F1668">
        <v>87.75</v>
      </c>
      <c r="G1668">
        <v>23</v>
      </c>
      <c r="H1668">
        <v>40000</v>
      </c>
      <c r="I1668" t="s">
        <v>22</v>
      </c>
    </row>
    <row r="1669" spans="1:9" x14ac:dyDescent="0.25">
      <c r="A1669">
        <v>29</v>
      </c>
      <c r="B1669" t="s">
        <v>15</v>
      </c>
      <c r="C1669">
        <v>2021</v>
      </c>
      <c r="D1669">
        <v>43</v>
      </c>
      <c r="E1669" t="s">
        <v>9</v>
      </c>
      <c r="F1669">
        <v>10.75</v>
      </c>
      <c r="G1669">
        <v>32.25</v>
      </c>
      <c r="H1669">
        <v>40000</v>
      </c>
      <c r="I1669" t="s">
        <v>22</v>
      </c>
    </row>
    <row r="1670" spans="1:9" hidden="1" x14ac:dyDescent="0.25">
      <c r="A1670">
        <v>1</v>
      </c>
      <c r="B1670" t="s">
        <v>15</v>
      </c>
      <c r="C1670">
        <v>2021</v>
      </c>
      <c r="D1670">
        <v>47</v>
      </c>
      <c r="E1670" t="s">
        <v>9</v>
      </c>
      <c r="F1670">
        <v>15.5</v>
      </c>
      <c r="G1670">
        <v>31.5</v>
      </c>
      <c r="H1670">
        <v>40000</v>
      </c>
      <c r="I1670" t="s">
        <v>23</v>
      </c>
    </row>
    <row r="1671" spans="1:9" hidden="1" x14ac:dyDescent="0.25">
      <c r="A1671">
        <v>2</v>
      </c>
      <c r="B1671" t="s">
        <v>15</v>
      </c>
      <c r="C1671">
        <v>2021</v>
      </c>
      <c r="D1671">
        <v>15.5</v>
      </c>
      <c r="E1671">
        <v>70</v>
      </c>
      <c r="F1671">
        <v>61.5</v>
      </c>
      <c r="G1671">
        <v>24</v>
      </c>
      <c r="H1671">
        <v>40000</v>
      </c>
      <c r="I1671" t="s">
        <v>23</v>
      </c>
    </row>
    <row r="1672" spans="1:9" hidden="1" x14ac:dyDescent="0.25">
      <c r="A1672">
        <v>3</v>
      </c>
      <c r="B1672" t="s">
        <v>15</v>
      </c>
      <c r="C1672">
        <v>2021</v>
      </c>
      <c r="D1672">
        <v>61.5</v>
      </c>
      <c r="E1672" t="s">
        <v>9</v>
      </c>
      <c r="F1672">
        <v>19.5</v>
      </c>
      <c r="G1672">
        <v>42</v>
      </c>
      <c r="H1672">
        <v>40000</v>
      </c>
      <c r="I1672" t="s">
        <v>23</v>
      </c>
    </row>
    <row r="1673" spans="1:9" hidden="1" x14ac:dyDescent="0.25">
      <c r="A1673">
        <v>4</v>
      </c>
      <c r="B1673" t="s">
        <v>15</v>
      </c>
      <c r="C1673">
        <v>2021</v>
      </c>
      <c r="D1673">
        <v>19.5</v>
      </c>
      <c r="E1673">
        <v>150</v>
      </c>
      <c r="F1673">
        <v>124</v>
      </c>
      <c r="G1673">
        <v>45.5</v>
      </c>
      <c r="H1673">
        <v>40000</v>
      </c>
      <c r="I1673" t="s">
        <v>23</v>
      </c>
    </row>
    <row r="1674" spans="1:9" hidden="1" x14ac:dyDescent="0.25">
      <c r="A1674">
        <v>5</v>
      </c>
      <c r="B1674" t="s">
        <v>15</v>
      </c>
      <c r="C1674">
        <v>2021</v>
      </c>
      <c r="D1674">
        <v>124</v>
      </c>
      <c r="E1674" t="s">
        <v>9</v>
      </c>
      <c r="F1674">
        <v>65</v>
      </c>
      <c r="G1674">
        <v>59</v>
      </c>
      <c r="H1674">
        <v>40000</v>
      </c>
      <c r="I1674" t="s">
        <v>23</v>
      </c>
    </row>
    <row r="1675" spans="1:9" hidden="1" x14ac:dyDescent="0.25">
      <c r="A1675">
        <v>6</v>
      </c>
      <c r="B1675" t="s">
        <v>15</v>
      </c>
      <c r="C1675">
        <v>2021</v>
      </c>
      <c r="D1675">
        <v>65</v>
      </c>
      <c r="E1675">
        <v>30</v>
      </c>
      <c r="F1675">
        <v>31.5</v>
      </c>
      <c r="G1675">
        <v>63.5</v>
      </c>
      <c r="H1675">
        <v>40000</v>
      </c>
      <c r="I1675" t="s">
        <v>23</v>
      </c>
    </row>
    <row r="1676" spans="1:9" hidden="1" x14ac:dyDescent="0.25">
      <c r="A1676">
        <v>7</v>
      </c>
      <c r="B1676" t="s">
        <v>15</v>
      </c>
      <c r="C1676">
        <v>2021</v>
      </c>
      <c r="D1676">
        <v>31.5</v>
      </c>
      <c r="E1676">
        <v>80</v>
      </c>
      <c r="F1676">
        <v>51.75</v>
      </c>
      <c r="G1676">
        <v>59.75</v>
      </c>
      <c r="H1676">
        <v>40000</v>
      </c>
      <c r="I1676" t="s">
        <v>23</v>
      </c>
    </row>
    <row r="1677" spans="1:9" hidden="1" x14ac:dyDescent="0.25">
      <c r="A1677">
        <v>8</v>
      </c>
      <c r="B1677" t="s">
        <v>15</v>
      </c>
      <c r="C1677">
        <v>2021</v>
      </c>
      <c r="D1677">
        <v>51.75</v>
      </c>
      <c r="E1677" t="s">
        <v>9</v>
      </c>
      <c r="F1677">
        <v>7</v>
      </c>
      <c r="G1677">
        <v>44.75</v>
      </c>
      <c r="H1677">
        <v>40000</v>
      </c>
      <c r="I1677" t="s">
        <v>23</v>
      </c>
    </row>
    <row r="1678" spans="1:9" hidden="1" x14ac:dyDescent="0.25">
      <c r="A1678">
        <v>9</v>
      </c>
      <c r="B1678" t="s">
        <v>15</v>
      </c>
      <c r="C1678">
        <v>2021</v>
      </c>
      <c r="D1678">
        <v>7</v>
      </c>
      <c r="E1678">
        <v>50</v>
      </c>
      <c r="F1678">
        <v>23</v>
      </c>
      <c r="G1678">
        <v>34</v>
      </c>
      <c r="H1678">
        <v>40000</v>
      </c>
      <c r="I1678" t="s">
        <v>23</v>
      </c>
    </row>
    <row r="1679" spans="1:9" hidden="1" x14ac:dyDescent="0.25">
      <c r="A1679">
        <v>10</v>
      </c>
      <c r="B1679" t="s">
        <v>15</v>
      </c>
      <c r="C1679">
        <v>2021</v>
      </c>
      <c r="D1679">
        <v>23</v>
      </c>
      <c r="E1679">
        <v>100</v>
      </c>
      <c r="F1679">
        <v>90.75</v>
      </c>
      <c r="G1679">
        <v>32.25</v>
      </c>
      <c r="H1679">
        <v>40000</v>
      </c>
      <c r="I1679" t="s">
        <v>23</v>
      </c>
    </row>
    <row r="1680" spans="1:9" hidden="1" x14ac:dyDescent="0.25">
      <c r="A1680">
        <v>11</v>
      </c>
      <c r="B1680" t="s">
        <v>15</v>
      </c>
      <c r="C1680">
        <v>2021</v>
      </c>
      <c r="D1680">
        <v>90.75</v>
      </c>
      <c r="E1680" t="s">
        <v>9</v>
      </c>
      <c r="F1680">
        <v>45.875</v>
      </c>
      <c r="G1680">
        <v>44.875</v>
      </c>
      <c r="H1680">
        <v>40000</v>
      </c>
      <c r="I1680" t="s">
        <v>23</v>
      </c>
    </row>
    <row r="1681" spans="1:9" hidden="1" x14ac:dyDescent="0.25">
      <c r="A1681">
        <v>12</v>
      </c>
      <c r="B1681" t="s">
        <v>15</v>
      </c>
      <c r="C1681">
        <v>2021</v>
      </c>
      <c r="D1681">
        <v>45.875</v>
      </c>
      <c r="E1681">
        <v>100</v>
      </c>
      <c r="F1681">
        <v>101</v>
      </c>
      <c r="G1681">
        <v>44.875</v>
      </c>
      <c r="H1681">
        <v>40000</v>
      </c>
      <c r="I1681" t="s">
        <v>23</v>
      </c>
    </row>
    <row r="1682" spans="1:9" hidden="1" x14ac:dyDescent="0.25">
      <c r="A1682">
        <v>13</v>
      </c>
      <c r="B1682" t="s">
        <v>15</v>
      </c>
      <c r="C1682">
        <v>2021</v>
      </c>
      <c r="D1682">
        <v>101</v>
      </c>
      <c r="E1682" t="s">
        <v>9</v>
      </c>
      <c r="F1682">
        <v>58</v>
      </c>
      <c r="G1682">
        <v>43</v>
      </c>
      <c r="H1682">
        <v>40000</v>
      </c>
      <c r="I1682" t="s">
        <v>23</v>
      </c>
    </row>
    <row r="1683" spans="1:9" hidden="1" x14ac:dyDescent="0.25">
      <c r="A1683">
        <v>14</v>
      </c>
      <c r="B1683" t="s">
        <v>15</v>
      </c>
      <c r="C1683">
        <v>2021</v>
      </c>
      <c r="D1683">
        <v>58</v>
      </c>
      <c r="E1683">
        <v>100</v>
      </c>
      <c r="F1683">
        <v>111</v>
      </c>
      <c r="G1683">
        <v>47</v>
      </c>
      <c r="H1683">
        <v>40000</v>
      </c>
      <c r="I1683" t="s">
        <v>23</v>
      </c>
    </row>
    <row r="1684" spans="1:9" hidden="1" x14ac:dyDescent="0.25">
      <c r="A1684">
        <v>15</v>
      </c>
      <c r="B1684" t="s">
        <v>15</v>
      </c>
      <c r="C1684">
        <v>2021</v>
      </c>
      <c r="D1684">
        <v>111</v>
      </c>
      <c r="E1684" t="s">
        <v>9</v>
      </c>
      <c r="F1684">
        <v>73</v>
      </c>
      <c r="G1684">
        <v>38</v>
      </c>
      <c r="H1684">
        <v>40000</v>
      </c>
      <c r="I1684" t="s">
        <v>23</v>
      </c>
    </row>
    <row r="1685" spans="1:9" hidden="1" x14ac:dyDescent="0.25">
      <c r="A1685">
        <v>16</v>
      </c>
      <c r="B1685" t="s">
        <v>15</v>
      </c>
      <c r="C1685">
        <v>2021</v>
      </c>
      <c r="D1685">
        <v>73</v>
      </c>
      <c r="E1685" t="s">
        <v>9</v>
      </c>
      <c r="F1685">
        <v>30</v>
      </c>
      <c r="G1685">
        <v>43</v>
      </c>
      <c r="H1685">
        <v>40000</v>
      </c>
      <c r="I1685" t="s">
        <v>23</v>
      </c>
    </row>
    <row r="1686" spans="1:9" hidden="1" x14ac:dyDescent="0.25">
      <c r="A1686">
        <v>17</v>
      </c>
      <c r="B1686" t="s">
        <v>15</v>
      </c>
      <c r="C1686">
        <v>2021</v>
      </c>
      <c r="D1686">
        <v>30</v>
      </c>
      <c r="E1686">
        <v>140</v>
      </c>
      <c r="F1686">
        <v>121</v>
      </c>
      <c r="G1686">
        <v>49</v>
      </c>
      <c r="H1686">
        <v>40000</v>
      </c>
      <c r="I1686" t="s">
        <v>23</v>
      </c>
    </row>
    <row r="1687" spans="1:9" hidden="1" x14ac:dyDescent="0.25">
      <c r="A1687">
        <v>18</v>
      </c>
      <c r="B1687" t="s">
        <v>15</v>
      </c>
      <c r="C1687">
        <v>2021</v>
      </c>
      <c r="D1687">
        <v>121</v>
      </c>
      <c r="E1687" t="s">
        <v>9</v>
      </c>
      <c r="F1687">
        <v>75</v>
      </c>
      <c r="G1687">
        <v>46</v>
      </c>
      <c r="H1687">
        <v>40000</v>
      </c>
      <c r="I1687" t="s">
        <v>23</v>
      </c>
    </row>
    <row r="1688" spans="1:9" hidden="1" x14ac:dyDescent="0.25">
      <c r="A1688">
        <v>19</v>
      </c>
      <c r="B1688" t="s">
        <v>15</v>
      </c>
      <c r="C1688">
        <v>2021</v>
      </c>
      <c r="D1688">
        <v>75</v>
      </c>
      <c r="E1688">
        <v>50</v>
      </c>
      <c r="F1688">
        <v>67</v>
      </c>
      <c r="G1688">
        <v>58</v>
      </c>
      <c r="H1688">
        <v>40000</v>
      </c>
      <c r="I1688" t="s">
        <v>23</v>
      </c>
    </row>
    <row r="1689" spans="1:9" hidden="1" x14ac:dyDescent="0.25">
      <c r="A1689">
        <v>20</v>
      </c>
      <c r="B1689" t="s">
        <v>15</v>
      </c>
      <c r="C1689">
        <v>2021</v>
      </c>
      <c r="D1689">
        <v>67</v>
      </c>
      <c r="E1689">
        <v>100</v>
      </c>
      <c r="F1689">
        <v>114.125</v>
      </c>
      <c r="G1689">
        <v>52.875</v>
      </c>
      <c r="H1689">
        <v>40000</v>
      </c>
      <c r="I1689" t="s">
        <v>23</v>
      </c>
    </row>
    <row r="1690" spans="1:9" hidden="1" x14ac:dyDescent="0.25">
      <c r="A1690">
        <v>21</v>
      </c>
      <c r="B1690" t="s">
        <v>15</v>
      </c>
      <c r="C1690">
        <v>2021</v>
      </c>
      <c r="D1690">
        <v>114.125</v>
      </c>
      <c r="E1690" t="s">
        <v>9</v>
      </c>
      <c r="F1690">
        <v>85</v>
      </c>
      <c r="G1690">
        <v>29.125</v>
      </c>
      <c r="H1690">
        <v>40000</v>
      </c>
      <c r="I1690" t="s">
        <v>23</v>
      </c>
    </row>
    <row r="1691" spans="1:9" hidden="1" x14ac:dyDescent="0.25">
      <c r="A1691">
        <v>22</v>
      </c>
      <c r="B1691" t="s">
        <v>15</v>
      </c>
      <c r="C1691">
        <v>2021</v>
      </c>
      <c r="D1691">
        <v>85</v>
      </c>
      <c r="E1691" t="s">
        <v>9</v>
      </c>
      <c r="F1691">
        <v>46.75</v>
      </c>
      <c r="G1691">
        <v>38.25</v>
      </c>
      <c r="H1691">
        <v>40000</v>
      </c>
      <c r="I1691" t="s">
        <v>23</v>
      </c>
    </row>
    <row r="1692" spans="1:9" hidden="1" x14ac:dyDescent="0.25">
      <c r="A1692">
        <v>23</v>
      </c>
      <c r="B1692" t="s">
        <v>15</v>
      </c>
      <c r="C1692">
        <v>2021</v>
      </c>
      <c r="D1692">
        <v>46.75</v>
      </c>
      <c r="E1692">
        <v>150</v>
      </c>
      <c r="F1692">
        <v>172.75</v>
      </c>
      <c r="G1692">
        <v>24</v>
      </c>
      <c r="H1692">
        <v>40000</v>
      </c>
      <c r="I1692" t="s">
        <v>23</v>
      </c>
    </row>
    <row r="1693" spans="1:9" hidden="1" x14ac:dyDescent="0.25">
      <c r="A1693">
        <v>24</v>
      </c>
      <c r="B1693" t="s">
        <v>15</v>
      </c>
      <c r="C1693">
        <v>2021</v>
      </c>
      <c r="D1693">
        <v>172.75</v>
      </c>
      <c r="E1693" t="s">
        <v>9</v>
      </c>
      <c r="F1693">
        <v>135</v>
      </c>
      <c r="G1693">
        <v>37.75</v>
      </c>
      <c r="H1693">
        <v>40000</v>
      </c>
      <c r="I1693" t="s">
        <v>23</v>
      </c>
    </row>
    <row r="1694" spans="1:9" hidden="1" x14ac:dyDescent="0.25">
      <c r="A1694">
        <v>25</v>
      </c>
      <c r="B1694" t="s">
        <v>15</v>
      </c>
      <c r="C1694">
        <v>2021</v>
      </c>
      <c r="D1694">
        <v>135</v>
      </c>
      <c r="E1694" t="s">
        <v>9</v>
      </c>
      <c r="F1694">
        <v>86</v>
      </c>
      <c r="G1694">
        <v>49</v>
      </c>
      <c r="H1694">
        <v>40000</v>
      </c>
      <c r="I1694" t="s">
        <v>23</v>
      </c>
    </row>
    <row r="1695" spans="1:9" hidden="1" x14ac:dyDescent="0.25">
      <c r="A1695">
        <v>26</v>
      </c>
      <c r="B1695" t="s">
        <v>15</v>
      </c>
      <c r="C1695">
        <v>2021</v>
      </c>
      <c r="D1695">
        <v>86</v>
      </c>
      <c r="E1695">
        <v>100</v>
      </c>
      <c r="F1695">
        <v>129</v>
      </c>
      <c r="G1695">
        <v>57</v>
      </c>
      <c r="H1695">
        <v>40000</v>
      </c>
      <c r="I1695" t="s">
        <v>23</v>
      </c>
    </row>
    <row r="1696" spans="1:9" hidden="1" x14ac:dyDescent="0.25">
      <c r="A1696">
        <v>27</v>
      </c>
      <c r="B1696" t="s">
        <v>15</v>
      </c>
      <c r="C1696">
        <v>2021</v>
      </c>
      <c r="D1696">
        <v>129</v>
      </c>
      <c r="E1696" t="s">
        <v>9</v>
      </c>
      <c r="F1696">
        <v>72</v>
      </c>
      <c r="G1696">
        <v>57</v>
      </c>
      <c r="H1696">
        <v>40000</v>
      </c>
      <c r="I1696" t="s">
        <v>23</v>
      </c>
    </row>
    <row r="1697" spans="1:9" hidden="1" x14ac:dyDescent="0.25">
      <c r="A1697">
        <v>28</v>
      </c>
      <c r="B1697" t="s">
        <v>15</v>
      </c>
      <c r="C1697">
        <v>2021</v>
      </c>
      <c r="D1697">
        <v>72</v>
      </c>
      <c r="E1697" t="s">
        <v>9</v>
      </c>
      <c r="F1697">
        <v>40.5</v>
      </c>
      <c r="G1697">
        <v>31.5</v>
      </c>
      <c r="H1697">
        <v>40000</v>
      </c>
      <c r="I1697" t="s">
        <v>23</v>
      </c>
    </row>
    <row r="1698" spans="1:9" hidden="1" x14ac:dyDescent="0.25">
      <c r="A1698">
        <v>29</v>
      </c>
      <c r="B1698" t="s">
        <v>15</v>
      </c>
      <c r="C1698">
        <v>2021</v>
      </c>
      <c r="D1698">
        <v>40.5</v>
      </c>
      <c r="E1698">
        <v>30</v>
      </c>
      <c r="F1698">
        <v>35</v>
      </c>
      <c r="G1698">
        <v>35.5</v>
      </c>
      <c r="H1698">
        <v>40000</v>
      </c>
      <c r="I1698" t="s">
        <v>23</v>
      </c>
    </row>
    <row r="1699" spans="1:9" hidden="1" x14ac:dyDescent="0.25">
      <c r="A1699">
        <v>30</v>
      </c>
      <c r="B1699" t="s">
        <v>15</v>
      </c>
      <c r="C1699">
        <v>2021</v>
      </c>
      <c r="D1699">
        <v>35</v>
      </c>
      <c r="E1699">
        <v>140</v>
      </c>
      <c r="F1699">
        <v>127</v>
      </c>
      <c r="G1699">
        <v>48</v>
      </c>
      <c r="H1699">
        <v>40000</v>
      </c>
      <c r="I1699" t="s">
        <v>23</v>
      </c>
    </row>
    <row r="1700" spans="1:9" hidden="1" x14ac:dyDescent="0.25">
      <c r="A1700">
        <v>1</v>
      </c>
      <c r="B1700" t="s">
        <v>15</v>
      </c>
      <c r="C1700">
        <v>2021</v>
      </c>
      <c r="D1700">
        <v>41</v>
      </c>
      <c r="E1700" t="s">
        <v>9</v>
      </c>
      <c r="F1700">
        <v>21</v>
      </c>
      <c r="G1700">
        <v>20</v>
      </c>
      <c r="H1700">
        <v>40000</v>
      </c>
      <c r="I1700" t="s">
        <v>25</v>
      </c>
    </row>
    <row r="1701" spans="1:9" hidden="1" x14ac:dyDescent="0.25">
      <c r="A1701">
        <v>2</v>
      </c>
      <c r="B1701" t="s">
        <v>15</v>
      </c>
      <c r="C1701">
        <v>2021</v>
      </c>
      <c r="D1701">
        <v>21</v>
      </c>
      <c r="E1701">
        <v>20</v>
      </c>
      <c r="F1701">
        <v>20</v>
      </c>
      <c r="G1701">
        <v>21</v>
      </c>
      <c r="H1701">
        <v>40000</v>
      </c>
      <c r="I1701" t="s">
        <v>25</v>
      </c>
    </row>
    <row r="1702" spans="1:9" hidden="1" x14ac:dyDescent="0.25">
      <c r="A1702">
        <v>3</v>
      </c>
      <c r="B1702" t="s">
        <v>15</v>
      </c>
      <c r="C1702">
        <v>2021</v>
      </c>
      <c r="D1702">
        <v>20</v>
      </c>
      <c r="E1702" t="s">
        <v>9</v>
      </c>
      <c r="F1702">
        <v>2.5</v>
      </c>
      <c r="G1702">
        <v>17.5</v>
      </c>
      <c r="H1702">
        <v>40000</v>
      </c>
      <c r="I1702" t="s">
        <v>25</v>
      </c>
    </row>
    <row r="1703" spans="1:9" hidden="1" x14ac:dyDescent="0.25">
      <c r="A1703">
        <v>4</v>
      </c>
      <c r="B1703" t="s">
        <v>15</v>
      </c>
      <c r="C1703">
        <v>2021</v>
      </c>
      <c r="D1703">
        <v>2.5</v>
      </c>
      <c r="E1703">
        <v>33</v>
      </c>
      <c r="F1703">
        <v>13.875</v>
      </c>
      <c r="G1703">
        <v>21.625</v>
      </c>
      <c r="H1703">
        <v>40000</v>
      </c>
      <c r="I1703" t="s">
        <v>25</v>
      </c>
    </row>
    <row r="1704" spans="1:9" hidden="1" x14ac:dyDescent="0.25">
      <c r="A1704">
        <v>5</v>
      </c>
      <c r="B1704" t="s">
        <v>15</v>
      </c>
      <c r="C1704">
        <v>2021</v>
      </c>
      <c r="D1704">
        <v>13.875</v>
      </c>
      <c r="E1704">
        <v>50</v>
      </c>
      <c r="F1704">
        <v>34</v>
      </c>
      <c r="G1704">
        <v>29.875</v>
      </c>
      <c r="H1704">
        <v>40000</v>
      </c>
      <c r="I1704" t="s">
        <v>25</v>
      </c>
    </row>
    <row r="1705" spans="1:9" hidden="1" x14ac:dyDescent="0.25">
      <c r="A1705">
        <v>6</v>
      </c>
      <c r="B1705" t="s">
        <v>15</v>
      </c>
      <c r="C1705">
        <v>2021</v>
      </c>
      <c r="D1705">
        <v>34</v>
      </c>
      <c r="E1705">
        <v>50</v>
      </c>
      <c r="F1705">
        <v>54</v>
      </c>
      <c r="G1705">
        <v>30</v>
      </c>
      <c r="H1705">
        <v>40000</v>
      </c>
      <c r="I1705" t="s">
        <v>25</v>
      </c>
    </row>
    <row r="1706" spans="1:9" hidden="1" x14ac:dyDescent="0.25">
      <c r="A1706">
        <v>7</v>
      </c>
      <c r="B1706" t="s">
        <v>15</v>
      </c>
      <c r="C1706">
        <v>2021</v>
      </c>
      <c r="D1706">
        <v>54</v>
      </c>
      <c r="E1706" t="s">
        <v>9</v>
      </c>
      <c r="F1706">
        <v>30.5</v>
      </c>
      <c r="G1706">
        <v>23.5</v>
      </c>
      <c r="H1706">
        <v>40000</v>
      </c>
      <c r="I1706" t="s">
        <v>25</v>
      </c>
    </row>
    <row r="1707" spans="1:9" hidden="1" x14ac:dyDescent="0.25">
      <c r="A1707">
        <v>8</v>
      </c>
      <c r="B1707" t="s">
        <v>15</v>
      </c>
      <c r="C1707">
        <v>2021</v>
      </c>
      <c r="D1707">
        <v>30.5</v>
      </c>
      <c r="E1707" t="s">
        <v>9</v>
      </c>
      <c r="F1707">
        <v>10.75</v>
      </c>
      <c r="G1707">
        <v>19.75</v>
      </c>
      <c r="H1707">
        <v>40000</v>
      </c>
      <c r="I1707" t="s">
        <v>25</v>
      </c>
    </row>
    <row r="1708" spans="1:9" hidden="1" x14ac:dyDescent="0.25">
      <c r="A1708">
        <v>9</v>
      </c>
      <c r="B1708" t="s">
        <v>15</v>
      </c>
      <c r="C1708">
        <v>2021</v>
      </c>
      <c r="D1708">
        <v>10.75</v>
      </c>
      <c r="E1708">
        <v>28</v>
      </c>
      <c r="F1708">
        <v>26.875</v>
      </c>
      <c r="G1708">
        <v>11.875</v>
      </c>
      <c r="H1708">
        <v>40000</v>
      </c>
      <c r="I1708" t="s">
        <v>25</v>
      </c>
    </row>
    <row r="1709" spans="1:9" hidden="1" x14ac:dyDescent="0.25">
      <c r="A1709">
        <v>10</v>
      </c>
      <c r="B1709" t="s">
        <v>15</v>
      </c>
      <c r="C1709">
        <v>2021</v>
      </c>
      <c r="D1709">
        <v>26.875</v>
      </c>
      <c r="E1709" t="s">
        <v>9</v>
      </c>
      <c r="F1709">
        <v>6.75</v>
      </c>
      <c r="G1709">
        <v>20.125</v>
      </c>
      <c r="H1709">
        <v>40000</v>
      </c>
      <c r="I1709" t="s">
        <v>25</v>
      </c>
    </row>
    <row r="1710" spans="1:9" hidden="1" x14ac:dyDescent="0.25">
      <c r="A1710">
        <v>11</v>
      </c>
      <c r="B1710" t="s">
        <v>15</v>
      </c>
      <c r="C1710">
        <v>2021</v>
      </c>
      <c r="D1710">
        <v>6.75</v>
      </c>
      <c r="E1710">
        <v>40</v>
      </c>
      <c r="F1710">
        <v>31</v>
      </c>
      <c r="G1710">
        <v>15.75</v>
      </c>
      <c r="H1710">
        <v>40000</v>
      </c>
      <c r="I1710" t="s">
        <v>25</v>
      </c>
    </row>
    <row r="1711" spans="1:9" hidden="1" x14ac:dyDescent="0.25">
      <c r="A1711">
        <v>12</v>
      </c>
      <c r="B1711" t="s">
        <v>15</v>
      </c>
      <c r="C1711">
        <v>2021</v>
      </c>
      <c r="D1711">
        <v>31</v>
      </c>
      <c r="E1711">
        <v>40</v>
      </c>
      <c r="F1711">
        <v>46.625</v>
      </c>
      <c r="G1711">
        <v>24.375</v>
      </c>
      <c r="H1711">
        <v>40000</v>
      </c>
      <c r="I1711" t="s">
        <v>25</v>
      </c>
    </row>
    <row r="1712" spans="1:9" hidden="1" x14ac:dyDescent="0.25">
      <c r="A1712">
        <v>13</v>
      </c>
      <c r="B1712" t="s">
        <v>15</v>
      </c>
      <c r="C1712">
        <v>2021</v>
      </c>
      <c r="D1712">
        <v>46.625</v>
      </c>
      <c r="E1712" t="s">
        <v>9</v>
      </c>
      <c r="F1712">
        <v>17.75</v>
      </c>
      <c r="G1712">
        <v>28.875</v>
      </c>
      <c r="H1712">
        <v>40000</v>
      </c>
      <c r="I1712" t="s">
        <v>25</v>
      </c>
    </row>
    <row r="1713" spans="1:9" hidden="1" x14ac:dyDescent="0.25">
      <c r="A1713">
        <v>14</v>
      </c>
      <c r="B1713" t="s">
        <v>15</v>
      </c>
      <c r="C1713">
        <v>2021</v>
      </c>
      <c r="D1713">
        <v>17.75</v>
      </c>
      <c r="E1713">
        <v>58</v>
      </c>
      <c r="F1713">
        <v>60.25</v>
      </c>
      <c r="G1713">
        <v>15.5</v>
      </c>
      <c r="H1713">
        <v>40000</v>
      </c>
      <c r="I1713" t="s">
        <v>25</v>
      </c>
    </row>
    <row r="1714" spans="1:9" hidden="1" x14ac:dyDescent="0.25">
      <c r="A1714">
        <v>15</v>
      </c>
      <c r="B1714" t="s">
        <v>15</v>
      </c>
      <c r="C1714">
        <v>2021</v>
      </c>
      <c r="D1714">
        <v>60.25</v>
      </c>
      <c r="E1714" t="s">
        <v>9</v>
      </c>
      <c r="F1714">
        <v>42.625</v>
      </c>
      <c r="G1714">
        <v>17.625</v>
      </c>
      <c r="H1714">
        <v>40000</v>
      </c>
      <c r="I1714" t="s">
        <v>25</v>
      </c>
    </row>
    <row r="1715" spans="1:9" hidden="1" x14ac:dyDescent="0.25">
      <c r="A1715">
        <v>16</v>
      </c>
      <c r="B1715" t="s">
        <v>15</v>
      </c>
      <c r="C1715">
        <v>2021</v>
      </c>
      <c r="D1715">
        <v>42.625</v>
      </c>
      <c r="E1715" t="s">
        <v>9</v>
      </c>
      <c r="F1715">
        <v>26.875</v>
      </c>
      <c r="G1715">
        <v>15.75</v>
      </c>
      <c r="H1715">
        <v>40000</v>
      </c>
      <c r="I1715" t="s">
        <v>25</v>
      </c>
    </row>
    <row r="1716" spans="1:9" hidden="1" x14ac:dyDescent="0.25">
      <c r="A1716">
        <v>17</v>
      </c>
      <c r="B1716" t="s">
        <v>15</v>
      </c>
      <c r="C1716">
        <v>2021</v>
      </c>
      <c r="D1716">
        <v>26.875</v>
      </c>
      <c r="E1716">
        <v>30</v>
      </c>
      <c r="F1716">
        <v>41.875</v>
      </c>
      <c r="G1716">
        <v>15</v>
      </c>
      <c r="H1716">
        <v>40000</v>
      </c>
      <c r="I1716" t="s">
        <v>25</v>
      </c>
    </row>
    <row r="1717" spans="1:9" hidden="1" x14ac:dyDescent="0.25">
      <c r="A1717">
        <v>18</v>
      </c>
      <c r="B1717" t="s">
        <v>15</v>
      </c>
      <c r="C1717">
        <v>2021</v>
      </c>
      <c r="D1717">
        <v>41.875</v>
      </c>
      <c r="E1717" t="s">
        <v>9</v>
      </c>
      <c r="F1717">
        <v>26.375</v>
      </c>
      <c r="G1717">
        <v>15.5</v>
      </c>
      <c r="H1717">
        <v>40000</v>
      </c>
      <c r="I1717" t="s">
        <v>25</v>
      </c>
    </row>
    <row r="1718" spans="1:9" hidden="1" x14ac:dyDescent="0.25">
      <c r="A1718">
        <v>19</v>
      </c>
      <c r="B1718" t="s">
        <v>15</v>
      </c>
      <c r="C1718">
        <v>2021</v>
      </c>
      <c r="D1718">
        <v>26.375</v>
      </c>
      <c r="E1718">
        <v>50</v>
      </c>
      <c r="F1718">
        <v>45.75</v>
      </c>
      <c r="G1718">
        <v>30.625</v>
      </c>
      <c r="H1718">
        <v>40000</v>
      </c>
      <c r="I1718" t="s">
        <v>25</v>
      </c>
    </row>
    <row r="1719" spans="1:9" hidden="1" x14ac:dyDescent="0.25">
      <c r="A1719">
        <v>20</v>
      </c>
      <c r="B1719" t="s">
        <v>15</v>
      </c>
      <c r="C1719">
        <v>2021</v>
      </c>
      <c r="D1719">
        <v>45.75</v>
      </c>
      <c r="E1719" t="s">
        <v>9</v>
      </c>
      <c r="F1719">
        <v>16.5</v>
      </c>
      <c r="G1719">
        <v>29.25</v>
      </c>
      <c r="H1719">
        <v>40000</v>
      </c>
      <c r="I1719" t="s">
        <v>25</v>
      </c>
    </row>
    <row r="1720" spans="1:9" hidden="1" x14ac:dyDescent="0.25">
      <c r="A1720">
        <v>21</v>
      </c>
      <c r="B1720" t="s">
        <v>15</v>
      </c>
      <c r="C1720">
        <v>2021</v>
      </c>
      <c r="D1720">
        <v>16.5</v>
      </c>
      <c r="E1720" t="s">
        <v>9</v>
      </c>
      <c r="F1720">
        <v>0.75</v>
      </c>
      <c r="G1720">
        <v>15.75</v>
      </c>
      <c r="H1720">
        <v>40000</v>
      </c>
      <c r="I1720" t="s">
        <v>25</v>
      </c>
    </row>
    <row r="1721" spans="1:9" hidden="1" x14ac:dyDescent="0.25">
      <c r="A1721">
        <v>22</v>
      </c>
      <c r="B1721" t="s">
        <v>15</v>
      </c>
      <c r="C1721">
        <v>2021</v>
      </c>
      <c r="D1721">
        <v>0.75</v>
      </c>
      <c r="E1721">
        <v>20</v>
      </c>
      <c r="F1721">
        <v>10.375</v>
      </c>
      <c r="G1721">
        <v>10.375</v>
      </c>
      <c r="H1721">
        <v>40000</v>
      </c>
      <c r="I1721" t="s">
        <v>25</v>
      </c>
    </row>
    <row r="1722" spans="1:9" hidden="1" x14ac:dyDescent="0.25">
      <c r="A1722">
        <v>23</v>
      </c>
      <c r="B1722" t="s">
        <v>15</v>
      </c>
      <c r="C1722">
        <v>2021</v>
      </c>
      <c r="D1722">
        <v>10.375</v>
      </c>
      <c r="E1722">
        <v>104</v>
      </c>
      <c r="F1722">
        <v>100.375</v>
      </c>
      <c r="G1722">
        <v>14</v>
      </c>
      <c r="H1722">
        <v>40000</v>
      </c>
      <c r="I1722" t="s">
        <v>25</v>
      </c>
    </row>
    <row r="1723" spans="1:9" hidden="1" x14ac:dyDescent="0.25">
      <c r="A1723">
        <v>24</v>
      </c>
      <c r="B1723" t="s">
        <v>15</v>
      </c>
      <c r="C1723">
        <v>2021</v>
      </c>
      <c r="D1723">
        <v>100.375</v>
      </c>
      <c r="E1723" t="s">
        <v>9</v>
      </c>
      <c r="F1723">
        <v>79</v>
      </c>
      <c r="G1723">
        <v>21.375</v>
      </c>
      <c r="H1723">
        <v>40000</v>
      </c>
      <c r="I1723" t="s">
        <v>25</v>
      </c>
    </row>
    <row r="1724" spans="1:9" hidden="1" x14ac:dyDescent="0.25">
      <c r="A1724">
        <v>25</v>
      </c>
      <c r="B1724" t="s">
        <v>15</v>
      </c>
      <c r="C1724">
        <v>2021</v>
      </c>
      <c r="D1724">
        <v>79</v>
      </c>
      <c r="E1724" t="s">
        <v>9</v>
      </c>
      <c r="F1724">
        <v>53.375</v>
      </c>
      <c r="G1724">
        <v>25.625</v>
      </c>
      <c r="H1724">
        <v>40000</v>
      </c>
      <c r="I1724" t="s">
        <v>25</v>
      </c>
    </row>
    <row r="1725" spans="1:9" hidden="1" x14ac:dyDescent="0.25">
      <c r="A1725">
        <v>26</v>
      </c>
      <c r="B1725" t="s">
        <v>15</v>
      </c>
      <c r="C1725">
        <v>2021</v>
      </c>
      <c r="D1725">
        <v>53.375</v>
      </c>
      <c r="E1725" t="s">
        <v>9</v>
      </c>
      <c r="F1725">
        <v>27.75</v>
      </c>
      <c r="G1725">
        <v>25.625</v>
      </c>
      <c r="H1725">
        <v>40000</v>
      </c>
      <c r="I1725" t="s">
        <v>25</v>
      </c>
    </row>
    <row r="1726" spans="1:9" hidden="1" x14ac:dyDescent="0.25">
      <c r="A1726">
        <v>27</v>
      </c>
      <c r="B1726" t="s">
        <v>15</v>
      </c>
      <c r="C1726">
        <v>2021</v>
      </c>
      <c r="D1726">
        <v>27.75</v>
      </c>
      <c r="E1726" t="s">
        <v>9</v>
      </c>
      <c r="F1726">
        <v>1.75</v>
      </c>
      <c r="G1726">
        <v>26</v>
      </c>
      <c r="H1726">
        <v>40000</v>
      </c>
      <c r="I1726" t="s">
        <v>25</v>
      </c>
    </row>
    <row r="1727" spans="1:9" hidden="1" x14ac:dyDescent="0.25">
      <c r="A1727">
        <v>28</v>
      </c>
      <c r="B1727" t="s">
        <v>15</v>
      </c>
      <c r="C1727">
        <v>2021</v>
      </c>
      <c r="D1727">
        <v>1.75</v>
      </c>
      <c r="E1727">
        <v>34</v>
      </c>
      <c r="F1727">
        <v>16.5</v>
      </c>
      <c r="G1727">
        <v>19.25</v>
      </c>
      <c r="H1727">
        <v>40000</v>
      </c>
      <c r="I1727" t="s">
        <v>25</v>
      </c>
    </row>
    <row r="1728" spans="1:9" hidden="1" x14ac:dyDescent="0.25">
      <c r="A1728">
        <v>29</v>
      </c>
      <c r="B1728" t="s">
        <v>15</v>
      </c>
      <c r="C1728">
        <v>2021</v>
      </c>
      <c r="D1728">
        <v>16.5</v>
      </c>
      <c r="E1728">
        <v>30</v>
      </c>
      <c r="F1728">
        <v>27.125</v>
      </c>
      <c r="G1728">
        <v>19.375</v>
      </c>
      <c r="H1728">
        <v>40000</v>
      </c>
      <c r="I1728" t="s">
        <v>25</v>
      </c>
    </row>
    <row r="1729" spans="1:9" hidden="1" x14ac:dyDescent="0.25">
      <c r="A1729">
        <v>30</v>
      </c>
      <c r="B1729" t="s">
        <v>15</v>
      </c>
      <c r="C1729">
        <v>2021</v>
      </c>
      <c r="D1729">
        <v>27.125</v>
      </c>
      <c r="E1729">
        <v>11</v>
      </c>
      <c r="F1729">
        <v>20</v>
      </c>
      <c r="G1729">
        <v>18.125</v>
      </c>
      <c r="H1729">
        <v>40000</v>
      </c>
      <c r="I1729" t="s">
        <v>25</v>
      </c>
    </row>
    <row r="1730" spans="1:9" x14ac:dyDescent="0.25">
      <c r="A1730">
        <v>1</v>
      </c>
      <c r="B1730" t="s">
        <v>16</v>
      </c>
      <c r="C1730">
        <v>2021</v>
      </c>
      <c r="D1730">
        <v>87.75</v>
      </c>
      <c r="E1730" t="s">
        <v>9</v>
      </c>
      <c r="F1730">
        <v>65.625</v>
      </c>
      <c r="G1730">
        <v>22.125</v>
      </c>
      <c r="H1730">
        <v>40000</v>
      </c>
      <c r="I1730" t="s">
        <v>22</v>
      </c>
    </row>
    <row r="1731" spans="1:9" x14ac:dyDescent="0.25">
      <c r="A1731">
        <v>2</v>
      </c>
      <c r="B1731" t="s">
        <v>16</v>
      </c>
      <c r="C1731">
        <v>2021</v>
      </c>
      <c r="D1731">
        <v>65.625</v>
      </c>
      <c r="E1731" t="s">
        <v>9</v>
      </c>
      <c r="F1731">
        <v>43.625</v>
      </c>
      <c r="G1731">
        <v>22</v>
      </c>
      <c r="H1731">
        <v>40000</v>
      </c>
      <c r="I1731" t="s">
        <v>22</v>
      </c>
    </row>
    <row r="1732" spans="1:9" x14ac:dyDescent="0.25">
      <c r="A1732">
        <v>3</v>
      </c>
      <c r="B1732" t="s">
        <v>16</v>
      </c>
      <c r="C1732">
        <v>2021</v>
      </c>
      <c r="D1732">
        <v>43.625</v>
      </c>
      <c r="E1732">
        <v>100</v>
      </c>
      <c r="F1732">
        <v>107.75</v>
      </c>
      <c r="G1732">
        <v>35.875</v>
      </c>
      <c r="H1732">
        <v>40000</v>
      </c>
      <c r="I1732" t="s">
        <v>22</v>
      </c>
    </row>
    <row r="1733" spans="1:9" x14ac:dyDescent="0.25">
      <c r="A1733">
        <v>4</v>
      </c>
      <c r="B1733" t="s">
        <v>16</v>
      </c>
      <c r="C1733">
        <v>2021</v>
      </c>
      <c r="D1733">
        <v>107.75</v>
      </c>
      <c r="E1733" t="s">
        <v>9</v>
      </c>
      <c r="F1733">
        <v>66.5</v>
      </c>
      <c r="G1733">
        <v>41.25</v>
      </c>
      <c r="H1733">
        <v>40000</v>
      </c>
      <c r="I1733" t="s">
        <v>22</v>
      </c>
    </row>
    <row r="1734" spans="1:9" x14ac:dyDescent="0.25">
      <c r="A1734">
        <v>5</v>
      </c>
      <c r="B1734" t="s">
        <v>16</v>
      </c>
      <c r="C1734">
        <v>2021</v>
      </c>
      <c r="D1734">
        <v>66.5</v>
      </c>
      <c r="E1734" t="s">
        <v>9</v>
      </c>
      <c r="F1734">
        <v>34.75</v>
      </c>
      <c r="G1734">
        <v>31.75</v>
      </c>
      <c r="H1734">
        <v>40000</v>
      </c>
      <c r="I1734" t="s">
        <v>22</v>
      </c>
    </row>
    <row r="1735" spans="1:9" x14ac:dyDescent="0.25">
      <c r="A1735">
        <v>6</v>
      </c>
      <c r="B1735" t="s">
        <v>16</v>
      </c>
      <c r="C1735">
        <v>2021</v>
      </c>
      <c r="D1735">
        <v>34.75</v>
      </c>
      <c r="E1735">
        <v>80</v>
      </c>
      <c r="F1735">
        <v>97</v>
      </c>
      <c r="G1735">
        <v>17.75</v>
      </c>
      <c r="H1735">
        <v>40000</v>
      </c>
      <c r="I1735" t="s">
        <v>22</v>
      </c>
    </row>
    <row r="1736" spans="1:9" x14ac:dyDescent="0.25">
      <c r="A1736">
        <v>7</v>
      </c>
      <c r="B1736" t="s">
        <v>16</v>
      </c>
      <c r="C1736">
        <v>2021</v>
      </c>
      <c r="D1736">
        <v>97</v>
      </c>
      <c r="E1736" t="s">
        <v>9</v>
      </c>
      <c r="F1736">
        <v>84.25</v>
      </c>
      <c r="G1736">
        <v>12.75</v>
      </c>
      <c r="H1736">
        <v>40000</v>
      </c>
      <c r="I1736" t="s">
        <v>22</v>
      </c>
    </row>
    <row r="1737" spans="1:9" x14ac:dyDescent="0.25">
      <c r="A1737">
        <v>8</v>
      </c>
      <c r="B1737" t="s">
        <v>16</v>
      </c>
      <c r="C1737">
        <v>2021</v>
      </c>
      <c r="D1737">
        <v>84.25</v>
      </c>
      <c r="E1737" t="s">
        <v>9</v>
      </c>
      <c r="F1737">
        <v>69.25</v>
      </c>
      <c r="G1737">
        <v>15</v>
      </c>
      <c r="H1737">
        <v>40000</v>
      </c>
      <c r="I1737" t="s">
        <v>22</v>
      </c>
    </row>
    <row r="1738" spans="1:9" x14ac:dyDescent="0.25">
      <c r="A1738">
        <v>9</v>
      </c>
      <c r="B1738" t="s">
        <v>16</v>
      </c>
      <c r="C1738">
        <v>2021</v>
      </c>
      <c r="D1738">
        <v>69.25</v>
      </c>
      <c r="E1738" t="s">
        <v>9</v>
      </c>
      <c r="F1738">
        <v>48.75</v>
      </c>
      <c r="G1738">
        <v>20.5</v>
      </c>
      <c r="H1738">
        <v>40000</v>
      </c>
      <c r="I1738" t="s">
        <v>22</v>
      </c>
    </row>
    <row r="1739" spans="1:9" x14ac:dyDescent="0.25">
      <c r="A1739">
        <v>10</v>
      </c>
      <c r="B1739" t="s">
        <v>16</v>
      </c>
      <c r="C1739">
        <v>2021</v>
      </c>
      <c r="D1739">
        <v>48.75</v>
      </c>
      <c r="E1739">
        <v>100</v>
      </c>
      <c r="F1739">
        <v>118</v>
      </c>
      <c r="G1739">
        <v>30.75</v>
      </c>
      <c r="H1739">
        <v>40000</v>
      </c>
      <c r="I1739" t="s">
        <v>22</v>
      </c>
    </row>
    <row r="1740" spans="1:9" x14ac:dyDescent="0.25">
      <c r="A1740">
        <v>11</v>
      </c>
      <c r="B1740" t="s">
        <v>16</v>
      </c>
      <c r="C1740">
        <v>2021</v>
      </c>
      <c r="D1740">
        <v>118</v>
      </c>
      <c r="E1740" t="s">
        <v>9</v>
      </c>
      <c r="F1740">
        <v>82.75</v>
      </c>
      <c r="G1740">
        <v>35.25</v>
      </c>
      <c r="H1740">
        <v>40000</v>
      </c>
      <c r="I1740" t="s">
        <v>22</v>
      </c>
    </row>
    <row r="1741" spans="1:9" x14ac:dyDescent="0.25">
      <c r="A1741">
        <v>12</v>
      </c>
      <c r="B1741" t="s">
        <v>16</v>
      </c>
      <c r="C1741">
        <v>2021</v>
      </c>
      <c r="D1741">
        <v>82.75</v>
      </c>
      <c r="E1741" t="s">
        <v>9</v>
      </c>
      <c r="F1741">
        <v>68.5</v>
      </c>
      <c r="G1741">
        <v>14.25</v>
      </c>
      <c r="H1741">
        <v>40000</v>
      </c>
      <c r="I1741" t="s">
        <v>22</v>
      </c>
    </row>
    <row r="1742" spans="1:9" x14ac:dyDescent="0.25">
      <c r="A1742">
        <v>13</v>
      </c>
      <c r="B1742" t="s">
        <v>16</v>
      </c>
      <c r="C1742">
        <v>2021</v>
      </c>
      <c r="D1742">
        <v>68.5</v>
      </c>
      <c r="E1742">
        <v>100</v>
      </c>
      <c r="F1742">
        <v>150.25</v>
      </c>
      <c r="G1742">
        <v>18.25</v>
      </c>
      <c r="H1742">
        <v>40000</v>
      </c>
      <c r="I1742" t="s">
        <v>22</v>
      </c>
    </row>
    <row r="1743" spans="1:9" x14ac:dyDescent="0.25">
      <c r="A1743">
        <v>14</v>
      </c>
      <c r="B1743" t="s">
        <v>16</v>
      </c>
      <c r="C1743">
        <v>2021</v>
      </c>
      <c r="D1743">
        <v>150.25</v>
      </c>
      <c r="E1743" t="s">
        <v>9</v>
      </c>
      <c r="F1743">
        <v>131.75</v>
      </c>
      <c r="G1743">
        <v>18.5</v>
      </c>
      <c r="H1743">
        <v>40000</v>
      </c>
      <c r="I1743" t="s">
        <v>22</v>
      </c>
    </row>
    <row r="1744" spans="1:9" x14ac:dyDescent="0.25">
      <c r="A1744">
        <v>15</v>
      </c>
      <c r="B1744" t="s">
        <v>16</v>
      </c>
      <c r="C1744">
        <v>2021</v>
      </c>
      <c r="D1744">
        <v>131.75</v>
      </c>
      <c r="E1744" t="s">
        <v>9</v>
      </c>
      <c r="F1744">
        <v>112.5</v>
      </c>
      <c r="G1744">
        <v>19.25</v>
      </c>
      <c r="H1744">
        <v>40000</v>
      </c>
      <c r="I1744" t="s">
        <v>22</v>
      </c>
    </row>
    <row r="1745" spans="1:9" x14ac:dyDescent="0.25">
      <c r="A1745">
        <v>16</v>
      </c>
      <c r="B1745" t="s">
        <v>16</v>
      </c>
      <c r="C1745">
        <v>2021</v>
      </c>
      <c r="D1745">
        <v>112.5</v>
      </c>
      <c r="E1745" t="s">
        <v>9</v>
      </c>
      <c r="F1745">
        <v>86</v>
      </c>
      <c r="G1745">
        <v>26.5</v>
      </c>
      <c r="H1745">
        <v>40000</v>
      </c>
      <c r="I1745" t="s">
        <v>22</v>
      </c>
    </row>
    <row r="1746" spans="1:9" x14ac:dyDescent="0.25">
      <c r="A1746">
        <v>17</v>
      </c>
      <c r="B1746" t="s">
        <v>16</v>
      </c>
      <c r="C1746">
        <v>2021</v>
      </c>
      <c r="D1746">
        <v>86</v>
      </c>
      <c r="E1746" t="s">
        <v>9</v>
      </c>
      <c r="F1746">
        <v>41.5</v>
      </c>
      <c r="G1746">
        <v>44.5</v>
      </c>
      <c r="H1746">
        <v>40000</v>
      </c>
      <c r="I1746" t="s">
        <v>22</v>
      </c>
    </row>
    <row r="1747" spans="1:9" x14ac:dyDescent="0.25">
      <c r="A1747">
        <v>18</v>
      </c>
      <c r="B1747" t="s">
        <v>16</v>
      </c>
      <c r="C1747">
        <v>2021</v>
      </c>
      <c r="D1747">
        <v>41.5</v>
      </c>
      <c r="E1747">
        <v>50</v>
      </c>
      <c r="F1747">
        <v>44</v>
      </c>
      <c r="G1747">
        <v>47.5</v>
      </c>
      <c r="H1747">
        <v>40000</v>
      </c>
      <c r="I1747" t="s">
        <v>22</v>
      </c>
    </row>
    <row r="1748" spans="1:9" x14ac:dyDescent="0.25">
      <c r="A1748">
        <v>19</v>
      </c>
      <c r="B1748" t="s">
        <v>16</v>
      </c>
      <c r="C1748">
        <v>2021</v>
      </c>
      <c r="D1748">
        <v>44</v>
      </c>
      <c r="E1748">
        <v>50</v>
      </c>
      <c r="F1748">
        <v>77</v>
      </c>
      <c r="G1748">
        <v>17</v>
      </c>
      <c r="H1748">
        <v>40000</v>
      </c>
      <c r="I1748" t="s">
        <v>22</v>
      </c>
    </row>
    <row r="1749" spans="1:9" x14ac:dyDescent="0.25">
      <c r="A1749">
        <v>20</v>
      </c>
      <c r="B1749" t="s">
        <v>16</v>
      </c>
      <c r="C1749">
        <v>2021</v>
      </c>
      <c r="D1749">
        <v>77</v>
      </c>
      <c r="E1749" t="s">
        <v>9</v>
      </c>
      <c r="F1749">
        <v>77</v>
      </c>
      <c r="G1749">
        <v>0</v>
      </c>
      <c r="H1749">
        <v>40000</v>
      </c>
      <c r="I1749" t="s">
        <v>22</v>
      </c>
    </row>
    <row r="1750" spans="1:9" x14ac:dyDescent="0.25">
      <c r="A1750">
        <v>21</v>
      </c>
      <c r="B1750" t="s">
        <v>16</v>
      </c>
      <c r="C1750">
        <v>2021</v>
      </c>
      <c r="D1750">
        <v>77</v>
      </c>
      <c r="E1750" t="s">
        <v>9</v>
      </c>
      <c r="F1750">
        <v>62</v>
      </c>
      <c r="G1750">
        <v>15</v>
      </c>
      <c r="H1750">
        <v>40000</v>
      </c>
      <c r="I1750" t="s">
        <v>22</v>
      </c>
    </row>
    <row r="1751" spans="1:9" x14ac:dyDescent="0.25">
      <c r="A1751">
        <v>22</v>
      </c>
      <c r="B1751" t="s">
        <v>16</v>
      </c>
      <c r="C1751">
        <v>2021</v>
      </c>
      <c r="D1751">
        <v>62</v>
      </c>
      <c r="E1751" t="s">
        <v>9</v>
      </c>
      <c r="F1751">
        <v>52.5</v>
      </c>
      <c r="G1751">
        <v>9.5</v>
      </c>
      <c r="H1751">
        <v>40000</v>
      </c>
      <c r="I1751" t="s">
        <v>22</v>
      </c>
    </row>
    <row r="1752" spans="1:9" x14ac:dyDescent="0.25">
      <c r="A1752">
        <v>23</v>
      </c>
      <c r="B1752" t="s">
        <v>16</v>
      </c>
      <c r="C1752">
        <v>2021</v>
      </c>
      <c r="D1752">
        <v>52.5</v>
      </c>
      <c r="E1752" t="s">
        <v>9</v>
      </c>
      <c r="F1752">
        <v>36.25</v>
      </c>
      <c r="G1752">
        <v>16.25</v>
      </c>
      <c r="H1752">
        <v>40000</v>
      </c>
      <c r="I1752" t="s">
        <v>22</v>
      </c>
    </row>
    <row r="1753" spans="1:9" x14ac:dyDescent="0.25">
      <c r="A1753">
        <v>24</v>
      </c>
      <c r="B1753" t="s">
        <v>16</v>
      </c>
      <c r="C1753">
        <v>2021</v>
      </c>
      <c r="D1753">
        <v>36.25</v>
      </c>
      <c r="E1753">
        <v>80</v>
      </c>
      <c r="F1753">
        <v>86.5</v>
      </c>
      <c r="G1753">
        <v>29.75</v>
      </c>
      <c r="H1753">
        <v>40000</v>
      </c>
      <c r="I1753" t="s">
        <v>22</v>
      </c>
    </row>
    <row r="1754" spans="1:9" x14ac:dyDescent="0.25">
      <c r="A1754">
        <v>25</v>
      </c>
      <c r="B1754" t="s">
        <v>16</v>
      </c>
      <c r="C1754">
        <v>2021</v>
      </c>
      <c r="D1754">
        <v>86.5</v>
      </c>
      <c r="E1754" t="s">
        <v>9</v>
      </c>
      <c r="F1754">
        <v>46.25</v>
      </c>
      <c r="G1754">
        <v>40.25</v>
      </c>
      <c r="H1754">
        <v>40000</v>
      </c>
      <c r="I1754" t="s">
        <v>22</v>
      </c>
    </row>
    <row r="1755" spans="1:9" x14ac:dyDescent="0.25">
      <c r="A1755">
        <v>26</v>
      </c>
      <c r="B1755" t="s">
        <v>16</v>
      </c>
      <c r="C1755">
        <v>2021</v>
      </c>
      <c r="D1755">
        <v>46.25</v>
      </c>
      <c r="E1755" t="s">
        <v>9</v>
      </c>
      <c r="F1755">
        <v>29</v>
      </c>
      <c r="G1755">
        <v>17.25</v>
      </c>
      <c r="H1755">
        <v>40000</v>
      </c>
      <c r="I1755" t="s">
        <v>22</v>
      </c>
    </row>
    <row r="1756" spans="1:9" x14ac:dyDescent="0.25">
      <c r="A1756">
        <v>27</v>
      </c>
      <c r="B1756" t="s">
        <v>16</v>
      </c>
      <c r="C1756">
        <v>2021</v>
      </c>
      <c r="D1756">
        <v>29</v>
      </c>
      <c r="E1756">
        <v>100</v>
      </c>
      <c r="F1756">
        <v>113.5</v>
      </c>
      <c r="G1756">
        <v>15.5</v>
      </c>
      <c r="H1756">
        <v>40000</v>
      </c>
      <c r="I1756" t="s">
        <v>22</v>
      </c>
    </row>
    <row r="1757" spans="1:9" x14ac:dyDescent="0.25">
      <c r="A1757">
        <v>28</v>
      </c>
      <c r="B1757" t="s">
        <v>16</v>
      </c>
      <c r="C1757">
        <v>2021</v>
      </c>
      <c r="D1757">
        <v>113.5</v>
      </c>
      <c r="E1757" t="s">
        <v>9</v>
      </c>
      <c r="F1757">
        <v>89.375</v>
      </c>
      <c r="G1757">
        <v>24.125</v>
      </c>
      <c r="H1757">
        <v>40000</v>
      </c>
      <c r="I1757" t="s">
        <v>22</v>
      </c>
    </row>
    <row r="1758" spans="1:9" x14ac:dyDescent="0.25">
      <c r="A1758">
        <v>29</v>
      </c>
      <c r="B1758" t="s">
        <v>16</v>
      </c>
      <c r="C1758">
        <v>2021</v>
      </c>
      <c r="D1758">
        <v>89.375</v>
      </c>
      <c r="E1758" t="s">
        <v>9</v>
      </c>
      <c r="F1758">
        <v>77</v>
      </c>
      <c r="G1758">
        <v>12.375</v>
      </c>
      <c r="H1758">
        <v>40000</v>
      </c>
      <c r="I1758" t="s">
        <v>22</v>
      </c>
    </row>
    <row r="1759" spans="1:9" x14ac:dyDescent="0.25">
      <c r="A1759">
        <v>30</v>
      </c>
      <c r="B1759" t="s">
        <v>16</v>
      </c>
      <c r="C1759">
        <v>2021</v>
      </c>
      <c r="D1759">
        <v>77</v>
      </c>
      <c r="E1759" t="s">
        <v>9</v>
      </c>
      <c r="F1759">
        <v>56.5</v>
      </c>
      <c r="G1759">
        <v>20.5</v>
      </c>
      <c r="H1759">
        <v>40000</v>
      </c>
      <c r="I1759" t="s">
        <v>22</v>
      </c>
    </row>
    <row r="1760" spans="1:9" x14ac:dyDescent="0.25">
      <c r="A1760">
        <v>31</v>
      </c>
      <c r="B1760" t="s">
        <v>16</v>
      </c>
      <c r="C1760">
        <v>2021</v>
      </c>
      <c r="D1760">
        <v>56.5</v>
      </c>
      <c r="E1760" t="s">
        <v>9</v>
      </c>
      <c r="F1760">
        <v>7</v>
      </c>
      <c r="G1760">
        <v>49.5</v>
      </c>
      <c r="H1760">
        <v>40000</v>
      </c>
      <c r="I1760" t="s">
        <v>22</v>
      </c>
    </row>
    <row r="1761" spans="1:9" hidden="1" x14ac:dyDescent="0.25">
      <c r="A1761">
        <v>1</v>
      </c>
      <c r="B1761" t="s">
        <v>16</v>
      </c>
      <c r="C1761">
        <v>2021</v>
      </c>
      <c r="D1761">
        <v>127</v>
      </c>
      <c r="E1761" t="s">
        <v>9</v>
      </c>
      <c r="F1761">
        <v>84</v>
      </c>
      <c r="G1761">
        <v>43</v>
      </c>
      <c r="H1761">
        <v>40000</v>
      </c>
      <c r="I1761" t="s">
        <v>23</v>
      </c>
    </row>
    <row r="1762" spans="1:9" hidden="1" x14ac:dyDescent="0.25">
      <c r="A1762">
        <v>2</v>
      </c>
      <c r="B1762" t="s">
        <v>16</v>
      </c>
      <c r="C1762">
        <v>2021</v>
      </c>
      <c r="D1762">
        <v>84</v>
      </c>
      <c r="E1762" t="s">
        <v>9</v>
      </c>
      <c r="F1762">
        <v>45</v>
      </c>
      <c r="G1762">
        <v>39</v>
      </c>
      <c r="H1762">
        <v>40000</v>
      </c>
      <c r="I1762" t="s">
        <v>23</v>
      </c>
    </row>
    <row r="1763" spans="1:9" hidden="1" x14ac:dyDescent="0.25">
      <c r="A1763">
        <v>3</v>
      </c>
      <c r="B1763" t="s">
        <v>16</v>
      </c>
      <c r="C1763">
        <v>2021</v>
      </c>
      <c r="D1763">
        <v>45</v>
      </c>
      <c r="E1763">
        <v>150</v>
      </c>
      <c r="F1763">
        <v>141</v>
      </c>
      <c r="G1763">
        <v>54</v>
      </c>
      <c r="H1763">
        <v>40000</v>
      </c>
      <c r="I1763" t="s">
        <v>23</v>
      </c>
    </row>
    <row r="1764" spans="1:9" hidden="1" x14ac:dyDescent="0.25">
      <c r="A1764">
        <v>4</v>
      </c>
      <c r="B1764" t="s">
        <v>16</v>
      </c>
      <c r="C1764">
        <v>2021</v>
      </c>
      <c r="D1764">
        <v>141</v>
      </c>
      <c r="E1764" t="s">
        <v>9</v>
      </c>
      <c r="F1764">
        <v>85</v>
      </c>
      <c r="G1764">
        <v>56</v>
      </c>
      <c r="H1764">
        <v>40000</v>
      </c>
      <c r="I1764" t="s">
        <v>23</v>
      </c>
    </row>
    <row r="1765" spans="1:9" hidden="1" x14ac:dyDescent="0.25">
      <c r="A1765">
        <v>5</v>
      </c>
      <c r="B1765" t="s">
        <v>16</v>
      </c>
      <c r="C1765">
        <v>2021</v>
      </c>
      <c r="D1765">
        <v>85</v>
      </c>
      <c r="E1765" t="s">
        <v>9</v>
      </c>
      <c r="F1765">
        <v>35</v>
      </c>
      <c r="G1765">
        <v>50</v>
      </c>
      <c r="H1765">
        <v>40000</v>
      </c>
      <c r="I1765" t="s">
        <v>23</v>
      </c>
    </row>
    <row r="1766" spans="1:9" hidden="1" x14ac:dyDescent="0.25">
      <c r="A1766">
        <v>6</v>
      </c>
      <c r="B1766" t="s">
        <v>16</v>
      </c>
      <c r="C1766">
        <v>2021</v>
      </c>
      <c r="D1766">
        <v>35</v>
      </c>
      <c r="E1766">
        <v>150</v>
      </c>
      <c r="F1766">
        <v>144.875</v>
      </c>
      <c r="G1766">
        <v>40.125</v>
      </c>
      <c r="H1766">
        <v>40000</v>
      </c>
      <c r="I1766" t="s">
        <v>23</v>
      </c>
    </row>
    <row r="1767" spans="1:9" hidden="1" x14ac:dyDescent="0.25">
      <c r="A1767">
        <v>7</v>
      </c>
      <c r="B1767" t="s">
        <v>16</v>
      </c>
      <c r="C1767">
        <v>2021</v>
      </c>
      <c r="D1767">
        <v>144.875</v>
      </c>
      <c r="E1767" t="s">
        <v>9</v>
      </c>
      <c r="F1767">
        <v>113</v>
      </c>
      <c r="G1767">
        <v>31.875</v>
      </c>
      <c r="H1767">
        <v>40000</v>
      </c>
      <c r="I1767" t="s">
        <v>23</v>
      </c>
    </row>
    <row r="1768" spans="1:9" hidden="1" x14ac:dyDescent="0.25">
      <c r="A1768">
        <v>8</v>
      </c>
      <c r="B1768" t="s">
        <v>16</v>
      </c>
      <c r="C1768">
        <v>2021</v>
      </c>
      <c r="D1768">
        <v>113</v>
      </c>
      <c r="E1768" t="s">
        <v>9</v>
      </c>
      <c r="F1768">
        <v>81</v>
      </c>
      <c r="G1768">
        <v>32</v>
      </c>
      <c r="H1768">
        <v>40000</v>
      </c>
      <c r="I1768" t="s">
        <v>23</v>
      </c>
    </row>
    <row r="1769" spans="1:9" hidden="1" x14ac:dyDescent="0.25">
      <c r="A1769">
        <v>9</v>
      </c>
      <c r="B1769" t="s">
        <v>16</v>
      </c>
      <c r="C1769">
        <v>2021</v>
      </c>
      <c r="D1769">
        <v>81</v>
      </c>
      <c r="E1769" t="s">
        <v>9</v>
      </c>
      <c r="F1769">
        <v>30</v>
      </c>
      <c r="G1769">
        <v>51</v>
      </c>
      <c r="H1769">
        <v>40000</v>
      </c>
      <c r="I1769" t="s">
        <v>23</v>
      </c>
    </row>
    <row r="1770" spans="1:9" hidden="1" x14ac:dyDescent="0.25">
      <c r="A1770">
        <v>10</v>
      </c>
      <c r="B1770" t="s">
        <v>16</v>
      </c>
      <c r="C1770">
        <v>2021</v>
      </c>
      <c r="D1770">
        <v>30</v>
      </c>
      <c r="E1770">
        <v>150</v>
      </c>
      <c r="F1770">
        <v>126</v>
      </c>
      <c r="G1770">
        <v>54</v>
      </c>
      <c r="H1770">
        <v>40000</v>
      </c>
      <c r="I1770" t="s">
        <v>23</v>
      </c>
    </row>
    <row r="1771" spans="1:9" hidden="1" x14ac:dyDescent="0.25">
      <c r="A1771">
        <v>11</v>
      </c>
      <c r="B1771" t="s">
        <v>16</v>
      </c>
      <c r="C1771">
        <v>2021</v>
      </c>
      <c r="D1771">
        <v>126</v>
      </c>
      <c r="E1771" t="s">
        <v>9</v>
      </c>
      <c r="F1771">
        <v>72</v>
      </c>
      <c r="G1771">
        <v>54</v>
      </c>
      <c r="H1771">
        <v>40000</v>
      </c>
      <c r="I1771" t="s">
        <v>23</v>
      </c>
    </row>
    <row r="1772" spans="1:9" hidden="1" x14ac:dyDescent="0.25">
      <c r="A1772">
        <v>12</v>
      </c>
      <c r="B1772" t="s">
        <v>16</v>
      </c>
      <c r="C1772">
        <v>2021</v>
      </c>
      <c r="D1772">
        <v>72</v>
      </c>
      <c r="E1772" t="s">
        <v>9</v>
      </c>
      <c r="F1772">
        <v>40</v>
      </c>
      <c r="G1772">
        <v>32</v>
      </c>
      <c r="H1772">
        <v>40000</v>
      </c>
      <c r="I1772" t="s">
        <v>23</v>
      </c>
    </row>
    <row r="1773" spans="1:9" hidden="1" x14ac:dyDescent="0.25">
      <c r="A1773">
        <v>13</v>
      </c>
      <c r="B1773" t="s">
        <v>16</v>
      </c>
      <c r="C1773">
        <v>2021</v>
      </c>
      <c r="D1773">
        <v>40</v>
      </c>
      <c r="E1773">
        <v>150</v>
      </c>
      <c r="F1773">
        <v>155</v>
      </c>
      <c r="G1773">
        <v>35</v>
      </c>
      <c r="H1773">
        <v>40000</v>
      </c>
      <c r="I1773" t="s">
        <v>23</v>
      </c>
    </row>
    <row r="1774" spans="1:9" hidden="1" x14ac:dyDescent="0.25">
      <c r="A1774">
        <v>14</v>
      </c>
      <c r="B1774" t="s">
        <v>16</v>
      </c>
      <c r="C1774">
        <v>2021</v>
      </c>
      <c r="D1774">
        <v>155</v>
      </c>
      <c r="E1774" t="s">
        <v>9</v>
      </c>
      <c r="F1774">
        <v>125</v>
      </c>
      <c r="G1774">
        <v>30</v>
      </c>
      <c r="H1774">
        <v>40000</v>
      </c>
      <c r="I1774" t="s">
        <v>23</v>
      </c>
    </row>
    <row r="1775" spans="1:9" hidden="1" x14ac:dyDescent="0.25">
      <c r="A1775">
        <v>15</v>
      </c>
      <c r="B1775" t="s">
        <v>16</v>
      </c>
      <c r="C1775">
        <v>2021</v>
      </c>
      <c r="D1775">
        <v>125</v>
      </c>
      <c r="E1775" t="s">
        <v>9</v>
      </c>
      <c r="F1775">
        <v>83</v>
      </c>
      <c r="G1775">
        <v>42</v>
      </c>
      <c r="H1775">
        <v>40000</v>
      </c>
      <c r="I1775" t="s">
        <v>23</v>
      </c>
    </row>
    <row r="1776" spans="1:9" hidden="1" x14ac:dyDescent="0.25">
      <c r="A1776">
        <v>16</v>
      </c>
      <c r="B1776" t="s">
        <v>16</v>
      </c>
      <c r="C1776">
        <v>2021</v>
      </c>
      <c r="D1776">
        <v>83</v>
      </c>
      <c r="E1776" t="s">
        <v>9</v>
      </c>
      <c r="F1776">
        <v>45</v>
      </c>
      <c r="G1776">
        <v>38</v>
      </c>
      <c r="H1776">
        <v>40000</v>
      </c>
      <c r="I1776" t="s">
        <v>23</v>
      </c>
    </row>
    <row r="1777" spans="1:9" hidden="1" x14ac:dyDescent="0.25">
      <c r="A1777">
        <v>17</v>
      </c>
      <c r="B1777" t="s">
        <v>16</v>
      </c>
      <c r="C1777">
        <v>2021</v>
      </c>
      <c r="D1777">
        <v>45</v>
      </c>
      <c r="E1777">
        <v>150</v>
      </c>
      <c r="F1777">
        <v>125.5</v>
      </c>
      <c r="G1777">
        <v>69.5</v>
      </c>
      <c r="H1777">
        <v>40000</v>
      </c>
      <c r="I1777" t="s">
        <v>23</v>
      </c>
    </row>
    <row r="1778" spans="1:9" hidden="1" x14ac:dyDescent="0.25">
      <c r="A1778">
        <v>18</v>
      </c>
      <c r="B1778" t="s">
        <v>16</v>
      </c>
      <c r="C1778">
        <v>2021</v>
      </c>
      <c r="D1778">
        <v>125.5</v>
      </c>
      <c r="E1778">
        <v>20</v>
      </c>
      <c r="F1778">
        <v>82</v>
      </c>
      <c r="G1778">
        <v>63.5</v>
      </c>
      <c r="H1778">
        <v>40000</v>
      </c>
      <c r="I1778" t="s">
        <v>23</v>
      </c>
    </row>
    <row r="1779" spans="1:9" hidden="1" x14ac:dyDescent="0.25">
      <c r="A1779">
        <v>19</v>
      </c>
      <c r="B1779" t="s">
        <v>16</v>
      </c>
      <c r="C1779">
        <v>2021</v>
      </c>
      <c r="D1779">
        <v>82</v>
      </c>
      <c r="E1779">
        <v>70</v>
      </c>
      <c r="F1779">
        <v>125</v>
      </c>
      <c r="G1779">
        <v>27</v>
      </c>
      <c r="H1779">
        <v>40000</v>
      </c>
      <c r="I1779" t="s">
        <v>23</v>
      </c>
    </row>
    <row r="1780" spans="1:9" hidden="1" x14ac:dyDescent="0.25">
      <c r="A1780">
        <v>20</v>
      </c>
      <c r="B1780" t="s">
        <v>16</v>
      </c>
      <c r="C1780">
        <v>2021</v>
      </c>
      <c r="D1780">
        <v>125</v>
      </c>
      <c r="E1780" t="s">
        <v>9</v>
      </c>
      <c r="F1780">
        <v>81</v>
      </c>
      <c r="G1780">
        <v>44</v>
      </c>
      <c r="H1780">
        <v>40000</v>
      </c>
      <c r="I1780" t="s">
        <v>23</v>
      </c>
    </row>
    <row r="1781" spans="1:9" hidden="1" x14ac:dyDescent="0.25">
      <c r="A1781">
        <v>21</v>
      </c>
      <c r="B1781" t="s">
        <v>16</v>
      </c>
      <c r="C1781">
        <v>2021</v>
      </c>
      <c r="D1781">
        <v>81</v>
      </c>
      <c r="E1781">
        <v>120</v>
      </c>
      <c r="F1781">
        <v>172</v>
      </c>
      <c r="G1781">
        <v>29</v>
      </c>
      <c r="H1781">
        <v>40000</v>
      </c>
      <c r="I1781" t="s">
        <v>23</v>
      </c>
    </row>
    <row r="1782" spans="1:9" hidden="1" x14ac:dyDescent="0.25">
      <c r="A1782">
        <v>22</v>
      </c>
      <c r="B1782" t="s">
        <v>16</v>
      </c>
      <c r="C1782">
        <v>2021</v>
      </c>
      <c r="D1782">
        <v>172</v>
      </c>
      <c r="E1782" t="s">
        <v>9</v>
      </c>
      <c r="F1782">
        <v>133</v>
      </c>
      <c r="G1782">
        <v>39</v>
      </c>
      <c r="H1782">
        <v>40000</v>
      </c>
      <c r="I1782" t="s">
        <v>23</v>
      </c>
    </row>
    <row r="1783" spans="1:9" hidden="1" x14ac:dyDescent="0.25">
      <c r="A1783">
        <v>23</v>
      </c>
      <c r="B1783" t="s">
        <v>16</v>
      </c>
      <c r="C1783">
        <v>2021</v>
      </c>
      <c r="D1783">
        <v>133</v>
      </c>
      <c r="E1783" t="s">
        <v>9</v>
      </c>
      <c r="F1783">
        <v>103</v>
      </c>
      <c r="G1783">
        <v>30</v>
      </c>
      <c r="H1783">
        <v>40000</v>
      </c>
      <c r="I1783" t="s">
        <v>23</v>
      </c>
    </row>
    <row r="1784" spans="1:9" hidden="1" x14ac:dyDescent="0.25">
      <c r="A1784">
        <v>24</v>
      </c>
      <c r="B1784" t="s">
        <v>16</v>
      </c>
      <c r="C1784">
        <v>2021</v>
      </c>
      <c r="D1784">
        <v>103</v>
      </c>
      <c r="E1784">
        <v>100</v>
      </c>
      <c r="F1784">
        <v>149.625</v>
      </c>
      <c r="G1784">
        <v>53.375</v>
      </c>
      <c r="H1784">
        <v>40000</v>
      </c>
      <c r="I1784" t="s">
        <v>23</v>
      </c>
    </row>
    <row r="1785" spans="1:9" hidden="1" x14ac:dyDescent="0.25">
      <c r="A1785">
        <v>25</v>
      </c>
      <c r="B1785" t="s">
        <v>16</v>
      </c>
      <c r="C1785">
        <v>2021</v>
      </c>
      <c r="D1785">
        <v>149.625</v>
      </c>
      <c r="E1785" t="s">
        <v>9</v>
      </c>
      <c r="F1785">
        <v>91</v>
      </c>
      <c r="G1785">
        <v>58.625</v>
      </c>
      <c r="H1785">
        <v>40000</v>
      </c>
      <c r="I1785" t="s">
        <v>23</v>
      </c>
    </row>
    <row r="1786" spans="1:9" hidden="1" x14ac:dyDescent="0.25">
      <c r="A1786">
        <v>26</v>
      </c>
      <c r="B1786" t="s">
        <v>16</v>
      </c>
      <c r="C1786">
        <v>2021</v>
      </c>
      <c r="D1786">
        <v>91</v>
      </c>
      <c r="E1786" t="s">
        <v>9</v>
      </c>
      <c r="F1786">
        <v>55</v>
      </c>
      <c r="G1786">
        <v>36</v>
      </c>
      <c r="H1786">
        <v>40000</v>
      </c>
      <c r="I1786" t="s">
        <v>23</v>
      </c>
    </row>
    <row r="1787" spans="1:9" hidden="1" x14ac:dyDescent="0.25">
      <c r="A1787">
        <v>27</v>
      </c>
      <c r="B1787" t="s">
        <v>16</v>
      </c>
      <c r="C1787">
        <v>2021</v>
      </c>
      <c r="D1787">
        <v>55</v>
      </c>
      <c r="E1787">
        <v>150</v>
      </c>
      <c r="F1787">
        <v>174</v>
      </c>
      <c r="G1787">
        <v>31</v>
      </c>
      <c r="H1787">
        <v>40000</v>
      </c>
      <c r="I1787" t="s">
        <v>23</v>
      </c>
    </row>
    <row r="1788" spans="1:9" hidden="1" x14ac:dyDescent="0.25">
      <c r="A1788">
        <v>28</v>
      </c>
      <c r="B1788" t="s">
        <v>16</v>
      </c>
      <c r="C1788">
        <v>2021</v>
      </c>
      <c r="D1788">
        <v>174</v>
      </c>
      <c r="E1788" t="s">
        <v>9</v>
      </c>
      <c r="F1788">
        <v>129</v>
      </c>
      <c r="G1788">
        <v>45</v>
      </c>
      <c r="H1788">
        <v>40000</v>
      </c>
      <c r="I1788" t="s">
        <v>23</v>
      </c>
    </row>
    <row r="1789" spans="1:9" hidden="1" x14ac:dyDescent="0.25">
      <c r="A1789">
        <v>29</v>
      </c>
      <c r="B1789" t="s">
        <v>16</v>
      </c>
      <c r="C1789">
        <v>2021</v>
      </c>
      <c r="D1789">
        <v>129</v>
      </c>
      <c r="E1789" t="s">
        <v>9</v>
      </c>
      <c r="F1789">
        <v>95</v>
      </c>
      <c r="G1789">
        <v>34</v>
      </c>
      <c r="H1789">
        <v>40000</v>
      </c>
      <c r="I1789" t="s">
        <v>23</v>
      </c>
    </row>
    <row r="1790" spans="1:9" hidden="1" x14ac:dyDescent="0.25">
      <c r="A1790">
        <v>30</v>
      </c>
      <c r="B1790" t="s">
        <v>16</v>
      </c>
      <c r="C1790">
        <v>2021</v>
      </c>
      <c r="D1790">
        <v>95</v>
      </c>
      <c r="E1790" t="s">
        <v>9</v>
      </c>
      <c r="F1790">
        <v>54</v>
      </c>
      <c r="G1790">
        <v>41</v>
      </c>
      <c r="H1790">
        <v>40000</v>
      </c>
      <c r="I1790" t="s">
        <v>23</v>
      </c>
    </row>
    <row r="1791" spans="1:9" hidden="1" x14ac:dyDescent="0.25">
      <c r="A1791">
        <v>31</v>
      </c>
      <c r="B1791" t="s">
        <v>16</v>
      </c>
      <c r="C1791">
        <v>2021</v>
      </c>
      <c r="D1791">
        <v>54</v>
      </c>
      <c r="E1791">
        <v>160</v>
      </c>
      <c r="F1791">
        <v>166</v>
      </c>
      <c r="G1791">
        <v>48</v>
      </c>
      <c r="H1791">
        <v>40000</v>
      </c>
      <c r="I1791" t="s">
        <v>23</v>
      </c>
    </row>
    <row r="1792" spans="1:9" hidden="1" x14ac:dyDescent="0.25">
      <c r="A1792">
        <v>1</v>
      </c>
      <c r="B1792" t="s">
        <v>16</v>
      </c>
      <c r="C1792">
        <v>2021</v>
      </c>
      <c r="D1792">
        <v>20</v>
      </c>
      <c r="E1792" t="s">
        <v>9</v>
      </c>
      <c r="F1792">
        <v>5.125</v>
      </c>
      <c r="G1792">
        <v>14.875</v>
      </c>
      <c r="H1792">
        <v>40000</v>
      </c>
      <c r="I1792" t="s">
        <v>25</v>
      </c>
    </row>
    <row r="1793" spans="1:9" hidden="1" x14ac:dyDescent="0.25">
      <c r="A1793">
        <v>2</v>
      </c>
      <c r="B1793" t="s">
        <v>16</v>
      </c>
      <c r="C1793">
        <v>2021</v>
      </c>
      <c r="D1793">
        <v>5.125</v>
      </c>
      <c r="E1793">
        <v>50</v>
      </c>
      <c r="F1793">
        <v>36.5</v>
      </c>
      <c r="G1793">
        <v>18.625</v>
      </c>
      <c r="H1793">
        <v>40000</v>
      </c>
      <c r="I1793" t="s">
        <v>25</v>
      </c>
    </row>
    <row r="1794" spans="1:9" hidden="1" x14ac:dyDescent="0.25">
      <c r="A1794">
        <v>3</v>
      </c>
      <c r="B1794" t="s">
        <v>16</v>
      </c>
      <c r="C1794">
        <v>2021</v>
      </c>
      <c r="D1794">
        <v>36.5</v>
      </c>
      <c r="E1794" t="s">
        <v>9</v>
      </c>
      <c r="F1794">
        <v>11.5</v>
      </c>
      <c r="G1794">
        <v>25</v>
      </c>
      <c r="H1794">
        <v>40000</v>
      </c>
      <c r="I1794" t="s">
        <v>25</v>
      </c>
    </row>
    <row r="1795" spans="1:9" hidden="1" x14ac:dyDescent="0.25">
      <c r="A1795">
        <v>4</v>
      </c>
      <c r="B1795" t="s">
        <v>16</v>
      </c>
      <c r="C1795">
        <v>2021</v>
      </c>
      <c r="D1795">
        <v>11.5</v>
      </c>
      <c r="E1795">
        <v>15</v>
      </c>
      <c r="F1795">
        <v>1</v>
      </c>
      <c r="G1795">
        <v>25.5</v>
      </c>
      <c r="H1795">
        <v>40000</v>
      </c>
      <c r="I1795" t="s">
        <v>25</v>
      </c>
    </row>
    <row r="1796" spans="1:9" hidden="1" x14ac:dyDescent="0.25">
      <c r="A1796">
        <v>5</v>
      </c>
      <c r="B1796" t="s">
        <v>16</v>
      </c>
      <c r="C1796">
        <v>2021</v>
      </c>
      <c r="D1796">
        <v>1</v>
      </c>
      <c r="E1796">
        <v>30</v>
      </c>
      <c r="F1796">
        <v>11</v>
      </c>
      <c r="G1796">
        <v>20</v>
      </c>
      <c r="H1796">
        <v>40000</v>
      </c>
      <c r="I1796" t="s">
        <v>25</v>
      </c>
    </row>
    <row r="1797" spans="1:9" hidden="1" x14ac:dyDescent="0.25">
      <c r="A1797">
        <v>6</v>
      </c>
      <c r="B1797" t="s">
        <v>16</v>
      </c>
      <c r="C1797">
        <v>2021</v>
      </c>
      <c r="D1797">
        <v>11</v>
      </c>
      <c r="E1797">
        <v>23</v>
      </c>
      <c r="F1797">
        <v>18.5</v>
      </c>
      <c r="G1797">
        <v>15.5</v>
      </c>
      <c r="H1797">
        <v>40000</v>
      </c>
      <c r="I1797" t="s">
        <v>25</v>
      </c>
    </row>
    <row r="1798" spans="1:9" hidden="1" x14ac:dyDescent="0.25">
      <c r="A1798">
        <v>7</v>
      </c>
      <c r="B1798" t="s">
        <v>16</v>
      </c>
      <c r="C1798">
        <v>2021</v>
      </c>
      <c r="D1798">
        <v>18.5</v>
      </c>
      <c r="E1798">
        <v>50</v>
      </c>
      <c r="F1798">
        <v>56.125</v>
      </c>
      <c r="G1798">
        <v>12.375</v>
      </c>
      <c r="H1798">
        <v>40000</v>
      </c>
      <c r="I1798" t="s">
        <v>25</v>
      </c>
    </row>
    <row r="1799" spans="1:9" hidden="1" x14ac:dyDescent="0.25">
      <c r="A1799">
        <v>8</v>
      </c>
      <c r="B1799" t="s">
        <v>16</v>
      </c>
      <c r="C1799">
        <v>2021</v>
      </c>
      <c r="D1799">
        <v>56.125</v>
      </c>
      <c r="E1799" t="s">
        <v>9</v>
      </c>
      <c r="F1799">
        <v>47.875</v>
      </c>
      <c r="G1799">
        <v>8.25</v>
      </c>
      <c r="H1799">
        <v>40000</v>
      </c>
      <c r="I1799" t="s">
        <v>25</v>
      </c>
    </row>
    <row r="1800" spans="1:9" hidden="1" x14ac:dyDescent="0.25">
      <c r="A1800">
        <v>9</v>
      </c>
      <c r="B1800" t="s">
        <v>16</v>
      </c>
      <c r="C1800">
        <v>2021</v>
      </c>
      <c r="D1800">
        <v>47.875</v>
      </c>
      <c r="E1800" t="s">
        <v>9</v>
      </c>
      <c r="F1800">
        <v>30</v>
      </c>
      <c r="G1800">
        <v>17.875</v>
      </c>
      <c r="H1800">
        <v>40000</v>
      </c>
      <c r="I1800" t="s">
        <v>25</v>
      </c>
    </row>
    <row r="1801" spans="1:9" hidden="1" x14ac:dyDescent="0.25">
      <c r="A1801">
        <v>10</v>
      </c>
      <c r="B1801" t="s">
        <v>16</v>
      </c>
      <c r="C1801">
        <v>2021</v>
      </c>
      <c r="D1801">
        <v>30</v>
      </c>
      <c r="E1801" t="s">
        <v>9</v>
      </c>
      <c r="F1801">
        <v>5.5</v>
      </c>
      <c r="G1801">
        <v>24.5</v>
      </c>
      <c r="H1801">
        <v>40000</v>
      </c>
      <c r="I1801" t="s">
        <v>25</v>
      </c>
    </row>
    <row r="1802" spans="1:9" hidden="1" x14ac:dyDescent="0.25">
      <c r="A1802">
        <v>11</v>
      </c>
      <c r="B1802" t="s">
        <v>16</v>
      </c>
      <c r="C1802">
        <v>2021</v>
      </c>
      <c r="D1802">
        <v>5.5</v>
      </c>
      <c r="E1802">
        <v>54</v>
      </c>
      <c r="F1802">
        <v>34</v>
      </c>
      <c r="G1802">
        <v>25.5</v>
      </c>
      <c r="H1802">
        <v>40000</v>
      </c>
      <c r="I1802" t="s">
        <v>25</v>
      </c>
    </row>
    <row r="1803" spans="1:9" hidden="1" x14ac:dyDescent="0.25">
      <c r="A1803">
        <v>12</v>
      </c>
      <c r="B1803" t="s">
        <v>16</v>
      </c>
      <c r="C1803">
        <v>2021</v>
      </c>
      <c r="D1803">
        <v>34</v>
      </c>
      <c r="E1803" t="s">
        <v>9</v>
      </c>
      <c r="F1803">
        <v>22</v>
      </c>
      <c r="G1803">
        <v>12</v>
      </c>
      <c r="H1803">
        <v>40000</v>
      </c>
      <c r="I1803" t="s">
        <v>25</v>
      </c>
    </row>
    <row r="1804" spans="1:9" hidden="1" x14ac:dyDescent="0.25">
      <c r="A1804">
        <v>13</v>
      </c>
      <c r="B1804" t="s">
        <v>16</v>
      </c>
      <c r="C1804">
        <v>2021</v>
      </c>
      <c r="D1804">
        <v>22</v>
      </c>
      <c r="E1804">
        <v>60</v>
      </c>
      <c r="F1804">
        <v>67.5</v>
      </c>
      <c r="G1804">
        <v>14.5</v>
      </c>
      <c r="H1804">
        <v>40000</v>
      </c>
      <c r="I1804" t="s">
        <v>25</v>
      </c>
    </row>
    <row r="1805" spans="1:9" hidden="1" x14ac:dyDescent="0.25">
      <c r="A1805">
        <v>14</v>
      </c>
      <c r="B1805" t="s">
        <v>16</v>
      </c>
      <c r="C1805">
        <v>2021</v>
      </c>
      <c r="D1805">
        <v>67.5</v>
      </c>
      <c r="E1805" t="s">
        <v>9</v>
      </c>
      <c r="F1805">
        <v>51</v>
      </c>
      <c r="G1805">
        <v>16.5</v>
      </c>
      <c r="H1805">
        <v>40000</v>
      </c>
      <c r="I1805" t="s">
        <v>25</v>
      </c>
    </row>
    <row r="1806" spans="1:9" hidden="1" x14ac:dyDescent="0.25">
      <c r="A1806">
        <v>15</v>
      </c>
      <c r="B1806" t="s">
        <v>16</v>
      </c>
      <c r="C1806">
        <v>2021</v>
      </c>
      <c r="D1806">
        <v>51</v>
      </c>
      <c r="E1806" t="s">
        <v>9</v>
      </c>
      <c r="F1806">
        <v>37.5</v>
      </c>
      <c r="G1806">
        <v>13.5</v>
      </c>
      <c r="H1806">
        <v>40000</v>
      </c>
      <c r="I1806" t="s">
        <v>25</v>
      </c>
    </row>
    <row r="1807" spans="1:9" hidden="1" x14ac:dyDescent="0.25">
      <c r="A1807">
        <v>16</v>
      </c>
      <c r="B1807" t="s">
        <v>16</v>
      </c>
      <c r="C1807">
        <v>2021</v>
      </c>
      <c r="D1807">
        <v>37.5</v>
      </c>
      <c r="E1807" t="s">
        <v>9</v>
      </c>
      <c r="F1807">
        <v>21.25</v>
      </c>
      <c r="G1807">
        <v>16.25</v>
      </c>
      <c r="H1807">
        <v>40000</v>
      </c>
      <c r="I1807" t="s">
        <v>25</v>
      </c>
    </row>
    <row r="1808" spans="1:9" hidden="1" x14ac:dyDescent="0.25">
      <c r="A1808">
        <v>17</v>
      </c>
      <c r="B1808" t="s">
        <v>16</v>
      </c>
      <c r="C1808">
        <v>2021</v>
      </c>
      <c r="D1808">
        <v>21.25</v>
      </c>
      <c r="E1808">
        <v>50</v>
      </c>
      <c r="F1808">
        <v>54.5</v>
      </c>
      <c r="G1808">
        <v>16.75</v>
      </c>
      <c r="H1808">
        <v>40000</v>
      </c>
      <c r="I1808" t="s">
        <v>25</v>
      </c>
    </row>
    <row r="1809" spans="1:9" hidden="1" x14ac:dyDescent="0.25">
      <c r="A1809">
        <v>18</v>
      </c>
      <c r="B1809" t="s">
        <v>16</v>
      </c>
      <c r="C1809">
        <v>2021</v>
      </c>
      <c r="D1809">
        <v>54.5</v>
      </c>
      <c r="E1809" t="s">
        <v>9</v>
      </c>
      <c r="F1809">
        <v>30.5</v>
      </c>
      <c r="G1809">
        <v>24</v>
      </c>
      <c r="H1809">
        <v>40000</v>
      </c>
      <c r="I1809" t="s">
        <v>25</v>
      </c>
    </row>
    <row r="1810" spans="1:9" hidden="1" x14ac:dyDescent="0.25">
      <c r="A1810">
        <v>19</v>
      </c>
      <c r="B1810" t="s">
        <v>16</v>
      </c>
      <c r="C1810">
        <v>2021</v>
      </c>
      <c r="D1810">
        <v>30.5</v>
      </c>
      <c r="E1810" t="s">
        <v>9</v>
      </c>
      <c r="F1810">
        <v>18.5</v>
      </c>
      <c r="G1810">
        <v>12</v>
      </c>
      <c r="H1810">
        <v>40000</v>
      </c>
      <c r="I1810" t="s">
        <v>25</v>
      </c>
    </row>
    <row r="1811" spans="1:9" hidden="1" x14ac:dyDescent="0.25">
      <c r="A1811">
        <v>20</v>
      </c>
      <c r="B1811" t="s">
        <v>16</v>
      </c>
      <c r="C1811">
        <v>2021</v>
      </c>
      <c r="D1811">
        <v>18.5</v>
      </c>
      <c r="E1811" t="s">
        <v>9</v>
      </c>
      <c r="F1811">
        <v>3.5</v>
      </c>
      <c r="G1811">
        <v>15</v>
      </c>
      <c r="H1811">
        <v>40000</v>
      </c>
      <c r="I1811" t="s">
        <v>25</v>
      </c>
    </row>
    <row r="1812" spans="1:9" hidden="1" x14ac:dyDescent="0.25">
      <c r="A1812">
        <v>21</v>
      </c>
      <c r="B1812" t="s">
        <v>16</v>
      </c>
      <c r="C1812">
        <v>2021</v>
      </c>
      <c r="D1812">
        <v>3.5</v>
      </c>
      <c r="E1812">
        <v>60</v>
      </c>
      <c r="F1812">
        <v>46.75</v>
      </c>
      <c r="G1812">
        <v>16.75</v>
      </c>
      <c r="H1812">
        <v>40000</v>
      </c>
      <c r="I1812" t="s">
        <v>25</v>
      </c>
    </row>
    <row r="1813" spans="1:9" hidden="1" x14ac:dyDescent="0.25">
      <c r="A1813">
        <v>22</v>
      </c>
      <c r="B1813" t="s">
        <v>16</v>
      </c>
      <c r="C1813">
        <v>2021</v>
      </c>
      <c r="D1813">
        <v>46.75</v>
      </c>
      <c r="E1813" t="s">
        <v>9</v>
      </c>
      <c r="F1813">
        <v>36.25</v>
      </c>
      <c r="G1813">
        <v>10.5</v>
      </c>
      <c r="H1813">
        <v>40000</v>
      </c>
      <c r="I1813" t="s">
        <v>25</v>
      </c>
    </row>
    <row r="1814" spans="1:9" hidden="1" x14ac:dyDescent="0.25">
      <c r="A1814">
        <v>23</v>
      </c>
      <c r="B1814" t="s">
        <v>16</v>
      </c>
      <c r="C1814">
        <v>2021</v>
      </c>
      <c r="D1814">
        <v>36.25</v>
      </c>
      <c r="E1814" t="s">
        <v>9</v>
      </c>
      <c r="F1814">
        <v>19.5</v>
      </c>
      <c r="G1814">
        <v>16.75</v>
      </c>
      <c r="H1814">
        <v>40000</v>
      </c>
      <c r="I1814" t="s">
        <v>25</v>
      </c>
    </row>
    <row r="1815" spans="1:9" hidden="1" x14ac:dyDescent="0.25">
      <c r="A1815">
        <v>24</v>
      </c>
      <c r="B1815" t="s">
        <v>16</v>
      </c>
      <c r="C1815">
        <v>2021</v>
      </c>
      <c r="D1815">
        <v>19.5</v>
      </c>
      <c r="E1815">
        <v>23</v>
      </c>
      <c r="F1815">
        <v>16.5</v>
      </c>
      <c r="G1815">
        <v>26</v>
      </c>
      <c r="H1815">
        <v>40000</v>
      </c>
      <c r="I1815" t="s">
        <v>25</v>
      </c>
    </row>
    <row r="1816" spans="1:9" hidden="1" x14ac:dyDescent="0.25">
      <c r="A1816">
        <v>25</v>
      </c>
      <c r="B1816" t="s">
        <v>16</v>
      </c>
      <c r="C1816">
        <v>2021</v>
      </c>
      <c r="D1816">
        <v>16.5</v>
      </c>
      <c r="E1816">
        <v>68</v>
      </c>
      <c r="F1816">
        <v>61</v>
      </c>
      <c r="G1816">
        <v>23.5</v>
      </c>
      <c r="H1816">
        <v>40000</v>
      </c>
      <c r="I1816" t="s">
        <v>25</v>
      </c>
    </row>
    <row r="1817" spans="1:9" hidden="1" x14ac:dyDescent="0.25">
      <c r="A1817">
        <v>26</v>
      </c>
      <c r="B1817" t="s">
        <v>16</v>
      </c>
      <c r="C1817">
        <v>2021</v>
      </c>
      <c r="D1817">
        <v>61</v>
      </c>
      <c r="E1817" t="s">
        <v>9</v>
      </c>
      <c r="F1817">
        <v>48.25</v>
      </c>
      <c r="G1817">
        <v>12.75</v>
      </c>
      <c r="H1817">
        <v>40000</v>
      </c>
      <c r="I1817" t="s">
        <v>25</v>
      </c>
    </row>
    <row r="1818" spans="1:9" hidden="1" x14ac:dyDescent="0.25">
      <c r="A1818">
        <v>27</v>
      </c>
      <c r="B1818" t="s">
        <v>16</v>
      </c>
      <c r="C1818">
        <v>2021</v>
      </c>
      <c r="D1818">
        <v>48.25</v>
      </c>
      <c r="E1818" t="s">
        <v>9</v>
      </c>
      <c r="F1818">
        <v>39</v>
      </c>
      <c r="G1818">
        <v>9.25</v>
      </c>
      <c r="H1818">
        <v>40000</v>
      </c>
      <c r="I1818" t="s">
        <v>25</v>
      </c>
    </row>
    <row r="1819" spans="1:9" hidden="1" x14ac:dyDescent="0.25">
      <c r="A1819">
        <v>28</v>
      </c>
      <c r="B1819" t="s">
        <v>16</v>
      </c>
      <c r="C1819">
        <v>2021</v>
      </c>
      <c r="D1819">
        <v>39</v>
      </c>
      <c r="E1819" t="s">
        <v>9</v>
      </c>
      <c r="F1819">
        <v>27</v>
      </c>
      <c r="G1819">
        <v>12</v>
      </c>
      <c r="H1819">
        <v>40000</v>
      </c>
      <c r="I1819" t="s">
        <v>25</v>
      </c>
    </row>
    <row r="1820" spans="1:9" hidden="1" x14ac:dyDescent="0.25">
      <c r="A1820">
        <v>29</v>
      </c>
      <c r="B1820" t="s">
        <v>16</v>
      </c>
      <c r="C1820">
        <v>2021</v>
      </c>
      <c r="D1820">
        <v>27</v>
      </c>
      <c r="E1820" t="s">
        <v>9</v>
      </c>
      <c r="F1820">
        <v>12</v>
      </c>
      <c r="G1820">
        <v>15</v>
      </c>
      <c r="H1820">
        <v>40000</v>
      </c>
      <c r="I1820" t="s">
        <v>25</v>
      </c>
    </row>
    <row r="1821" spans="1:9" hidden="1" x14ac:dyDescent="0.25">
      <c r="A1821">
        <v>30</v>
      </c>
      <c r="B1821" t="s">
        <v>16</v>
      </c>
      <c r="C1821">
        <v>2021</v>
      </c>
      <c r="D1821">
        <v>12</v>
      </c>
      <c r="E1821">
        <v>60</v>
      </c>
      <c r="F1821">
        <v>54.5</v>
      </c>
      <c r="G1821">
        <v>17.5</v>
      </c>
      <c r="H1821">
        <v>40000</v>
      </c>
      <c r="I1821" t="s">
        <v>25</v>
      </c>
    </row>
    <row r="1822" spans="1:9" hidden="1" x14ac:dyDescent="0.25">
      <c r="A1822">
        <v>31</v>
      </c>
      <c r="B1822" t="s">
        <v>16</v>
      </c>
      <c r="C1822">
        <v>2021</v>
      </c>
      <c r="D1822">
        <v>54.5</v>
      </c>
      <c r="E1822" t="s">
        <v>9</v>
      </c>
      <c r="F1822">
        <v>25</v>
      </c>
      <c r="G1822">
        <v>29.5</v>
      </c>
      <c r="H1822">
        <v>40000</v>
      </c>
      <c r="I1822" t="s">
        <v>25</v>
      </c>
    </row>
    <row r="1823" spans="1:9" x14ac:dyDescent="0.25">
      <c r="A1823">
        <v>1</v>
      </c>
      <c r="B1823" t="s">
        <v>17</v>
      </c>
      <c r="C1823">
        <v>2021</v>
      </c>
      <c r="D1823">
        <v>7</v>
      </c>
      <c r="E1823">
        <v>101</v>
      </c>
      <c r="F1823">
        <v>67</v>
      </c>
      <c r="G1823">
        <v>41</v>
      </c>
      <c r="H1823">
        <v>40000</v>
      </c>
      <c r="I1823" t="s">
        <v>22</v>
      </c>
    </row>
    <row r="1824" spans="1:9" x14ac:dyDescent="0.25">
      <c r="A1824">
        <v>2</v>
      </c>
      <c r="B1824" t="s">
        <v>17</v>
      </c>
      <c r="C1824">
        <v>2021</v>
      </c>
      <c r="D1824">
        <v>67</v>
      </c>
      <c r="E1824" t="s">
        <v>9</v>
      </c>
      <c r="F1824">
        <v>56.25</v>
      </c>
      <c r="G1824">
        <v>10.75</v>
      </c>
      <c r="H1824">
        <v>40000</v>
      </c>
      <c r="I1824" t="s">
        <v>22</v>
      </c>
    </row>
    <row r="1825" spans="1:9" x14ac:dyDescent="0.25">
      <c r="A1825">
        <v>3</v>
      </c>
      <c r="B1825" t="s">
        <v>17</v>
      </c>
      <c r="C1825">
        <v>2021</v>
      </c>
      <c r="D1825">
        <v>56.25</v>
      </c>
      <c r="E1825" t="s">
        <v>9</v>
      </c>
      <c r="F1825">
        <v>37.5</v>
      </c>
      <c r="G1825">
        <v>18.75</v>
      </c>
      <c r="H1825">
        <v>40000</v>
      </c>
      <c r="I1825" t="s">
        <v>22</v>
      </c>
    </row>
    <row r="1826" spans="1:9" x14ac:dyDescent="0.25">
      <c r="A1826">
        <v>4</v>
      </c>
      <c r="B1826" t="s">
        <v>17</v>
      </c>
      <c r="C1826">
        <v>2021</v>
      </c>
      <c r="D1826">
        <v>37.5</v>
      </c>
      <c r="E1826">
        <v>50</v>
      </c>
      <c r="F1826">
        <v>62.5</v>
      </c>
      <c r="G1826">
        <v>25</v>
      </c>
      <c r="H1826">
        <v>40000</v>
      </c>
      <c r="I1826" t="s">
        <v>22</v>
      </c>
    </row>
    <row r="1827" spans="1:9" x14ac:dyDescent="0.25">
      <c r="A1827">
        <v>5</v>
      </c>
      <c r="B1827" t="s">
        <v>17</v>
      </c>
      <c r="C1827">
        <v>2021</v>
      </c>
      <c r="D1827">
        <v>62.5</v>
      </c>
      <c r="E1827" t="s">
        <v>9</v>
      </c>
      <c r="F1827">
        <v>41.75</v>
      </c>
      <c r="G1827">
        <v>20.75</v>
      </c>
      <c r="H1827">
        <v>40000</v>
      </c>
      <c r="I1827" t="s">
        <v>22</v>
      </c>
    </row>
    <row r="1828" spans="1:9" x14ac:dyDescent="0.25">
      <c r="A1828">
        <v>6</v>
      </c>
      <c r="B1828" t="s">
        <v>17</v>
      </c>
      <c r="C1828">
        <v>2021</v>
      </c>
      <c r="D1828">
        <v>41.75</v>
      </c>
      <c r="E1828" t="s">
        <v>9</v>
      </c>
      <c r="F1828">
        <v>10.5</v>
      </c>
      <c r="G1828">
        <v>31.25</v>
      </c>
      <c r="H1828">
        <v>40000</v>
      </c>
      <c r="I1828" t="s">
        <v>22</v>
      </c>
    </row>
    <row r="1829" spans="1:9" x14ac:dyDescent="0.25">
      <c r="A1829">
        <v>7</v>
      </c>
      <c r="B1829" t="s">
        <v>17</v>
      </c>
      <c r="C1829">
        <v>2021</v>
      </c>
      <c r="D1829">
        <v>10.5</v>
      </c>
      <c r="E1829">
        <v>97</v>
      </c>
      <c r="F1829">
        <v>74.5</v>
      </c>
      <c r="G1829">
        <v>33</v>
      </c>
      <c r="H1829">
        <v>40000</v>
      </c>
      <c r="I1829" t="s">
        <v>22</v>
      </c>
    </row>
    <row r="1830" spans="1:9" x14ac:dyDescent="0.25">
      <c r="A1830">
        <v>8</v>
      </c>
      <c r="B1830" t="s">
        <v>17</v>
      </c>
      <c r="C1830">
        <v>2021</v>
      </c>
      <c r="D1830">
        <v>74.5</v>
      </c>
      <c r="E1830" t="s">
        <v>9</v>
      </c>
      <c r="F1830">
        <v>43.25</v>
      </c>
      <c r="G1830">
        <v>31.25</v>
      </c>
      <c r="H1830">
        <v>40000</v>
      </c>
      <c r="I1830" t="s">
        <v>22</v>
      </c>
    </row>
    <row r="1831" spans="1:9" x14ac:dyDescent="0.25">
      <c r="A1831">
        <v>9</v>
      </c>
      <c r="B1831" t="s">
        <v>17</v>
      </c>
      <c r="C1831">
        <v>2021</v>
      </c>
      <c r="D1831">
        <v>43.25</v>
      </c>
      <c r="E1831" t="s">
        <v>9</v>
      </c>
      <c r="F1831">
        <v>34.5</v>
      </c>
      <c r="G1831">
        <v>8.75</v>
      </c>
      <c r="H1831">
        <v>40000</v>
      </c>
      <c r="I1831" t="s">
        <v>22</v>
      </c>
    </row>
    <row r="1832" spans="1:9" x14ac:dyDescent="0.25">
      <c r="A1832">
        <v>10</v>
      </c>
      <c r="B1832" t="s">
        <v>17</v>
      </c>
      <c r="C1832">
        <v>2021</v>
      </c>
      <c r="D1832">
        <v>34.5</v>
      </c>
      <c r="E1832" t="s">
        <v>9</v>
      </c>
      <c r="F1832">
        <v>17.375</v>
      </c>
      <c r="G1832">
        <v>17.125</v>
      </c>
      <c r="H1832">
        <v>40000</v>
      </c>
      <c r="I1832" t="s">
        <v>22</v>
      </c>
    </row>
    <row r="1833" spans="1:9" x14ac:dyDescent="0.25">
      <c r="A1833">
        <v>11</v>
      </c>
      <c r="B1833" t="s">
        <v>17</v>
      </c>
      <c r="C1833">
        <v>2021</v>
      </c>
      <c r="D1833">
        <v>17.375</v>
      </c>
      <c r="E1833">
        <v>110</v>
      </c>
      <c r="F1833">
        <v>100.5</v>
      </c>
      <c r="G1833">
        <v>26.875</v>
      </c>
      <c r="H1833">
        <v>40000</v>
      </c>
      <c r="I1833" t="s">
        <v>22</v>
      </c>
    </row>
    <row r="1834" spans="1:9" x14ac:dyDescent="0.25">
      <c r="A1834">
        <v>12</v>
      </c>
      <c r="B1834" t="s">
        <v>17</v>
      </c>
      <c r="C1834">
        <v>2021</v>
      </c>
      <c r="D1834">
        <v>100.5</v>
      </c>
      <c r="E1834" t="s">
        <v>9</v>
      </c>
      <c r="F1834">
        <v>93</v>
      </c>
      <c r="G1834">
        <v>7.5</v>
      </c>
      <c r="H1834">
        <v>40000</v>
      </c>
      <c r="I1834" t="s">
        <v>22</v>
      </c>
    </row>
    <row r="1835" spans="1:9" x14ac:dyDescent="0.25">
      <c r="A1835">
        <v>13</v>
      </c>
      <c r="B1835" t="s">
        <v>17</v>
      </c>
      <c r="C1835">
        <v>2021</v>
      </c>
      <c r="D1835">
        <v>93</v>
      </c>
      <c r="E1835" t="s">
        <v>9</v>
      </c>
      <c r="F1835">
        <v>79</v>
      </c>
      <c r="G1835">
        <v>14</v>
      </c>
      <c r="H1835">
        <v>40000</v>
      </c>
      <c r="I1835" t="s">
        <v>22</v>
      </c>
    </row>
    <row r="1836" spans="1:9" x14ac:dyDescent="0.25">
      <c r="A1836">
        <v>14</v>
      </c>
      <c r="B1836" t="s">
        <v>17</v>
      </c>
      <c r="C1836">
        <v>2021</v>
      </c>
      <c r="D1836">
        <v>79</v>
      </c>
      <c r="E1836">
        <v>60</v>
      </c>
      <c r="F1836">
        <v>116</v>
      </c>
      <c r="G1836">
        <v>23</v>
      </c>
      <c r="H1836">
        <v>40000</v>
      </c>
      <c r="I1836" t="s">
        <v>22</v>
      </c>
    </row>
    <row r="1837" spans="1:9" x14ac:dyDescent="0.25">
      <c r="A1837">
        <v>15</v>
      </c>
      <c r="B1837" t="s">
        <v>17</v>
      </c>
      <c r="C1837">
        <v>2021</v>
      </c>
      <c r="D1837">
        <v>116</v>
      </c>
      <c r="E1837" t="s">
        <v>9</v>
      </c>
      <c r="F1837">
        <v>80.5</v>
      </c>
      <c r="G1837">
        <v>35.5</v>
      </c>
      <c r="H1837">
        <v>40000</v>
      </c>
      <c r="I1837" t="s">
        <v>22</v>
      </c>
    </row>
    <row r="1838" spans="1:9" x14ac:dyDescent="0.25">
      <c r="A1838">
        <v>16</v>
      </c>
      <c r="B1838" t="s">
        <v>17</v>
      </c>
      <c r="C1838">
        <v>2021</v>
      </c>
      <c r="D1838">
        <v>80.5</v>
      </c>
      <c r="E1838">
        <v>80</v>
      </c>
      <c r="F1838">
        <v>129.375</v>
      </c>
      <c r="G1838">
        <v>31.125</v>
      </c>
      <c r="H1838">
        <v>40000</v>
      </c>
      <c r="I1838" t="s">
        <v>22</v>
      </c>
    </row>
    <row r="1839" spans="1:9" x14ac:dyDescent="0.25">
      <c r="A1839">
        <v>17</v>
      </c>
      <c r="B1839" t="s">
        <v>17</v>
      </c>
      <c r="C1839">
        <v>2021</v>
      </c>
      <c r="D1839">
        <v>129.375</v>
      </c>
      <c r="E1839" t="s">
        <v>9</v>
      </c>
      <c r="F1839">
        <v>107.5</v>
      </c>
      <c r="G1839">
        <v>21.875</v>
      </c>
      <c r="H1839">
        <v>40000</v>
      </c>
      <c r="I1839" t="s">
        <v>22</v>
      </c>
    </row>
    <row r="1840" spans="1:9" x14ac:dyDescent="0.25">
      <c r="A1840">
        <v>18</v>
      </c>
      <c r="B1840" t="s">
        <v>17</v>
      </c>
      <c r="C1840">
        <v>2021</v>
      </c>
      <c r="D1840">
        <v>107.5</v>
      </c>
      <c r="E1840" t="s">
        <v>9</v>
      </c>
      <c r="F1840">
        <v>84</v>
      </c>
      <c r="G1840">
        <v>23.5</v>
      </c>
      <c r="H1840">
        <v>40000</v>
      </c>
      <c r="I1840" t="s">
        <v>22</v>
      </c>
    </row>
    <row r="1841" spans="1:9" x14ac:dyDescent="0.25">
      <c r="A1841">
        <v>19</v>
      </c>
      <c r="B1841" t="s">
        <v>17</v>
      </c>
      <c r="C1841">
        <v>2021</v>
      </c>
      <c r="D1841">
        <v>84</v>
      </c>
      <c r="E1841" t="s">
        <v>9</v>
      </c>
      <c r="F1841">
        <v>73.75</v>
      </c>
      <c r="G1841">
        <v>10.25</v>
      </c>
      <c r="H1841">
        <v>40000</v>
      </c>
      <c r="I1841" t="s">
        <v>22</v>
      </c>
    </row>
    <row r="1842" spans="1:9" x14ac:dyDescent="0.25">
      <c r="A1842">
        <v>20</v>
      </c>
      <c r="B1842" t="s">
        <v>17</v>
      </c>
      <c r="C1842">
        <v>2021</v>
      </c>
      <c r="D1842">
        <v>73.75</v>
      </c>
      <c r="E1842" t="s">
        <v>9</v>
      </c>
      <c r="F1842">
        <v>52.75</v>
      </c>
      <c r="G1842">
        <v>21</v>
      </c>
      <c r="H1842">
        <v>40000</v>
      </c>
      <c r="I1842" t="s">
        <v>22</v>
      </c>
    </row>
    <row r="1843" spans="1:9" x14ac:dyDescent="0.25">
      <c r="A1843">
        <v>21</v>
      </c>
      <c r="B1843" t="s">
        <v>17</v>
      </c>
      <c r="C1843">
        <v>2021</v>
      </c>
      <c r="D1843">
        <v>52.75</v>
      </c>
      <c r="E1843">
        <v>60</v>
      </c>
      <c r="F1843">
        <v>87</v>
      </c>
      <c r="G1843">
        <v>25.75</v>
      </c>
      <c r="H1843">
        <v>40000</v>
      </c>
      <c r="I1843" t="s">
        <v>22</v>
      </c>
    </row>
    <row r="1844" spans="1:9" x14ac:dyDescent="0.25">
      <c r="A1844">
        <v>22</v>
      </c>
      <c r="B1844" t="s">
        <v>17</v>
      </c>
      <c r="C1844">
        <v>2021</v>
      </c>
      <c r="D1844">
        <v>87</v>
      </c>
      <c r="E1844" t="s">
        <v>9</v>
      </c>
      <c r="F1844">
        <v>49</v>
      </c>
      <c r="G1844">
        <v>38</v>
      </c>
      <c r="H1844">
        <v>40000</v>
      </c>
      <c r="I1844" t="s">
        <v>22</v>
      </c>
    </row>
    <row r="1845" spans="1:9" x14ac:dyDescent="0.25">
      <c r="A1845">
        <v>23</v>
      </c>
      <c r="B1845" t="s">
        <v>17</v>
      </c>
      <c r="C1845">
        <v>2021</v>
      </c>
      <c r="D1845">
        <v>49</v>
      </c>
      <c r="E1845" t="s">
        <v>9</v>
      </c>
      <c r="F1845">
        <v>34.5</v>
      </c>
      <c r="G1845">
        <v>14.5</v>
      </c>
      <c r="H1845">
        <v>40000</v>
      </c>
      <c r="I1845" t="s">
        <v>22</v>
      </c>
    </row>
    <row r="1846" spans="1:9" x14ac:dyDescent="0.25">
      <c r="A1846">
        <v>24</v>
      </c>
      <c r="B1846" t="s">
        <v>17</v>
      </c>
      <c r="C1846">
        <v>2021</v>
      </c>
      <c r="D1846">
        <v>34.5</v>
      </c>
      <c r="E1846">
        <v>80</v>
      </c>
      <c r="F1846">
        <v>95</v>
      </c>
      <c r="G1846">
        <v>19.5</v>
      </c>
      <c r="H1846">
        <v>40000</v>
      </c>
      <c r="I1846" t="s">
        <v>22</v>
      </c>
    </row>
    <row r="1847" spans="1:9" x14ac:dyDescent="0.25">
      <c r="A1847">
        <v>25</v>
      </c>
      <c r="B1847" t="s">
        <v>17</v>
      </c>
      <c r="C1847">
        <v>2021</v>
      </c>
      <c r="D1847">
        <v>95</v>
      </c>
      <c r="E1847" t="s">
        <v>9</v>
      </c>
      <c r="F1847">
        <v>74.5</v>
      </c>
      <c r="G1847">
        <v>20.5</v>
      </c>
      <c r="H1847">
        <v>40000</v>
      </c>
      <c r="I1847" t="s">
        <v>22</v>
      </c>
    </row>
    <row r="1848" spans="1:9" x14ac:dyDescent="0.25">
      <c r="A1848">
        <v>26</v>
      </c>
      <c r="B1848" t="s">
        <v>17</v>
      </c>
      <c r="C1848">
        <v>2021</v>
      </c>
      <c r="D1848">
        <v>74.5</v>
      </c>
      <c r="E1848" t="s">
        <v>9</v>
      </c>
      <c r="F1848">
        <v>55.25</v>
      </c>
      <c r="G1848">
        <v>19.25</v>
      </c>
      <c r="H1848">
        <v>40000</v>
      </c>
      <c r="I1848" t="s">
        <v>22</v>
      </c>
    </row>
    <row r="1849" spans="1:9" x14ac:dyDescent="0.25">
      <c r="A1849">
        <v>27</v>
      </c>
      <c r="B1849" t="s">
        <v>17</v>
      </c>
      <c r="C1849">
        <v>2021</v>
      </c>
      <c r="D1849">
        <v>55.25</v>
      </c>
      <c r="E1849" t="s">
        <v>9</v>
      </c>
      <c r="F1849">
        <v>37</v>
      </c>
      <c r="G1849">
        <v>18.25</v>
      </c>
      <c r="H1849">
        <v>40000</v>
      </c>
      <c r="I1849" t="s">
        <v>22</v>
      </c>
    </row>
    <row r="1850" spans="1:9" x14ac:dyDescent="0.25">
      <c r="A1850">
        <v>28</v>
      </c>
      <c r="B1850" t="s">
        <v>17</v>
      </c>
      <c r="C1850">
        <v>2021</v>
      </c>
      <c r="D1850">
        <v>37</v>
      </c>
      <c r="E1850">
        <v>110</v>
      </c>
      <c r="F1850">
        <v>107.75</v>
      </c>
      <c r="G1850">
        <v>39.25</v>
      </c>
      <c r="H1850">
        <v>40000</v>
      </c>
      <c r="I1850" t="s">
        <v>22</v>
      </c>
    </row>
    <row r="1851" spans="1:9" x14ac:dyDescent="0.25">
      <c r="A1851">
        <v>29</v>
      </c>
      <c r="B1851" t="s">
        <v>17</v>
      </c>
      <c r="C1851">
        <v>2021</v>
      </c>
      <c r="D1851">
        <v>107.75</v>
      </c>
      <c r="E1851" t="s">
        <v>9</v>
      </c>
      <c r="F1851">
        <v>75.5</v>
      </c>
      <c r="G1851">
        <v>32.25</v>
      </c>
      <c r="H1851">
        <v>40000</v>
      </c>
      <c r="I1851" t="s">
        <v>22</v>
      </c>
    </row>
    <row r="1852" spans="1:9" x14ac:dyDescent="0.25">
      <c r="A1852">
        <v>30</v>
      </c>
      <c r="B1852" t="s">
        <v>17</v>
      </c>
      <c r="C1852">
        <v>2021</v>
      </c>
      <c r="D1852">
        <v>75.5</v>
      </c>
      <c r="E1852" t="s">
        <v>9</v>
      </c>
      <c r="F1852">
        <v>52</v>
      </c>
      <c r="G1852">
        <v>23.5</v>
      </c>
      <c r="H1852">
        <v>40000</v>
      </c>
      <c r="I1852" t="s">
        <v>22</v>
      </c>
    </row>
    <row r="1853" spans="1:9" x14ac:dyDescent="0.25">
      <c r="A1853">
        <v>31</v>
      </c>
      <c r="B1853" t="s">
        <v>17</v>
      </c>
      <c r="C1853">
        <v>2021</v>
      </c>
      <c r="D1853">
        <v>52</v>
      </c>
      <c r="E1853">
        <v>60</v>
      </c>
      <c r="F1853">
        <v>95.625</v>
      </c>
      <c r="G1853">
        <v>16.375</v>
      </c>
      <c r="H1853">
        <v>40000</v>
      </c>
      <c r="I1853" t="s">
        <v>22</v>
      </c>
    </row>
    <row r="1854" spans="1:9" hidden="1" x14ac:dyDescent="0.25">
      <c r="A1854">
        <v>1</v>
      </c>
      <c r="B1854" t="s">
        <v>17</v>
      </c>
      <c r="C1854">
        <v>2021</v>
      </c>
      <c r="D1854">
        <v>166</v>
      </c>
      <c r="E1854" t="s">
        <v>9</v>
      </c>
      <c r="F1854">
        <v>121</v>
      </c>
      <c r="G1854">
        <v>45</v>
      </c>
      <c r="H1854">
        <v>40000</v>
      </c>
      <c r="I1854" t="s">
        <v>23</v>
      </c>
    </row>
    <row r="1855" spans="1:9" hidden="1" x14ac:dyDescent="0.25">
      <c r="A1855">
        <v>2</v>
      </c>
      <c r="B1855" t="s">
        <v>17</v>
      </c>
      <c r="C1855">
        <v>2021</v>
      </c>
      <c r="D1855">
        <v>121</v>
      </c>
      <c r="E1855" t="s">
        <v>9</v>
      </c>
      <c r="F1855">
        <v>90.5</v>
      </c>
      <c r="G1855">
        <v>30.5</v>
      </c>
      <c r="H1855">
        <v>40000</v>
      </c>
      <c r="I1855" t="s">
        <v>23</v>
      </c>
    </row>
    <row r="1856" spans="1:9" hidden="1" x14ac:dyDescent="0.25">
      <c r="A1856">
        <v>3</v>
      </c>
      <c r="B1856" t="s">
        <v>17</v>
      </c>
      <c r="C1856">
        <v>2021</v>
      </c>
      <c r="D1856">
        <v>90.5</v>
      </c>
      <c r="E1856" t="s">
        <v>9</v>
      </c>
      <c r="F1856">
        <v>56</v>
      </c>
      <c r="G1856">
        <v>34.5</v>
      </c>
      <c r="H1856">
        <v>40000</v>
      </c>
      <c r="I1856" t="s">
        <v>23</v>
      </c>
    </row>
    <row r="1857" spans="1:9" hidden="1" x14ac:dyDescent="0.25">
      <c r="A1857">
        <v>4</v>
      </c>
      <c r="B1857" t="s">
        <v>17</v>
      </c>
      <c r="C1857">
        <v>2021</v>
      </c>
      <c r="D1857">
        <v>56</v>
      </c>
      <c r="E1857">
        <v>50</v>
      </c>
      <c r="F1857">
        <v>80</v>
      </c>
      <c r="G1857">
        <v>26</v>
      </c>
      <c r="H1857">
        <v>40000</v>
      </c>
      <c r="I1857" t="s">
        <v>23</v>
      </c>
    </row>
    <row r="1858" spans="1:9" hidden="1" x14ac:dyDescent="0.25">
      <c r="A1858">
        <v>5</v>
      </c>
      <c r="B1858" t="s">
        <v>17</v>
      </c>
      <c r="C1858">
        <v>2021</v>
      </c>
      <c r="D1858">
        <v>80</v>
      </c>
      <c r="E1858" t="s">
        <v>9</v>
      </c>
      <c r="F1858">
        <v>45</v>
      </c>
      <c r="G1858">
        <v>35</v>
      </c>
      <c r="H1858">
        <v>40000</v>
      </c>
      <c r="I1858" t="s">
        <v>23</v>
      </c>
    </row>
    <row r="1859" spans="1:9" hidden="1" x14ac:dyDescent="0.25">
      <c r="A1859">
        <v>6</v>
      </c>
      <c r="B1859" t="s">
        <v>17</v>
      </c>
      <c r="C1859">
        <v>2021</v>
      </c>
      <c r="D1859">
        <v>45</v>
      </c>
      <c r="E1859" t="s">
        <v>9</v>
      </c>
      <c r="F1859">
        <v>7</v>
      </c>
      <c r="G1859">
        <v>38</v>
      </c>
      <c r="H1859">
        <v>40000</v>
      </c>
      <c r="I1859" t="s">
        <v>23</v>
      </c>
    </row>
    <row r="1860" spans="1:9" hidden="1" x14ac:dyDescent="0.25">
      <c r="A1860">
        <v>7</v>
      </c>
      <c r="B1860" t="s">
        <v>17</v>
      </c>
      <c r="C1860">
        <v>2021</v>
      </c>
      <c r="D1860">
        <v>7</v>
      </c>
      <c r="E1860">
        <v>80</v>
      </c>
      <c r="F1860">
        <v>41</v>
      </c>
      <c r="G1860">
        <v>46</v>
      </c>
      <c r="H1860">
        <v>40000</v>
      </c>
      <c r="I1860" t="s">
        <v>23</v>
      </c>
    </row>
    <row r="1861" spans="1:9" hidden="1" x14ac:dyDescent="0.25">
      <c r="A1861">
        <v>8</v>
      </c>
      <c r="B1861" t="s">
        <v>17</v>
      </c>
      <c r="C1861">
        <v>2021</v>
      </c>
      <c r="D1861">
        <v>41</v>
      </c>
      <c r="E1861">
        <v>80</v>
      </c>
      <c r="F1861">
        <v>71</v>
      </c>
      <c r="G1861">
        <v>50</v>
      </c>
      <c r="H1861">
        <v>40000</v>
      </c>
      <c r="I1861" t="s">
        <v>23</v>
      </c>
    </row>
    <row r="1862" spans="1:9" hidden="1" x14ac:dyDescent="0.25">
      <c r="A1862">
        <v>9</v>
      </c>
      <c r="B1862" t="s">
        <v>17</v>
      </c>
      <c r="C1862">
        <v>2021</v>
      </c>
      <c r="D1862">
        <v>71</v>
      </c>
      <c r="E1862" t="s">
        <v>9</v>
      </c>
      <c r="F1862">
        <v>43</v>
      </c>
      <c r="G1862">
        <v>28</v>
      </c>
      <c r="H1862">
        <v>40000</v>
      </c>
      <c r="I1862" t="s">
        <v>23</v>
      </c>
    </row>
    <row r="1863" spans="1:9" hidden="1" x14ac:dyDescent="0.25">
      <c r="A1863">
        <v>10</v>
      </c>
      <c r="B1863" t="s">
        <v>17</v>
      </c>
      <c r="C1863">
        <v>2021</v>
      </c>
      <c r="D1863">
        <v>43</v>
      </c>
      <c r="E1863">
        <v>20</v>
      </c>
      <c r="F1863">
        <v>25</v>
      </c>
      <c r="G1863">
        <v>38</v>
      </c>
      <c r="H1863">
        <v>40000</v>
      </c>
      <c r="I1863" t="s">
        <v>23</v>
      </c>
    </row>
    <row r="1864" spans="1:9" hidden="1" x14ac:dyDescent="0.25">
      <c r="A1864">
        <v>11</v>
      </c>
      <c r="B1864" t="s">
        <v>17</v>
      </c>
      <c r="C1864">
        <v>2021</v>
      </c>
      <c r="D1864">
        <v>25</v>
      </c>
      <c r="E1864">
        <v>140</v>
      </c>
      <c r="F1864">
        <v>130</v>
      </c>
      <c r="G1864">
        <v>35</v>
      </c>
      <c r="H1864">
        <v>40000</v>
      </c>
      <c r="I1864" t="s">
        <v>23</v>
      </c>
    </row>
    <row r="1865" spans="1:9" hidden="1" x14ac:dyDescent="0.25">
      <c r="A1865">
        <v>12</v>
      </c>
      <c r="B1865" t="s">
        <v>17</v>
      </c>
      <c r="C1865">
        <v>2021</v>
      </c>
      <c r="D1865">
        <v>130</v>
      </c>
      <c r="E1865" t="s">
        <v>9</v>
      </c>
      <c r="F1865">
        <v>104</v>
      </c>
      <c r="G1865">
        <v>26</v>
      </c>
      <c r="H1865">
        <v>40000</v>
      </c>
      <c r="I1865" t="s">
        <v>23</v>
      </c>
    </row>
    <row r="1866" spans="1:9" hidden="1" x14ac:dyDescent="0.25">
      <c r="A1866">
        <v>13</v>
      </c>
      <c r="B1866" t="s">
        <v>17</v>
      </c>
      <c r="C1866">
        <v>2021</v>
      </c>
      <c r="D1866">
        <v>104</v>
      </c>
      <c r="E1866" t="s">
        <v>9</v>
      </c>
      <c r="F1866">
        <v>63</v>
      </c>
      <c r="G1866">
        <v>41</v>
      </c>
      <c r="H1866">
        <v>40000</v>
      </c>
      <c r="I1866" t="s">
        <v>23</v>
      </c>
    </row>
    <row r="1867" spans="1:9" hidden="1" x14ac:dyDescent="0.25">
      <c r="A1867">
        <v>14</v>
      </c>
      <c r="B1867" t="s">
        <v>17</v>
      </c>
      <c r="C1867">
        <v>2021</v>
      </c>
      <c r="D1867">
        <v>63</v>
      </c>
      <c r="E1867">
        <v>130</v>
      </c>
      <c r="F1867">
        <v>149</v>
      </c>
      <c r="G1867">
        <v>44</v>
      </c>
      <c r="H1867">
        <v>40000</v>
      </c>
      <c r="I1867" t="s">
        <v>23</v>
      </c>
    </row>
    <row r="1868" spans="1:9" hidden="1" x14ac:dyDescent="0.25">
      <c r="A1868">
        <v>15</v>
      </c>
      <c r="B1868" t="s">
        <v>17</v>
      </c>
      <c r="C1868">
        <v>2021</v>
      </c>
      <c r="D1868">
        <v>149</v>
      </c>
      <c r="E1868" t="s">
        <v>9</v>
      </c>
      <c r="F1868">
        <v>93</v>
      </c>
      <c r="G1868">
        <v>56</v>
      </c>
      <c r="H1868">
        <v>40000</v>
      </c>
      <c r="I1868" t="s">
        <v>23</v>
      </c>
    </row>
    <row r="1869" spans="1:9" hidden="1" x14ac:dyDescent="0.25">
      <c r="A1869">
        <v>16</v>
      </c>
      <c r="B1869" t="s">
        <v>17</v>
      </c>
      <c r="C1869">
        <v>2021</v>
      </c>
      <c r="D1869">
        <v>93</v>
      </c>
      <c r="E1869">
        <v>90</v>
      </c>
      <c r="F1869">
        <v>139</v>
      </c>
      <c r="G1869">
        <v>44</v>
      </c>
      <c r="H1869">
        <v>40000</v>
      </c>
      <c r="I1869" t="s">
        <v>23</v>
      </c>
    </row>
    <row r="1870" spans="1:9" hidden="1" x14ac:dyDescent="0.25">
      <c r="A1870">
        <v>17</v>
      </c>
      <c r="B1870" t="s">
        <v>17</v>
      </c>
      <c r="C1870">
        <v>2021</v>
      </c>
      <c r="D1870">
        <v>139</v>
      </c>
      <c r="E1870" t="s">
        <v>9</v>
      </c>
      <c r="F1870">
        <v>104</v>
      </c>
      <c r="G1870">
        <v>35</v>
      </c>
      <c r="H1870">
        <v>40000</v>
      </c>
      <c r="I1870" t="s">
        <v>23</v>
      </c>
    </row>
    <row r="1871" spans="1:9" hidden="1" x14ac:dyDescent="0.25">
      <c r="A1871">
        <v>18</v>
      </c>
      <c r="B1871" t="s">
        <v>17</v>
      </c>
      <c r="C1871">
        <v>2021</v>
      </c>
      <c r="D1871">
        <v>104</v>
      </c>
      <c r="E1871" t="s">
        <v>9</v>
      </c>
      <c r="F1871">
        <v>74</v>
      </c>
      <c r="G1871">
        <v>30</v>
      </c>
      <c r="H1871">
        <v>40000</v>
      </c>
      <c r="I1871" t="s">
        <v>23</v>
      </c>
    </row>
    <row r="1872" spans="1:9" hidden="1" x14ac:dyDescent="0.25">
      <c r="A1872">
        <v>19</v>
      </c>
      <c r="B1872" t="s">
        <v>17</v>
      </c>
      <c r="C1872">
        <v>2021</v>
      </c>
      <c r="D1872">
        <v>74</v>
      </c>
      <c r="E1872" t="s">
        <v>9</v>
      </c>
      <c r="F1872">
        <v>43.25</v>
      </c>
      <c r="G1872">
        <v>30.75</v>
      </c>
      <c r="H1872">
        <v>40000</v>
      </c>
      <c r="I1872" t="s">
        <v>23</v>
      </c>
    </row>
    <row r="1873" spans="1:9" hidden="1" x14ac:dyDescent="0.25">
      <c r="A1873">
        <v>20</v>
      </c>
      <c r="B1873" t="s">
        <v>17</v>
      </c>
      <c r="C1873">
        <v>2021</v>
      </c>
      <c r="D1873">
        <v>43.25</v>
      </c>
      <c r="E1873">
        <v>10</v>
      </c>
      <c r="F1873">
        <v>28</v>
      </c>
      <c r="G1873">
        <v>25.25</v>
      </c>
      <c r="H1873">
        <v>40000</v>
      </c>
      <c r="I1873" t="s">
        <v>23</v>
      </c>
    </row>
    <row r="1874" spans="1:9" hidden="1" x14ac:dyDescent="0.25">
      <c r="A1874">
        <v>21</v>
      </c>
      <c r="B1874" t="s">
        <v>17</v>
      </c>
      <c r="C1874">
        <v>2021</v>
      </c>
      <c r="D1874">
        <v>28</v>
      </c>
      <c r="E1874">
        <v>140</v>
      </c>
      <c r="F1874">
        <v>129</v>
      </c>
      <c r="G1874">
        <v>39</v>
      </c>
      <c r="H1874">
        <v>40000</v>
      </c>
      <c r="I1874" t="s">
        <v>23</v>
      </c>
    </row>
    <row r="1875" spans="1:9" hidden="1" x14ac:dyDescent="0.25">
      <c r="A1875">
        <v>22</v>
      </c>
      <c r="B1875" t="s">
        <v>17</v>
      </c>
      <c r="C1875">
        <v>2021</v>
      </c>
      <c r="D1875">
        <v>129</v>
      </c>
      <c r="E1875" t="s">
        <v>9</v>
      </c>
      <c r="F1875">
        <v>79</v>
      </c>
      <c r="G1875">
        <v>50</v>
      </c>
      <c r="H1875">
        <v>40000</v>
      </c>
      <c r="I1875" t="s">
        <v>23</v>
      </c>
    </row>
    <row r="1876" spans="1:9" hidden="1" x14ac:dyDescent="0.25">
      <c r="A1876">
        <v>23</v>
      </c>
      <c r="B1876" t="s">
        <v>17</v>
      </c>
      <c r="C1876">
        <v>2021</v>
      </c>
      <c r="D1876">
        <v>79</v>
      </c>
      <c r="E1876" t="s">
        <v>9</v>
      </c>
      <c r="F1876">
        <v>51.5</v>
      </c>
      <c r="G1876">
        <v>27.5</v>
      </c>
      <c r="H1876">
        <v>40000</v>
      </c>
      <c r="I1876" t="s">
        <v>23</v>
      </c>
    </row>
    <row r="1877" spans="1:9" hidden="1" x14ac:dyDescent="0.25">
      <c r="A1877">
        <v>24</v>
      </c>
      <c r="B1877" t="s">
        <v>17</v>
      </c>
      <c r="C1877">
        <v>2021</v>
      </c>
      <c r="D1877">
        <v>51.5</v>
      </c>
      <c r="E1877">
        <v>100</v>
      </c>
      <c r="F1877">
        <v>126</v>
      </c>
      <c r="G1877">
        <v>25.5</v>
      </c>
      <c r="H1877">
        <v>40000</v>
      </c>
      <c r="I1877" t="s">
        <v>23</v>
      </c>
    </row>
    <row r="1878" spans="1:9" hidden="1" x14ac:dyDescent="0.25">
      <c r="A1878">
        <v>25</v>
      </c>
      <c r="B1878" t="s">
        <v>17</v>
      </c>
      <c r="C1878">
        <v>2021</v>
      </c>
      <c r="D1878">
        <v>126</v>
      </c>
      <c r="E1878" t="s">
        <v>9</v>
      </c>
      <c r="F1878">
        <v>94</v>
      </c>
      <c r="G1878">
        <v>32</v>
      </c>
      <c r="H1878">
        <v>40000</v>
      </c>
      <c r="I1878" t="s">
        <v>23</v>
      </c>
    </row>
    <row r="1879" spans="1:9" hidden="1" x14ac:dyDescent="0.25">
      <c r="A1879">
        <v>26</v>
      </c>
      <c r="B1879" t="s">
        <v>17</v>
      </c>
      <c r="C1879">
        <v>2021</v>
      </c>
      <c r="D1879">
        <v>94</v>
      </c>
      <c r="E1879" t="s">
        <v>9</v>
      </c>
      <c r="F1879">
        <v>62.5</v>
      </c>
      <c r="G1879">
        <v>31.5</v>
      </c>
      <c r="H1879">
        <v>40000</v>
      </c>
      <c r="I1879" t="s">
        <v>23</v>
      </c>
    </row>
    <row r="1880" spans="1:9" hidden="1" x14ac:dyDescent="0.25">
      <c r="A1880">
        <v>27</v>
      </c>
      <c r="B1880" t="s">
        <v>17</v>
      </c>
      <c r="C1880">
        <v>2021</v>
      </c>
      <c r="D1880">
        <v>62.5</v>
      </c>
      <c r="E1880" t="s">
        <v>9</v>
      </c>
      <c r="F1880">
        <v>18</v>
      </c>
      <c r="G1880">
        <v>44.5</v>
      </c>
      <c r="H1880">
        <v>40000</v>
      </c>
      <c r="I1880" t="s">
        <v>23</v>
      </c>
    </row>
    <row r="1881" spans="1:9" hidden="1" x14ac:dyDescent="0.25">
      <c r="A1881">
        <v>28</v>
      </c>
      <c r="B1881" t="s">
        <v>17</v>
      </c>
      <c r="C1881">
        <v>2021</v>
      </c>
      <c r="D1881">
        <v>18</v>
      </c>
      <c r="E1881">
        <v>140</v>
      </c>
      <c r="F1881">
        <v>99.75</v>
      </c>
      <c r="G1881">
        <v>58.25</v>
      </c>
      <c r="H1881">
        <v>40000</v>
      </c>
      <c r="I1881" t="s">
        <v>23</v>
      </c>
    </row>
    <row r="1882" spans="1:9" hidden="1" x14ac:dyDescent="0.25">
      <c r="A1882">
        <v>29</v>
      </c>
      <c r="B1882" t="s">
        <v>17</v>
      </c>
      <c r="C1882">
        <v>2021</v>
      </c>
      <c r="D1882">
        <v>99.75</v>
      </c>
      <c r="E1882" t="s">
        <v>9</v>
      </c>
      <c r="F1882">
        <v>45</v>
      </c>
      <c r="G1882">
        <v>54.75</v>
      </c>
      <c r="H1882">
        <v>40000</v>
      </c>
      <c r="I1882" t="s">
        <v>23</v>
      </c>
    </row>
    <row r="1883" spans="1:9" hidden="1" x14ac:dyDescent="0.25">
      <c r="A1883">
        <v>30</v>
      </c>
      <c r="B1883" t="s">
        <v>17</v>
      </c>
      <c r="C1883">
        <v>2021</v>
      </c>
      <c r="D1883">
        <v>45</v>
      </c>
      <c r="E1883" t="s">
        <v>9</v>
      </c>
      <c r="F1883">
        <v>18</v>
      </c>
      <c r="G1883">
        <v>27</v>
      </c>
      <c r="H1883">
        <v>40000</v>
      </c>
      <c r="I1883" t="s">
        <v>23</v>
      </c>
    </row>
    <row r="1884" spans="1:9" hidden="1" x14ac:dyDescent="0.25">
      <c r="A1884">
        <v>31</v>
      </c>
      <c r="B1884" t="s">
        <v>17</v>
      </c>
      <c r="C1884">
        <v>2021</v>
      </c>
      <c r="D1884">
        <v>18</v>
      </c>
      <c r="E1884">
        <v>120</v>
      </c>
      <c r="F1884">
        <v>105.5</v>
      </c>
      <c r="G1884">
        <v>32.5</v>
      </c>
      <c r="H1884">
        <v>40000</v>
      </c>
      <c r="I1884" t="s">
        <v>23</v>
      </c>
    </row>
    <row r="1885" spans="1:9" hidden="1" x14ac:dyDescent="0.25">
      <c r="A1885">
        <v>1</v>
      </c>
      <c r="B1885" t="s">
        <v>17</v>
      </c>
      <c r="C1885">
        <v>2021</v>
      </c>
      <c r="D1885">
        <v>25</v>
      </c>
      <c r="E1885">
        <v>56</v>
      </c>
      <c r="F1885">
        <v>64.25</v>
      </c>
      <c r="G1885">
        <v>16.75</v>
      </c>
      <c r="H1885">
        <v>40000</v>
      </c>
      <c r="I1885" t="s">
        <v>25</v>
      </c>
    </row>
    <row r="1886" spans="1:9" hidden="1" x14ac:dyDescent="0.25">
      <c r="A1886">
        <v>2</v>
      </c>
      <c r="B1886" t="s">
        <v>17</v>
      </c>
      <c r="C1886">
        <v>2021</v>
      </c>
      <c r="D1886">
        <v>64.25</v>
      </c>
      <c r="E1886" t="s">
        <v>9</v>
      </c>
      <c r="F1886">
        <v>51.25</v>
      </c>
      <c r="G1886">
        <v>13</v>
      </c>
      <c r="H1886">
        <v>40000</v>
      </c>
      <c r="I1886" t="s">
        <v>25</v>
      </c>
    </row>
    <row r="1887" spans="1:9" hidden="1" x14ac:dyDescent="0.25">
      <c r="A1887">
        <v>3</v>
      </c>
      <c r="B1887" t="s">
        <v>17</v>
      </c>
      <c r="C1887">
        <v>2021</v>
      </c>
      <c r="D1887">
        <v>51.25</v>
      </c>
      <c r="E1887" t="s">
        <v>9</v>
      </c>
      <c r="F1887">
        <v>30.625</v>
      </c>
      <c r="G1887">
        <v>20.625</v>
      </c>
      <c r="H1887">
        <v>40000</v>
      </c>
      <c r="I1887" t="s">
        <v>25</v>
      </c>
    </row>
    <row r="1888" spans="1:9" hidden="1" x14ac:dyDescent="0.25">
      <c r="A1888">
        <v>4</v>
      </c>
      <c r="B1888" t="s">
        <v>17</v>
      </c>
      <c r="C1888">
        <v>2021</v>
      </c>
      <c r="D1888">
        <v>30.625</v>
      </c>
      <c r="E1888" t="s">
        <v>9</v>
      </c>
      <c r="F1888">
        <v>18.375</v>
      </c>
      <c r="G1888">
        <v>12.25</v>
      </c>
      <c r="H1888">
        <v>40000</v>
      </c>
      <c r="I1888" t="s">
        <v>25</v>
      </c>
    </row>
    <row r="1889" spans="1:9" hidden="1" x14ac:dyDescent="0.25">
      <c r="A1889">
        <v>5</v>
      </c>
      <c r="B1889" t="s">
        <v>17</v>
      </c>
      <c r="C1889">
        <v>2021</v>
      </c>
      <c r="D1889">
        <v>18.375</v>
      </c>
      <c r="E1889">
        <v>50</v>
      </c>
      <c r="F1889">
        <v>54.375</v>
      </c>
      <c r="G1889">
        <v>14</v>
      </c>
      <c r="H1889">
        <v>40000</v>
      </c>
      <c r="I1889" t="s">
        <v>25</v>
      </c>
    </row>
    <row r="1890" spans="1:9" hidden="1" x14ac:dyDescent="0.25">
      <c r="A1890">
        <v>6</v>
      </c>
      <c r="B1890" t="s">
        <v>17</v>
      </c>
      <c r="C1890">
        <v>2021</v>
      </c>
      <c r="D1890">
        <v>54.375</v>
      </c>
      <c r="E1890" t="s">
        <v>9</v>
      </c>
      <c r="F1890">
        <v>43</v>
      </c>
      <c r="G1890">
        <v>11.375</v>
      </c>
      <c r="H1890">
        <v>40000</v>
      </c>
      <c r="I1890" t="s">
        <v>25</v>
      </c>
    </row>
    <row r="1891" spans="1:9" hidden="1" x14ac:dyDescent="0.25">
      <c r="A1891">
        <v>7</v>
      </c>
      <c r="B1891" t="s">
        <v>17</v>
      </c>
      <c r="C1891">
        <v>2021</v>
      </c>
      <c r="D1891">
        <v>43</v>
      </c>
      <c r="E1891" t="s">
        <v>9</v>
      </c>
      <c r="F1891">
        <v>21</v>
      </c>
      <c r="G1891">
        <v>22</v>
      </c>
      <c r="H1891">
        <v>40000</v>
      </c>
      <c r="I1891" t="s">
        <v>25</v>
      </c>
    </row>
    <row r="1892" spans="1:9" hidden="1" x14ac:dyDescent="0.25">
      <c r="A1892">
        <v>8</v>
      </c>
      <c r="B1892" t="s">
        <v>17</v>
      </c>
      <c r="C1892">
        <v>2021</v>
      </c>
      <c r="D1892">
        <v>21</v>
      </c>
      <c r="E1892">
        <v>50</v>
      </c>
      <c r="F1892">
        <v>47.75</v>
      </c>
      <c r="G1892">
        <v>23.25</v>
      </c>
      <c r="H1892">
        <v>40000</v>
      </c>
      <c r="I1892" t="s">
        <v>25</v>
      </c>
    </row>
    <row r="1893" spans="1:9" hidden="1" x14ac:dyDescent="0.25">
      <c r="A1893">
        <v>9</v>
      </c>
      <c r="B1893" t="s">
        <v>17</v>
      </c>
      <c r="C1893">
        <v>2021</v>
      </c>
      <c r="D1893">
        <v>47.75</v>
      </c>
      <c r="E1893" t="s">
        <v>9</v>
      </c>
      <c r="F1893">
        <v>33</v>
      </c>
      <c r="G1893">
        <v>14.75</v>
      </c>
      <c r="H1893">
        <v>40000</v>
      </c>
      <c r="I1893" t="s">
        <v>25</v>
      </c>
    </row>
    <row r="1894" spans="1:9" hidden="1" x14ac:dyDescent="0.25">
      <c r="A1894">
        <v>10</v>
      </c>
      <c r="B1894" t="s">
        <v>17</v>
      </c>
      <c r="C1894">
        <v>2021</v>
      </c>
      <c r="D1894">
        <v>33</v>
      </c>
      <c r="E1894" t="s">
        <v>9</v>
      </c>
      <c r="F1894">
        <v>20.024999999999999</v>
      </c>
      <c r="G1894">
        <v>12.975</v>
      </c>
      <c r="H1894">
        <v>40000</v>
      </c>
      <c r="I1894" t="s">
        <v>25</v>
      </c>
    </row>
    <row r="1895" spans="1:9" hidden="1" x14ac:dyDescent="0.25">
      <c r="A1895">
        <v>11</v>
      </c>
      <c r="B1895" t="s">
        <v>17</v>
      </c>
      <c r="C1895">
        <v>2021</v>
      </c>
      <c r="D1895">
        <v>20.024999999999999</v>
      </c>
      <c r="E1895">
        <v>100</v>
      </c>
      <c r="F1895">
        <v>108.75</v>
      </c>
      <c r="G1895">
        <v>11.275</v>
      </c>
      <c r="H1895">
        <v>40000</v>
      </c>
      <c r="I1895" t="s">
        <v>25</v>
      </c>
    </row>
    <row r="1896" spans="1:9" hidden="1" x14ac:dyDescent="0.25">
      <c r="A1896">
        <v>12</v>
      </c>
      <c r="B1896" t="s">
        <v>17</v>
      </c>
      <c r="C1896">
        <v>2021</v>
      </c>
      <c r="D1896">
        <v>108.75</v>
      </c>
      <c r="E1896" t="s">
        <v>9</v>
      </c>
      <c r="F1896">
        <v>97.75</v>
      </c>
      <c r="G1896">
        <v>11</v>
      </c>
      <c r="H1896">
        <v>40000</v>
      </c>
      <c r="I1896" t="s">
        <v>25</v>
      </c>
    </row>
    <row r="1897" spans="1:9" hidden="1" x14ac:dyDescent="0.25">
      <c r="A1897">
        <v>13</v>
      </c>
      <c r="B1897" t="s">
        <v>17</v>
      </c>
      <c r="C1897">
        <v>2021</v>
      </c>
      <c r="D1897">
        <v>97.75</v>
      </c>
      <c r="E1897" t="s">
        <v>9</v>
      </c>
      <c r="F1897">
        <v>82.5</v>
      </c>
      <c r="G1897">
        <v>15.25</v>
      </c>
      <c r="H1897">
        <v>40000</v>
      </c>
      <c r="I1897" t="s">
        <v>25</v>
      </c>
    </row>
    <row r="1898" spans="1:9" hidden="1" x14ac:dyDescent="0.25">
      <c r="A1898">
        <v>14</v>
      </c>
      <c r="B1898" t="s">
        <v>17</v>
      </c>
      <c r="C1898">
        <v>2021</v>
      </c>
      <c r="D1898">
        <v>82.5</v>
      </c>
      <c r="E1898" t="s">
        <v>9</v>
      </c>
      <c r="F1898">
        <v>59.75</v>
      </c>
      <c r="G1898">
        <v>22.75</v>
      </c>
      <c r="H1898">
        <v>40000</v>
      </c>
      <c r="I1898" t="s">
        <v>25</v>
      </c>
    </row>
    <row r="1899" spans="1:9" hidden="1" x14ac:dyDescent="0.25">
      <c r="A1899">
        <v>15</v>
      </c>
      <c r="B1899" t="s">
        <v>17</v>
      </c>
      <c r="C1899">
        <v>2021</v>
      </c>
      <c r="D1899">
        <v>59.75</v>
      </c>
      <c r="E1899" t="s">
        <v>9</v>
      </c>
      <c r="F1899">
        <v>41.5</v>
      </c>
      <c r="G1899">
        <v>18.25</v>
      </c>
      <c r="H1899">
        <v>40000</v>
      </c>
      <c r="I1899" t="s">
        <v>25</v>
      </c>
    </row>
    <row r="1900" spans="1:9" hidden="1" x14ac:dyDescent="0.25">
      <c r="A1900">
        <v>16</v>
      </c>
      <c r="B1900" t="s">
        <v>17</v>
      </c>
      <c r="C1900">
        <v>2021</v>
      </c>
      <c r="D1900">
        <v>41.5</v>
      </c>
      <c r="E1900" t="s">
        <v>9</v>
      </c>
      <c r="F1900">
        <v>19.75</v>
      </c>
      <c r="G1900">
        <v>21.75</v>
      </c>
      <c r="H1900">
        <v>40000</v>
      </c>
      <c r="I1900" t="s">
        <v>25</v>
      </c>
    </row>
    <row r="1901" spans="1:9" hidden="1" x14ac:dyDescent="0.25">
      <c r="A1901">
        <v>17</v>
      </c>
      <c r="B1901" t="s">
        <v>17</v>
      </c>
      <c r="C1901">
        <v>2021</v>
      </c>
      <c r="D1901">
        <v>19.75</v>
      </c>
      <c r="E1901" t="s">
        <v>9</v>
      </c>
      <c r="F1901">
        <v>9.125</v>
      </c>
      <c r="G1901">
        <v>10.625</v>
      </c>
      <c r="H1901">
        <v>40000</v>
      </c>
      <c r="I1901" t="s">
        <v>25</v>
      </c>
    </row>
    <row r="1902" spans="1:9" hidden="1" x14ac:dyDescent="0.25">
      <c r="A1902">
        <v>18</v>
      </c>
      <c r="B1902" t="s">
        <v>17</v>
      </c>
      <c r="C1902">
        <v>2021</v>
      </c>
      <c r="D1902">
        <v>9.125</v>
      </c>
      <c r="E1902">
        <v>50</v>
      </c>
      <c r="F1902">
        <v>49.625</v>
      </c>
      <c r="G1902">
        <v>9.5</v>
      </c>
      <c r="H1902">
        <v>40000</v>
      </c>
      <c r="I1902" t="s">
        <v>25</v>
      </c>
    </row>
    <row r="1903" spans="1:9" hidden="1" x14ac:dyDescent="0.25">
      <c r="A1903">
        <v>19</v>
      </c>
      <c r="B1903" t="s">
        <v>17</v>
      </c>
      <c r="C1903">
        <v>2021</v>
      </c>
      <c r="D1903">
        <v>49.625</v>
      </c>
      <c r="E1903" t="s">
        <v>9</v>
      </c>
      <c r="F1903">
        <v>36.5</v>
      </c>
      <c r="G1903">
        <v>13.125</v>
      </c>
      <c r="H1903">
        <v>40000</v>
      </c>
      <c r="I1903" t="s">
        <v>25</v>
      </c>
    </row>
    <row r="1904" spans="1:9" hidden="1" x14ac:dyDescent="0.25">
      <c r="A1904">
        <v>20</v>
      </c>
      <c r="B1904" t="s">
        <v>17</v>
      </c>
      <c r="C1904">
        <v>2021</v>
      </c>
      <c r="D1904">
        <v>36.5</v>
      </c>
      <c r="E1904" t="s">
        <v>9</v>
      </c>
      <c r="F1904">
        <v>18.375</v>
      </c>
      <c r="G1904">
        <v>18.125</v>
      </c>
      <c r="H1904">
        <v>40000</v>
      </c>
      <c r="I1904" t="s">
        <v>25</v>
      </c>
    </row>
    <row r="1905" spans="1:9" hidden="1" x14ac:dyDescent="0.25">
      <c r="A1905">
        <v>21</v>
      </c>
      <c r="B1905" t="s">
        <v>17</v>
      </c>
      <c r="C1905">
        <v>2021</v>
      </c>
      <c r="D1905">
        <v>18.375</v>
      </c>
      <c r="E1905">
        <v>30</v>
      </c>
      <c r="F1905">
        <v>24.25</v>
      </c>
      <c r="G1905">
        <v>24.125</v>
      </c>
      <c r="H1905">
        <v>40000</v>
      </c>
      <c r="I1905" t="s">
        <v>25</v>
      </c>
    </row>
    <row r="1906" spans="1:9" hidden="1" x14ac:dyDescent="0.25">
      <c r="A1906">
        <v>22</v>
      </c>
      <c r="B1906" t="s">
        <v>17</v>
      </c>
      <c r="C1906">
        <v>2021</v>
      </c>
      <c r="D1906">
        <v>24.25</v>
      </c>
      <c r="E1906">
        <v>30</v>
      </c>
      <c r="F1906">
        <v>30</v>
      </c>
      <c r="G1906">
        <v>24.25</v>
      </c>
      <c r="H1906">
        <v>40000</v>
      </c>
      <c r="I1906" t="s">
        <v>25</v>
      </c>
    </row>
    <row r="1907" spans="1:9" hidden="1" x14ac:dyDescent="0.25">
      <c r="A1907">
        <v>23</v>
      </c>
      <c r="B1907" t="s">
        <v>17</v>
      </c>
      <c r="C1907">
        <v>2021</v>
      </c>
      <c r="D1907">
        <v>30</v>
      </c>
      <c r="E1907">
        <v>1</v>
      </c>
      <c r="F1907">
        <v>19.75</v>
      </c>
      <c r="G1907">
        <v>11.25</v>
      </c>
      <c r="H1907">
        <v>40000</v>
      </c>
      <c r="I1907" t="s">
        <v>25</v>
      </c>
    </row>
    <row r="1908" spans="1:9" hidden="1" x14ac:dyDescent="0.25">
      <c r="A1908">
        <v>24</v>
      </c>
      <c r="B1908" t="s">
        <v>17</v>
      </c>
      <c r="C1908">
        <v>2021</v>
      </c>
      <c r="D1908">
        <v>19.75</v>
      </c>
      <c r="E1908" t="s">
        <v>9</v>
      </c>
      <c r="F1908">
        <v>12</v>
      </c>
      <c r="G1908">
        <v>7.75</v>
      </c>
      <c r="H1908">
        <v>40000</v>
      </c>
      <c r="I1908" t="s">
        <v>25</v>
      </c>
    </row>
    <row r="1909" spans="1:9" hidden="1" x14ac:dyDescent="0.25">
      <c r="A1909">
        <v>25</v>
      </c>
      <c r="B1909" t="s">
        <v>17</v>
      </c>
      <c r="C1909">
        <v>2021</v>
      </c>
      <c r="D1909">
        <v>12</v>
      </c>
      <c r="E1909">
        <v>52</v>
      </c>
      <c r="F1909">
        <v>52.5</v>
      </c>
      <c r="G1909">
        <v>11.5</v>
      </c>
      <c r="H1909">
        <v>40000</v>
      </c>
      <c r="I1909" t="s">
        <v>25</v>
      </c>
    </row>
    <row r="1910" spans="1:9" hidden="1" x14ac:dyDescent="0.25">
      <c r="A1910">
        <v>26</v>
      </c>
      <c r="B1910" t="s">
        <v>17</v>
      </c>
      <c r="C1910">
        <v>2021</v>
      </c>
      <c r="D1910">
        <v>52.5</v>
      </c>
      <c r="E1910" t="s">
        <v>9</v>
      </c>
      <c r="F1910">
        <v>43.5</v>
      </c>
      <c r="G1910">
        <v>9</v>
      </c>
      <c r="H1910">
        <v>40000</v>
      </c>
      <c r="I1910" t="s">
        <v>25</v>
      </c>
    </row>
    <row r="1911" spans="1:9" hidden="1" x14ac:dyDescent="0.25">
      <c r="A1911">
        <v>27</v>
      </c>
      <c r="B1911" t="s">
        <v>17</v>
      </c>
      <c r="C1911">
        <v>2021</v>
      </c>
      <c r="D1911">
        <v>43.5</v>
      </c>
      <c r="E1911" t="s">
        <v>9</v>
      </c>
      <c r="F1911">
        <v>27</v>
      </c>
      <c r="G1911">
        <v>16.5</v>
      </c>
      <c r="H1911">
        <v>40000</v>
      </c>
      <c r="I1911" t="s">
        <v>25</v>
      </c>
    </row>
    <row r="1912" spans="1:9" hidden="1" x14ac:dyDescent="0.25">
      <c r="A1912">
        <v>28</v>
      </c>
      <c r="B1912" t="s">
        <v>17</v>
      </c>
      <c r="C1912">
        <v>2021</v>
      </c>
      <c r="D1912">
        <v>27</v>
      </c>
      <c r="E1912" t="s">
        <v>9</v>
      </c>
      <c r="F1912">
        <v>5.875</v>
      </c>
      <c r="G1912">
        <v>21.125</v>
      </c>
      <c r="H1912">
        <v>40000</v>
      </c>
      <c r="I1912" t="s">
        <v>25</v>
      </c>
    </row>
    <row r="1913" spans="1:9" hidden="1" x14ac:dyDescent="0.25">
      <c r="A1913">
        <v>29</v>
      </c>
      <c r="B1913" t="s">
        <v>17</v>
      </c>
      <c r="C1913">
        <v>2021</v>
      </c>
      <c r="D1913">
        <v>5.875</v>
      </c>
      <c r="E1913">
        <v>50</v>
      </c>
      <c r="F1913">
        <v>33.75</v>
      </c>
      <c r="G1913">
        <v>22.125</v>
      </c>
      <c r="H1913">
        <v>40000</v>
      </c>
      <c r="I1913" t="s">
        <v>25</v>
      </c>
    </row>
    <row r="1914" spans="1:9" hidden="1" x14ac:dyDescent="0.25">
      <c r="A1914">
        <v>30</v>
      </c>
      <c r="B1914" t="s">
        <v>17</v>
      </c>
      <c r="C1914">
        <v>2021</v>
      </c>
      <c r="D1914">
        <v>33.75</v>
      </c>
      <c r="E1914" t="s">
        <v>9</v>
      </c>
      <c r="F1914">
        <v>22.5</v>
      </c>
      <c r="G1914">
        <v>11.25</v>
      </c>
      <c r="H1914">
        <v>40000</v>
      </c>
      <c r="I1914" t="s">
        <v>25</v>
      </c>
    </row>
    <row r="1915" spans="1:9" hidden="1" x14ac:dyDescent="0.25">
      <c r="A1915">
        <v>31</v>
      </c>
      <c r="B1915" t="s">
        <v>17</v>
      </c>
      <c r="C1915">
        <v>2021</v>
      </c>
      <c r="D1915">
        <v>22.5</v>
      </c>
      <c r="E1915" t="s">
        <v>9</v>
      </c>
      <c r="F1915">
        <v>16</v>
      </c>
      <c r="G1915">
        <v>6.5</v>
      </c>
      <c r="H1915">
        <v>40000</v>
      </c>
      <c r="I1915" t="s">
        <v>25</v>
      </c>
    </row>
    <row r="1916" spans="1:9" x14ac:dyDescent="0.25">
      <c r="A1916">
        <v>1</v>
      </c>
      <c r="B1916" t="s">
        <v>10</v>
      </c>
      <c r="C1916">
        <v>2021</v>
      </c>
      <c r="D1916">
        <v>95.625</v>
      </c>
      <c r="E1916" t="s">
        <v>9</v>
      </c>
      <c r="F1916">
        <v>78.375</v>
      </c>
      <c r="G1916">
        <v>17.25</v>
      </c>
      <c r="H1916">
        <v>40000</v>
      </c>
      <c r="I1916" t="s">
        <v>22</v>
      </c>
    </row>
    <row r="1917" spans="1:9" x14ac:dyDescent="0.25">
      <c r="A1917">
        <v>2</v>
      </c>
      <c r="B1917" t="s">
        <v>10</v>
      </c>
      <c r="C1917">
        <v>2021</v>
      </c>
      <c r="D1917">
        <v>78.375</v>
      </c>
      <c r="E1917">
        <v>60</v>
      </c>
      <c r="F1917">
        <v>121</v>
      </c>
      <c r="G1917">
        <v>17.375</v>
      </c>
      <c r="H1917">
        <v>40000</v>
      </c>
      <c r="I1917" t="s">
        <v>22</v>
      </c>
    </row>
    <row r="1918" spans="1:9" x14ac:dyDescent="0.25">
      <c r="A1918">
        <v>3</v>
      </c>
      <c r="B1918" t="s">
        <v>10</v>
      </c>
      <c r="C1918">
        <v>2021</v>
      </c>
      <c r="D1918">
        <v>121</v>
      </c>
      <c r="E1918" t="s">
        <v>9</v>
      </c>
      <c r="F1918">
        <v>92.5</v>
      </c>
      <c r="G1918">
        <v>28.5</v>
      </c>
      <c r="H1918">
        <v>40000</v>
      </c>
      <c r="I1918" t="s">
        <v>22</v>
      </c>
    </row>
    <row r="1919" spans="1:9" x14ac:dyDescent="0.25">
      <c r="A1919">
        <v>4</v>
      </c>
      <c r="B1919" t="s">
        <v>10</v>
      </c>
      <c r="C1919">
        <v>2021</v>
      </c>
      <c r="D1919">
        <v>92.5</v>
      </c>
      <c r="E1919">
        <v>60</v>
      </c>
      <c r="F1919">
        <v>115</v>
      </c>
      <c r="G1919">
        <v>37.5</v>
      </c>
      <c r="H1919">
        <v>40000</v>
      </c>
      <c r="I1919" t="s">
        <v>22</v>
      </c>
    </row>
    <row r="1920" spans="1:9" x14ac:dyDescent="0.25">
      <c r="A1920">
        <v>5</v>
      </c>
      <c r="B1920" t="s">
        <v>10</v>
      </c>
      <c r="C1920">
        <v>2021</v>
      </c>
      <c r="D1920">
        <v>115</v>
      </c>
      <c r="E1920" t="s">
        <v>9</v>
      </c>
      <c r="F1920">
        <v>75</v>
      </c>
      <c r="G1920">
        <v>40</v>
      </c>
      <c r="H1920">
        <v>40000</v>
      </c>
      <c r="I1920" t="s">
        <v>22</v>
      </c>
    </row>
    <row r="1921" spans="1:9" x14ac:dyDescent="0.25">
      <c r="A1921">
        <v>6</v>
      </c>
      <c r="B1921" t="s">
        <v>10</v>
      </c>
      <c r="C1921">
        <v>2021</v>
      </c>
      <c r="D1921">
        <v>75</v>
      </c>
      <c r="E1921">
        <v>30</v>
      </c>
      <c r="F1921">
        <v>92.25</v>
      </c>
      <c r="G1921">
        <v>12.75</v>
      </c>
      <c r="H1921">
        <v>40000</v>
      </c>
      <c r="I1921" t="s">
        <v>22</v>
      </c>
    </row>
    <row r="1922" spans="1:9" x14ac:dyDescent="0.25">
      <c r="A1922">
        <v>7</v>
      </c>
      <c r="B1922" t="s">
        <v>10</v>
      </c>
      <c r="C1922">
        <v>2021</v>
      </c>
      <c r="D1922">
        <v>92.25</v>
      </c>
      <c r="E1922" t="s">
        <v>9</v>
      </c>
      <c r="F1922">
        <v>77.5</v>
      </c>
      <c r="G1922">
        <v>14.75</v>
      </c>
      <c r="H1922">
        <v>40000</v>
      </c>
      <c r="I1922" t="s">
        <v>22</v>
      </c>
    </row>
    <row r="1923" spans="1:9" x14ac:dyDescent="0.25">
      <c r="A1923">
        <v>8</v>
      </c>
      <c r="B1923" t="s">
        <v>10</v>
      </c>
      <c r="C1923">
        <v>2021</v>
      </c>
      <c r="D1923">
        <v>77.5</v>
      </c>
      <c r="E1923" t="s">
        <v>9</v>
      </c>
      <c r="F1923">
        <v>50</v>
      </c>
      <c r="G1923">
        <v>27.5</v>
      </c>
      <c r="H1923">
        <v>40000</v>
      </c>
      <c r="I1923" t="s">
        <v>22</v>
      </c>
    </row>
    <row r="1924" spans="1:9" x14ac:dyDescent="0.25">
      <c r="A1924">
        <v>9</v>
      </c>
      <c r="B1924" t="s">
        <v>10</v>
      </c>
      <c r="C1924">
        <v>2021</v>
      </c>
      <c r="D1924">
        <v>50</v>
      </c>
      <c r="E1924">
        <v>60</v>
      </c>
      <c r="F1924">
        <v>90</v>
      </c>
      <c r="G1924">
        <v>20</v>
      </c>
      <c r="H1924">
        <v>40000</v>
      </c>
      <c r="I1924" t="s">
        <v>22</v>
      </c>
    </row>
    <row r="1925" spans="1:9" x14ac:dyDescent="0.25">
      <c r="A1925">
        <v>10</v>
      </c>
      <c r="B1925" t="s">
        <v>10</v>
      </c>
      <c r="C1925">
        <v>2021</v>
      </c>
      <c r="D1925">
        <v>90</v>
      </c>
      <c r="E1925" t="s">
        <v>9</v>
      </c>
      <c r="F1925">
        <v>60.2</v>
      </c>
      <c r="G1925">
        <v>29.8</v>
      </c>
      <c r="H1925">
        <v>40000</v>
      </c>
      <c r="I1925" t="s">
        <v>22</v>
      </c>
    </row>
    <row r="1926" spans="1:9" x14ac:dyDescent="0.25">
      <c r="A1926">
        <v>11</v>
      </c>
      <c r="B1926" t="s">
        <v>10</v>
      </c>
      <c r="C1926">
        <v>2021</v>
      </c>
      <c r="D1926">
        <v>60.2</v>
      </c>
      <c r="E1926">
        <v>90</v>
      </c>
      <c r="F1926">
        <v>109</v>
      </c>
      <c r="G1926">
        <v>41.2</v>
      </c>
      <c r="H1926">
        <v>40000</v>
      </c>
      <c r="I1926" t="s">
        <v>22</v>
      </c>
    </row>
    <row r="1927" spans="1:9" x14ac:dyDescent="0.25">
      <c r="A1927">
        <v>12</v>
      </c>
      <c r="B1927" t="s">
        <v>10</v>
      </c>
      <c r="C1927">
        <v>2021</v>
      </c>
      <c r="D1927">
        <v>109</v>
      </c>
      <c r="E1927" t="s">
        <v>9</v>
      </c>
      <c r="F1927">
        <v>72</v>
      </c>
      <c r="G1927">
        <v>37</v>
      </c>
      <c r="H1927">
        <v>40000</v>
      </c>
      <c r="I1927" t="s">
        <v>22</v>
      </c>
    </row>
    <row r="1928" spans="1:9" x14ac:dyDescent="0.25">
      <c r="A1928">
        <v>13</v>
      </c>
      <c r="B1928" t="s">
        <v>10</v>
      </c>
      <c r="C1928">
        <v>2021</v>
      </c>
      <c r="D1928">
        <v>72</v>
      </c>
      <c r="E1928">
        <v>50</v>
      </c>
      <c r="F1928">
        <v>110.75</v>
      </c>
      <c r="G1928">
        <v>11.25</v>
      </c>
      <c r="H1928">
        <v>40000</v>
      </c>
      <c r="I1928" t="s">
        <v>22</v>
      </c>
    </row>
    <row r="1929" spans="1:9" x14ac:dyDescent="0.25">
      <c r="A1929">
        <v>14</v>
      </c>
      <c r="B1929" t="s">
        <v>10</v>
      </c>
      <c r="C1929">
        <v>2021</v>
      </c>
      <c r="D1929">
        <v>110.75</v>
      </c>
      <c r="E1929" t="s">
        <v>9</v>
      </c>
      <c r="F1929">
        <v>96.375</v>
      </c>
      <c r="G1929">
        <v>14.375</v>
      </c>
      <c r="H1929">
        <v>40000</v>
      </c>
      <c r="I1929" t="s">
        <v>22</v>
      </c>
    </row>
    <row r="1930" spans="1:9" x14ac:dyDescent="0.25">
      <c r="A1930">
        <v>15</v>
      </c>
      <c r="B1930" t="s">
        <v>10</v>
      </c>
      <c r="C1930">
        <v>2021</v>
      </c>
      <c r="D1930">
        <v>96.375</v>
      </c>
      <c r="E1930" t="s">
        <v>9</v>
      </c>
      <c r="F1930">
        <v>77</v>
      </c>
      <c r="G1930">
        <v>19.375</v>
      </c>
      <c r="H1930">
        <v>40000</v>
      </c>
      <c r="I1930" t="s">
        <v>22</v>
      </c>
    </row>
    <row r="1931" spans="1:9" x14ac:dyDescent="0.25">
      <c r="A1931">
        <v>16</v>
      </c>
      <c r="B1931" t="s">
        <v>10</v>
      </c>
      <c r="C1931">
        <v>2021</v>
      </c>
      <c r="D1931">
        <v>77</v>
      </c>
      <c r="E1931">
        <v>50</v>
      </c>
      <c r="F1931">
        <v>106.5</v>
      </c>
      <c r="G1931">
        <v>20.5</v>
      </c>
      <c r="H1931">
        <v>40000</v>
      </c>
      <c r="I1931" t="s">
        <v>22</v>
      </c>
    </row>
    <row r="1932" spans="1:9" x14ac:dyDescent="0.25">
      <c r="A1932">
        <v>17</v>
      </c>
      <c r="B1932" t="s">
        <v>10</v>
      </c>
      <c r="C1932">
        <v>2021</v>
      </c>
      <c r="D1932">
        <v>106.5</v>
      </c>
      <c r="E1932" t="s">
        <v>9</v>
      </c>
      <c r="F1932">
        <v>76</v>
      </c>
      <c r="G1932">
        <v>30.5</v>
      </c>
      <c r="H1932">
        <v>40000</v>
      </c>
      <c r="I1932" t="s">
        <v>22</v>
      </c>
    </row>
    <row r="1933" spans="1:9" x14ac:dyDescent="0.25">
      <c r="A1933">
        <v>18</v>
      </c>
      <c r="B1933" t="s">
        <v>10</v>
      </c>
      <c r="C1933">
        <v>2021</v>
      </c>
      <c r="D1933">
        <v>76</v>
      </c>
      <c r="E1933">
        <v>40</v>
      </c>
      <c r="F1933">
        <v>79</v>
      </c>
      <c r="G1933">
        <v>37</v>
      </c>
      <c r="H1933">
        <v>40000</v>
      </c>
      <c r="I1933" t="s">
        <v>22</v>
      </c>
    </row>
    <row r="1934" spans="1:9" x14ac:dyDescent="0.25">
      <c r="A1934">
        <v>19</v>
      </c>
      <c r="B1934" t="s">
        <v>10</v>
      </c>
      <c r="C1934">
        <v>2021</v>
      </c>
      <c r="D1934">
        <v>79</v>
      </c>
      <c r="E1934" t="s">
        <v>9</v>
      </c>
      <c r="F1934">
        <v>42</v>
      </c>
      <c r="G1934">
        <v>37</v>
      </c>
      <c r="H1934">
        <v>40000</v>
      </c>
      <c r="I1934" t="s">
        <v>22</v>
      </c>
    </row>
    <row r="1935" spans="1:9" x14ac:dyDescent="0.25">
      <c r="A1935">
        <v>20</v>
      </c>
      <c r="B1935" t="s">
        <v>10</v>
      </c>
      <c r="C1935">
        <v>2021</v>
      </c>
      <c r="D1935">
        <v>42</v>
      </c>
      <c r="E1935">
        <v>60</v>
      </c>
      <c r="F1935">
        <v>94.75</v>
      </c>
      <c r="G1935">
        <v>7.25</v>
      </c>
      <c r="H1935">
        <v>40000</v>
      </c>
      <c r="I1935" t="s">
        <v>22</v>
      </c>
    </row>
    <row r="1936" spans="1:9" x14ac:dyDescent="0.25">
      <c r="A1936">
        <v>21</v>
      </c>
      <c r="B1936" t="s">
        <v>10</v>
      </c>
      <c r="C1936">
        <v>2021</v>
      </c>
      <c r="D1936">
        <v>94.75</v>
      </c>
      <c r="E1936" t="s">
        <v>9</v>
      </c>
      <c r="F1936">
        <v>84.75</v>
      </c>
      <c r="G1936">
        <v>10</v>
      </c>
      <c r="H1936">
        <v>40000</v>
      </c>
      <c r="I1936" t="s">
        <v>22</v>
      </c>
    </row>
    <row r="1937" spans="1:9" x14ac:dyDescent="0.25">
      <c r="A1937">
        <v>22</v>
      </c>
      <c r="B1937" t="s">
        <v>10</v>
      </c>
      <c r="C1937">
        <v>2021</v>
      </c>
      <c r="D1937">
        <v>84.75</v>
      </c>
      <c r="E1937" t="s">
        <v>9</v>
      </c>
      <c r="F1937">
        <v>69</v>
      </c>
      <c r="G1937">
        <v>15.75</v>
      </c>
      <c r="H1937">
        <v>40000</v>
      </c>
      <c r="I1937" t="s">
        <v>22</v>
      </c>
    </row>
    <row r="1938" spans="1:9" x14ac:dyDescent="0.25">
      <c r="A1938">
        <v>23</v>
      </c>
      <c r="B1938" t="s">
        <v>10</v>
      </c>
      <c r="C1938">
        <v>2021</v>
      </c>
      <c r="D1938">
        <v>69</v>
      </c>
      <c r="E1938">
        <v>60</v>
      </c>
      <c r="F1938">
        <v>113</v>
      </c>
      <c r="G1938">
        <v>16</v>
      </c>
      <c r="H1938">
        <v>40000</v>
      </c>
      <c r="I1938" t="s">
        <v>22</v>
      </c>
    </row>
    <row r="1939" spans="1:9" x14ac:dyDescent="0.25">
      <c r="A1939">
        <v>24</v>
      </c>
      <c r="B1939" t="s">
        <v>10</v>
      </c>
      <c r="C1939">
        <v>2021</v>
      </c>
      <c r="D1939">
        <v>113</v>
      </c>
      <c r="E1939" t="s">
        <v>9</v>
      </c>
      <c r="F1939">
        <v>64</v>
      </c>
      <c r="G1939">
        <v>49</v>
      </c>
      <c r="H1939">
        <v>40000</v>
      </c>
      <c r="I1939" t="s">
        <v>22</v>
      </c>
    </row>
    <row r="1940" spans="1:9" x14ac:dyDescent="0.25">
      <c r="A1940">
        <v>25</v>
      </c>
      <c r="B1940" t="s">
        <v>10</v>
      </c>
      <c r="C1940">
        <v>2021</v>
      </c>
      <c r="D1940">
        <v>64</v>
      </c>
      <c r="E1940">
        <v>60</v>
      </c>
      <c r="F1940">
        <v>100</v>
      </c>
      <c r="G1940">
        <v>24</v>
      </c>
      <c r="H1940">
        <v>40000</v>
      </c>
      <c r="I1940" t="s">
        <v>22</v>
      </c>
    </row>
    <row r="1941" spans="1:9" x14ac:dyDescent="0.25">
      <c r="A1941">
        <v>26</v>
      </c>
      <c r="B1941" t="s">
        <v>10</v>
      </c>
      <c r="C1941">
        <v>2021</v>
      </c>
      <c r="D1941">
        <v>100</v>
      </c>
      <c r="E1941" t="s">
        <v>9</v>
      </c>
      <c r="F1941">
        <v>69.75</v>
      </c>
      <c r="G1941">
        <v>30.25</v>
      </c>
      <c r="H1941">
        <v>40000</v>
      </c>
      <c r="I1941" t="s">
        <v>22</v>
      </c>
    </row>
    <row r="1942" spans="1:9" x14ac:dyDescent="0.25">
      <c r="A1942">
        <v>27</v>
      </c>
      <c r="B1942" t="s">
        <v>10</v>
      </c>
      <c r="C1942">
        <v>2021</v>
      </c>
      <c r="D1942">
        <v>69.75</v>
      </c>
      <c r="E1942">
        <v>40</v>
      </c>
      <c r="F1942">
        <v>96</v>
      </c>
      <c r="G1942">
        <v>13.75</v>
      </c>
      <c r="H1942">
        <v>40000</v>
      </c>
      <c r="I1942" t="s">
        <v>22</v>
      </c>
    </row>
    <row r="1943" spans="1:9" x14ac:dyDescent="0.25">
      <c r="A1943">
        <v>28</v>
      </c>
      <c r="B1943" t="s">
        <v>10</v>
      </c>
      <c r="C1943">
        <v>2021</v>
      </c>
      <c r="D1943">
        <v>96</v>
      </c>
      <c r="E1943" t="s">
        <v>9</v>
      </c>
      <c r="F1943">
        <v>81.75</v>
      </c>
      <c r="G1943">
        <v>14.25</v>
      </c>
      <c r="H1943">
        <v>40000</v>
      </c>
      <c r="I1943" t="s">
        <v>22</v>
      </c>
    </row>
    <row r="1944" spans="1:9" x14ac:dyDescent="0.25">
      <c r="A1944">
        <v>29</v>
      </c>
      <c r="B1944" t="s">
        <v>10</v>
      </c>
      <c r="C1944">
        <v>2021</v>
      </c>
      <c r="D1944">
        <v>81.75</v>
      </c>
      <c r="E1944" t="s">
        <v>9</v>
      </c>
      <c r="F1944">
        <v>64.875</v>
      </c>
      <c r="G1944">
        <v>16.875</v>
      </c>
      <c r="H1944">
        <v>40000</v>
      </c>
      <c r="I1944" t="s">
        <v>22</v>
      </c>
    </row>
    <row r="1945" spans="1:9" x14ac:dyDescent="0.25">
      <c r="A1945">
        <v>30</v>
      </c>
      <c r="B1945" t="s">
        <v>10</v>
      </c>
      <c r="C1945">
        <v>2021</v>
      </c>
      <c r="D1945">
        <v>64.875</v>
      </c>
      <c r="E1945">
        <v>60</v>
      </c>
      <c r="F1945">
        <v>104.75</v>
      </c>
      <c r="G1945">
        <v>20.125</v>
      </c>
      <c r="H1945">
        <v>40000</v>
      </c>
      <c r="I1945" t="s">
        <v>22</v>
      </c>
    </row>
    <row r="1946" spans="1:9" hidden="1" x14ac:dyDescent="0.25">
      <c r="A1946">
        <v>1</v>
      </c>
      <c r="B1946" t="s">
        <v>10</v>
      </c>
      <c r="C1946">
        <v>2021</v>
      </c>
      <c r="D1946">
        <v>105.5</v>
      </c>
      <c r="E1946" t="s">
        <v>9</v>
      </c>
      <c r="F1946">
        <v>65</v>
      </c>
      <c r="G1946">
        <v>40.5</v>
      </c>
      <c r="H1946">
        <v>40000</v>
      </c>
      <c r="I1946" t="s">
        <v>23</v>
      </c>
    </row>
    <row r="1947" spans="1:9" hidden="1" x14ac:dyDescent="0.25">
      <c r="A1947">
        <v>2</v>
      </c>
      <c r="B1947" t="s">
        <v>10</v>
      </c>
      <c r="C1947">
        <v>2021</v>
      </c>
      <c r="D1947">
        <v>65</v>
      </c>
      <c r="E1947">
        <v>140</v>
      </c>
      <c r="F1947">
        <v>161</v>
      </c>
      <c r="G1947">
        <v>44</v>
      </c>
      <c r="H1947">
        <v>40000</v>
      </c>
      <c r="I1947" t="s">
        <v>23</v>
      </c>
    </row>
    <row r="1948" spans="1:9" hidden="1" x14ac:dyDescent="0.25">
      <c r="A1948">
        <v>3</v>
      </c>
      <c r="B1948" t="s">
        <v>10</v>
      </c>
      <c r="C1948">
        <v>2021</v>
      </c>
      <c r="D1948">
        <v>161</v>
      </c>
      <c r="E1948" t="s">
        <v>9</v>
      </c>
      <c r="F1948">
        <v>100.625</v>
      </c>
      <c r="G1948">
        <v>60.375</v>
      </c>
      <c r="H1948">
        <v>40000</v>
      </c>
      <c r="I1948" t="s">
        <v>23</v>
      </c>
    </row>
    <row r="1949" spans="1:9" hidden="1" x14ac:dyDescent="0.25">
      <c r="A1949">
        <v>4</v>
      </c>
      <c r="B1949" t="s">
        <v>10</v>
      </c>
      <c r="C1949">
        <v>2021</v>
      </c>
      <c r="D1949">
        <v>100.625</v>
      </c>
      <c r="E1949">
        <v>120</v>
      </c>
      <c r="F1949">
        <v>166.5</v>
      </c>
      <c r="G1949">
        <v>54.125</v>
      </c>
      <c r="H1949">
        <v>40000</v>
      </c>
      <c r="I1949" t="s">
        <v>23</v>
      </c>
    </row>
    <row r="1950" spans="1:9" hidden="1" x14ac:dyDescent="0.25">
      <c r="A1950">
        <v>5</v>
      </c>
      <c r="B1950" t="s">
        <v>10</v>
      </c>
      <c r="C1950">
        <v>2021</v>
      </c>
      <c r="D1950">
        <v>166.5</v>
      </c>
      <c r="E1950" t="s">
        <v>9</v>
      </c>
      <c r="F1950">
        <v>112</v>
      </c>
      <c r="G1950">
        <v>54.5</v>
      </c>
      <c r="H1950">
        <v>40000</v>
      </c>
      <c r="I1950" t="s">
        <v>23</v>
      </c>
    </row>
    <row r="1951" spans="1:9" hidden="1" x14ac:dyDescent="0.25">
      <c r="A1951">
        <v>6</v>
      </c>
      <c r="B1951" t="s">
        <v>10</v>
      </c>
      <c r="C1951">
        <v>2021</v>
      </c>
      <c r="D1951">
        <v>112</v>
      </c>
      <c r="E1951">
        <v>40</v>
      </c>
      <c r="F1951">
        <v>119.8</v>
      </c>
      <c r="G1951">
        <v>32.200000000000003</v>
      </c>
      <c r="H1951">
        <v>40000</v>
      </c>
      <c r="I1951" t="s">
        <v>23</v>
      </c>
    </row>
    <row r="1952" spans="1:9" hidden="1" x14ac:dyDescent="0.25">
      <c r="A1952">
        <v>7</v>
      </c>
      <c r="B1952" t="s">
        <v>10</v>
      </c>
      <c r="C1952">
        <v>2021</v>
      </c>
      <c r="D1952">
        <v>119.8</v>
      </c>
      <c r="E1952" t="s">
        <v>9</v>
      </c>
      <c r="F1952">
        <v>88</v>
      </c>
      <c r="G1952">
        <v>31.8</v>
      </c>
      <c r="H1952">
        <v>40000</v>
      </c>
      <c r="I1952" t="s">
        <v>23</v>
      </c>
    </row>
    <row r="1953" spans="1:9" hidden="1" x14ac:dyDescent="0.25">
      <c r="A1953">
        <v>8</v>
      </c>
      <c r="B1953" t="s">
        <v>10</v>
      </c>
      <c r="C1953">
        <v>2021</v>
      </c>
      <c r="D1953">
        <v>88</v>
      </c>
      <c r="E1953" t="s">
        <v>9</v>
      </c>
      <c r="F1953">
        <v>59</v>
      </c>
      <c r="G1953">
        <v>29</v>
      </c>
      <c r="H1953">
        <v>40000</v>
      </c>
      <c r="I1953" t="s">
        <v>23</v>
      </c>
    </row>
    <row r="1954" spans="1:9" hidden="1" x14ac:dyDescent="0.25">
      <c r="A1954">
        <v>9</v>
      </c>
      <c r="B1954" t="s">
        <v>10</v>
      </c>
      <c r="C1954">
        <v>2021</v>
      </c>
      <c r="D1954">
        <v>59</v>
      </c>
      <c r="E1954">
        <v>100</v>
      </c>
      <c r="F1954">
        <v>128.25</v>
      </c>
      <c r="G1954">
        <v>30.75</v>
      </c>
      <c r="H1954">
        <v>40000</v>
      </c>
      <c r="I1954" t="s">
        <v>23</v>
      </c>
    </row>
    <row r="1955" spans="1:9" hidden="1" x14ac:dyDescent="0.25">
      <c r="A1955">
        <v>10</v>
      </c>
      <c r="B1955" t="s">
        <v>10</v>
      </c>
      <c r="C1955">
        <v>2021</v>
      </c>
      <c r="D1955">
        <v>128.25</v>
      </c>
      <c r="E1955" t="s">
        <v>9</v>
      </c>
      <c r="F1955">
        <v>81</v>
      </c>
      <c r="G1955">
        <v>47.25</v>
      </c>
      <c r="H1955">
        <v>40000</v>
      </c>
      <c r="I1955" t="s">
        <v>23</v>
      </c>
    </row>
    <row r="1956" spans="1:9" hidden="1" x14ac:dyDescent="0.25">
      <c r="A1956">
        <v>11</v>
      </c>
      <c r="B1956" t="s">
        <v>10</v>
      </c>
      <c r="C1956">
        <v>2021</v>
      </c>
      <c r="D1956">
        <v>81</v>
      </c>
      <c r="E1956">
        <v>150</v>
      </c>
      <c r="F1956">
        <v>174.375</v>
      </c>
      <c r="G1956">
        <v>56.625</v>
      </c>
      <c r="H1956">
        <v>40000</v>
      </c>
      <c r="I1956" t="s">
        <v>23</v>
      </c>
    </row>
    <row r="1957" spans="1:9" hidden="1" x14ac:dyDescent="0.25">
      <c r="A1957">
        <v>12</v>
      </c>
      <c r="B1957" t="s">
        <v>10</v>
      </c>
      <c r="C1957">
        <v>2021</v>
      </c>
      <c r="D1957">
        <v>174.375</v>
      </c>
      <c r="E1957" t="s">
        <v>9</v>
      </c>
      <c r="F1957">
        <v>128.75</v>
      </c>
      <c r="G1957">
        <v>45.625</v>
      </c>
      <c r="H1957">
        <v>40000</v>
      </c>
      <c r="I1957" t="s">
        <v>23</v>
      </c>
    </row>
    <row r="1958" spans="1:9" hidden="1" x14ac:dyDescent="0.25">
      <c r="A1958">
        <v>13</v>
      </c>
      <c r="B1958" t="s">
        <v>10</v>
      </c>
      <c r="C1958">
        <v>2021</v>
      </c>
      <c r="D1958">
        <v>128.75</v>
      </c>
      <c r="E1958">
        <v>50</v>
      </c>
      <c r="F1958">
        <v>148.5</v>
      </c>
      <c r="G1958">
        <v>30.25</v>
      </c>
      <c r="H1958">
        <v>40000</v>
      </c>
      <c r="I1958" t="s">
        <v>23</v>
      </c>
    </row>
    <row r="1959" spans="1:9" hidden="1" x14ac:dyDescent="0.25">
      <c r="A1959">
        <v>14</v>
      </c>
      <c r="B1959" t="s">
        <v>10</v>
      </c>
      <c r="C1959">
        <v>2021</v>
      </c>
      <c r="D1959">
        <v>148.5</v>
      </c>
      <c r="E1959" t="s">
        <v>9</v>
      </c>
      <c r="F1959">
        <v>118</v>
      </c>
      <c r="G1959">
        <v>30.5</v>
      </c>
      <c r="H1959">
        <v>40000</v>
      </c>
      <c r="I1959" t="s">
        <v>23</v>
      </c>
    </row>
    <row r="1960" spans="1:9" hidden="1" x14ac:dyDescent="0.25">
      <c r="A1960">
        <v>15</v>
      </c>
      <c r="B1960" t="s">
        <v>10</v>
      </c>
      <c r="C1960">
        <v>2021</v>
      </c>
      <c r="D1960">
        <v>118</v>
      </c>
      <c r="E1960" t="s">
        <v>9</v>
      </c>
      <c r="F1960">
        <v>87</v>
      </c>
      <c r="G1960">
        <v>31</v>
      </c>
      <c r="H1960">
        <v>40000</v>
      </c>
      <c r="I1960" t="s">
        <v>23</v>
      </c>
    </row>
    <row r="1961" spans="1:9" hidden="1" x14ac:dyDescent="0.25">
      <c r="A1961">
        <v>16</v>
      </c>
      <c r="B1961" t="s">
        <v>10</v>
      </c>
      <c r="C1961">
        <v>2021</v>
      </c>
      <c r="D1961">
        <v>87</v>
      </c>
      <c r="E1961">
        <v>70</v>
      </c>
      <c r="F1961">
        <v>128</v>
      </c>
      <c r="G1961">
        <v>29</v>
      </c>
      <c r="H1961">
        <v>40000</v>
      </c>
      <c r="I1961" t="s">
        <v>23</v>
      </c>
    </row>
    <row r="1962" spans="1:9" hidden="1" x14ac:dyDescent="0.25">
      <c r="A1962">
        <v>17</v>
      </c>
      <c r="B1962" t="s">
        <v>10</v>
      </c>
      <c r="C1962">
        <v>2021</v>
      </c>
      <c r="D1962">
        <v>128</v>
      </c>
      <c r="E1962" t="s">
        <v>9</v>
      </c>
      <c r="F1962">
        <v>77.875</v>
      </c>
      <c r="G1962">
        <v>50.125</v>
      </c>
      <c r="H1962">
        <v>40000</v>
      </c>
      <c r="I1962" t="s">
        <v>23</v>
      </c>
    </row>
    <row r="1963" spans="1:9" hidden="1" x14ac:dyDescent="0.25">
      <c r="A1963">
        <v>18</v>
      </c>
      <c r="B1963" t="s">
        <v>10</v>
      </c>
      <c r="C1963">
        <v>2021</v>
      </c>
      <c r="D1963">
        <v>77.875</v>
      </c>
      <c r="E1963">
        <v>50</v>
      </c>
      <c r="F1963">
        <v>58.375</v>
      </c>
      <c r="G1963">
        <v>69.5</v>
      </c>
      <c r="H1963">
        <v>40000</v>
      </c>
      <c r="I1963" t="s">
        <v>23</v>
      </c>
    </row>
    <row r="1964" spans="1:9" hidden="1" x14ac:dyDescent="0.25">
      <c r="A1964">
        <v>19</v>
      </c>
      <c r="B1964" t="s">
        <v>10</v>
      </c>
      <c r="C1964">
        <v>2021</v>
      </c>
      <c r="D1964">
        <v>58.375</v>
      </c>
      <c r="E1964">
        <v>30</v>
      </c>
      <c r="F1964">
        <v>37.75</v>
      </c>
      <c r="G1964">
        <v>50.625</v>
      </c>
      <c r="H1964">
        <v>40000</v>
      </c>
      <c r="I1964" t="s">
        <v>23</v>
      </c>
    </row>
    <row r="1965" spans="1:9" hidden="1" x14ac:dyDescent="0.25">
      <c r="A1965">
        <v>20</v>
      </c>
      <c r="B1965" t="s">
        <v>10</v>
      </c>
      <c r="C1965">
        <v>2021</v>
      </c>
      <c r="D1965">
        <v>37.75</v>
      </c>
      <c r="E1965">
        <v>100</v>
      </c>
      <c r="F1965">
        <v>105.375</v>
      </c>
      <c r="G1965">
        <v>32.375</v>
      </c>
      <c r="H1965">
        <v>40000</v>
      </c>
      <c r="I1965" t="s">
        <v>23</v>
      </c>
    </row>
    <row r="1966" spans="1:9" hidden="1" x14ac:dyDescent="0.25">
      <c r="A1966">
        <v>21</v>
      </c>
      <c r="B1966" t="s">
        <v>10</v>
      </c>
      <c r="C1966">
        <v>2021</v>
      </c>
      <c r="D1966">
        <v>105.375</v>
      </c>
      <c r="E1966" t="s">
        <v>9</v>
      </c>
      <c r="F1966">
        <v>79.25</v>
      </c>
      <c r="G1966">
        <v>26.125</v>
      </c>
      <c r="H1966">
        <v>40000</v>
      </c>
      <c r="I1966" t="s">
        <v>23</v>
      </c>
    </row>
    <row r="1967" spans="1:9" hidden="1" x14ac:dyDescent="0.25">
      <c r="A1967">
        <v>22</v>
      </c>
      <c r="B1967" t="s">
        <v>10</v>
      </c>
      <c r="C1967">
        <v>2021</v>
      </c>
      <c r="D1967">
        <v>79.25</v>
      </c>
      <c r="E1967" t="s">
        <v>9</v>
      </c>
      <c r="F1967">
        <v>47.5</v>
      </c>
      <c r="G1967">
        <v>31.75</v>
      </c>
      <c r="H1967">
        <v>40000</v>
      </c>
      <c r="I1967" t="s">
        <v>23</v>
      </c>
    </row>
    <row r="1968" spans="1:9" hidden="1" x14ac:dyDescent="0.25">
      <c r="A1968">
        <v>23</v>
      </c>
      <c r="B1968" t="s">
        <v>10</v>
      </c>
      <c r="C1968">
        <v>2021</v>
      </c>
      <c r="D1968">
        <v>47.5</v>
      </c>
      <c r="E1968">
        <v>80</v>
      </c>
      <c r="F1968">
        <v>91.5</v>
      </c>
      <c r="G1968">
        <v>36</v>
      </c>
      <c r="H1968">
        <v>40000</v>
      </c>
      <c r="I1968" t="s">
        <v>23</v>
      </c>
    </row>
    <row r="1969" spans="1:9" hidden="1" x14ac:dyDescent="0.25">
      <c r="A1969">
        <v>24</v>
      </c>
      <c r="B1969" t="s">
        <v>10</v>
      </c>
      <c r="C1969">
        <v>2021</v>
      </c>
      <c r="D1969">
        <v>91.5</v>
      </c>
      <c r="E1969" t="s">
        <v>9</v>
      </c>
      <c r="F1969">
        <v>55.5</v>
      </c>
      <c r="G1969">
        <v>36</v>
      </c>
      <c r="H1969">
        <v>40000</v>
      </c>
      <c r="I1969" t="s">
        <v>23</v>
      </c>
    </row>
    <row r="1970" spans="1:9" hidden="1" x14ac:dyDescent="0.25">
      <c r="A1970">
        <v>25</v>
      </c>
      <c r="B1970" t="s">
        <v>10</v>
      </c>
      <c r="C1970">
        <v>2021</v>
      </c>
      <c r="D1970">
        <v>55.5</v>
      </c>
      <c r="E1970">
        <v>80</v>
      </c>
      <c r="F1970">
        <v>78.625</v>
      </c>
      <c r="G1970">
        <v>56.875</v>
      </c>
      <c r="H1970">
        <v>40000</v>
      </c>
      <c r="I1970" t="s">
        <v>23</v>
      </c>
    </row>
    <row r="1971" spans="1:9" hidden="1" x14ac:dyDescent="0.25">
      <c r="A1971">
        <v>26</v>
      </c>
      <c r="B1971" t="s">
        <v>10</v>
      </c>
      <c r="C1971">
        <v>2021</v>
      </c>
      <c r="D1971">
        <v>78.625</v>
      </c>
      <c r="E1971" t="s">
        <v>9</v>
      </c>
      <c r="F1971">
        <v>22.5</v>
      </c>
      <c r="G1971">
        <v>56.125</v>
      </c>
      <c r="H1971">
        <v>40000</v>
      </c>
      <c r="I1971" t="s">
        <v>23</v>
      </c>
    </row>
    <row r="1972" spans="1:9" hidden="1" x14ac:dyDescent="0.25">
      <c r="A1972">
        <v>27</v>
      </c>
      <c r="B1972" t="s">
        <v>10</v>
      </c>
      <c r="C1972">
        <v>2021</v>
      </c>
      <c r="D1972">
        <v>22.5</v>
      </c>
      <c r="E1972">
        <v>90</v>
      </c>
      <c r="F1972">
        <v>87.25</v>
      </c>
      <c r="G1972">
        <v>25.25</v>
      </c>
      <c r="H1972">
        <v>40000</v>
      </c>
      <c r="I1972" t="s">
        <v>23</v>
      </c>
    </row>
    <row r="1973" spans="1:9" hidden="1" x14ac:dyDescent="0.25">
      <c r="A1973">
        <v>28</v>
      </c>
      <c r="B1973" t="s">
        <v>10</v>
      </c>
      <c r="C1973">
        <v>2021</v>
      </c>
      <c r="D1973">
        <v>87.25</v>
      </c>
      <c r="E1973" t="s">
        <v>9</v>
      </c>
      <c r="F1973">
        <v>56.25</v>
      </c>
      <c r="G1973">
        <v>31</v>
      </c>
      <c r="H1973">
        <v>40000</v>
      </c>
      <c r="I1973" t="s">
        <v>23</v>
      </c>
    </row>
    <row r="1974" spans="1:9" hidden="1" x14ac:dyDescent="0.25">
      <c r="A1974">
        <v>29</v>
      </c>
      <c r="B1974" t="s">
        <v>10</v>
      </c>
      <c r="C1974">
        <v>2021</v>
      </c>
      <c r="D1974">
        <v>56.25</v>
      </c>
      <c r="E1974" t="s">
        <v>9</v>
      </c>
      <c r="F1974">
        <v>22</v>
      </c>
      <c r="G1974">
        <v>34.25</v>
      </c>
      <c r="H1974">
        <v>40000</v>
      </c>
      <c r="I1974" t="s">
        <v>23</v>
      </c>
    </row>
    <row r="1975" spans="1:9" hidden="1" x14ac:dyDescent="0.25">
      <c r="A1975">
        <v>30</v>
      </c>
      <c r="B1975" t="s">
        <v>10</v>
      </c>
      <c r="C1975">
        <v>2021</v>
      </c>
      <c r="D1975">
        <v>22</v>
      </c>
      <c r="E1975">
        <v>120</v>
      </c>
      <c r="F1975">
        <v>98.375</v>
      </c>
      <c r="G1975">
        <v>43.625</v>
      </c>
      <c r="H1975">
        <v>40000</v>
      </c>
      <c r="I1975" t="s">
        <v>23</v>
      </c>
    </row>
    <row r="1976" spans="1:9" hidden="1" x14ac:dyDescent="0.25">
      <c r="A1976">
        <v>1</v>
      </c>
      <c r="B1976" t="s">
        <v>10</v>
      </c>
      <c r="C1976">
        <v>2021</v>
      </c>
      <c r="D1976">
        <v>16</v>
      </c>
      <c r="E1976">
        <v>38</v>
      </c>
      <c r="F1976">
        <v>43</v>
      </c>
      <c r="G1976">
        <v>11</v>
      </c>
      <c r="H1976">
        <v>40000</v>
      </c>
      <c r="I1976" t="s">
        <v>25</v>
      </c>
    </row>
    <row r="1977" spans="1:9" hidden="1" x14ac:dyDescent="0.25">
      <c r="A1977">
        <v>2</v>
      </c>
      <c r="B1977" t="s">
        <v>10</v>
      </c>
      <c r="C1977">
        <v>2021</v>
      </c>
      <c r="D1977">
        <v>43</v>
      </c>
      <c r="E1977" t="s">
        <v>9</v>
      </c>
      <c r="F1977">
        <v>26</v>
      </c>
      <c r="G1977">
        <v>17</v>
      </c>
      <c r="H1977">
        <v>40000</v>
      </c>
      <c r="I1977" t="s">
        <v>25</v>
      </c>
    </row>
    <row r="1978" spans="1:9" hidden="1" x14ac:dyDescent="0.25">
      <c r="A1978">
        <v>3</v>
      </c>
      <c r="B1978" t="s">
        <v>10</v>
      </c>
      <c r="C1978">
        <v>2021</v>
      </c>
      <c r="D1978">
        <v>26</v>
      </c>
      <c r="E1978" t="s">
        <v>9</v>
      </c>
      <c r="F1978">
        <v>0.5</v>
      </c>
      <c r="G1978">
        <v>25.5</v>
      </c>
      <c r="H1978">
        <v>40000</v>
      </c>
      <c r="I1978" t="s">
        <v>25</v>
      </c>
    </row>
    <row r="1979" spans="1:9" hidden="1" x14ac:dyDescent="0.25">
      <c r="A1979">
        <v>4</v>
      </c>
      <c r="B1979" t="s">
        <v>10</v>
      </c>
      <c r="C1979">
        <v>2021</v>
      </c>
      <c r="D1979">
        <v>0.5</v>
      </c>
      <c r="E1979">
        <v>43</v>
      </c>
      <c r="F1979">
        <v>17.875</v>
      </c>
      <c r="G1979">
        <v>25.625</v>
      </c>
      <c r="H1979">
        <v>40000</v>
      </c>
      <c r="I1979" t="s">
        <v>25</v>
      </c>
    </row>
    <row r="1980" spans="1:9" hidden="1" x14ac:dyDescent="0.25">
      <c r="A1980">
        <v>5</v>
      </c>
      <c r="B1980" t="s">
        <v>10</v>
      </c>
      <c r="C1980">
        <v>2021</v>
      </c>
      <c r="D1980">
        <v>17.875</v>
      </c>
      <c r="E1980">
        <v>40</v>
      </c>
      <c r="F1980">
        <v>28</v>
      </c>
      <c r="G1980">
        <v>29.875</v>
      </c>
      <c r="H1980">
        <v>40000</v>
      </c>
      <c r="I1980" t="s">
        <v>25</v>
      </c>
    </row>
    <row r="1981" spans="1:9" hidden="1" x14ac:dyDescent="0.25">
      <c r="A1981">
        <v>6</v>
      </c>
      <c r="B1981" t="s">
        <v>10</v>
      </c>
      <c r="C1981">
        <v>2021</v>
      </c>
      <c r="D1981">
        <v>28</v>
      </c>
      <c r="E1981" t="s">
        <v>9</v>
      </c>
      <c r="F1981">
        <v>19.5</v>
      </c>
      <c r="G1981">
        <v>8.5</v>
      </c>
      <c r="H1981">
        <v>40000</v>
      </c>
      <c r="I1981" t="s">
        <v>25</v>
      </c>
    </row>
    <row r="1982" spans="1:9" hidden="1" x14ac:dyDescent="0.25">
      <c r="A1982">
        <v>7</v>
      </c>
      <c r="B1982" t="s">
        <v>10</v>
      </c>
      <c r="C1982">
        <v>2021</v>
      </c>
      <c r="D1982">
        <v>19.5</v>
      </c>
      <c r="E1982" t="s">
        <v>9</v>
      </c>
      <c r="F1982">
        <v>8.75</v>
      </c>
      <c r="G1982">
        <v>10.75</v>
      </c>
      <c r="H1982">
        <v>40000</v>
      </c>
      <c r="I1982" t="s">
        <v>25</v>
      </c>
    </row>
    <row r="1983" spans="1:9" hidden="1" x14ac:dyDescent="0.25">
      <c r="A1983">
        <v>8</v>
      </c>
      <c r="B1983" t="s">
        <v>10</v>
      </c>
      <c r="C1983">
        <v>2021</v>
      </c>
      <c r="D1983">
        <v>8.75</v>
      </c>
      <c r="E1983" t="s">
        <v>9</v>
      </c>
      <c r="F1983">
        <v>0.5</v>
      </c>
      <c r="G1983">
        <v>8.25</v>
      </c>
      <c r="H1983">
        <v>40000</v>
      </c>
      <c r="I1983" t="s">
        <v>25</v>
      </c>
    </row>
    <row r="1984" spans="1:9" hidden="1" x14ac:dyDescent="0.25">
      <c r="A1984">
        <v>9</v>
      </c>
      <c r="B1984" t="s">
        <v>10</v>
      </c>
      <c r="C1984">
        <v>2021</v>
      </c>
      <c r="D1984">
        <v>0.5</v>
      </c>
      <c r="E1984">
        <v>30</v>
      </c>
      <c r="F1984">
        <v>24.125</v>
      </c>
      <c r="G1984">
        <v>6.375</v>
      </c>
      <c r="H1984">
        <v>40000</v>
      </c>
      <c r="I1984" t="s">
        <v>25</v>
      </c>
    </row>
    <row r="1985" spans="1:9" hidden="1" x14ac:dyDescent="0.25">
      <c r="A1985">
        <v>10</v>
      </c>
      <c r="B1985" t="s">
        <v>10</v>
      </c>
      <c r="C1985">
        <v>2021</v>
      </c>
      <c r="D1985">
        <v>24.125</v>
      </c>
      <c r="E1985" t="s">
        <v>9</v>
      </c>
      <c r="F1985">
        <v>10.625</v>
      </c>
      <c r="G1985">
        <v>13.5</v>
      </c>
      <c r="H1985">
        <v>40000</v>
      </c>
      <c r="I1985" t="s">
        <v>25</v>
      </c>
    </row>
    <row r="1986" spans="1:9" hidden="1" x14ac:dyDescent="0.25">
      <c r="A1986">
        <v>11</v>
      </c>
      <c r="B1986" t="s">
        <v>10</v>
      </c>
      <c r="C1986">
        <v>2021</v>
      </c>
      <c r="D1986">
        <v>10.625</v>
      </c>
      <c r="E1986">
        <v>34</v>
      </c>
      <c r="F1986">
        <v>18.75</v>
      </c>
      <c r="G1986">
        <v>25.875</v>
      </c>
      <c r="H1986">
        <v>40000</v>
      </c>
      <c r="I1986" t="s">
        <v>25</v>
      </c>
    </row>
    <row r="1987" spans="1:9" hidden="1" x14ac:dyDescent="0.25">
      <c r="A1987">
        <v>12</v>
      </c>
      <c r="B1987" t="s">
        <v>10</v>
      </c>
      <c r="C1987">
        <v>2021</v>
      </c>
      <c r="D1987">
        <v>18.75</v>
      </c>
      <c r="E1987">
        <v>30</v>
      </c>
      <c r="F1987">
        <v>26</v>
      </c>
      <c r="G1987">
        <v>22.75</v>
      </c>
      <c r="H1987">
        <v>40000</v>
      </c>
      <c r="I1987" t="s">
        <v>25</v>
      </c>
    </row>
    <row r="1988" spans="1:9" hidden="1" x14ac:dyDescent="0.25">
      <c r="A1988">
        <v>13</v>
      </c>
      <c r="B1988" t="s">
        <v>10</v>
      </c>
      <c r="C1988">
        <v>2021</v>
      </c>
      <c r="D1988">
        <v>26</v>
      </c>
      <c r="E1988">
        <v>20</v>
      </c>
      <c r="F1988">
        <v>35.625</v>
      </c>
      <c r="G1988">
        <v>10.375</v>
      </c>
      <c r="H1988">
        <v>40000</v>
      </c>
      <c r="I1988" t="s">
        <v>25</v>
      </c>
    </row>
    <row r="1989" spans="1:9" hidden="1" x14ac:dyDescent="0.25">
      <c r="A1989">
        <v>14</v>
      </c>
      <c r="B1989" t="s">
        <v>10</v>
      </c>
      <c r="C1989">
        <v>2021</v>
      </c>
      <c r="D1989">
        <v>35.625</v>
      </c>
      <c r="E1989" t="s">
        <v>9</v>
      </c>
      <c r="F1989">
        <v>22</v>
      </c>
      <c r="G1989">
        <v>13.625</v>
      </c>
      <c r="H1989">
        <v>40000</v>
      </c>
      <c r="I1989" t="s">
        <v>25</v>
      </c>
    </row>
    <row r="1990" spans="1:9" hidden="1" x14ac:dyDescent="0.25">
      <c r="A1990">
        <v>15</v>
      </c>
      <c r="B1990" t="s">
        <v>10</v>
      </c>
      <c r="C1990">
        <v>2021</v>
      </c>
      <c r="D1990">
        <v>22</v>
      </c>
      <c r="E1990" t="s">
        <v>9</v>
      </c>
      <c r="F1990">
        <v>10.25</v>
      </c>
      <c r="G1990">
        <v>11.75</v>
      </c>
      <c r="H1990">
        <v>40000</v>
      </c>
      <c r="I1990" t="s">
        <v>25</v>
      </c>
    </row>
    <row r="1991" spans="1:9" hidden="1" x14ac:dyDescent="0.25">
      <c r="A1991">
        <v>16</v>
      </c>
      <c r="B1991" t="s">
        <v>10</v>
      </c>
      <c r="C1991">
        <v>2021</v>
      </c>
      <c r="D1991">
        <v>10.25</v>
      </c>
      <c r="E1991">
        <v>50</v>
      </c>
      <c r="F1991">
        <v>51.25</v>
      </c>
      <c r="G1991">
        <v>9</v>
      </c>
      <c r="H1991">
        <v>40000</v>
      </c>
      <c r="I1991" t="s">
        <v>25</v>
      </c>
    </row>
    <row r="1992" spans="1:9" hidden="1" x14ac:dyDescent="0.25">
      <c r="A1992">
        <v>17</v>
      </c>
      <c r="B1992" t="s">
        <v>10</v>
      </c>
      <c r="C1992">
        <v>2021</v>
      </c>
      <c r="D1992">
        <v>51.25</v>
      </c>
      <c r="E1992" t="s">
        <v>9</v>
      </c>
      <c r="F1992">
        <v>35</v>
      </c>
      <c r="G1992">
        <v>16.25</v>
      </c>
      <c r="H1992">
        <v>40000</v>
      </c>
      <c r="I1992" t="s">
        <v>25</v>
      </c>
    </row>
    <row r="1993" spans="1:9" hidden="1" x14ac:dyDescent="0.25">
      <c r="A1993">
        <v>18</v>
      </c>
      <c r="B1993" t="s">
        <v>10</v>
      </c>
      <c r="C1993">
        <v>2021</v>
      </c>
      <c r="D1993">
        <v>35</v>
      </c>
      <c r="E1993" t="s">
        <v>9</v>
      </c>
      <c r="F1993">
        <v>4.5</v>
      </c>
      <c r="G1993">
        <v>30.5</v>
      </c>
      <c r="H1993">
        <v>40000</v>
      </c>
      <c r="I1993" t="s">
        <v>25</v>
      </c>
    </row>
    <row r="1994" spans="1:9" hidden="1" x14ac:dyDescent="0.25">
      <c r="A1994">
        <v>19</v>
      </c>
      <c r="B1994" t="s">
        <v>10</v>
      </c>
      <c r="C1994">
        <v>2021</v>
      </c>
      <c r="D1994">
        <v>4.5</v>
      </c>
      <c r="E1994">
        <v>54</v>
      </c>
      <c r="F1994">
        <v>33</v>
      </c>
      <c r="G1994">
        <v>25.5</v>
      </c>
      <c r="H1994">
        <v>40000</v>
      </c>
      <c r="I1994" t="s">
        <v>25</v>
      </c>
    </row>
    <row r="1995" spans="1:9" hidden="1" x14ac:dyDescent="0.25">
      <c r="A1995">
        <v>20</v>
      </c>
      <c r="B1995" t="s">
        <v>10</v>
      </c>
      <c r="C1995">
        <v>2021</v>
      </c>
      <c r="D1995">
        <v>33</v>
      </c>
      <c r="E1995" t="s">
        <v>9</v>
      </c>
      <c r="F1995">
        <v>24.375</v>
      </c>
      <c r="G1995">
        <v>8.625</v>
      </c>
      <c r="H1995">
        <v>40000</v>
      </c>
      <c r="I1995" t="s">
        <v>25</v>
      </c>
    </row>
    <row r="1996" spans="1:9" hidden="1" x14ac:dyDescent="0.25">
      <c r="A1996">
        <v>21</v>
      </c>
      <c r="B1996" t="s">
        <v>10</v>
      </c>
      <c r="C1996">
        <v>2021</v>
      </c>
      <c r="D1996">
        <v>24.375</v>
      </c>
      <c r="E1996" t="s">
        <v>9</v>
      </c>
      <c r="F1996">
        <v>14</v>
      </c>
      <c r="G1996">
        <v>10.375</v>
      </c>
      <c r="H1996">
        <v>40000</v>
      </c>
      <c r="I1996" t="s">
        <v>25</v>
      </c>
    </row>
    <row r="1997" spans="1:9" hidden="1" x14ac:dyDescent="0.25">
      <c r="A1997">
        <v>22</v>
      </c>
      <c r="B1997" t="s">
        <v>10</v>
      </c>
      <c r="C1997">
        <v>2021</v>
      </c>
      <c r="D1997">
        <v>14</v>
      </c>
      <c r="E1997" t="s">
        <v>9</v>
      </c>
      <c r="F1997">
        <v>7.75</v>
      </c>
      <c r="G1997">
        <v>6.25</v>
      </c>
      <c r="H1997">
        <v>40000</v>
      </c>
      <c r="I1997" t="s">
        <v>25</v>
      </c>
    </row>
    <row r="1998" spans="1:9" hidden="1" x14ac:dyDescent="0.25">
      <c r="A1998">
        <v>23</v>
      </c>
      <c r="B1998" t="s">
        <v>10</v>
      </c>
      <c r="C1998">
        <v>2021</v>
      </c>
      <c r="D1998">
        <v>7.75</v>
      </c>
      <c r="E1998">
        <v>30</v>
      </c>
      <c r="F1998">
        <v>31</v>
      </c>
      <c r="G1998">
        <v>6.75</v>
      </c>
      <c r="H1998">
        <v>40000</v>
      </c>
      <c r="I1998" t="s">
        <v>25</v>
      </c>
    </row>
    <row r="1999" spans="1:9" hidden="1" x14ac:dyDescent="0.25">
      <c r="A1999">
        <v>24</v>
      </c>
      <c r="B1999" t="s">
        <v>10</v>
      </c>
      <c r="C1999">
        <v>2021</v>
      </c>
      <c r="D1999">
        <v>31</v>
      </c>
      <c r="E1999" t="s">
        <v>9</v>
      </c>
      <c r="F1999">
        <v>18</v>
      </c>
      <c r="G1999">
        <v>13</v>
      </c>
      <c r="H1999">
        <v>40000</v>
      </c>
      <c r="I1999" t="s">
        <v>25</v>
      </c>
    </row>
    <row r="2000" spans="1:9" hidden="1" x14ac:dyDescent="0.25">
      <c r="A2000">
        <v>25</v>
      </c>
      <c r="B2000" t="s">
        <v>10</v>
      </c>
      <c r="C2000">
        <v>2021</v>
      </c>
      <c r="D2000">
        <v>18</v>
      </c>
      <c r="E2000">
        <v>50</v>
      </c>
      <c r="F2000">
        <v>44.5</v>
      </c>
      <c r="G2000">
        <v>23.5</v>
      </c>
      <c r="H2000">
        <v>40000</v>
      </c>
      <c r="I2000" t="s">
        <v>25</v>
      </c>
    </row>
    <row r="2001" spans="1:9" hidden="1" x14ac:dyDescent="0.25">
      <c r="A2001">
        <v>26</v>
      </c>
      <c r="B2001" t="s">
        <v>10</v>
      </c>
      <c r="C2001">
        <v>2021</v>
      </c>
      <c r="D2001">
        <v>44.5</v>
      </c>
      <c r="E2001" t="s">
        <v>9</v>
      </c>
      <c r="F2001">
        <v>26.25</v>
      </c>
      <c r="G2001">
        <v>18.25</v>
      </c>
      <c r="H2001">
        <v>40000</v>
      </c>
      <c r="I2001" t="s">
        <v>25</v>
      </c>
    </row>
    <row r="2002" spans="1:9" hidden="1" x14ac:dyDescent="0.25">
      <c r="A2002">
        <v>27</v>
      </c>
      <c r="B2002" t="s">
        <v>10</v>
      </c>
      <c r="C2002">
        <v>2021</v>
      </c>
      <c r="D2002">
        <v>26.25</v>
      </c>
      <c r="E2002">
        <v>44</v>
      </c>
      <c r="F2002">
        <v>62.25</v>
      </c>
      <c r="G2002">
        <v>8</v>
      </c>
      <c r="H2002">
        <v>40000</v>
      </c>
      <c r="I2002" t="s">
        <v>25</v>
      </c>
    </row>
    <row r="2003" spans="1:9" hidden="1" x14ac:dyDescent="0.25">
      <c r="A2003">
        <v>28</v>
      </c>
      <c r="B2003" t="s">
        <v>10</v>
      </c>
      <c r="C2003">
        <v>2021</v>
      </c>
      <c r="D2003">
        <v>62.25</v>
      </c>
      <c r="E2003" t="s">
        <v>9</v>
      </c>
      <c r="F2003">
        <v>52.75</v>
      </c>
      <c r="G2003">
        <v>9.5</v>
      </c>
      <c r="H2003">
        <v>40000</v>
      </c>
      <c r="I2003" t="s">
        <v>25</v>
      </c>
    </row>
    <row r="2004" spans="1:9" hidden="1" x14ac:dyDescent="0.25">
      <c r="A2004">
        <v>29</v>
      </c>
      <c r="B2004" t="s">
        <v>10</v>
      </c>
      <c r="C2004">
        <v>2021</v>
      </c>
      <c r="D2004">
        <v>52.75</v>
      </c>
      <c r="E2004" t="s">
        <v>9</v>
      </c>
      <c r="F2004">
        <v>41.75</v>
      </c>
      <c r="G2004">
        <v>11</v>
      </c>
      <c r="H2004">
        <v>40000</v>
      </c>
      <c r="I2004" t="s">
        <v>25</v>
      </c>
    </row>
    <row r="2005" spans="1:9" hidden="1" x14ac:dyDescent="0.25">
      <c r="A2005">
        <v>30</v>
      </c>
      <c r="B2005" t="s">
        <v>10</v>
      </c>
      <c r="C2005">
        <v>2021</v>
      </c>
      <c r="D2005">
        <v>41.75</v>
      </c>
      <c r="E2005">
        <v>50</v>
      </c>
      <c r="F2005">
        <v>83.375</v>
      </c>
      <c r="G2005">
        <v>8.375</v>
      </c>
      <c r="H2005">
        <v>40000</v>
      </c>
      <c r="I2005" t="s">
        <v>25</v>
      </c>
    </row>
    <row r="2006" spans="1:9" x14ac:dyDescent="0.25">
      <c r="A2006">
        <v>1</v>
      </c>
      <c r="B2006" t="s">
        <v>18</v>
      </c>
      <c r="C2006">
        <v>2021</v>
      </c>
      <c r="D2006">
        <v>104.75</v>
      </c>
      <c r="E2006" t="s">
        <v>9</v>
      </c>
      <c r="F2006">
        <v>78</v>
      </c>
      <c r="G2006">
        <v>26.75</v>
      </c>
      <c r="H2006">
        <v>40000</v>
      </c>
      <c r="I2006" t="s">
        <v>22</v>
      </c>
    </row>
    <row r="2007" spans="1:9" x14ac:dyDescent="0.25">
      <c r="A2007">
        <v>2</v>
      </c>
      <c r="B2007" t="s">
        <v>18</v>
      </c>
      <c r="C2007">
        <v>2021</v>
      </c>
      <c r="D2007">
        <v>78</v>
      </c>
      <c r="E2007">
        <v>60</v>
      </c>
      <c r="F2007">
        <v>105</v>
      </c>
      <c r="G2007">
        <v>33</v>
      </c>
      <c r="H2007">
        <v>40000</v>
      </c>
      <c r="I2007" t="s">
        <v>22</v>
      </c>
    </row>
    <row r="2008" spans="1:9" x14ac:dyDescent="0.25">
      <c r="A2008">
        <v>3</v>
      </c>
      <c r="B2008" t="s">
        <v>18</v>
      </c>
      <c r="C2008">
        <v>2021</v>
      </c>
      <c r="D2008">
        <v>105</v>
      </c>
      <c r="E2008" t="s">
        <v>9</v>
      </c>
      <c r="F2008">
        <v>62</v>
      </c>
      <c r="G2008">
        <v>43</v>
      </c>
      <c r="H2008">
        <v>40000</v>
      </c>
      <c r="I2008" t="s">
        <v>22</v>
      </c>
    </row>
    <row r="2009" spans="1:9" x14ac:dyDescent="0.25">
      <c r="A2009">
        <v>4</v>
      </c>
      <c r="B2009" t="s">
        <v>18</v>
      </c>
      <c r="C2009">
        <v>2021</v>
      </c>
      <c r="D2009">
        <v>62</v>
      </c>
      <c r="E2009">
        <v>50</v>
      </c>
      <c r="F2009">
        <v>98.25</v>
      </c>
      <c r="G2009">
        <v>13.75</v>
      </c>
      <c r="H2009">
        <v>40000</v>
      </c>
      <c r="I2009" t="s">
        <v>22</v>
      </c>
    </row>
    <row r="2010" spans="1:9" x14ac:dyDescent="0.25">
      <c r="A2010">
        <v>5</v>
      </c>
      <c r="B2010" t="s">
        <v>18</v>
      </c>
      <c r="C2010">
        <v>2021</v>
      </c>
      <c r="D2010">
        <v>98.25</v>
      </c>
      <c r="E2010" t="s">
        <v>9</v>
      </c>
      <c r="F2010">
        <v>84</v>
      </c>
      <c r="G2010">
        <v>14.25</v>
      </c>
      <c r="H2010">
        <v>40000</v>
      </c>
      <c r="I2010" t="s">
        <v>22</v>
      </c>
    </row>
    <row r="2011" spans="1:9" x14ac:dyDescent="0.25">
      <c r="A2011">
        <v>6</v>
      </c>
      <c r="B2011" t="s">
        <v>18</v>
      </c>
      <c r="C2011">
        <v>2021</v>
      </c>
      <c r="D2011">
        <v>84</v>
      </c>
      <c r="E2011" t="s">
        <v>9</v>
      </c>
      <c r="F2011">
        <v>64.375</v>
      </c>
      <c r="G2011">
        <v>19.625</v>
      </c>
      <c r="H2011">
        <v>40000</v>
      </c>
      <c r="I2011" t="s">
        <v>22</v>
      </c>
    </row>
    <row r="2012" spans="1:9" x14ac:dyDescent="0.25">
      <c r="A2012">
        <v>7</v>
      </c>
      <c r="B2012" t="s">
        <v>18</v>
      </c>
      <c r="C2012">
        <v>2021</v>
      </c>
      <c r="D2012">
        <v>64.375</v>
      </c>
      <c r="E2012">
        <v>100</v>
      </c>
      <c r="F2012">
        <v>146</v>
      </c>
      <c r="G2012">
        <v>18.375</v>
      </c>
      <c r="H2012">
        <v>40000</v>
      </c>
      <c r="I2012" t="s">
        <v>22</v>
      </c>
    </row>
    <row r="2013" spans="1:9" x14ac:dyDescent="0.25">
      <c r="A2013">
        <v>8</v>
      </c>
      <c r="B2013" t="s">
        <v>18</v>
      </c>
      <c r="C2013">
        <v>2021</v>
      </c>
      <c r="D2013">
        <v>146</v>
      </c>
      <c r="E2013" t="s">
        <v>9</v>
      </c>
      <c r="F2013">
        <v>117.5</v>
      </c>
      <c r="G2013">
        <v>28.5</v>
      </c>
      <c r="H2013">
        <v>40000</v>
      </c>
      <c r="I2013" t="s">
        <v>22</v>
      </c>
    </row>
    <row r="2014" spans="1:9" x14ac:dyDescent="0.25">
      <c r="A2014">
        <v>9</v>
      </c>
      <c r="B2014" t="s">
        <v>18</v>
      </c>
      <c r="C2014">
        <v>2021</v>
      </c>
      <c r="D2014">
        <v>117.5</v>
      </c>
      <c r="E2014">
        <v>60</v>
      </c>
      <c r="F2014">
        <v>145.5</v>
      </c>
      <c r="G2014">
        <v>32</v>
      </c>
      <c r="H2014">
        <v>40000</v>
      </c>
      <c r="I2014" t="s">
        <v>22</v>
      </c>
    </row>
    <row r="2015" spans="1:9" x14ac:dyDescent="0.25">
      <c r="A2015">
        <v>10</v>
      </c>
      <c r="B2015" t="s">
        <v>18</v>
      </c>
      <c r="C2015">
        <v>2021</v>
      </c>
      <c r="D2015">
        <v>145.5</v>
      </c>
      <c r="E2015" t="s">
        <v>9</v>
      </c>
      <c r="F2015">
        <v>114</v>
      </c>
      <c r="G2015">
        <v>31.5</v>
      </c>
      <c r="H2015">
        <v>40000</v>
      </c>
      <c r="I2015" t="s">
        <v>22</v>
      </c>
    </row>
    <row r="2016" spans="1:9" x14ac:dyDescent="0.25">
      <c r="A2016">
        <v>11</v>
      </c>
      <c r="B2016" t="s">
        <v>18</v>
      </c>
      <c r="C2016">
        <v>2021</v>
      </c>
      <c r="D2016">
        <v>114</v>
      </c>
      <c r="E2016">
        <v>20</v>
      </c>
      <c r="F2016">
        <v>113</v>
      </c>
      <c r="G2016">
        <v>21</v>
      </c>
      <c r="H2016">
        <v>40000</v>
      </c>
      <c r="I2016" t="s">
        <v>22</v>
      </c>
    </row>
    <row r="2017" spans="1:9" x14ac:dyDescent="0.25">
      <c r="A2017">
        <v>12</v>
      </c>
      <c r="B2017" t="s">
        <v>18</v>
      </c>
      <c r="C2017">
        <v>2021</v>
      </c>
      <c r="D2017">
        <v>113</v>
      </c>
      <c r="E2017" t="s">
        <v>9</v>
      </c>
      <c r="F2017">
        <v>90.25</v>
      </c>
      <c r="G2017">
        <v>22.75</v>
      </c>
      <c r="H2017">
        <v>40000</v>
      </c>
      <c r="I2017" t="s">
        <v>22</v>
      </c>
    </row>
    <row r="2018" spans="1:9" x14ac:dyDescent="0.25">
      <c r="A2018">
        <v>13</v>
      </c>
      <c r="B2018" t="s">
        <v>18</v>
      </c>
      <c r="C2018">
        <v>2021</v>
      </c>
      <c r="D2018">
        <v>90.25</v>
      </c>
      <c r="E2018" t="s">
        <v>9</v>
      </c>
      <c r="F2018">
        <v>62.5</v>
      </c>
      <c r="G2018">
        <v>27.75</v>
      </c>
      <c r="H2018">
        <v>48000</v>
      </c>
      <c r="I2018" t="s">
        <v>22</v>
      </c>
    </row>
    <row r="2019" spans="1:9" x14ac:dyDescent="0.25">
      <c r="A2019">
        <v>14</v>
      </c>
      <c r="B2019" t="s">
        <v>18</v>
      </c>
      <c r="C2019">
        <v>2021</v>
      </c>
      <c r="D2019">
        <v>62.5</v>
      </c>
      <c r="E2019">
        <v>80</v>
      </c>
      <c r="F2019">
        <v>119</v>
      </c>
      <c r="G2019">
        <v>23.5</v>
      </c>
      <c r="H2019">
        <v>48000</v>
      </c>
      <c r="I2019" t="s">
        <v>22</v>
      </c>
    </row>
    <row r="2020" spans="1:9" x14ac:dyDescent="0.25">
      <c r="A2020">
        <v>15</v>
      </c>
      <c r="B2020" t="s">
        <v>18</v>
      </c>
      <c r="C2020">
        <v>2021</v>
      </c>
      <c r="D2020">
        <v>119</v>
      </c>
      <c r="E2020" t="s">
        <v>9</v>
      </c>
      <c r="F2020">
        <v>88.5</v>
      </c>
      <c r="G2020">
        <v>30.5</v>
      </c>
      <c r="H2020">
        <v>48000</v>
      </c>
      <c r="I2020" t="s">
        <v>22</v>
      </c>
    </row>
    <row r="2021" spans="1:9" x14ac:dyDescent="0.25">
      <c r="A2021">
        <v>16</v>
      </c>
      <c r="B2021" t="s">
        <v>18</v>
      </c>
      <c r="C2021">
        <v>2021</v>
      </c>
      <c r="D2021">
        <v>88.5</v>
      </c>
      <c r="E2021">
        <v>40</v>
      </c>
      <c r="F2021">
        <v>82</v>
      </c>
      <c r="G2021">
        <v>46.5</v>
      </c>
      <c r="H2021">
        <v>48000</v>
      </c>
      <c r="I2021" t="s">
        <v>22</v>
      </c>
    </row>
    <row r="2022" spans="1:9" x14ac:dyDescent="0.25">
      <c r="A2022">
        <v>17</v>
      </c>
      <c r="B2022" t="s">
        <v>18</v>
      </c>
      <c r="C2022">
        <v>2021</v>
      </c>
      <c r="D2022">
        <v>82</v>
      </c>
      <c r="E2022" t="s">
        <v>9</v>
      </c>
      <c r="F2022">
        <v>31</v>
      </c>
      <c r="G2022">
        <v>51</v>
      </c>
      <c r="H2022">
        <v>48000</v>
      </c>
      <c r="I2022" t="s">
        <v>22</v>
      </c>
    </row>
    <row r="2023" spans="1:9" x14ac:dyDescent="0.25">
      <c r="A2023">
        <v>18</v>
      </c>
      <c r="B2023" t="s">
        <v>18</v>
      </c>
      <c r="C2023">
        <v>2021</v>
      </c>
      <c r="D2023">
        <v>31</v>
      </c>
      <c r="E2023">
        <v>99</v>
      </c>
      <c r="F2023">
        <v>88</v>
      </c>
      <c r="G2023">
        <v>42</v>
      </c>
      <c r="H2023">
        <v>48000</v>
      </c>
      <c r="I2023" t="s">
        <v>22</v>
      </c>
    </row>
    <row r="2024" spans="1:9" x14ac:dyDescent="0.25">
      <c r="A2024">
        <v>19</v>
      </c>
      <c r="B2024" t="s">
        <v>18</v>
      </c>
      <c r="C2024">
        <v>2021</v>
      </c>
      <c r="D2024">
        <v>88</v>
      </c>
      <c r="E2024" t="s">
        <v>9</v>
      </c>
      <c r="F2024">
        <v>72.5</v>
      </c>
      <c r="G2024">
        <v>15.5</v>
      </c>
      <c r="H2024">
        <v>48000</v>
      </c>
      <c r="I2024" t="s">
        <v>22</v>
      </c>
    </row>
    <row r="2025" spans="1:9" x14ac:dyDescent="0.25">
      <c r="A2025">
        <v>20</v>
      </c>
      <c r="B2025" t="s">
        <v>18</v>
      </c>
      <c r="C2025">
        <v>2021</v>
      </c>
      <c r="D2025">
        <v>72.5</v>
      </c>
      <c r="E2025" t="s">
        <v>9</v>
      </c>
      <c r="F2025">
        <v>52.25</v>
      </c>
      <c r="G2025">
        <v>20.25</v>
      </c>
      <c r="H2025">
        <v>48000</v>
      </c>
      <c r="I2025" t="s">
        <v>22</v>
      </c>
    </row>
    <row r="2026" spans="1:9" x14ac:dyDescent="0.25">
      <c r="A2026">
        <v>21</v>
      </c>
      <c r="B2026" t="s">
        <v>18</v>
      </c>
      <c r="C2026">
        <v>2021</v>
      </c>
      <c r="D2026">
        <v>52.25</v>
      </c>
      <c r="E2026">
        <v>120</v>
      </c>
      <c r="F2026">
        <v>161.5</v>
      </c>
      <c r="G2026">
        <v>10.75</v>
      </c>
      <c r="H2026">
        <v>48000</v>
      </c>
      <c r="I2026" t="s">
        <v>22</v>
      </c>
    </row>
    <row r="2027" spans="1:9" x14ac:dyDescent="0.25">
      <c r="A2027">
        <v>22</v>
      </c>
      <c r="B2027" t="s">
        <v>18</v>
      </c>
      <c r="C2027">
        <v>2021</v>
      </c>
      <c r="D2027">
        <v>161.5</v>
      </c>
      <c r="E2027" t="s">
        <v>9</v>
      </c>
      <c r="F2027">
        <v>136.5</v>
      </c>
      <c r="G2027">
        <v>25</v>
      </c>
      <c r="H2027">
        <v>48000</v>
      </c>
      <c r="I2027" t="s">
        <v>22</v>
      </c>
    </row>
    <row r="2028" spans="1:9" x14ac:dyDescent="0.25">
      <c r="A2028">
        <v>23</v>
      </c>
      <c r="B2028" t="s">
        <v>18</v>
      </c>
      <c r="C2028">
        <v>2021</v>
      </c>
      <c r="D2028">
        <v>136.5</v>
      </c>
      <c r="E2028" t="s">
        <v>9</v>
      </c>
      <c r="F2028">
        <v>95.75</v>
      </c>
      <c r="G2028">
        <v>40.75</v>
      </c>
      <c r="H2028">
        <v>48000</v>
      </c>
      <c r="I2028" t="s">
        <v>22</v>
      </c>
    </row>
    <row r="2029" spans="1:9" x14ac:dyDescent="0.25">
      <c r="A2029">
        <v>24</v>
      </c>
      <c r="B2029" t="s">
        <v>18</v>
      </c>
      <c r="C2029">
        <v>2021</v>
      </c>
      <c r="D2029">
        <v>95.75</v>
      </c>
      <c r="E2029">
        <v>60</v>
      </c>
      <c r="F2029">
        <v>119.5</v>
      </c>
      <c r="G2029">
        <v>36.25</v>
      </c>
      <c r="H2029">
        <v>48000</v>
      </c>
      <c r="I2029" t="s">
        <v>22</v>
      </c>
    </row>
    <row r="2030" spans="1:9" x14ac:dyDescent="0.25">
      <c r="A2030">
        <v>25</v>
      </c>
      <c r="B2030" t="s">
        <v>18</v>
      </c>
      <c r="C2030">
        <v>2021</v>
      </c>
      <c r="D2030">
        <v>119.5</v>
      </c>
      <c r="E2030" t="s">
        <v>9</v>
      </c>
      <c r="F2030">
        <v>105.75</v>
      </c>
      <c r="G2030">
        <v>13.75</v>
      </c>
      <c r="H2030">
        <v>48000</v>
      </c>
      <c r="I2030" t="s">
        <v>22</v>
      </c>
    </row>
    <row r="2031" spans="1:9" x14ac:dyDescent="0.25">
      <c r="A2031">
        <v>26</v>
      </c>
      <c r="B2031" t="s">
        <v>18</v>
      </c>
      <c r="C2031">
        <v>2021</v>
      </c>
      <c r="D2031">
        <v>105.75</v>
      </c>
      <c r="E2031">
        <v>70</v>
      </c>
      <c r="F2031">
        <v>165.75</v>
      </c>
      <c r="G2031">
        <v>10</v>
      </c>
      <c r="H2031">
        <v>48000</v>
      </c>
      <c r="I2031" t="s">
        <v>22</v>
      </c>
    </row>
    <row r="2032" spans="1:9" x14ac:dyDescent="0.25">
      <c r="A2032">
        <v>27</v>
      </c>
      <c r="B2032" t="s">
        <v>18</v>
      </c>
      <c r="C2032">
        <v>2021</v>
      </c>
      <c r="D2032">
        <v>165.75</v>
      </c>
      <c r="E2032" t="s">
        <v>9</v>
      </c>
      <c r="F2032">
        <v>146.25</v>
      </c>
      <c r="G2032">
        <v>19.5</v>
      </c>
      <c r="H2032">
        <v>48000</v>
      </c>
      <c r="I2032" t="s">
        <v>22</v>
      </c>
    </row>
    <row r="2033" spans="1:9" x14ac:dyDescent="0.25">
      <c r="A2033">
        <v>28</v>
      </c>
      <c r="B2033" t="s">
        <v>18</v>
      </c>
      <c r="C2033">
        <v>2021</v>
      </c>
      <c r="D2033">
        <v>146.25</v>
      </c>
      <c r="E2033">
        <v>120</v>
      </c>
      <c r="F2033">
        <v>252.25</v>
      </c>
      <c r="G2033">
        <v>14</v>
      </c>
      <c r="H2033">
        <v>48000</v>
      </c>
      <c r="I2033" t="s">
        <v>22</v>
      </c>
    </row>
    <row r="2034" spans="1:9" x14ac:dyDescent="0.25">
      <c r="A2034">
        <v>29</v>
      </c>
      <c r="B2034" t="s">
        <v>18</v>
      </c>
      <c r="C2034">
        <v>2021</v>
      </c>
      <c r="D2034">
        <v>252.25</v>
      </c>
      <c r="E2034" t="s">
        <v>9</v>
      </c>
      <c r="F2034">
        <v>223.75</v>
      </c>
      <c r="G2034">
        <v>28.5</v>
      </c>
      <c r="H2034">
        <v>48000</v>
      </c>
      <c r="I2034" t="s">
        <v>22</v>
      </c>
    </row>
    <row r="2035" spans="1:9" x14ac:dyDescent="0.25">
      <c r="A2035">
        <v>30</v>
      </c>
      <c r="B2035" t="s">
        <v>18</v>
      </c>
      <c r="C2035">
        <v>2021</v>
      </c>
      <c r="D2035">
        <v>223.75</v>
      </c>
      <c r="E2035">
        <v>70</v>
      </c>
      <c r="F2035">
        <v>253.25</v>
      </c>
      <c r="G2035">
        <v>40.5</v>
      </c>
      <c r="H2035">
        <v>48000</v>
      </c>
      <c r="I2035" t="s">
        <v>22</v>
      </c>
    </row>
    <row r="2036" spans="1:9" x14ac:dyDescent="0.25">
      <c r="A2036">
        <v>31</v>
      </c>
      <c r="B2036" t="s">
        <v>18</v>
      </c>
      <c r="C2036">
        <v>2021</v>
      </c>
      <c r="D2036">
        <v>253.25</v>
      </c>
      <c r="E2036" t="s">
        <v>9</v>
      </c>
      <c r="F2036">
        <v>154.5</v>
      </c>
      <c r="G2036">
        <v>98.75</v>
      </c>
      <c r="H2036">
        <v>48000</v>
      </c>
      <c r="I2036" t="s">
        <v>22</v>
      </c>
    </row>
    <row r="2037" spans="1:9" hidden="1" x14ac:dyDescent="0.25">
      <c r="A2037">
        <v>1</v>
      </c>
      <c r="B2037" t="s">
        <v>18</v>
      </c>
      <c r="C2037">
        <v>2021</v>
      </c>
      <c r="D2037">
        <v>98.375</v>
      </c>
      <c r="E2037" t="s">
        <v>9</v>
      </c>
      <c r="F2037">
        <v>57.25</v>
      </c>
      <c r="G2037">
        <v>41.125</v>
      </c>
      <c r="H2037">
        <v>40000</v>
      </c>
      <c r="I2037" t="s">
        <v>23</v>
      </c>
    </row>
    <row r="2038" spans="1:9" hidden="1" x14ac:dyDescent="0.25">
      <c r="A2038">
        <v>2</v>
      </c>
      <c r="B2038" t="s">
        <v>18</v>
      </c>
      <c r="C2038">
        <v>2021</v>
      </c>
      <c r="D2038">
        <v>57.25</v>
      </c>
      <c r="E2038">
        <v>120</v>
      </c>
      <c r="F2038">
        <v>110.5</v>
      </c>
      <c r="G2038">
        <v>66.75</v>
      </c>
      <c r="H2038">
        <v>40000</v>
      </c>
      <c r="I2038" t="s">
        <v>23</v>
      </c>
    </row>
    <row r="2039" spans="1:9" hidden="1" x14ac:dyDescent="0.25">
      <c r="A2039">
        <v>3</v>
      </c>
      <c r="B2039" t="s">
        <v>18</v>
      </c>
      <c r="C2039">
        <v>2021</v>
      </c>
      <c r="D2039">
        <v>110.5</v>
      </c>
      <c r="E2039" t="s">
        <v>9</v>
      </c>
      <c r="F2039">
        <v>46.25</v>
      </c>
      <c r="G2039">
        <v>64.25</v>
      </c>
      <c r="H2039">
        <v>40000</v>
      </c>
      <c r="I2039" t="s">
        <v>23</v>
      </c>
    </row>
    <row r="2040" spans="1:9" hidden="1" x14ac:dyDescent="0.25">
      <c r="A2040">
        <v>4</v>
      </c>
      <c r="B2040" t="s">
        <v>18</v>
      </c>
      <c r="C2040">
        <v>2021</v>
      </c>
      <c r="D2040">
        <v>46.25</v>
      </c>
      <c r="E2040">
        <v>100</v>
      </c>
      <c r="F2040">
        <v>120.375</v>
      </c>
      <c r="G2040">
        <v>25.875</v>
      </c>
      <c r="H2040">
        <v>40000</v>
      </c>
      <c r="I2040" t="s">
        <v>23</v>
      </c>
    </row>
    <row r="2041" spans="1:9" hidden="1" x14ac:dyDescent="0.25">
      <c r="A2041">
        <v>5</v>
      </c>
      <c r="B2041" t="s">
        <v>18</v>
      </c>
      <c r="C2041">
        <v>2021</v>
      </c>
      <c r="D2041">
        <v>120.375</v>
      </c>
      <c r="E2041" t="s">
        <v>9</v>
      </c>
      <c r="F2041">
        <v>83.875</v>
      </c>
      <c r="G2041">
        <v>36.5</v>
      </c>
      <c r="H2041">
        <v>40000</v>
      </c>
      <c r="I2041" t="s">
        <v>23</v>
      </c>
    </row>
    <row r="2042" spans="1:9" hidden="1" x14ac:dyDescent="0.25">
      <c r="A2042">
        <v>6</v>
      </c>
      <c r="B2042" t="s">
        <v>18</v>
      </c>
      <c r="C2042">
        <v>2021</v>
      </c>
      <c r="D2042">
        <v>83.875</v>
      </c>
      <c r="E2042" t="s">
        <v>9</v>
      </c>
      <c r="F2042">
        <v>51.75</v>
      </c>
      <c r="G2042">
        <v>32.125</v>
      </c>
      <c r="H2042">
        <v>40000</v>
      </c>
      <c r="I2042" t="s">
        <v>23</v>
      </c>
    </row>
    <row r="2043" spans="1:9" hidden="1" x14ac:dyDescent="0.25">
      <c r="A2043">
        <v>7</v>
      </c>
      <c r="B2043" t="s">
        <v>18</v>
      </c>
      <c r="C2043">
        <v>2021</v>
      </c>
      <c r="D2043">
        <v>51.75</v>
      </c>
      <c r="E2043">
        <v>120</v>
      </c>
      <c r="F2043">
        <v>131.5</v>
      </c>
      <c r="G2043">
        <v>40.25</v>
      </c>
      <c r="H2043">
        <v>40000</v>
      </c>
      <c r="I2043" t="s">
        <v>23</v>
      </c>
    </row>
    <row r="2044" spans="1:9" hidden="1" x14ac:dyDescent="0.25">
      <c r="A2044">
        <v>8</v>
      </c>
      <c r="B2044" t="s">
        <v>18</v>
      </c>
      <c r="C2044">
        <v>2021</v>
      </c>
      <c r="D2044">
        <v>131.5</v>
      </c>
      <c r="E2044" t="s">
        <v>9</v>
      </c>
      <c r="F2044">
        <v>82.5</v>
      </c>
      <c r="G2044">
        <v>49</v>
      </c>
      <c r="H2044">
        <v>40000</v>
      </c>
      <c r="I2044" t="s">
        <v>23</v>
      </c>
    </row>
    <row r="2045" spans="1:9" hidden="1" x14ac:dyDescent="0.25">
      <c r="A2045">
        <v>9</v>
      </c>
      <c r="B2045" t="s">
        <v>18</v>
      </c>
      <c r="C2045">
        <v>2021</v>
      </c>
      <c r="D2045">
        <v>82.5</v>
      </c>
      <c r="E2045">
        <v>80</v>
      </c>
      <c r="F2045">
        <v>106.5</v>
      </c>
      <c r="G2045">
        <v>56</v>
      </c>
      <c r="H2045">
        <v>40000</v>
      </c>
      <c r="I2045" t="s">
        <v>23</v>
      </c>
    </row>
    <row r="2046" spans="1:9" hidden="1" x14ac:dyDescent="0.25">
      <c r="A2046">
        <v>10</v>
      </c>
      <c r="B2046" t="s">
        <v>18</v>
      </c>
      <c r="C2046">
        <v>2021</v>
      </c>
      <c r="D2046">
        <v>106.5</v>
      </c>
      <c r="E2046" t="s">
        <v>9</v>
      </c>
      <c r="F2046">
        <v>56.25</v>
      </c>
      <c r="G2046">
        <v>50.25</v>
      </c>
      <c r="H2046">
        <v>40000</v>
      </c>
      <c r="I2046" t="s">
        <v>23</v>
      </c>
    </row>
    <row r="2047" spans="1:9" hidden="1" x14ac:dyDescent="0.25">
      <c r="A2047">
        <v>11</v>
      </c>
      <c r="B2047" t="s">
        <v>18</v>
      </c>
      <c r="C2047">
        <v>2021</v>
      </c>
      <c r="D2047">
        <v>56.25</v>
      </c>
      <c r="E2047">
        <v>70</v>
      </c>
      <c r="F2047">
        <v>93.25</v>
      </c>
      <c r="G2047">
        <v>33</v>
      </c>
      <c r="H2047">
        <v>40000</v>
      </c>
      <c r="I2047" t="s">
        <v>23</v>
      </c>
    </row>
    <row r="2048" spans="1:9" hidden="1" x14ac:dyDescent="0.25">
      <c r="A2048">
        <v>12</v>
      </c>
      <c r="B2048" t="s">
        <v>18</v>
      </c>
      <c r="C2048">
        <v>2021</v>
      </c>
      <c r="D2048">
        <v>93.25</v>
      </c>
      <c r="E2048" t="s">
        <v>9</v>
      </c>
      <c r="F2048">
        <v>51.75</v>
      </c>
      <c r="G2048">
        <v>41.5</v>
      </c>
      <c r="H2048">
        <v>40000</v>
      </c>
      <c r="I2048" t="s">
        <v>23</v>
      </c>
    </row>
    <row r="2049" spans="1:9" hidden="1" x14ac:dyDescent="0.25">
      <c r="A2049">
        <v>13</v>
      </c>
      <c r="B2049" t="s">
        <v>18</v>
      </c>
      <c r="C2049">
        <v>2021</v>
      </c>
      <c r="D2049">
        <v>51.75</v>
      </c>
      <c r="E2049" t="s">
        <v>9</v>
      </c>
      <c r="F2049">
        <v>15.75</v>
      </c>
      <c r="G2049">
        <v>36</v>
      </c>
      <c r="H2049">
        <v>48000</v>
      </c>
      <c r="I2049" t="s">
        <v>23</v>
      </c>
    </row>
    <row r="2050" spans="1:9" hidden="1" x14ac:dyDescent="0.25">
      <c r="A2050">
        <v>14</v>
      </c>
      <c r="B2050" t="s">
        <v>18</v>
      </c>
      <c r="C2050">
        <v>2021</v>
      </c>
      <c r="D2050">
        <v>15.75</v>
      </c>
      <c r="E2050">
        <v>140</v>
      </c>
      <c r="F2050">
        <v>110.25</v>
      </c>
      <c r="G2050">
        <v>45.5</v>
      </c>
      <c r="H2050">
        <v>48000</v>
      </c>
      <c r="I2050" t="s">
        <v>23</v>
      </c>
    </row>
    <row r="2051" spans="1:9" hidden="1" x14ac:dyDescent="0.25">
      <c r="A2051">
        <v>15</v>
      </c>
      <c r="B2051" t="s">
        <v>18</v>
      </c>
      <c r="C2051">
        <v>2021</v>
      </c>
      <c r="D2051">
        <v>110.25</v>
      </c>
      <c r="E2051" t="s">
        <v>9</v>
      </c>
      <c r="F2051">
        <v>53</v>
      </c>
      <c r="G2051">
        <v>57.25</v>
      </c>
      <c r="H2051">
        <v>48000</v>
      </c>
      <c r="I2051" t="s">
        <v>23</v>
      </c>
    </row>
    <row r="2052" spans="1:9" hidden="1" x14ac:dyDescent="0.25">
      <c r="A2052">
        <v>16</v>
      </c>
      <c r="B2052" t="s">
        <v>18</v>
      </c>
      <c r="C2052">
        <v>2021</v>
      </c>
      <c r="D2052">
        <v>53</v>
      </c>
      <c r="E2052">
        <v>90</v>
      </c>
      <c r="F2052">
        <v>85.5</v>
      </c>
      <c r="G2052">
        <v>57.5</v>
      </c>
      <c r="H2052">
        <v>48000</v>
      </c>
      <c r="I2052" t="s">
        <v>23</v>
      </c>
    </row>
    <row r="2053" spans="1:9" hidden="1" x14ac:dyDescent="0.25">
      <c r="A2053">
        <v>17</v>
      </c>
      <c r="B2053" t="s">
        <v>18</v>
      </c>
      <c r="C2053">
        <v>2021</v>
      </c>
      <c r="D2053">
        <v>85.5</v>
      </c>
      <c r="E2053" t="s">
        <v>9</v>
      </c>
      <c r="F2053">
        <v>21.125</v>
      </c>
      <c r="G2053">
        <v>64.375</v>
      </c>
      <c r="H2053">
        <v>48000</v>
      </c>
      <c r="I2053" t="s">
        <v>23</v>
      </c>
    </row>
    <row r="2054" spans="1:9" hidden="1" x14ac:dyDescent="0.25">
      <c r="A2054">
        <v>18</v>
      </c>
      <c r="B2054" t="s">
        <v>18</v>
      </c>
      <c r="C2054">
        <v>2021</v>
      </c>
      <c r="D2054">
        <v>21.125</v>
      </c>
      <c r="E2054">
        <v>150</v>
      </c>
      <c r="F2054">
        <v>127.625</v>
      </c>
      <c r="G2054">
        <v>43.5</v>
      </c>
      <c r="H2054">
        <v>48000</v>
      </c>
      <c r="I2054" t="s">
        <v>23</v>
      </c>
    </row>
    <row r="2055" spans="1:9" hidden="1" x14ac:dyDescent="0.25">
      <c r="A2055">
        <v>19</v>
      </c>
      <c r="B2055" t="s">
        <v>18</v>
      </c>
      <c r="C2055">
        <v>2021</v>
      </c>
      <c r="D2055">
        <v>127.625</v>
      </c>
      <c r="E2055" t="s">
        <v>9</v>
      </c>
      <c r="F2055">
        <v>96</v>
      </c>
      <c r="G2055">
        <v>31.625</v>
      </c>
      <c r="H2055">
        <v>48000</v>
      </c>
      <c r="I2055" t="s">
        <v>23</v>
      </c>
    </row>
    <row r="2056" spans="1:9" hidden="1" x14ac:dyDescent="0.25">
      <c r="A2056">
        <v>20</v>
      </c>
      <c r="B2056" t="s">
        <v>18</v>
      </c>
      <c r="C2056">
        <v>2021</v>
      </c>
      <c r="D2056">
        <v>96</v>
      </c>
      <c r="E2056" t="s">
        <v>9</v>
      </c>
      <c r="F2056">
        <v>69.25</v>
      </c>
      <c r="G2056">
        <v>26.75</v>
      </c>
      <c r="H2056">
        <v>48000</v>
      </c>
      <c r="I2056" t="s">
        <v>23</v>
      </c>
    </row>
    <row r="2057" spans="1:9" hidden="1" x14ac:dyDescent="0.25">
      <c r="A2057">
        <v>21</v>
      </c>
      <c r="B2057" t="s">
        <v>18</v>
      </c>
      <c r="C2057">
        <v>2021</v>
      </c>
      <c r="D2057">
        <v>69.25</v>
      </c>
      <c r="E2057">
        <v>130</v>
      </c>
      <c r="F2057">
        <v>162.625</v>
      </c>
      <c r="G2057">
        <v>36.625</v>
      </c>
      <c r="H2057">
        <v>48000</v>
      </c>
      <c r="I2057" t="s">
        <v>23</v>
      </c>
    </row>
    <row r="2058" spans="1:9" hidden="1" x14ac:dyDescent="0.25">
      <c r="A2058">
        <v>22</v>
      </c>
      <c r="B2058" t="s">
        <v>18</v>
      </c>
      <c r="C2058">
        <v>2021</v>
      </c>
      <c r="D2058">
        <v>162.625</v>
      </c>
      <c r="E2058" t="s">
        <v>9</v>
      </c>
      <c r="F2058">
        <v>110</v>
      </c>
      <c r="G2058">
        <v>52.625</v>
      </c>
      <c r="H2058">
        <v>48000</v>
      </c>
      <c r="I2058" t="s">
        <v>23</v>
      </c>
    </row>
    <row r="2059" spans="1:9" hidden="1" x14ac:dyDescent="0.25">
      <c r="A2059">
        <v>23</v>
      </c>
      <c r="B2059" t="s">
        <v>18</v>
      </c>
      <c r="C2059">
        <v>2021</v>
      </c>
      <c r="D2059">
        <v>110</v>
      </c>
      <c r="E2059" t="s">
        <v>9</v>
      </c>
      <c r="F2059">
        <v>58.5</v>
      </c>
      <c r="G2059">
        <v>51.5</v>
      </c>
      <c r="H2059">
        <v>48000</v>
      </c>
      <c r="I2059" t="s">
        <v>23</v>
      </c>
    </row>
    <row r="2060" spans="1:9" hidden="1" x14ac:dyDescent="0.25">
      <c r="A2060">
        <v>24</v>
      </c>
      <c r="B2060" t="s">
        <v>18</v>
      </c>
      <c r="C2060">
        <v>2021</v>
      </c>
      <c r="D2060">
        <v>58.5</v>
      </c>
      <c r="E2060">
        <v>140</v>
      </c>
      <c r="F2060">
        <v>146.25</v>
      </c>
      <c r="G2060">
        <v>52.25</v>
      </c>
      <c r="H2060">
        <v>48000</v>
      </c>
      <c r="I2060" t="s">
        <v>23</v>
      </c>
    </row>
    <row r="2061" spans="1:9" hidden="1" x14ac:dyDescent="0.25">
      <c r="A2061">
        <v>25</v>
      </c>
      <c r="B2061" t="s">
        <v>18</v>
      </c>
      <c r="C2061">
        <v>2021</v>
      </c>
      <c r="D2061">
        <v>146.25</v>
      </c>
      <c r="E2061" t="s">
        <v>9</v>
      </c>
      <c r="F2061">
        <v>117.75</v>
      </c>
      <c r="G2061">
        <v>28.5</v>
      </c>
      <c r="H2061">
        <v>48000</v>
      </c>
      <c r="I2061" t="s">
        <v>23</v>
      </c>
    </row>
    <row r="2062" spans="1:9" hidden="1" x14ac:dyDescent="0.25">
      <c r="A2062">
        <v>26</v>
      </c>
      <c r="B2062" t="s">
        <v>18</v>
      </c>
      <c r="C2062">
        <v>2021</v>
      </c>
      <c r="D2062">
        <v>117.75</v>
      </c>
      <c r="E2062">
        <v>70</v>
      </c>
      <c r="F2062">
        <v>164.875</v>
      </c>
      <c r="G2062">
        <v>22.875</v>
      </c>
      <c r="H2062">
        <v>48000</v>
      </c>
      <c r="I2062" t="s">
        <v>23</v>
      </c>
    </row>
    <row r="2063" spans="1:9" hidden="1" x14ac:dyDescent="0.25">
      <c r="A2063">
        <v>27</v>
      </c>
      <c r="B2063" t="s">
        <v>18</v>
      </c>
      <c r="C2063">
        <v>2021</v>
      </c>
      <c r="D2063">
        <v>164.875</v>
      </c>
      <c r="E2063" t="s">
        <v>9</v>
      </c>
      <c r="F2063">
        <v>134.25</v>
      </c>
      <c r="G2063">
        <v>30.625</v>
      </c>
      <c r="H2063">
        <v>48000</v>
      </c>
      <c r="I2063" t="s">
        <v>23</v>
      </c>
    </row>
    <row r="2064" spans="1:9" hidden="1" x14ac:dyDescent="0.25">
      <c r="A2064">
        <v>28</v>
      </c>
      <c r="B2064" t="s">
        <v>18</v>
      </c>
      <c r="C2064">
        <v>2021</v>
      </c>
      <c r="D2064">
        <v>134.25</v>
      </c>
      <c r="E2064">
        <v>120</v>
      </c>
      <c r="F2064">
        <v>206.5</v>
      </c>
      <c r="G2064">
        <v>47.75</v>
      </c>
      <c r="H2064">
        <v>48000</v>
      </c>
      <c r="I2064" t="s">
        <v>23</v>
      </c>
    </row>
    <row r="2065" spans="1:9" hidden="1" x14ac:dyDescent="0.25">
      <c r="A2065">
        <v>29</v>
      </c>
      <c r="B2065" t="s">
        <v>18</v>
      </c>
      <c r="C2065">
        <v>2021</v>
      </c>
      <c r="D2065">
        <v>206.5</v>
      </c>
      <c r="E2065" t="s">
        <v>9</v>
      </c>
      <c r="F2065">
        <v>155</v>
      </c>
      <c r="G2065">
        <v>51.5</v>
      </c>
      <c r="H2065">
        <v>48000</v>
      </c>
      <c r="I2065" t="s">
        <v>23</v>
      </c>
    </row>
    <row r="2066" spans="1:9" hidden="1" x14ac:dyDescent="0.25">
      <c r="A2066">
        <v>30</v>
      </c>
      <c r="B2066" t="s">
        <v>18</v>
      </c>
      <c r="C2066">
        <v>2021</v>
      </c>
      <c r="D2066">
        <v>155</v>
      </c>
      <c r="E2066">
        <v>150</v>
      </c>
      <c r="F2066">
        <v>251.625</v>
      </c>
      <c r="G2066">
        <v>53.375</v>
      </c>
      <c r="H2066">
        <v>48000</v>
      </c>
      <c r="I2066" t="s">
        <v>23</v>
      </c>
    </row>
    <row r="2067" spans="1:9" hidden="1" x14ac:dyDescent="0.25">
      <c r="A2067">
        <v>31</v>
      </c>
      <c r="B2067" t="s">
        <v>18</v>
      </c>
      <c r="C2067">
        <v>2021</v>
      </c>
      <c r="D2067">
        <v>251.625</v>
      </c>
      <c r="E2067" t="s">
        <v>9</v>
      </c>
      <c r="F2067">
        <v>123</v>
      </c>
      <c r="G2067">
        <v>128.625</v>
      </c>
      <c r="H2067">
        <v>48000</v>
      </c>
      <c r="I2067" t="s">
        <v>23</v>
      </c>
    </row>
    <row r="2068" spans="1:9" hidden="1" x14ac:dyDescent="0.25">
      <c r="A2068">
        <v>1</v>
      </c>
      <c r="B2068" t="s">
        <v>18</v>
      </c>
      <c r="C2068">
        <v>2021</v>
      </c>
      <c r="D2068">
        <v>83.375</v>
      </c>
      <c r="E2068" t="s">
        <v>9</v>
      </c>
      <c r="F2068">
        <v>65</v>
      </c>
      <c r="G2068">
        <v>18.375</v>
      </c>
      <c r="H2068">
        <v>40000</v>
      </c>
      <c r="I2068" t="s">
        <v>25</v>
      </c>
    </row>
    <row r="2069" spans="1:9" hidden="1" x14ac:dyDescent="0.25">
      <c r="A2069">
        <v>2</v>
      </c>
      <c r="B2069" t="s">
        <v>18</v>
      </c>
      <c r="C2069">
        <v>2021</v>
      </c>
      <c r="D2069">
        <v>65</v>
      </c>
      <c r="E2069" t="s">
        <v>9</v>
      </c>
      <c r="F2069">
        <v>40</v>
      </c>
      <c r="G2069">
        <v>25</v>
      </c>
      <c r="H2069">
        <v>40000</v>
      </c>
      <c r="I2069" t="s">
        <v>25</v>
      </c>
    </row>
    <row r="2070" spans="1:9" hidden="1" x14ac:dyDescent="0.25">
      <c r="A2070">
        <v>3</v>
      </c>
      <c r="B2070" t="s">
        <v>18</v>
      </c>
      <c r="C2070">
        <v>2021</v>
      </c>
      <c r="D2070">
        <v>40</v>
      </c>
      <c r="E2070" t="s">
        <v>9</v>
      </c>
      <c r="F2070">
        <v>13.75</v>
      </c>
      <c r="G2070">
        <v>26.25</v>
      </c>
      <c r="H2070">
        <v>40000</v>
      </c>
      <c r="I2070" t="s">
        <v>25</v>
      </c>
    </row>
    <row r="2071" spans="1:9" hidden="1" x14ac:dyDescent="0.25">
      <c r="A2071">
        <v>4</v>
      </c>
      <c r="B2071" t="s">
        <v>18</v>
      </c>
      <c r="C2071">
        <v>2021</v>
      </c>
      <c r="D2071">
        <v>13.75</v>
      </c>
      <c r="E2071">
        <v>50</v>
      </c>
      <c r="F2071">
        <v>54</v>
      </c>
      <c r="G2071">
        <v>9.75</v>
      </c>
      <c r="H2071">
        <v>40000</v>
      </c>
      <c r="I2071" t="s">
        <v>25</v>
      </c>
    </row>
    <row r="2072" spans="1:9" hidden="1" x14ac:dyDescent="0.25">
      <c r="A2072">
        <v>5</v>
      </c>
      <c r="B2072" t="s">
        <v>18</v>
      </c>
      <c r="C2072">
        <v>2021</v>
      </c>
      <c r="D2072">
        <v>54</v>
      </c>
      <c r="E2072" t="s">
        <v>9</v>
      </c>
      <c r="F2072">
        <v>44</v>
      </c>
      <c r="G2072">
        <v>10</v>
      </c>
      <c r="H2072">
        <v>40000</v>
      </c>
      <c r="I2072" t="s">
        <v>25</v>
      </c>
    </row>
    <row r="2073" spans="1:9" hidden="1" x14ac:dyDescent="0.25">
      <c r="A2073">
        <v>6</v>
      </c>
      <c r="B2073" t="s">
        <v>18</v>
      </c>
      <c r="C2073">
        <v>2021</v>
      </c>
      <c r="D2073">
        <v>44</v>
      </c>
      <c r="E2073" t="s">
        <v>9</v>
      </c>
      <c r="F2073">
        <v>33</v>
      </c>
      <c r="G2073">
        <v>11</v>
      </c>
      <c r="H2073">
        <v>40000</v>
      </c>
      <c r="I2073" t="s">
        <v>25</v>
      </c>
    </row>
    <row r="2074" spans="1:9" hidden="1" x14ac:dyDescent="0.25">
      <c r="A2074">
        <v>7</v>
      </c>
      <c r="B2074" t="s">
        <v>18</v>
      </c>
      <c r="C2074">
        <v>2021</v>
      </c>
      <c r="D2074">
        <v>33</v>
      </c>
      <c r="E2074">
        <v>34</v>
      </c>
      <c r="F2074">
        <v>59</v>
      </c>
      <c r="G2074">
        <v>8</v>
      </c>
      <c r="H2074">
        <v>40000</v>
      </c>
      <c r="I2074" t="s">
        <v>25</v>
      </c>
    </row>
    <row r="2075" spans="1:9" hidden="1" x14ac:dyDescent="0.25">
      <c r="A2075">
        <v>8</v>
      </c>
      <c r="B2075" t="s">
        <v>18</v>
      </c>
      <c r="C2075">
        <v>2021</v>
      </c>
      <c r="D2075">
        <v>59</v>
      </c>
      <c r="E2075" t="s">
        <v>9</v>
      </c>
      <c r="F2075">
        <v>46.875</v>
      </c>
      <c r="G2075">
        <v>12.125</v>
      </c>
      <c r="H2075">
        <v>40000</v>
      </c>
      <c r="I2075" t="s">
        <v>25</v>
      </c>
    </row>
    <row r="2076" spans="1:9" hidden="1" x14ac:dyDescent="0.25">
      <c r="A2076">
        <v>9</v>
      </c>
      <c r="B2076" t="s">
        <v>18</v>
      </c>
      <c r="C2076">
        <v>2021</v>
      </c>
      <c r="D2076">
        <v>46.875</v>
      </c>
      <c r="E2076" t="s">
        <v>9</v>
      </c>
      <c r="F2076">
        <v>20.5</v>
      </c>
      <c r="G2076">
        <v>26.375</v>
      </c>
      <c r="H2076">
        <v>40000</v>
      </c>
      <c r="I2076" t="s">
        <v>25</v>
      </c>
    </row>
    <row r="2077" spans="1:9" hidden="1" x14ac:dyDescent="0.25">
      <c r="A2077">
        <v>10</v>
      </c>
      <c r="B2077" t="s">
        <v>18</v>
      </c>
      <c r="C2077">
        <v>2021</v>
      </c>
      <c r="D2077">
        <v>20.5</v>
      </c>
      <c r="E2077">
        <v>30</v>
      </c>
      <c r="F2077">
        <v>25</v>
      </c>
      <c r="G2077">
        <v>25.5</v>
      </c>
      <c r="H2077">
        <v>40000</v>
      </c>
      <c r="I2077" t="s">
        <v>25</v>
      </c>
    </row>
    <row r="2078" spans="1:9" hidden="1" x14ac:dyDescent="0.25">
      <c r="A2078">
        <v>11</v>
      </c>
      <c r="B2078" t="s">
        <v>18</v>
      </c>
      <c r="C2078">
        <v>2021</v>
      </c>
      <c r="D2078">
        <v>25</v>
      </c>
      <c r="E2078" t="s">
        <v>9</v>
      </c>
      <c r="F2078">
        <v>8.75</v>
      </c>
      <c r="G2078">
        <v>16.25</v>
      </c>
      <c r="H2078">
        <v>40000</v>
      </c>
      <c r="I2078" t="s">
        <v>25</v>
      </c>
    </row>
    <row r="2079" spans="1:9" hidden="1" x14ac:dyDescent="0.25">
      <c r="A2079">
        <v>12</v>
      </c>
      <c r="B2079" t="s">
        <v>18</v>
      </c>
      <c r="C2079">
        <v>2021</v>
      </c>
      <c r="D2079">
        <v>8.75</v>
      </c>
      <c r="E2079">
        <v>46</v>
      </c>
      <c r="F2079">
        <v>45.875</v>
      </c>
      <c r="G2079">
        <v>8.875</v>
      </c>
      <c r="H2079">
        <v>40000</v>
      </c>
      <c r="I2079" t="s">
        <v>25</v>
      </c>
    </row>
    <row r="2080" spans="1:9" hidden="1" x14ac:dyDescent="0.25">
      <c r="A2080">
        <v>13</v>
      </c>
      <c r="B2080" t="s">
        <v>18</v>
      </c>
      <c r="C2080">
        <v>2021</v>
      </c>
      <c r="D2080">
        <v>45.875</v>
      </c>
      <c r="E2080" t="s">
        <v>9</v>
      </c>
      <c r="F2080">
        <v>35.75</v>
      </c>
      <c r="G2080">
        <v>10.125</v>
      </c>
      <c r="H2080">
        <v>48000</v>
      </c>
      <c r="I2080" t="s">
        <v>25</v>
      </c>
    </row>
    <row r="2081" spans="1:9" hidden="1" x14ac:dyDescent="0.25">
      <c r="A2081">
        <v>14</v>
      </c>
      <c r="B2081" t="s">
        <v>18</v>
      </c>
      <c r="C2081">
        <v>2021</v>
      </c>
      <c r="D2081">
        <v>35.75</v>
      </c>
      <c r="E2081">
        <v>60</v>
      </c>
      <c r="F2081">
        <v>87.5</v>
      </c>
      <c r="G2081">
        <v>8.25</v>
      </c>
      <c r="H2081">
        <v>48000</v>
      </c>
      <c r="I2081" t="s">
        <v>25</v>
      </c>
    </row>
    <row r="2082" spans="1:9" hidden="1" x14ac:dyDescent="0.25">
      <c r="A2082">
        <v>15</v>
      </c>
      <c r="B2082" t="s">
        <v>18</v>
      </c>
      <c r="C2082">
        <v>2021</v>
      </c>
      <c r="D2082">
        <v>87.5</v>
      </c>
      <c r="E2082" t="s">
        <v>9</v>
      </c>
      <c r="F2082">
        <v>73.75</v>
      </c>
      <c r="G2082">
        <v>13.75</v>
      </c>
      <c r="H2082">
        <v>48000</v>
      </c>
      <c r="I2082" t="s">
        <v>25</v>
      </c>
    </row>
    <row r="2083" spans="1:9" hidden="1" x14ac:dyDescent="0.25">
      <c r="A2083">
        <v>16</v>
      </c>
      <c r="B2083" t="s">
        <v>18</v>
      </c>
      <c r="C2083">
        <v>2021</v>
      </c>
      <c r="D2083">
        <v>73.75</v>
      </c>
      <c r="E2083" t="s">
        <v>9</v>
      </c>
      <c r="F2083">
        <v>48.5</v>
      </c>
      <c r="G2083">
        <v>25.25</v>
      </c>
      <c r="H2083">
        <v>48000</v>
      </c>
      <c r="I2083" t="s">
        <v>25</v>
      </c>
    </row>
    <row r="2084" spans="1:9" hidden="1" x14ac:dyDescent="0.25">
      <c r="A2084">
        <v>17</v>
      </c>
      <c r="B2084" t="s">
        <v>18</v>
      </c>
      <c r="C2084">
        <v>2021</v>
      </c>
      <c r="D2084">
        <v>48.5</v>
      </c>
      <c r="E2084" t="s">
        <v>9</v>
      </c>
      <c r="F2084">
        <v>21</v>
      </c>
      <c r="G2084">
        <v>27.5</v>
      </c>
      <c r="H2084">
        <v>48000</v>
      </c>
      <c r="I2084" t="s">
        <v>25</v>
      </c>
    </row>
    <row r="2085" spans="1:9" hidden="1" x14ac:dyDescent="0.25">
      <c r="A2085">
        <v>18</v>
      </c>
      <c r="B2085" t="s">
        <v>18</v>
      </c>
      <c r="C2085">
        <v>2021</v>
      </c>
      <c r="D2085">
        <v>21</v>
      </c>
      <c r="E2085">
        <v>50</v>
      </c>
      <c r="F2085">
        <v>49.625</v>
      </c>
      <c r="G2085">
        <v>21.375</v>
      </c>
      <c r="H2085">
        <v>48000</v>
      </c>
      <c r="I2085" t="s">
        <v>25</v>
      </c>
    </row>
    <row r="2086" spans="1:9" hidden="1" x14ac:dyDescent="0.25">
      <c r="A2086">
        <v>19</v>
      </c>
      <c r="B2086" t="s">
        <v>18</v>
      </c>
      <c r="C2086">
        <v>2021</v>
      </c>
      <c r="D2086">
        <v>49.625</v>
      </c>
      <c r="E2086" t="s">
        <v>9</v>
      </c>
      <c r="F2086">
        <v>41.5</v>
      </c>
      <c r="G2086">
        <v>8.125</v>
      </c>
      <c r="H2086">
        <v>48000</v>
      </c>
      <c r="I2086" t="s">
        <v>25</v>
      </c>
    </row>
    <row r="2087" spans="1:9" hidden="1" x14ac:dyDescent="0.25">
      <c r="A2087">
        <v>20</v>
      </c>
      <c r="B2087" t="s">
        <v>18</v>
      </c>
      <c r="C2087">
        <v>2021</v>
      </c>
      <c r="D2087">
        <v>41.5</v>
      </c>
      <c r="E2087" t="s">
        <v>9</v>
      </c>
      <c r="F2087">
        <v>30.5</v>
      </c>
      <c r="G2087">
        <v>11</v>
      </c>
      <c r="H2087">
        <v>48000</v>
      </c>
      <c r="I2087" t="s">
        <v>25</v>
      </c>
    </row>
    <row r="2088" spans="1:9" hidden="1" x14ac:dyDescent="0.25">
      <c r="A2088">
        <v>21</v>
      </c>
      <c r="B2088" t="s">
        <v>18</v>
      </c>
      <c r="C2088">
        <v>2021</v>
      </c>
      <c r="D2088">
        <v>30.5</v>
      </c>
      <c r="E2088" t="s">
        <v>9</v>
      </c>
      <c r="F2088">
        <v>17</v>
      </c>
      <c r="G2088">
        <v>13.5</v>
      </c>
      <c r="H2088">
        <v>48000</v>
      </c>
      <c r="I2088" t="s">
        <v>25</v>
      </c>
    </row>
    <row r="2089" spans="1:9" hidden="1" x14ac:dyDescent="0.25">
      <c r="A2089">
        <v>22</v>
      </c>
      <c r="B2089" t="s">
        <v>18</v>
      </c>
      <c r="C2089">
        <v>2021</v>
      </c>
      <c r="D2089">
        <v>17</v>
      </c>
      <c r="E2089">
        <v>50</v>
      </c>
      <c r="F2089">
        <v>54.5</v>
      </c>
      <c r="G2089">
        <v>12.5</v>
      </c>
      <c r="H2089">
        <v>48000</v>
      </c>
      <c r="I2089" t="s">
        <v>25</v>
      </c>
    </row>
    <row r="2090" spans="1:9" hidden="1" x14ac:dyDescent="0.25">
      <c r="A2090">
        <v>23</v>
      </c>
      <c r="B2090" t="s">
        <v>18</v>
      </c>
      <c r="C2090">
        <v>2021</v>
      </c>
      <c r="D2090">
        <v>54.5</v>
      </c>
      <c r="E2090" t="s">
        <v>9</v>
      </c>
      <c r="F2090">
        <v>27</v>
      </c>
      <c r="G2090">
        <v>27.5</v>
      </c>
      <c r="H2090">
        <v>48000</v>
      </c>
      <c r="I2090" t="s">
        <v>25</v>
      </c>
    </row>
    <row r="2091" spans="1:9" hidden="1" x14ac:dyDescent="0.25">
      <c r="A2091">
        <v>24</v>
      </c>
      <c r="B2091" t="s">
        <v>18</v>
      </c>
      <c r="C2091">
        <v>2021</v>
      </c>
      <c r="D2091">
        <v>27</v>
      </c>
      <c r="E2091">
        <v>5</v>
      </c>
      <c r="F2091">
        <v>1.5</v>
      </c>
      <c r="G2091">
        <v>30.5</v>
      </c>
      <c r="H2091">
        <v>48000</v>
      </c>
      <c r="I2091" t="s">
        <v>25</v>
      </c>
    </row>
    <row r="2092" spans="1:9" hidden="1" x14ac:dyDescent="0.25">
      <c r="A2092">
        <v>25</v>
      </c>
      <c r="B2092" t="s">
        <v>18</v>
      </c>
      <c r="C2092">
        <v>2021</v>
      </c>
      <c r="D2092">
        <v>1.5</v>
      </c>
      <c r="E2092">
        <v>35</v>
      </c>
      <c r="F2092">
        <v>29</v>
      </c>
      <c r="G2092">
        <v>7.5</v>
      </c>
      <c r="H2092">
        <v>48000</v>
      </c>
      <c r="I2092" t="s">
        <v>25</v>
      </c>
    </row>
    <row r="2093" spans="1:9" hidden="1" x14ac:dyDescent="0.25">
      <c r="A2093">
        <v>26</v>
      </c>
      <c r="B2093" t="s">
        <v>18</v>
      </c>
      <c r="C2093">
        <v>2021</v>
      </c>
      <c r="D2093">
        <v>29</v>
      </c>
      <c r="E2093" t="s">
        <v>9</v>
      </c>
      <c r="F2093">
        <v>17</v>
      </c>
      <c r="G2093">
        <v>12</v>
      </c>
      <c r="H2093">
        <v>48000</v>
      </c>
      <c r="I2093" t="s">
        <v>25</v>
      </c>
    </row>
    <row r="2094" spans="1:9" hidden="1" x14ac:dyDescent="0.25">
      <c r="A2094">
        <v>27</v>
      </c>
      <c r="B2094" t="s">
        <v>18</v>
      </c>
      <c r="C2094">
        <v>2021</v>
      </c>
      <c r="D2094">
        <v>17</v>
      </c>
      <c r="E2094" t="s">
        <v>9</v>
      </c>
      <c r="F2094">
        <v>6.75</v>
      </c>
      <c r="G2094">
        <v>10.25</v>
      </c>
      <c r="H2094">
        <v>48000</v>
      </c>
      <c r="I2094" t="s">
        <v>25</v>
      </c>
    </row>
    <row r="2095" spans="1:9" hidden="1" x14ac:dyDescent="0.25">
      <c r="A2095">
        <v>28</v>
      </c>
      <c r="B2095" t="s">
        <v>18</v>
      </c>
      <c r="C2095">
        <v>2021</v>
      </c>
      <c r="D2095">
        <v>6.75</v>
      </c>
      <c r="E2095">
        <v>75</v>
      </c>
      <c r="F2095">
        <v>67.75</v>
      </c>
      <c r="G2095">
        <v>14</v>
      </c>
      <c r="H2095">
        <v>48000</v>
      </c>
      <c r="I2095" t="s">
        <v>25</v>
      </c>
    </row>
    <row r="2096" spans="1:9" hidden="1" x14ac:dyDescent="0.25">
      <c r="A2096">
        <v>29</v>
      </c>
      <c r="B2096" t="s">
        <v>18</v>
      </c>
      <c r="C2096">
        <v>2021</v>
      </c>
      <c r="D2096">
        <v>67.75</v>
      </c>
      <c r="E2096">
        <v>20</v>
      </c>
      <c r="F2096">
        <v>54.5</v>
      </c>
      <c r="G2096">
        <v>33.25</v>
      </c>
      <c r="H2096">
        <v>48000</v>
      </c>
      <c r="I2096" t="s">
        <v>25</v>
      </c>
    </row>
    <row r="2097" spans="1:9" hidden="1" x14ac:dyDescent="0.25">
      <c r="A2097">
        <v>30</v>
      </c>
      <c r="B2097" t="s">
        <v>18</v>
      </c>
      <c r="C2097">
        <v>2021</v>
      </c>
      <c r="D2097">
        <v>54.5</v>
      </c>
      <c r="E2097">
        <v>30</v>
      </c>
      <c r="F2097">
        <v>71</v>
      </c>
      <c r="G2097">
        <v>13.5</v>
      </c>
      <c r="H2097">
        <v>48000</v>
      </c>
      <c r="I2097" t="s">
        <v>25</v>
      </c>
    </row>
    <row r="2098" spans="1:9" hidden="1" x14ac:dyDescent="0.25">
      <c r="A2098">
        <v>31</v>
      </c>
      <c r="B2098" t="s">
        <v>18</v>
      </c>
      <c r="C2098">
        <v>2021</v>
      </c>
      <c r="D2098">
        <v>71</v>
      </c>
      <c r="E2098" t="s">
        <v>9</v>
      </c>
      <c r="F2098">
        <v>26</v>
      </c>
      <c r="G2098">
        <v>45</v>
      </c>
      <c r="H2098">
        <v>48000</v>
      </c>
      <c r="I2098" t="s">
        <v>25</v>
      </c>
    </row>
    <row r="2099" spans="1:9" x14ac:dyDescent="0.25">
      <c r="A2099">
        <v>1</v>
      </c>
      <c r="B2099" t="s">
        <v>19</v>
      </c>
      <c r="C2099">
        <v>2021</v>
      </c>
      <c r="D2099">
        <v>154.5</v>
      </c>
      <c r="E2099" t="s">
        <v>9</v>
      </c>
      <c r="F2099">
        <v>107.375</v>
      </c>
      <c r="G2099">
        <v>47.125</v>
      </c>
      <c r="H2099">
        <v>48000</v>
      </c>
      <c r="I2099" t="s">
        <v>22</v>
      </c>
    </row>
    <row r="2100" spans="1:9" x14ac:dyDescent="0.25">
      <c r="A2100">
        <v>2</v>
      </c>
      <c r="B2100" t="s">
        <v>19</v>
      </c>
      <c r="C2100">
        <v>2021</v>
      </c>
      <c r="D2100">
        <v>107.375</v>
      </c>
      <c r="E2100" t="s">
        <v>9</v>
      </c>
      <c r="F2100">
        <v>89.875</v>
      </c>
      <c r="G2100">
        <v>17.5</v>
      </c>
      <c r="H2100">
        <v>48000</v>
      </c>
      <c r="I2100" t="s">
        <v>22</v>
      </c>
    </row>
    <row r="2101" spans="1:9" x14ac:dyDescent="0.25">
      <c r="A2101">
        <v>3</v>
      </c>
      <c r="B2101" t="s">
        <v>19</v>
      </c>
      <c r="C2101">
        <v>2021</v>
      </c>
      <c r="D2101">
        <v>89.875</v>
      </c>
      <c r="E2101">
        <v>90</v>
      </c>
      <c r="F2101">
        <v>158</v>
      </c>
      <c r="G2101">
        <v>21.875</v>
      </c>
      <c r="H2101">
        <v>48000</v>
      </c>
      <c r="I2101" t="s">
        <v>22</v>
      </c>
    </row>
    <row r="2102" spans="1:9" x14ac:dyDescent="0.25">
      <c r="A2102">
        <v>4</v>
      </c>
      <c r="B2102" t="s">
        <v>19</v>
      </c>
      <c r="C2102">
        <v>2021</v>
      </c>
      <c r="D2102">
        <v>158</v>
      </c>
      <c r="E2102" t="s">
        <v>9</v>
      </c>
      <c r="F2102">
        <v>142</v>
      </c>
      <c r="G2102">
        <v>16</v>
      </c>
      <c r="H2102">
        <v>48000</v>
      </c>
      <c r="I2102" t="s">
        <v>22</v>
      </c>
    </row>
    <row r="2103" spans="1:9" x14ac:dyDescent="0.25">
      <c r="A2103">
        <v>5</v>
      </c>
      <c r="B2103" t="s">
        <v>19</v>
      </c>
      <c r="C2103">
        <v>2021</v>
      </c>
      <c r="D2103">
        <v>142</v>
      </c>
      <c r="E2103" t="s">
        <v>9</v>
      </c>
      <c r="F2103">
        <v>118.25</v>
      </c>
      <c r="G2103">
        <v>23.75</v>
      </c>
      <c r="H2103">
        <v>48000</v>
      </c>
      <c r="I2103" t="s">
        <v>22</v>
      </c>
    </row>
    <row r="2104" spans="1:9" x14ac:dyDescent="0.25">
      <c r="A2104">
        <v>6</v>
      </c>
      <c r="B2104" t="s">
        <v>19</v>
      </c>
      <c r="C2104">
        <v>2021</v>
      </c>
      <c r="D2104">
        <v>118.25</v>
      </c>
      <c r="E2104">
        <v>64</v>
      </c>
      <c r="F2104">
        <v>140.07499999999999</v>
      </c>
      <c r="G2104">
        <v>42.174999999999997</v>
      </c>
      <c r="H2104">
        <v>48000</v>
      </c>
      <c r="I2104" t="s">
        <v>22</v>
      </c>
    </row>
    <row r="2105" spans="1:9" x14ac:dyDescent="0.25">
      <c r="A2105">
        <v>7</v>
      </c>
      <c r="B2105" t="s">
        <v>19</v>
      </c>
      <c r="C2105">
        <v>2021</v>
      </c>
      <c r="D2105">
        <v>140.07499999999999</v>
      </c>
      <c r="E2105" t="s">
        <v>9</v>
      </c>
      <c r="F2105">
        <v>92.75</v>
      </c>
      <c r="G2105">
        <v>47.325000000000003</v>
      </c>
      <c r="H2105">
        <v>48000</v>
      </c>
      <c r="I2105" t="s">
        <v>22</v>
      </c>
    </row>
    <row r="2106" spans="1:9" x14ac:dyDescent="0.25">
      <c r="A2106">
        <v>8</v>
      </c>
      <c r="B2106" t="s">
        <v>19</v>
      </c>
      <c r="C2106">
        <v>2021</v>
      </c>
      <c r="D2106">
        <v>92.75</v>
      </c>
      <c r="E2106">
        <v>50</v>
      </c>
      <c r="F2106">
        <v>134.5</v>
      </c>
      <c r="G2106">
        <v>8.25</v>
      </c>
      <c r="H2106">
        <v>48000</v>
      </c>
      <c r="I2106" t="s">
        <v>22</v>
      </c>
    </row>
    <row r="2107" spans="1:9" x14ac:dyDescent="0.25">
      <c r="A2107">
        <v>9</v>
      </c>
      <c r="B2107" t="s">
        <v>19</v>
      </c>
      <c r="C2107">
        <v>2021</v>
      </c>
      <c r="D2107">
        <v>134.5</v>
      </c>
      <c r="E2107" t="s">
        <v>9</v>
      </c>
      <c r="F2107">
        <v>122</v>
      </c>
      <c r="G2107">
        <v>12.5</v>
      </c>
      <c r="H2107">
        <v>48000</v>
      </c>
      <c r="I2107" t="s">
        <v>22</v>
      </c>
    </row>
    <row r="2108" spans="1:9" x14ac:dyDescent="0.25">
      <c r="A2108">
        <v>10</v>
      </c>
      <c r="B2108" t="s">
        <v>19</v>
      </c>
      <c r="C2108">
        <v>2021</v>
      </c>
      <c r="D2108">
        <v>122</v>
      </c>
      <c r="E2108" t="s">
        <v>9</v>
      </c>
      <c r="F2108">
        <v>102</v>
      </c>
      <c r="G2108">
        <v>20</v>
      </c>
      <c r="H2108">
        <v>48000</v>
      </c>
      <c r="I2108" t="s">
        <v>22</v>
      </c>
    </row>
    <row r="2109" spans="1:9" x14ac:dyDescent="0.25">
      <c r="A2109">
        <v>11</v>
      </c>
      <c r="B2109" t="s">
        <v>19</v>
      </c>
      <c r="C2109">
        <v>2021</v>
      </c>
      <c r="D2109">
        <v>102</v>
      </c>
      <c r="E2109">
        <v>80</v>
      </c>
      <c r="F2109">
        <v>162</v>
      </c>
      <c r="G2109">
        <v>20</v>
      </c>
      <c r="H2109">
        <v>48000</v>
      </c>
      <c r="I2109" t="s">
        <v>22</v>
      </c>
    </row>
    <row r="2110" spans="1:9" x14ac:dyDescent="0.25">
      <c r="A2110">
        <v>12</v>
      </c>
      <c r="B2110" t="s">
        <v>19</v>
      </c>
      <c r="C2110">
        <v>2021</v>
      </c>
      <c r="D2110">
        <v>162</v>
      </c>
      <c r="E2110" t="s">
        <v>9</v>
      </c>
      <c r="F2110">
        <v>141</v>
      </c>
      <c r="G2110">
        <v>21</v>
      </c>
      <c r="H2110">
        <v>48000</v>
      </c>
      <c r="I2110" t="s">
        <v>22</v>
      </c>
    </row>
    <row r="2111" spans="1:9" x14ac:dyDescent="0.25">
      <c r="A2111">
        <v>13</v>
      </c>
      <c r="B2111" t="s">
        <v>19</v>
      </c>
      <c r="C2111">
        <v>2021</v>
      </c>
      <c r="D2111">
        <v>141</v>
      </c>
      <c r="E2111">
        <v>50</v>
      </c>
      <c r="F2111">
        <v>152.75</v>
      </c>
      <c r="G2111">
        <v>38.25</v>
      </c>
      <c r="H2111">
        <v>48000</v>
      </c>
      <c r="I2111" t="s">
        <v>22</v>
      </c>
    </row>
    <row r="2112" spans="1:9" x14ac:dyDescent="0.25">
      <c r="A2112">
        <v>14</v>
      </c>
      <c r="B2112" t="s">
        <v>19</v>
      </c>
      <c r="C2112">
        <v>2021</v>
      </c>
      <c r="D2112">
        <v>152.75</v>
      </c>
      <c r="E2112" t="s">
        <v>9</v>
      </c>
      <c r="F2112">
        <v>117.5</v>
      </c>
      <c r="G2112">
        <v>35.25</v>
      </c>
      <c r="H2112">
        <v>48000</v>
      </c>
      <c r="I2112" t="s">
        <v>22</v>
      </c>
    </row>
    <row r="2113" spans="1:9" x14ac:dyDescent="0.25">
      <c r="A2113">
        <v>15</v>
      </c>
      <c r="B2113" t="s">
        <v>19</v>
      </c>
      <c r="C2113">
        <v>2021</v>
      </c>
      <c r="D2113">
        <v>117.5</v>
      </c>
      <c r="E2113">
        <v>50</v>
      </c>
      <c r="F2113">
        <v>135</v>
      </c>
      <c r="G2113">
        <v>32.5</v>
      </c>
      <c r="H2113">
        <v>48000</v>
      </c>
      <c r="I2113" t="s">
        <v>22</v>
      </c>
    </row>
    <row r="2114" spans="1:9" x14ac:dyDescent="0.25">
      <c r="A2114">
        <v>16</v>
      </c>
      <c r="B2114" t="s">
        <v>19</v>
      </c>
      <c r="C2114">
        <v>2021</v>
      </c>
      <c r="D2114">
        <v>135</v>
      </c>
      <c r="E2114" t="s">
        <v>9</v>
      </c>
      <c r="F2114">
        <v>125.75</v>
      </c>
      <c r="G2114">
        <v>9.25</v>
      </c>
      <c r="H2114">
        <v>48000</v>
      </c>
      <c r="I2114" t="s">
        <v>22</v>
      </c>
    </row>
    <row r="2115" spans="1:9" x14ac:dyDescent="0.25">
      <c r="A2115">
        <v>17</v>
      </c>
      <c r="B2115" t="s">
        <v>19</v>
      </c>
      <c r="C2115">
        <v>2021</v>
      </c>
      <c r="D2115">
        <v>125.75</v>
      </c>
      <c r="E2115" t="s">
        <v>9</v>
      </c>
      <c r="F2115">
        <v>111</v>
      </c>
      <c r="G2115">
        <v>14.75</v>
      </c>
      <c r="H2115">
        <v>48000</v>
      </c>
      <c r="I2115" t="s">
        <v>22</v>
      </c>
    </row>
    <row r="2116" spans="1:9" x14ac:dyDescent="0.25">
      <c r="A2116">
        <v>18</v>
      </c>
      <c r="B2116" t="s">
        <v>19</v>
      </c>
      <c r="C2116">
        <v>2021</v>
      </c>
      <c r="D2116">
        <v>111</v>
      </c>
      <c r="E2116" t="s">
        <v>9</v>
      </c>
      <c r="F2116">
        <v>96</v>
      </c>
      <c r="G2116">
        <v>15</v>
      </c>
      <c r="H2116">
        <v>48000</v>
      </c>
      <c r="I2116" t="s">
        <v>22</v>
      </c>
    </row>
    <row r="2117" spans="1:9" x14ac:dyDescent="0.25">
      <c r="A2117">
        <v>19</v>
      </c>
      <c r="B2117" t="s">
        <v>19</v>
      </c>
      <c r="C2117">
        <v>2021</v>
      </c>
      <c r="D2117">
        <v>96</v>
      </c>
      <c r="E2117">
        <v>100</v>
      </c>
      <c r="F2117">
        <v>171.75</v>
      </c>
      <c r="G2117">
        <v>24.25</v>
      </c>
      <c r="H2117">
        <v>48000</v>
      </c>
      <c r="I2117" t="s">
        <v>22</v>
      </c>
    </row>
    <row r="2118" spans="1:9" x14ac:dyDescent="0.25">
      <c r="A2118">
        <v>20</v>
      </c>
      <c r="B2118" t="s">
        <v>19</v>
      </c>
      <c r="C2118">
        <v>2021</v>
      </c>
      <c r="D2118">
        <v>171.75</v>
      </c>
      <c r="E2118" t="s">
        <v>9</v>
      </c>
      <c r="F2118">
        <v>140.875</v>
      </c>
      <c r="G2118">
        <v>30.875</v>
      </c>
      <c r="H2118">
        <v>48000</v>
      </c>
      <c r="I2118" t="s">
        <v>22</v>
      </c>
    </row>
    <row r="2119" spans="1:9" x14ac:dyDescent="0.25">
      <c r="A2119">
        <v>21</v>
      </c>
      <c r="B2119" t="s">
        <v>19</v>
      </c>
      <c r="C2119">
        <v>2021</v>
      </c>
      <c r="D2119">
        <v>140.875</v>
      </c>
      <c r="E2119" t="s">
        <v>9</v>
      </c>
      <c r="F2119">
        <v>105</v>
      </c>
      <c r="G2119">
        <v>35.875</v>
      </c>
      <c r="H2119">
        <v>48000</v>
      </c>
      <c r="I2119" t="s">
        <v>22</v>
      </c>
    </row>
    <row r="2120" spans="1:9" x14ac:dyDescent="0.25">
      <c r="A2120">
        <v>22</v>
      </c>
      <c r="B2120" t="s">
        <v>19</v>
      </c>
      <c r="C2120">
        <v>2021</v>
      </c>
      <c r="D2120">
        <v>105</v>
      </c>
      <c r="E2120">
        <v>30</v>
      </c>
      <c r="F2120">
        <v>117.625</v>
      </c>
      <c r="G2120">
        <v>17.375</v>
      </c>
      <c r="H2120">
        <v>48000</v>
      </c>
      <c r="I2120" t="s">
        <v>22</v>
      </c>
    </row>
    <row r="2121" spans="1:9" x14ac:dyDescent="0.25">
      <c r="A2121">
        <v>23</v>
      </c>
      <c r="B2121" t="s">
        <v>19</v>
      </c>
      <c r="C2121">
        <v>2021</v>
      </c>
      <c r="D2121">
        <v>117.625</v>
      </c>
      <c r="E2121" t="s">
        <v>9</v>
      </c>
      <c r="F2121">
        <v>99.75</v>
      </c>
      <c r="G2121">
        <v>17.875</v>
      </c>
      <c r="H2121">
        <v>48000</v>
      </c>
      <c r="I2121" t="s">
        <v>22</v>
      </c>
    </row>
    <row r="2122" spans="1:9" x14ac:dyDescent="0.25">
      <c r="A2122">
        <v>24</v>
      </c>
      <c r="B2122" t="s">
        <v>19</v>
      </c>
      <c r="C2122">
        <v>2021</v>
      </c>
      <c r="D2122">
        <v>99.75</v>
      </c>
      <c r="E2122" t="s">
        <v>9</v>
      </c>
      <c r="F2122">
        <v>78.75</v>
      </c>
      <c r="G2122">
        <v>21</v>
      </c>
      <c r="H2122">
        <v>48000</v>
      </c>
      <c r="I2122" t="s">
        <v>22</v>
      </c>
    </row>
    <row r="2123" spans="1:9" x14ac:dyDescent="0.25">
      <c r="A2123">
        <v>25</v>
      </c>
      <c r="B2123" t="s">
        <v>19</v>
      </c>
      <c r="C2123">
        <v>2021</v>
      </c>
      <c r="D2123">
        <v>78.75</v>
      </c>
      <c r="E2123">
        <v>50</v>
      </c>
      <c r="F2123">
        <v>104</v>
      </c>
      <c r="G2123">
        <v>24.75</v>
      </c>
      <c r="H2123">
        <v>48000</v>
      </c>
      <c r="I2123" t="s">
        <v>22</v>
      </c>
    </row>
    <row r="2124" spans="1:9" x14ac:dyDescent="0.25">
      <c r="A2124">
        <v>26</v>
      </c>
      <c r="B2124" t="s">
        <v>19</v>
      </c>
      <c r="C2124">
        <v>2021</v>
      </c>
      <c r="D2124">
        <v>104</v>
      </c>
      <c r="E2124" t="s">
        <v>9</v>
      </c>
      <c r="F2124">
        <v>75.625</v>
      </c>
      <c r="G2124">
        <v>28.375</v>
      </c>
      <c r="H2124">
        <v>48000</v>
      </c>
      <c r="I2124" t="s">
        <v>22</v>
      </c>
    </row>
    <row r="2125" spans="1:9" x14ac:dyDescent="0.25">
      <c r="A2125">
        <v>27</v>
      </c>
      <c r="B2125" t="s">
        <v>19</v>
      </c>
      <c r="C2125">
        <v>2021</v>
      </c>
      <c r="D2125">
        <v>75.625</v>
      </c>
      <c r="E2125">
        <v>30</v>
      </c>
      <c r="F2125">
        <v>58.5</v>
      </c>
      <c r="G2125">
        <v>47.125</v>
      </c>
      <c r="H2125">
        <v>48000</v>
      </c>
      <c r="I2125" t="s">
        <v>22</v>
      </c>
    </row>
    <row r="2126" spans="1:9" x14ac:dyDescent="0.25">
      <c r="A2126">
        <v>28</v>
      </c>
      <c r="B2126" t="s">
        <v>19</v>
      </c>
      <c r="C2126">
        <v>2021</v>
      </c>
      <c r="D2126">
        <v>58.5</v>
      </c>
      <c r="E2126">
        <v>60</v>
      </c>
      <c r="F2126">
        <v>68.625</v>
      </c>
      <c r="G2126">
        <v>49.875</v>
      </c>
      <c r="H2126">
        <v>48000</v>
      </c>
      <c r="I2126" t="s">
        <v>22</v>
      </c>
    </row>
    <row r="2127" spans="1:9" x14ac:dyDescent="0.25">
      <c r="A2127">
        <v>29</v>
      </c>
      <c r="B2127" t="s">
        <v>19</v>
      </c>
      <c r="C2127">
        <v>2021</v>
      </c>
      <c r="D2127">
        <v>68.625</v>
      </c>
      <c r="E2127" t="s">
        <v>9</v>
      </c>
      <c r="F2127">
        <v>53.125</v>
      </c>
      <c r="G2127">
        <v>15.5</v>
      </c>
      <c r="H2127">
        <v>48000</v>
      </c>
      <c r="I2127" t="s">
        <v>22</v>
      </c>
    </row>
    <row r="2128" spans="1:9" x14ac:dyDescent="0.25">
      <c r="A2128">
        <v>30</v>
      </c>
      <c r="B2128" t="s">
        <v>19</v>
      </c>
      <c r="C2128">
        <v>2021</v>
      </c>
      <c r="D2128">
        <v>53.125</v>
      </c>
      <c r="E2128">
        <v>80</v>
      </c>
      <c r="F2128">
        <v>106.375</v>
      </c>
      <c r="G2128">
        <v>26.75</v>
      </c>
      <c r="H2128">
        <v>48000</v>
      </c>
      <c r="I2128" t="s">
        <v>22</v>
      </c>
    </row>
    <row r="2129" spans="1:9" hidden="1" x14ac:dyDescent="0.25">
      <c r="A2129">
        <v>1</v>
      </c>
      <c r="B2129" t="s">
        <v>19</v>
      </c>
      <c r="C2129">
        <v>2021</v>
      </c>
      <c r="D2129">
        <v>123</v>
      </c>
      <c r="E2129" t="s">
        <v>9</v>
      </c>
      <c r="F2129">
        <v>71.5</v>
      </c>
      <c r="G2129">
        <v>51.5</v>
      </c>
      <c r="H2129">
        <v>48000</v>
      </c>
      <c r="I2129" t="s">
        <v>23</v>
      </c>
    </row>
    <row r="2130" spans="1:9" hidden="1" x14ac:dyDescent="0.25">
      <c r="A2130">
        <v>2</v>
      </c>
      <c r="B2130" t="s">
        <v>19</v>
      </c>
      <c r="C2130">
        <v>2021</v>
      </c>
      <c r="D2130">
        <v>71.5</v>
      </c>
      <c r="E2130" t="s">
        <v>9</v>
      </c>
      <c r="F2130">
        <v>42</v>
      </c>
      <c r="G2130">
        <v>29.5</v>
      </c>
      <c r="H2130">
        <v>48000</v>
      </c>
      <c r="I2130" t="s">
        <v>23</v>
      </c>
    </row>
    <row r="2131" spans="1:9" hidden="1" x14ac:dyDescent="0.25">
      <c r="A2131">
        <v>3</v>
      </c>
      <c r="B2131" t="s">
        <v>19</v>
      </c>
      <c r="C2131">
        <v>2021</v>
      </c>
      <c r="D2131">
        <v>42</v>
      </c>
      <c r="E2131">
        <v>150</v>
      </c>
      <c r="F2131">
        <v>156.75</v>
      </c>
      <c r="G2131">
        <v>35.25</v>
      </c>
      <c r="H2131">
        <v>48000</v>
      </c>
      <c r="I2131" t="s">
        <v>23</v>
      </c>
    </row>
    <row r="2132" spans="1:9" hidden="1" x14ac:dyDescent="0.25">
      <c r="A2132">
        <v>4</v>
      </c>
      <c r="B2132" t="s">
        <v>19</v>
      </c>
      <c r="C2132">
        <v>2021</v>
      </c>
      <c r="D2132">
        <v>156.75</v>
      </c>
      <c r="E2132" t="s">
        <v>9</v>
      </c>
      <c r="F2132">
        <v>123</v>
      </c>
      <c r="G2132">
        <v>33.75</v>
      </c>
      <c r="H2132">
        <v>48000</v>
      </c>
      <c r="I2132" t="s">
        <v>23</v>
      </c>
    </row>
    <row r="2133" spans="1:9" hidden="1" x14ac:dyDescent="0.25">
      <c r="A2133">
        <v>5</v>
      </c>
      <c r="B2133" t="s">
        <v>19</v>
      </c>
      <c r="C2133">
        <v>2021</v>
      </c>
      <c r="D2133">
        <v>123</v>
      </c>
      <c r="E2133" t="s">
        <v>9</v>
      </c>
      <c r="F2133">
        <v>77.5</v>
      </c>
      <c r="G2133">
        <v>45.5</v>
      </c>
      <c r="H2133">
        <v>48000</v>
      </c>
      <c r="I2133" t="s">
        <v>23</v>
      </c>
    </row>
    <row r="2134" spans="1:9" hidden="1" x14ac:dyDescent="0.25">
      <c r="A2134">
        <v>6</v>
      </c>
      <c r="B2134" t="s">
        <v>19</v>
      </c>
      <c r="C2134">
        <v>2021</v>
      </c>
      <c r="D2134">
        <v>77.5</v>
      </c>
      <c r="E2134">
        <v>150</v>
      </c>
      <c r="F2134">
        <v>178.125</v>
      </c>
      <c r="G2134">
        <v>49.375</v>
      </c>
      <c r="H2134">
        <v>48000</v>
      </c>
      <c r="I2134" t="s">
        <v>23</v>
      </c>
    </row>
    <row r="2135" spans="1:9" hidden="1" x14ac:dyDescent="0.25">
      <c r="A2135">
        <v>7</v>
      </c>
      <c r="B2135" t="s">
        <v>19</v>
      </c>
      <c r="C2135">
        <v>2021</v>
      </c>
      <c r="D2135">
        <v>178.125</v>
      </c>
      <c r="E2135" t="s">
        <v>9</v>
      </c>
      <c r="F2135">
        <v>121.125</v>
      </c>
      <c r="G2135">
        <v>57</v>
      </c>
      <c r="H2135">
        <v>48000</v>
      </c>
      <c r="I2135" t="s">
        <v>23</v>
      </c>
    </row>
    <row r="2136" spans="1:9" hidden="1" x14ac:dyDescent="0.25">
      <c r="A2136">
        <v>8</v>
      </c>
      <c r="B2136" t="s">
        <v>19</v>
      </c>
      <c r="C2136">
        <v>2021</v>
      </c>
      <c r="D2136">
        <v>121.125</v>
      </c>
      <c r="E2136">
        <v>50</v>
      </c>
      <c r="F2136">
        <v>147.25</v>
      </c>
      <c r="G2136">
        <v>23.875</v>
      </c>
      <c r="H2136">
        <v>48000</v>
      </c>
      <c r="I2136" t="s">
        <v>23</v>
      </c>
    </row>
    <row r="2137" spans="1:9" hidden="1" x14ac:dyDescent="0.25">
      <c r="A2137">
        <v>9</v>
      </c>
      <c r="B2137" t="s">
        <v>19</v>
      </c>
      <c r="C2137">
        <v>2021</v>
      </c>
      <c r="D2137">
        <v>147.25</v>
      </c>
      <c r="E2137" t="s">
        <v>9</v>
      </c>
      <c r="F2137">
        <v>113.75</v>
      </c>
      <c r="G2137">
        <v>33.5</v>
      </c>
      <c r="H2137">
        <v>48000</v>
      </c>
      <c r="I2137" t="s">
        <v>23</v>
      </c>
    </row>
    <row r="2138" spans="1:9" hidden="1" x14ac:dyDescent="0.25">
      <c r="A2138">
        <v>10</v>
      </c>
      <c r="B2138" t="s">
        <v>19</v>
      </c>
      <c r="C2138">
        <v>2021</v>
      </c>
      <c r="D2138">
        <v>113.75</v>
      </c>
      <c r="E2138" t="s">
        <v>9</v>
      </c>
      <c r="F2138">
        <v>84</v>
      </c>
      <c r="G2138">
        <v>29.75</v>
      </c>
      <c r="H2138">
        <v>48000</v>
      </c>
      <c r="I2138" t="s">
        <v>23</v>
      </c>
    </row>
    <row r="2139" spans="1:9" hidden="1" x14ac:dyDescent="0.25">
      <c r="A2139">
        <v>11</v>
      </c>
      <c r="B2139" t="s">
        <v>19</v>
      </c>
      <c r="C2139">
        <v>2021</v>
      </c>
      <c r="D2139">
        <v>84</v>
      </c>
      <c r="E2139">
        <v>100</v>
      </c>
      <c r="F2139">
        <v>148.5</v>
      </c>
      <c r="G2139">
        <v>35.5</v>
      </c>
      <c r="H2139">
        <v>48000</v>
      </c>
      <c r="I2139" t="s">
        <v>23</v>
      </c>
    </row>
    <row r="2140" spans="1:9" hidden="1" x14ac:dyDescent="0.25">
      <c r="A2140">
        <v>12</v>
      </c>
      <c r="B2140" t="s">
        <v>19</v>
      </c>
      <c r="C2140">
        <v>2021</v>
      </c>
      <c r="D2140">
        <v>148.5</v>
      </c>
      <c r="E2140" t="s">
        <v>9</v>
      </c>
      <c r="F2140">
        <v>118.25</v>
      </c>
      <c r="G2140">
        <v>30.25</v>
      </c>
      <c r="H2140">
        <v>48000</v>
      </c>
      <c r="I2140" t="s">
        <v>23</v>
      </c>
    </row>
    <row r="2141" spans="1:9" hidden="1" x14ac:dyDescent="0.25">
      <c r="A2141">
        <v>13</v>
      </c>
      <c r="B2141" t="s">
        <v>19</v>
      </c>
      <c r="C2141">
        <v>2021</v>
      </c>
      <c r="D2141">
        <v>118.25</v>
      </c>
      <c r="E2141">
        <v>100</v>
      </c>
      <c r="F2141">
        <v>159.5</v>
      </c>
      <c r="G2141">
        <v>58.75</v>
      </c>
      <c r="H2141">
        <v>48000</v>
      </c>
      <c r="I2141" t="s">
        <v>23</v>
      </c>
    </row>
    <row r="2142" spans="1:9" hidden="1" x14ac:dyDescent="0.25">
      <c r="A2142">
        <v>14</v>
      </c>
      <c r="B2142" t="s">
        <v>19</v>
      </c>
      <c r="C2142">
        <v>2021</v>
      </c>
      <c r="D2142">
        <v>159.5</v>
      </c>
      <c r="E2142" t="s">
        <v>9</v>
      </c>
      <c r="F2142">
        <v>99</v>
      </c>
      <c r="G2142">
        <v>60.5</v>
      </c>
      <c r="H2142">
        <v>48000</v>
      </c>
      <c r="I2142" t="s">
        <v>23</v>
      </c>
    </row>
    <row r="2143" spans="1:9" hidden="1" x14ac:dyDescent="0.25">
      <c r="A2143">
        <v>15</v>
      </c>
      <c r="B2143" t="s">
        <v>19</v>
      </c>
      <c r="C2143">
        <v>2021</v>
      </c>
      <c r="D2143">
        <v>99</v>
      </c>
      <c r="E2143">
        <v>70</v>
      </c>
      <c r="F2143">
        <v>111.5</v>
      </c>
      <c r="G2143">
        <v>57.5</v>
      </c>
      <c r="H2143">
        <v>48000</v>
      </c>
      <c r="I2143" t="s">
        <v>23</v>
      </c>
    </row>
    <row r="2144" spans="1:9" hidden="1" x14ac:dyDescent="0.25">
      <c r="A2144">
        <v>16</v>
      </c>
      <c r="B2144" t="s">
        <v>19</v>
      </c>
      <c r="C2144">
        <v>2021</v>
      </c>
      <c r="D2144">
        <v>111.5</v>
      </c>
      <c r="E2144" t="s">
        <v>9</v>
      </c>
      <c r="F2144">
        <v>70.5</v>
      </c>
      <c r="G2144">
        <v>41</v>
      </c>
      <c r="H2144">
        <v>48000</v>
      </c>
      <c r="I2144" t="s">
        <v>23</v>
      </c>
    </row>
    <row r="2145" spans="1:9" hidden="1" x14ac:dyDescent="0.25">
      <c r="A2145">
        <v>17</v>
      </c>
      <c r="B2145" t="s">
        <v>19</v>
      </c>
      <c r="C2145">
        <v>2021</v>
      </c>
      <c r="D2145">
        <v>70.5</v>
      </c>
      <c r="E2145" t="s">
        <v>9</v>
      </c>
      <c r="F2145">
        <v>39.5</v>
      </c>
      <c r="G2145">
        <v>31</v>
      </c>
      <c r="H2145">
        <v>48000</v>
      </c>
      <c r="I2145" t="s">
        <v>23</v>
      </c>
    </row>
    <row r="2146" spans="1:9" hidden="1" x14ac:dyDescent="0.25">
      <c r="A2146">
        <v>18</v>
      </c>
      <c r="B2146" t="s">
        <v>19</v>
      </c>
      <c r="C2146">
        <v>2021</v>
      </c>
      <c r="D2146">
        <v>39.5</v>
      </c>
      <c r="E2146" t="s">
        <v>9</v>
      </c>
      <c r="F2146">
        <v>14.625</v>
      </c>
      <c r="G2146">
        <v>24.875</v>
      </c>
      <c r="H2146">
        <v>48000</v>
      </c>
      <c r="I2146" t="s">
        <v>23</v>
      </c>
    </row>
    <row r="2147" spans="1:9" hidden="1" x14ac:dyDescent="0.25">
      <c r="A2147">
        <v>19</v>
      </c>
      <c r="B2147" t="s">
        <v>19</v>
      </c>
      <c r="C2147">
        <v>2021</v>
      </c>
      <c r="D2147">
        <v>14.625</v>
      </c>
      <c r="E2147">
        <v>150</v>
      </c>
      <c r="F2147">
        <v>112</v>
      </c>
      <c r="G2147">
        <v>52.625</v>
      </c>
      <c r="H2147">
        <v>48000</v>
      </c>
      <c r="I2147" t="s">
        <v>23</v>
      </c>
    </row>
    <row r="2148" spans="1:9" hidden="1" x14ac:dyDescent="0.25">
      <c r="A2148">
        <v>20</v>
      </c>
      <c r="B2148" t="s">
        <v>19</v>
      </c>
      <c r="C2148">
        <v>2021</v>
      </c>
      <c r="D2148">
        <v>112</v>
      </c>
      <c r="E2148" t="s">
        <v>9</v>
      </c>
      <c r="F2148">
        <v>54.75</v>
      </c>
      <c r="G2148">
        <v>57.25</v>
      </c>
      <c r="H2148">
        <v>48000</v>
      </c>
      <c r="I2148" t="s">
        <v>23</v>
      </c>
    </row>
    <row r="2149" spans="1:9" hidden="1" x14ac:dyDescent="0.25">
      <c r="A2149">
        <v>21</v>
      </c>
      <c r="B2149" t="s">
        <v>19</v>
      </c>
      <c r="C2149">
        <v>2021</v>
      </c>
      <c r="D2149">
        <v>54.75</v>
      </c>
      <c r="E2149">
        <v>49</v>
      </c>
      <c r="F2149">
        <v>52.25</v>
      </c>
      <c r="G2149">
        <v>51.5</v>
      </c>
      <c r="H2149">
        <v>48000</v>
      </c>
      <c r="I2149" t="s">
        <v>23</v>
      </c>
    </row>
    <row r="2150" spans="1:9" hidden="1" x14ac:dyDescent="0.25">
      <c r="A2150">
        <v>22</v>
      </c>
      <c r="B2150" t="s">
        <v>19</v>
      </c>
      <c r="C2150">
        <v>2021</v>
      </c>
      <c r="D2150">
        <v>52.25</v>
      </c>
      <c r="E2150">
        <v>110</v>
      </c>
      <c r="F2150">
        <v>137</v>
      </c>
      <c r="G2150">
        <v>25.25</v>
      </c>
      <c r="H2150">
        <v>48000</v>
      </c>
      <c r="I2150" t="s">
        <v>23</v>
      </c>
    </row>
    <row r="2151" spans="1:9" hidden="1" x14ac:dyDescent="0.25">
      <c r="A2151">
        <v>23</v>
      </c>
      <c r="B2151" t="s">
        <v>19</v>
      </c>
      <c r="C2151">
        <v>2021</v>
      </c>
      <c r="D2151">
        <v>137</v>
      </c>
      <c r="E2151" t="s">
        <v>9</v>
      </c>
      <c r="F2151">
        <v>106.25</v>
      </c>
      <c r="G2151">
        <v>30.75</v>
      </c>
      <c r="H2151">
        <v>48000</v>
      </c>
      <c r="I2151" t="s">
        <v>23</v>
      </c>
    </row>
    <row r="2152" spans="1:9" hidden="1" x14ac:dyDescent="0.25">
      <c r="A2152">
        <v>24</v>
      </c>
      <c r="B2152" t="s">
        <v>19</v>
      </c>
      <c r="C2152">
        <v>2021</v>
      </c>
      <c r="D2152">
        <v>106.25</v>
      </c>
      <c r="E2152" t="s">
        <v>9</v>
      </c>
      <c r="F2152">
        <v>62.75</v>
      </c>
      <c r="G2152">
        <v>43.5</v>
      </c>
      <c r="H2152">
        <v>48000</v>
      </c>
      <c r="I2152" t="s">
        <v>23</v>
      </c>
    </row>
    <row r="2153" spans="1:9" hidden="1" x14ac:dyDescent="0.25">
      <c r="A2153">
        <v>25</v>
      </c>
      <c r="B2153" t="s">
        <v>19</v>
      </c>
      <c r="C2153">
        <v>2021</v>
      </c>
      <c r="D2153">
        <v>62.75</v>
      </c>
      <c r="E2153">
        <v>100</v>
      </c>
      <c r="F2153">
        <v>125.75</v>
      </c>
      <c r="G2153">
        <v>37</v>
      </c>
      <c r="H2153">
        <v>48000</v>
      </c>
      <c r="I2153" t="s">
        <v>23</v>
      </c>
    </row>
    <row r="2154" spans="1:9" hidden="1" x14ac:dyDescent="0.25">
      <c r="A2154">
        <v>26</v>
      </c>
      <c r="B2154" t="s">
        <v>19</v>
      </c>
      <c r="C2154">
        <v>2021</v>
      </c>
      <c r="D2154">
        <v>125.75</v>
      </c>
      <c r="E2154" t="s">
        <v>9</v>
      </c>
      <c r="F2154">
        <v>74</v>
      </c>
      <c r="G2154">
        <v>51.75</v>
      </c>
      <c r="H2154">
        <v>48000</v>
      </c>
      <c r="I2154" t="s">
        <v>23</v>
      </c>
    </row>
    <row r="2155" spans="1:9" hidden="1" x14ac:dyDescent="0.25">
      <c r="A2155">
        <v>27</v>
      </c>
      <c r="B2155" t="s">
        <v>19</v>
      </c>
      <c r="C2155">
        <v>2021</v>
      </c>
      <c r="D2155">
        <v>74</v>
      </c>
      <c r="E2155">
        <v>101</v>
      </c>
      <c r="F2155">
        <v>115</v>
      </c>
      <c r="G2155">
        <v>60</v>
      </c>
      <c r="H2155">
        <v>48000</v>
      </c>
      <c r="I2155" t="s">
        <v>23</v>
      </c>
    </row>
    <row r="2156" spans="1:9" hidden="1" x14ac:dyDescent="0.25">
      <c r="A2156">
        <v>28</v>
      </c>
      <c r="B2156" t="s">
        <v>19</v>
      </c>
      <c r="C2156">
        <v>2021</v>
      </c>
      <c r="D2156">
        <v>115</v>
      </c>
      <c r="E2156" t="s">
        <v>9</v>
      </c>
      <c r="F2156">
        <v>49</v>
      </c>
      <c r="G2156">
        <v>66</v>
      </c>
      <c r="H2156">
        <v>48000</v>
      </c>
      <c r="I2156" t="s">
        <v>23</v>
      </c>
    </row>
    <row r="2157" spans="1:9" hidden="1" x14ac:dyDescent="0.25">
      <c r="A2157">
        <v>29</v>
      </c>
      <c r="B2157" t="s">
        <v>19</v>
      </c>
      <c r="C2157">
        <v>2021</v>
      </c>
      <c r="D2157">
        <v>49</v>
      </c>
      <c r="E2157" t="s">
        <v>9</v>
      </c>
      <c r="F2157">
        <v>14.5</v>
      </c>
      <c r="G2157">
        <v>34.5</v>
      </c>
      <c r="H2157">
        <v>48000</v>
      </c>
      <c r="I2157" t="s">
        <v>23</v>
      </c>
    </row>
    <row r="2158" spans="1:9" hidden="1" x14ac:dyDescent="0.25">
      <c r="A2158">
        <v>30</v>
      </c>
      <c r="B2158" t="s">
        <v>19</v>
      </c>
      <c r="C2158">
        <v>2021</v>
      </c>
      <c r="D2158">
        <v>14.5</v>
      </c>
      <c r="E2158">
        <v>100</v>
      </c>
      <c r="F2158">
        <v>74.5</v>
      </c>
      <c r="G2158">
        <v>40</v>
      </c>
      <c r="H2158">
        <v>48000</v>
      </c>
      <c r="I2158" t="s">
        <v>23</v>
      </c>
    </row>
    <row r="2159" spans="1:9" hidden="1" x14ac:dyDescent="0.25">
      <c r="A2159">
        <v>1</v>
      </c>
      <c r="B2159" t="s">
        <v>19</v>
      </c>
      <c r="C2159">
        <v>2021</v>
      </c>
      <c r="D2159">
        <v>26</v>
      </c>
      <c r="E2159" t="s">
        <v>9</v>
      </c>
      <c r="F2159">
        <v>8.5</v>
      </c>
      <c r="G2159">
        <v>17.5</v>
      </c>
      <c r="H2159">
        <v>48000</v>
      </c>
      <c r="I2159" t="s">
        <v>25</v>
      </c>
    </row>
    <row r="2160" spans="1:9" hidden="1" x14ac:dyDescent="0.25">
      <c r="A2160">
        <v>2</v>
      </c>
      <c r="B2160" t="s">
        <v>19</v>
      </c>
      <c r="C2160">
        <v>2021</v>
      </c>
      <c r="D2160">
        <v>8.5</v>
      </c>
      <c r="E2160">
        <v>20</v>
      </c>
      <c r="F2160">
        <v>20.75</v>
      </c>
      <c r="G2160">
        <v>7.75</v>
      </c>
      <c r="H2160">
        <v>48000</v>
      </c>
      <c r="I2160" t="s">
        <v>25</v>
      </c>
    </row>
    <row r="2161" spans="1:9" hidden="1" x14ac:dyDescent="0.25">
      <c r="A2161">
        <v>3</v>
      </c>
      <c r="B2161" t="s">
        <v>19</v>
      </c>
      <c r="C2161">
        <v>2021</v>
      </c>
      <c r="D2161">
        <v>20.75</v>
      </c>
      <c r="E2161" t="s">
        <v>9</v>
      </c>
      <c r="F2161">
        <v>11</v>
      </c>
      <c r="G2161">
        <v>9.75</v>
      </c>
      <c r="H2161">
        <v>48000</v>
      </c>
      <c r="I2161" t="s">
        <v>25</v>
      </c>
    </row>
    <row r="2162" spans="1:9" hidden="1" x14ac:dyDescent="0.25">
      <c r="A2162">
        <v>4</v>
      </c>
      <c r="B2162" t="s">
        <v>19</v>
      </c>
      <c r="C2162">
        <v>2021</v>
      </c>
      <c r="D2162">
        <v>11</v>
      </c>
      <c r="E2162">
        <v>49</v>
      </c>
      <c r="F2162">
        <v>53.375</v>
      </c>
      <c r="G2162">
        <v>6.625</v>
      </c>
      <c r="H2162">
        <v>48000</v>
      </c>
      <c r="I2162" t="s">
        <v>25</v>
      </c>
    </row>
    <row r="2163" spans="1:9" hidden="1" x14ac:dyDescent="0.25">
      <c r="A2163">
        <v>5</v>
      </c>
      <c r="B2163" t="s">
        <v>19</v>
      </c>
      <c r="C2163">
        <v>2021</v>
      </c>
      <c r="D2163">
        <v>53.375</v>
      </c>
      <c r="E2163" t="s">
        <v>9</v>
      </c>
      <c r="F2163">
        <v>33.875</v>
      </c>
      <c r="G2163">
        <v>19.5</v>
      </c>
      <c r="H2163">
        <v>48000</v>
      </c>
      <c r="I2163" t="s">
        <v>25</v>
      </c>
    </row>
    <row r="2164" spans="1:9" hidden="1" x14ac:dyDescent="0.25">
      <c r="A2164">
        <v>6</v>
      </c>
      <c r="B2164" t="s">
        <v>19</v>
      </c>
      <c r="C2164">
        <v>2021</v>
      </c>
      <c r="D2164">
        <v>33.875</v>
      </c>
      <c r="E2164" t="s">
        <v>9</v>
      </c>
      <c r="F2164">
        <v>9.25</v>
      </c>
      <c r="G2164">
        <v>24.625</v>
      </c>
      <c r="H2164">
        <v>48000</v>
      </c>
      <c r="I2164" t="s">
        <v>25</v>
      </c>
    </row>
    <row r="2165" spans="1:9" hidden="1" x14ac:dyDescent="0.25">
      <c r="A2165">
        <v>7</v>
      </c>
      <c r="B2165" t="s">
        <v>19</v>
      </c>
      <c r="C2165">
        <v>2021</v>
      </c>
      <c r="D2165">
        <v>9.25</v>
      </c>
      <c r="E2165">
        <v>20</v>
      </c>
      <c r="F2165">
        <v>11</v>
      </c>
      <c r="G2165">
        <v>18.25</v>
      </c>
      <c r="H2165">
        <v>48000</v>
      </c>
      <c r="I2165" t="s">
        <v>25</v>
      </c>
    </row>
    <row r="2166" spans="1:9" hidden="1" x14ac:dyDescent="0.25">
      <c r="A2166">
        <v>8</v>
      </c>
      <c r="B2166" t="s">
        <v>19</v>
      </c>
      <c r="C2166">
        <v>2021</v>
      </c>
      <c r="D2166">
        <v>11</v>
      </c>
      <c r="E2166">
        <v>40</v>
      </c>
      <c r="F2166">
        <v>40</v>
      </c>
      <c r="G2166">
        <v>11</v>
      </c>
      <c r="H2166">
        <v>48000</v>
      </c>
      <c r="I2166" t="s">
        <v>25</v>
      </c>
    </row>
    <row r="2167" spans="1:9" hidden="1" x14ac:dyDescent="0.25">
      <c r="A2167">
        <v>9</v>
      </c>
      <c r="B2167" t="s">
        <v>19</v>
      </c>
      <c r="C2167">
        <v>2021</v>
      </c>
      <c r="D2167">
        <v>40</v>
      </c>
      <c r="E2167" t="s">
        <v>9</v>
      </c>
      <c r="F2167">
        <v>30.75</v>
      </c>
      <c r="G2167">
        <v>9.25</v>
      </c>
      <c r="H2167">
        <v>48000</v>
      </c>
      <c r="I2167" t="s">
        <v>25</v>
      </c>
    </row>
    <row r="2168" spans="1:9" hidden="1" x14ac:dyDescent="0.25">
      <c r="A2168">
        <v>10</v>
      </c>
      <c r="B2168" t="s">
        <v>19</v>
      </c>
      <c r="C2168">
        <v>2021</v>
      </c>
      <c r="D2168">
        <v>30.75</v>
      </c>
      <c r="E2168" t="s">
        <v>9</v>
      </c>
      <c r="F2168">
        <v>18</v>
      </c>
      <c r="G2168">
        <v>12.75</v>
      </c>
      <c r="H2168">
        <v>48000</v>
      </c>
      <c r="I2168" t="s">
        <v>25</v>
      </c>
    </row>
    <row r="2169" spans="1:9" hidden="1" x14ac:dyDescent="0.25">
      <c r="A2169">
        <v>11</v>
      </c>
      <c r="B2169" t="s">
        <v>19</v>
      </c>
      <c r="C2169">
        <v>2021</v>
      </c>
      <c r="D2169">
        <v>18</v>
      </c>
      <c r="E2169">
        <v>50</v>
      </c>
      <c r="F2169">
        <v>56.625</v>
      </c>
      <c r="G2169">
        <v>11.375</v>
      </c>
      <c r="H2169">
        <v>48000</v>
      </c>
      <c r="I2169" t="s">
        <v>25</v>
      </c>
    </row>
    <row r="2170" spans="1:9" hidden="1" x14ac:dyDescent="0.25">
      <c r="A2170">
        <v>12</v>
      </c>
      <c r="B2170" t="s">
        <v>19</v>
      </c>
      <c r="C2170">
        <v>2021</v>
      </c>
      <c r="D2170">
        <v>56.625</v>
      </c>
      <c r="E2170" t="s">
        <v>9</v>
      </c>
      <c r="F2170">
        <v>51.375</v>
      </c>
      <c r="G2170">
        <v>5.25</v>
      </c>
      <c r="H2170">
        <v>48000</v>
      </c>
      <c r="I2170" t="s">
        <v>25</v>
      </c>
    </row>
    <row r="2171" spans="1:9" hidden="1" x14ac:dyDescent="0.25">
      <c r="A2171">
        <v>13</v>
      </c>
      <c r="B2171" t="s">
        <v>19</v>
      </c>
      <c r="C2171">
        <v>2021</v>
      </c>
      <c r="D2171">
        <v>51.375</v>
      </c>
      <c r="E2171">
        <v>70</v>
      </c>
      <c r="F2171">
        <v>104.625</v>
      </c>
      <c r="G2171">
        <v>16.75</v>
      </c>
      <c r="H2171">
        <v>48000</v>
      </c>
      <c r="I2171" t="s">
        <v>25</v>
      </c>
    </row>
    <row r="2172" spans="1:9" hidden="1" x14ac:dyDescent="0.25">
      <c r="A2172">
        <v>14</v>
      </c>
      <c r="B2172" t="s">
        <v>19</v>
      </c>
      <c r="C2172">
        <v>2021</v>
      </c>
      <c r="D2172">
        <v>104.625</v>
      </c>
      <c r="E2172" t="s">
        <v>9</v>
      </c>
      <c r="F2172">
        <v>80.75</v>
      </c>
      <c r="G2172">
        <v>23.875</v>
      </c>
      <c r="H2172">
        <v>48000</v>
      </c>
      <c r="I2172" t="s">
        <v>25</v>
      </c>
    </row>
    <row r="2173" spans="1:9" hidden="1" x14ac:dyDescent="0.25">
      <c r="A2173">
        <v>15</v>
      </c>
      <c r="B2173" t="s">
        <v>19</v>
      </c>
      <c r="C2173">
        <v>2021</v>
      </c>
      <c r="D2173">
        <v>80.75</v>
      </c>
      <c r="E2173" t="s">
        <v>9</v>
      </c>
      <c r="F2173">
        <v>68.5</v>
      </c>
      <c r="G2173">
        <v>12.25</v>
      </c>
      <c r="H2173">
        <v>48000</v>
      </c>
      <c r="I2173" t="s">
        <v>25</v>
      </c>
    </row>
    <row r="2174" spans="1:9" hidden="1" x14ac:dyDescent="0.25">
      <c r="A2174">
        <v>16</v>
      </c>
      <c r="B2174" t="s">
        <v>19</v>
      </c>
      <c r="C2174">
        <v>2021</v>
      </c>
      <c r="D2174">
        <v>68.5</v>
      </c>
      <c r="E2174" t="s">
        <v>9</v>
      </c>
      <c r="F2174">
        <v>54.75</v>
      </c>
      <c r="G2174">
        <v>13.75</v>
      </c>
      <c r="H2174">
        <v>48000</v>
      </c>
      <c r="I2174" t="s">
        <v>25</v>
      </c>
    </row>
    <row r="2175" spans="1:9" hidden="1" x14ac:dyDescent="0.25">
      <c r="A2175">
        <v>17</v>
      </c>
      <c r="B2175" t="s">
        <v>19</v>
      </c>
      <c r="C2175">
        <v>2021</v>
      </c>
      <c r="D2175">
        <v>54.75</v>
      </c>
      <c r="E2175" t="s">
        <v>9</v>
      </c>
      <c r="F2175">
        <v>44.37</v>
      </c>
      <c r="G2175">
        <v>10.38</v>
      </c>
      <c r="H2175">
        <v>48000</v>
      </c>
      <c r="I2175" t="s">
        <v>25</v>
      </c>
    </row>
    <row r="2176" spans="1:9" hidden="1" x14ac:dyDescent="0.25">
      <c r="A2176">
        <v>18</v>
      </c>
      <c r="B2176" t="s">
        <v>19</v>
      </c>
      <c r="C2176">
        <v>2021</v>
      </c>
      <c r="D2176">
        <v>44.37</v>
      </c>
      <c r="E2176">
        <v>30</v>
      </c>
      <c r="F2176">
        <v>69.875</v>
      </c>
      <c r="G2176">
        <v>4.4950000000000001</v>
      </c>
      <c r="H2176">
        <v>48000</v>
      </c>
      <c r="I2176" t="s">
        <v>25</v>
      </c>
    </row>
    <row r="2177" spans="1:9" hidden="1" x14ac:dyDescent="0.25">
      <c r="A2177">
        <v>19</v>
      </c>
      <c r="B2177" t="s">
        <v>19</v>
      </c>
      <c r="C2177">
        <v>2021</v>
      </c>
      <c r="D2177">
        <v>69.875</v>
      </c>
      <c r="E2177" t="s">
        <v>9</v>
      </c>
      <c r="F2177">
        <v>56.125</v>
      </c>
      <c r="G2177">
        <v>13.75</v>
      </c>
      <c r="H2177">
        <v>48000</v>
      </c>
      <c r="I2177" t="s">
        <v>25</v>
      </c>
    </row>
    <row r="2178" spans="1:9" hidden="1" x14ac:dyDescent="0.25">
      <c r="A2178">
        <v>20</v>
      </c>
      <c r="B2178" t="s">
        <v>19</v>
      </c>
      <c r="C2178">
        <v>2021</v>
      </c>
      <c r="D2178">
        <v>56.125</v>
      </c>
      <c r="E2178" t="s">
        <v>9</v>
      </c>
      <c r="F2178">
        <v>32.75</v>
      </c>
      <c r="G2178">
        <v>23.375</v>
      </c>
      <c r="H2178">
        <v>48000</v>
      </c>
      <c r="I2178" t="s">
        <v>25</v>
      </c>
    </row>
    <row r="2179" spans="1:9" hidden="1" x14ac:dyDescent="0.25">
      <c r="A2179">
        <v>21</v>
      </c>
      <c r="B2179" t="s">
        <v>19</v>
      </c>
      <c r="C2179">
        <v>2021</v>
      </c>
      <c r="D2179">
        <v>32.75</v>
      </c>
      <c r="E2179" t="s">
        <v>9</v>
      </c>
      <c r="F2179">
        <v>14</v>
      </c>
      <c r="G2179">
        <v>18.75</v>
      </c>
      <c r="H2179">
        <v>48000</v>
      </c>
      <c r="I2179" t="s">
        <v>25</v>
      </c>
    </row>
    <row r="2180" spans="1:9" hidden="1" x14ac:dyDescent="0.25">
      <c r="A2180">
        <v>22</v>
      </c>
      <c r="B2180" t="s">
        <v>19</v>
      </c>
      <c r="C2180">
        <v>2021</v>
      </c>
      <c r="D2180">
        <v>14</v>
      </c>
      <c r="E2180" t="s">
        <v>9</v>
      </c>
      <c r="F2180">
        <v>8.3000000000000007</v>
      </c>
      <c r="G2180">
        <v>5.7</v>
      </c>
      <c r="H2180">
        <v>48000</v>
      </c>
      <c r="I2180" t="s">
        <v>25</v>
      </c>
    </row>
    <row r="2181" spans="1:9" hidden="1" x14ac:dyDescent="0.25">
      <c r="A2181">
        <v>23</v>
      </c>
      <c r="B2181" t="s">
        <v>19</v>
      </c>
      <c r="C2181">
        <v>2021</v>
      </c>
      <c r="D2181">
        <v>8.3000000000000007</v>
      </c>
      <c r="E2181">
        <v>15</v>
      </c>
      <c r="F2181">
        <v>13.75</v>
      </c>
      <c r="G2181">
        <v>9.5500000000000007</v>
      </c>
      <c r="H2181">
        <v>48000</v>
      </c>
      <c r="I2181" t="s">
        <v>25</v>
      </c>
    </row>
    <row r="2182" spans="1:9" hidden="1" x14ac:dyDescent="0.25">
      <c r="A2182">
        <v>24</v>
      </c>
      <c r="B2182" t="s">
        <v>19</v>
      </c>
      <c r="C2182">
        <v>2021</v>
      </c>
      <c r="D2182">
        <v>13.75</v>
      </c>
      <c r="E2182">
        <v>5</v>
      </c>
      <c r="F2182">
        <v>7.375</v>
      </c>
      <c r="G2182">
        <v>11.375</v>
      </c>
      <c r="H2182">
        <v>48000</v>
      </c>
      <c r="I2182" t="s">
        <v>25</v>
      </c>
    </row>
    <row r="2183" spans="1:9" hidden="1" x14ac:dyDescent="0.25">
      <c r="A2183">
        <v>25</v>
      </c>
      <c r="B2183" t="s">
        <v>19</v>
      </c>
      <c r="C2183">
        <v>2021</v>
      </c>
      <c r="D2183">
        <v>7.375</v>
      </c>
      <c r="E2183">
        <v>10</v>
      </c>
      <c r="F2183">
        <v>6.875</v>
      </c>
      <c r="G2183">
        <v>10.5</v>
      </c>
      <c r="H2183">
        <v>48000</v>
      </c>
      <c r="I2183" t="s">
        <v>25</v>
      </c>
    </row>
    <row r="2184" spans="1:9" hidden="1" x14ac:dyDescent="0.25">
      <c r="A2184">
        <v>26</v>
      </c>
      <c r="B2184" t="s">
        <v>19</v>
      </c>
      <c r="C2184">
        <v>2021</v>
      </c>
      <c r="D2184">
        <v>6.875</v>
      </c>
      <c r="E2184">
        <v>20</v>
      </c>
      <c r="F2184">
        <v>14.25</v>
      </c>
      <c r="G2184">
        <v>12.625</v>
      </c>
      <c r="H2184">
        <v>48000</v>
      </c>
      <c r="I2184" t="s">
        <v>25</v>
      </c>
    </row>
    <row r="2185" spans="1:9" hidden="1" x14ac:dyDescent="0.25">
      <c r="A2185">
        <v>27</v>
      </c>
      <c r="B2185" t="s">
        <v>19</v>
      </c>
      <c r="C2185">
        <v>2021</v>
      </c>
      <c r="D2185">
        <v>14.25</v>
      </c>
      <c r="E2185">
        <v>11</v>
      </c>
      <c r="F2185">
        <v>0.25</v>
      </c>
      <c r="G2185">
        <v>25</v>
      </c>
      <c r="H2185">
        <v>48000</v>
      </c>
      <c r="I2185" t="s">
        <v>25</v>
      </c>
    </row>
    <row r="2186" spans="1:9" hidden="1" x14ac:dyDescent="0.25">
      <c r="A2186">
        <v>28</v>
      </c>
      <c r="B2186" t="s">
        <v>19</v>
      </c>
      <c r="C2186">
        <v>2021</v>
      </c>
      <c r="D2186">
        <v>0.25</v>
      </c>
      <c r="E2186">
        <v>26</v>
      </c>
      <c r="F2186">
        <v>4.375</v>
      </c>
      <c r="G2186">
        <v>21.875</v>
      </c>
      <c r="H2186">
        <v>48000</v>
      </c>
      <c r="I2186" t="s">
        <v>25</v>
      </c>
    </row>
    <row r="2187" spans="1:9" hidden="1" x14ac:dyDescent="0.25">
      <c r="A2187">
        <v>29</v>
      </c>
      <c r="B2187" t="s">
        <v>19</v>
      </c>
      <c r="C2187">
        <v>2021</v>
      </c>
      <c r="D2187">
        <v>4.375</v>
      </c>
      <c r="E2187">
        <v>10</v>
      </c>
      <c r="F2187">
        <v>4.25</v>
      </c>
      <c r="G2187">
        <v>10.125</v>
      </c>
      <c r="H2187">
        <v>48000</v>
      </c>
      <c r="I2187" t="s">
        <v>25</v>
      </c>
    </row>
    <row r="2188" spans="1:9" hidden="1" x14ac:dyDescent="0.25">
      <c r="A2188">
        <v>30</v>
      </c>
      <c r="B2188" t="s">
        <v>19</v>
      </c>
      <c r="C2188">
        <v>2021</v>
      </c>
      <c r="D2188">
        <v>4.25</v>
      </c>
      <c r="E2188">
        <v>10</v>
      </c>
      <c r="F2188">
        <v>5.25</v>
      </c>
      <c r="G2188">
        <v>9</v>
      </c>
      <c r="H2188">
        <v>48000</v>
      </c>
      <c r="I2188" t="s">
        <v>25</v>
      </c>
    </row>
    <row r="2189" spans="1:9" x14ac:dyDescent="0.25">
      <c r="A2189">
        <v>1</v>
      </c>
      <c r="B2189" t="s">
        <v>20</v>
      </c>
      <c r="C2189">
        <v>2021</v>
      </c>
      <c r="D2189">
        <v>106.375</v>
      </c>
      <c r="E2189" t="s">
        <v>9</v>
      </c>
      <c r="F2189">
        <v>73</v>
      </c>
      <c r="G2189">
        <v>33.375</v>
      </c>
      <c r="H2189">
        <v>48000</v>
      </c>
      <c r="I2189" t="s">
        <v>22</v>
      </c>
    </row>
    <row r="2190" spans="1:9" x14ac:dyDescent="0.25">
      <c r="A2190">
        <v>2</v>
      </c>
      <c r="B2190" t="s">
        <v>20</v>
      </c>
      <c r="C2190">
        <v>2021</v>
      </c>
      <c r="D2190">
        <v>73</v>
      </c>
      <c r="E2190" t="s">
        <v>9</v>
      </c>
      <c r="F2190">
        <v>51.5</v>
      </c>
      <c r="G2190">
        <v>21.5</v>
      </c>
      <c r="H2190">
        <v>48000</v>
      </c>
      <c r="I2190" t="s">
        <v>22</v>
      </c>
    </row>
    <row r="2191" spans="1:9" x14ac:dyDescent="0.25">
      <c r="A2191">
        <v>3</v>
      </c>
      <c r="B2191" t="s">
        <v>20</v>
      </c>
      <c r="C2191">
        <v>2021</v>
      </c>
      <c r="D2191">
        <v>51.5</v>
      </c>
      <c r="E2191">
        <v>100</v>
      </c>
      <c r="F2191">
        <v>121</v>
      </c>
      <c r="G2191">
        <v>30.5</v>
      </c>
      <c r="H2191">
        <v>48000</v>
      </c>
      <c r="I2191" t="s">
        <v>22</v>
      </c>
    </row>
    <row r="2192" spans="1:9" x14ac:dyDescent="0.25">
      <c r="A2192">
        <v>4</v>
      </c>
      <c r="B2192" t="s">
        <v>20</v>
      </c>
      <c r="C2192">
        <v>2021</v>
      </c>
      <c r="D2192">
        <v>121</v>
      </c>
      <c r="E2192" t="s">
        <v>9</v>
      </c>
      <c r="F2192">
        <v>84</v>
      </c>
      <c r="G2192">
        <v>37</v>
      </c>
      <c r="H2192">
        <v>48000</v>
      </c>
      <c r="I2192" t="s">
        <v>22</v>
      </c>
    </row>
    <row r="2193" spans="1:9" x14ac:dyDescent="0.25">
      <c r="A2193">
        <v>5</v>
      </c>
      <c r="B2193" t="s">
        <v>20</v>
      </c>
      <c r="C2193">
        <v>2021</v>
      </c>
      <c r="D2193">
        <v>84</v>
      </c>
      <c r="E2193">
        <v>40</v>
      </c>
      <c r="F2193">
        <v>84.5</v>
      </c>
      <c r="G2193">
        <v>39.5</v>
      </c>
      <c r="H2193">
        <v>48000</v>
      </c>
      <c r="I2193" t="s">
        <v>22</v>
      </c>
    </row>
    <row r="2194" spans="1:9" x14ac:dyDescent="0.25">
      <c r="A2194">
        <v>6</v>
      </c>
      <c r="B2194" t="s">
        <v>20</v>
      </c>
      <c r="C2194">
        <v>2021</v>
      </c>
      <c r="D2194">
        <v>84.5</v>
      </c>
      <c r="E2194" t="s">
        <v>9</v>
      </c>
      <c r="F2194">
        <v>69.375</v>
      </c>
      <c r="G2194">
        <v>15.125</v>
      </c>
      <c r="H2194">
        <v>48000</v>
      </c>
      <c r="I2194" t="s">
        <v>22</v>
      </c>
    </row>
    <row r="2195" spans="1:9" x14ac:dyDescent="0.25">
      <c r="A2195">
        <v>7</v>
      </c>
      <c r="B2195" t="s">
        <v>20</v>
      </c>
      <c r="C2195">
        <v>2021</v>
      </c>
      <c r="D2195">
        <v>69.375</v>
      </c>
      <c r="E2195">
        <v>100</v>
      </c>
      <c r="F2195">
        <v>133.375</v>
      </c>
      <c r="G2195">
        <v>36</v>
      </c>
      <c r="H2195">
        <v>48000</v>
      </c>
      <c r="I2195" t="s">
        <v>22</v>
      </c>
    </row>
    <row r="2196" spans="1:9" x14ac:dyDescent="0.25">
      <c r="A2196">
        <v>8</v>
      </c>
      <c r="B2196" t="s">
        <v>20</v>
      </c>
      <c r="C2196">
        <v>2021</v>
      </c>
      <c r="D2196">
        <v>133.375</v>
      </c>
      <c r="E2196" t="s">
        <v>9</v>
      </c>
      <c r="F2196">
        <v>99</v>
      </c>
      <c r="G2196">
        <v>34.375</v>
      </c>
      <c r="H2196">
        <v>48000</v>
      </c>
      <c r="I2196" t="s">
        <v>22</v>
      </c>
    </row>
    <row r="2197" spans="1:9" x14ac:dyDescent="0.25">
      <c r="A2197">
        <v>9</v>
      </c>
      <c r="B2197" t="s">
        <v>20</v>
      </c>
      <c r="C2197">
        <v>2021</v>
      </c>
      <c r="D2197">
        <v>99</v>
      </c>
      <c r="E2197" t="s">
        <v>9</v>
      </c>
      <c r="F2197">
        <v>83.5</v>
      </c>
      <c r="G2197">
        <v>15.5</v>
      </c>
      <c r="H2197">
        <v>48000</v>
      </c>
      <c r="I2197" t="s">
        <v>22</v>
      </c>
    </row>
    <row r="2198" spans="1:9" x14ac:dyDescent="0.25">
      <c r="A2198">
        <v>10</v>
      </c>
      <c r="B2198" t="s">
        <v>20</v>
      </c>
      <c r="C2198">
        <v>2021</v>
      </c>
      <c r="D2198">
        <v>83.5</v>
      </c>
      <c r="E2198">
        <v>101</v>
      </c>
      <c r="F2198">
        <v>164.5</v>
      </c>
      <c r="G2198">
        <v>20</v>
      </c>
      <c r="H2198">
        <v>48000</v>
      </c>
      <c r="I2198" t="s">
        <v>22</v>
      </c>
    </row>
    <row r="2199" spans="1:9" x14ac:dyDescent="0.25">
      <c r="A2199">
        <v>11</v>
      </c>
      <c r="B2199" t="s">
        <v>20</v>
      </c>
      <c r="C2199">
        <v>2021</v>
      </c>
      <c r="D2199">
        <v>164.5</v>
      </c>
      <c r="E2199" t="s">
        <v>9</v>
      </c>
      <c r="F2199">
        <v>124.5</v>
      </c>
      <c r="G2199">
        <v>40</v>
      </c>
      <c r="H2199">
        <v>48000</v>
      </c>
      <c r="I2199" t="s">
        <v>22</v>
      </c>
    </row>
    <row r="2200" spans="1:9" x14ac:dyDescent="0.25">
      <c r="A2200">
        <v>12</v>
      </c>
      <c r="B2200" t="s">
        <v>20</v>
      </c>
      <c r="C2200">
        <v>2021</v>
      </c>
      <c r="D2200">
        <v>124.5</v>
      </c>
      <c r="E2200" t="s">
        <v>9</v>
      </c>
      <c r="F2200">
        <v>84.75</v>
      </c>
      <c r="G2200">
        <v>39.75</v>
      </c>
      <c r="H2200">
        <v>48000</v>
      </c>
      <c r="I2200" t="s">
        <v>22</v>
      </c>
    </row>
    <row r="2201" spans="1:9" x14ac:dyDescent="0.25">
      <c r="A2201">
        <v>13</v>
      </c>
      <c r="B2201" t="s">
        <v>20</v>
      </c>
      <c r="C2201">
        <v>2021</v>
      </c>
      <c r="D2201">
        <v>84.75</v>
      </c>
      <c r="E2201" t="s">
        <v>9</v>
      </c>
      <c r="F2201">
        <v>68</v>
      </c>
      <c r="G2201">
        <v>16.75</v>
      </c>
      <c r="H2201">
        <v>48000</v>
      </c>
      <c r="I2201" t="s">
        <v>22</v>
      </c>
    </row>
    <row r="2202" spans="1:9" x14ac:dyDescent="0.25">
      <c r="A2202">
        <v>14</v>
      </c>
      <c r="B2202" t="s">
        <v>20</v>
      </c>
      <c r="C2202">
        <v>2021</v>
      </c>
      <c r="D2202">
        <v>68</v>
      </c>
      <c r="E2202">
        <v>90</v>
      </c>
      <c r="F2202">
        <v>136</v>
      </c>
      <c r="G2202">
        <v>22</v>
      </c>
      <c r="H2202">
        <v>48000</v>
      </c>
      <c r="I2202" t="s">
        <v>22</v>
      </c>
    </row>
    <row r="2203" spans="1:9" x14ac:dyDescent="0.25">
      <c r="A2203">
        <v>15</v>
      </c>
      <c r="B2203" t="s">
        <v>20</v>
      </c>
      <c r="C2203">
        <v>2021</v>
      </c>
      <c r="D2203">
        <v>136</v>
      </c>
      <c r="E2203" t="s">
        <v>9</v>
      </c>
      <c r="F2203">
        <v>107.375</v>
      </c>
      <c r="G2203">
        <v>28.625</v>
      </c>
      <c r="H2203">
        <v>48000</v>
      </c>
      <c r="I2203" t="s">
        <v>22</v>
      </c>
    </row>
    <row r="2204" spans="1:9" x14ac:dyDescent="0.25">
      <c r="A2204">
        <v>16</v>
      </c>
      <c r="B2204" t="s">
        <v>20</v>
      </c>
      <c r="C2204">
        <v>2021</v>
      </c>
      <c r="D2204">
        <v>107.375</v>
      </c>
      <c r="E2204">
        <v>90</v>
      </c>
      <c r="F2204">
        <v>171.25</v>
      </c>
      <c r="G2204">
        <v>26.125</v>
      </c>
      <c r="H2204">
        <v>48000</v>
      </c>
      <c r="I2204" t="s">
        <v>22</v>
      </c>
    </row>
    <row r="2205" spans="1:9" x14ac:dyDescent="0.25">
      <c r="A2205">
        <v>17</v>
      </c>
      <c r="B2205" t="s">
        <v>20</v>
      </c>
      <c r="C2205">
        <v>2021</v>
      </c>
      <c r="D2205">
        <v>171.25</v>
      </c>
      <c r="E2205" t="s">
        <v>9</v>
      </c>
      <c r="F2205">
        <v>137</v>
      </c>
      <c r="G2205">
        <v>34.25</v>
      </c>
      <c r="H2205">
        <v>48000</v>
      </c>
      <c r="I2205" t="s">
        <v>22</v>
      </c>
    </row>
    <row r="2206" spans="1:9" x14ac:dyDescent="0.25">
      <c r="A2206">
        <v>18</v>
      </c>
      <c r="B2206" t="s">
        <v>20</v>
      </c>
      <c r="C2206">
        <v>2021</v>
      </c>
      <c r="D2206">
        <v>137</v>
      </c>
      <c r="E2206">
        <v>50</v>
      </c>
      <c r="F2206">
        <v>137</v>
      </c>
      <c r="G2206">
        <v>50</v>
      </c>
      <c r="H2206">
        <v>48000</v>
      </c>
      <c r="I2206" t="s">
        <v>22</v>
      </c>
    </row>
    <row r="2207" spans="1:9" x14ac:dyDescent="0.25">
      <c r="A2207">
        <v>19</v>
      </c>
      <c r="B2207" t="s">
        <v>20</v>
      </c>
      <c r="C2207">
        <v>2021</v>
      </c>
      <c r="D2207">
        <v>137</v>
      </c>
      <c r="E2207" t="s">
        <v>9</v>
      </c>
      <c r="F2207">
        <v>88.75</v>
      </c>
      <c r="G2207">
        <v>48.25</v>
      </c>
      <c r="H2207">
        <v>48000</v>
      </c>
      <c r="I2207" t="s">
        <v>22</v>
      </c>
    </row>
    <row r="2208" spans="1:9" x14ac:dyDescent="0.25">
      <c r="A2208">
        <v>20</v>
      </c>
      <c r="B2208" t="s">
        <v>20</v>
      </c>
      <c r="C2208">
        <v>2021</v>
      </c>
      <c r="D2208">
        <v>88.75</v>
      </c>
      <c r="E2208">
        <v>40</v>
      </c>
      <c r="F2208">
        <v>95.125</v>
      </c>
      <c r="G2208">
        <v>33.625</v>
      </c>
      <c r="H2208">
        <v>48000</v>
      </c>
      <c r="I2208" t="s">
        <v>22</v>
      </c>
    </row>
    <row r="2209" spans="1:9" x14ac:dyDescent="0.25">
      <c r="A2209">
        <v>21</v>
      </c>
      <c r="B2209" t="s">
        <v>20</v>
      </c>
      <c r="C2209">
        <v>2021</v>
      </c>
      <c r="D2209">
        <v>95.125</v>
      </c>
      <c r="E2209" t="s">
        <v>9</v>
      </c>
      <c r="F2209">
        <v>56.75</v>
      </c>
      <c r="G2209">
        <v>38.375</v>
      </c>
      <c r="H2209">
        <v>48000</v>
      </c>
      <c r="I2209" t="s">
        <v>22</v>
      </c>
    </row>
    <row r="2210" spans="1:9" x14ac:dyDescent="0.25">
      <c r="A2210">
        <v>22</v>
      </c>
      <c r="B2210" t="s">
        <v>20</v>
      </c>
      <c r="C2210">
        <v>2021</v>
      </c>
      <c r="D2210">
        <v>56.75</v>
      </c>
      <c r="E2210">
        <v>120</v>
      </c>
      <c r="F2210">
        <v>141.125</v>
      </c>
      <c r="G2210">
        <v>35.625</v>
      </c>
      <c r="H2210">
        <v>48000</v>
      </c>
      <c r="I2210" t="s">
        <v>22</v>
      </c>
    </row>
    <row r="2211" spans="1:9" x14ac:dyDescent="0.25">
      <c r="A2211">
        <v>23</v>
      </c>
      <c r="B2211" t="s">
        <v>20</v>
      </c>
      <c r="C2211">
        <v>2021</v>
      </c>
      <c r="D2211">
        <v>141.125</v>
      </c>
      <c r="E2211" t="s">
        <v>9</v>
      </c>
      <c r="F2211">
        <v>101.375</v>
      </c>
      <c r="G2211">
        <v>39.75</v>
      </c>
      <c r="H2211">
        <v>48000</v>
      </c>
      <c r="I2211" t="s">
        <v>22</v>
      </c>
    </row>
    <row r="2212" spans="1:9" x14ac:dyDescent="0.25">
      <c r="A2212">
        <v>24</v>
      </c>
      <c r="B2212" t="s">
        <v>20</v>
      </c>
      <c r="C2212">
        <v>2021</v>
      </c>
      <c r="D2212">
        <v>101.375</v>
      </c>
      <c r="E2212" t="s">
        <v>9</v>
      </c>
      <c r="F2212">
        <v>101.375</v>
      </c>
      <c r="G2212">
        <v>0</v>
      </c>
      <c r="H2212">
        <v>48000</v>
      </c>
      <c r="I2212" t="s">
        <v>22</v>
      </c>
    </row>
    <row r="2213" spans="1:9" x14ac:dyDescent="0.25">
      <c r="A2213">
        <v>25</v>
      </c>
      <c r="B2213" t="s">
        <v>20</v>
      </c>
      <c r="C2213">
        <v>2021</v>
      </c>
      <c r="D2213">
        <v>101.375</v>
      </c>
      <c r="E2213" t="s">
        <v>9</v>
      </c>
      <c r="F2213">
        <v>52.75</v>
      </c>
      <c r="G2213">
        <v>48.625</v>
      </c>
      <c r="H2213">
        <v>48000</v>
      </c>
      <c r="I2213" t="s">
        <v>22</v>
      </c>
    </row>
    <row r="2214" spans="1:9" x14ac:dyDescent="0.25">
      <c r="A2214">
        <v>26</v>
      </c>
      <c r="B2214" t="s">
        <v>20</v>
      </c>
      <c r="C2214">
        <v>2021</v>
      </c>
      <c r="D2214">
        <v>52.75</v>
      </c>
      <c r="E2214">
        <v>80</v>
      </c>
      <c r="F2214">
        <v>72.75</v>
      </c>
      <c r="G2214">
        <v>60</v>
      </c>
      <c r="H2214">
        <v>48000</v>
      </c>
      <c r="I2214" t="s">
        <v>22</v>
      </c>
    </row>
    <row r="2215" spans="1:9" x14ac:dyDescent="0.25">
      <c r="A2215">
        <v>27</v>
      </c>
      <c r="B2215" t="s">
        <v>20</v>
      </c>
      <c r="C2215">
        <v>2021</v>
      </c>
      <c r="D2215">
        <v>72.75</v>
      </c>
      <c r="E2215" t="s">
        <v>9</v>
      </c>
      <c r="F2215">
        <v>42.75</v>
      </c>
      <c r="G2215">
        <v>30</v>
      </c>
      <c r="H2215">
        <v>48000</v>
      </c>
      <c r="I2215" t="s">
        <v>22</v>
      </c>
    </row>
    <row r="2216" spans="1:9" x14ac:dyDescent="0.25">
      <c r="A2216">
        <v>28</v>
      </c>
      <c r="B2216" t="s">
        <v>20</v>
      </c>
      <c r="C2216">
        <v>2021</v>
      </c>
      <c r="D2216">
        <v>42.75</v>
      </c>
      <c r="E2216">
        <v>100</v>
      </c>
      <c r="F2216">
        <v>104.5</v>
      </c>
      <c r="G2216">
        <v>38.25</v>
      </c>
      <c r="H2216">
        <v>48000</v>
      </c>
      <c r="I2216" t="s">
        <v>22</v>
      </c>
    </row>
    <row r="2217" spans="1:9" x14ac:dyDescent="0.25">
      <c r="A2217">
        <v>29</v>
      </c>
      <c r="B2217" t="s">
        <v>20</v>
      </c>
      <c r="C2217">
        <v>2021</v>
      </c>
      <c r="D2217">
        <v>104.5</v>
      </c>
      <c r="E2217" t="s">
        <v>9</v>
      </c>
      <c r="F2217">
        <v>59.125</v>
      </c>
      <c r="G2217">
        <v>45.375</v>
      </c>
      <c r="H2217">
        <v>48000</v>
      </c>
      <c r="I2217" t="s">
        <v>22</v>
      </c>
    </row>
    <row r="2218" spans="1:9" x14ac:dyDescent="0.25">
      <c r="A2218">
        <v>30</v>
      </c>
      <c r="B2218" t="s">
        <v>20</v>
      </c>
      <c r="C2218">
        <v>2021</v>
      </c>
      <c r="D2218">
        <v>59.125</v>
      </c>
      <c r="E2218">
        <v>120</v>
      </c>
      <c r="F2218">
        <v>149.375</v>
      </c>
      <c r="G2218">
        <v>29.75</v>
      </c>
      <c r="H2218">
        <v>48000</v>
      </c>
      <c r="I2218" t="s">
        <v>22</v>
      </c>
    </row>
    <row r="2219" spans="1:9" x14ac:dyDescent="0.25">
      <c r="A2219">
        <v>31</v>
      </c>
      <c r="B2219" t="s">
        <v>20</v>
      </c>
      <c r="C2219">
        <v>2021</v>
      </c>
      <c r="D2219">
        <v>59.125</v>
      </c>
      <c r="E2219" t="s">
        <v>9</v>
      </c>
      <c r="F2219">
        <v>59.125</v>
      </c>
      <c r="G2219">
        <v>0</v>
      </c>
      <c r="H2219">
        <v>48000</v>
      </c>
      <c r="I2219" t="s">
        <v>22</v>
      </c>
    </row>
    <row r="2220" spans="1:9" hidden="1" x14ac:dyDescent="0.25">
      <c r="A2220">
        <v>1</v>
      </c>
      <c r="B2220" t="s">
        <v>20</v>
      </c>
      <c r="C2220">
        <v>2021</v>
      </c>
      <c r="D2220">
        <v>74.5</v>
      </c>
      <c r="E2220" t="s">
        <v>9</v>
      </c>
      <c r="F2220">
        <v>24</v>
      </c>
      <c r="G2220">
        <v>50.5</v>
      </c>
      <c r="H2220">
        <v>48000</v>
      </c>
      <c r="I2220" t="s">
        <v>23</v>
      </c>
    </row>
    <row r="2221" spans="1:9" hidden="1" x14ac:dyDescent="0.25">
      <c r="A2221">
        <v>2</v>
      </c>
      <c r="B2221" t="s">
        <v>20</v>
      </c>
      <c r="C2221">
        <v>2021</v>
      </c>
      <c r="D2221">
        <v>24</v>
      </c>
      <c r="E2221">
        <v>40</v>
      </c>
      <c r="F2221">
        <v>18</v>
      </c>
      <c r="G2221">
        <v>46</v>
      </c>
      <c r="H2221">
        <v>48000</v>
      </c>
      <c r="I2221" t="s">
        <v>23</v>
      </c>
    </row>
    <row r="2222" spans="1:9" hidden="1" x14ac:dyDescent="0.25">
      <c r="A2222">
        <v>3</v>
      </c>
      <c r="B2222" t="s">
        <v>20</v>
      </c>
      <c r="C2222">
        <v>2021</v>
      </c>
      <c r="D2222">
        <v>18</v>
      </c>
      <c r="E2222">
        <v>150</v>
      </c>
      <c r="F2222">
        <v>97.5</v>
      </c>
      <c r="G2222">
        <v>70.5</v>
      </c>
      <c r="H2222">
        <v>48000</v>
      </c>
      <c r="I2222" t="s">
        <v>23</v>
      </c>
    </row>
    <row r="2223" spans="1:9" hidden="1" x14ac:dyDescent="0.25">
      <c r="A2223">
        <v>4</v>
      </c>
      <c r="B2223" t="s">
        <v>20</v>
      </c>
      <c r="C2223">
        <v>2021</v>
      </c>
      <c r="D2223">
        <v>97.5</v>
      </c>
      <c r="E2223" t="s">
        <v>9</v>
      </c>
      <c r="F2223">
        <v>41</v>
      </c>
      <c r="G2223">
        <v>56.5</v>
      </c>
      <c r="H2223">
        <v>48000</v>
      </c>
      <c r="I2223" t="s">
        <v>23</v>
      </c>
    </row>
    <row r="2224" spans="1:9" hidden="1" x14ac:dyDescent="0.25">
      <c r="A2224">
        <v>5</v>
      </c>
      <c r="B2224" t="s">
        <v>20</v>
      </c>
      <c r="C2224">
        <v>2021</v>
      </c>
      <c r="D2224">
        <v>41</v>
      </c>
      <c r="E2224">
        <v>100</v>
      </c>
      <c r="F2224">
        <v>82.125</v>
      </c>
      <c r="G2224">
        <v>58.875</v>
      </c>
      <c r="H2224">
        <v>48000</v>
      </c>
      <c r="I2224" t="s">
        <v>23</v>
      </c>
    </row>
    <row r="2225" spans="1:9" hidden="1" x14ac:dyDescent="0.25">
      <c r="A2225">
        <v>6</v>
      </c>
      <c r="B2225" t="s">
        <v>20</v>
      </c>
      <c r="C2225">
        <v>2021</v>
      </c>
      <c r="D2225">
        <v>82.125</v>
      </c>
      <c r="E2225" t="s">
        <v>9</v>
      </c>
      <c r="F2225">
        <v>46.5</v>
      </c>
      <c r="G2225">
        <v>35.625</v>
      </c>
      <c r="H2225">
        <v>48000</v>
      </c>
      <c r="I2225" t="s">
        <v>23</v>
      </c>
    </row>
    <row r="2226" spans="1:9" hidden="1" x14ac:dyDescent="0.25">
      <c r="A2226">
        <v>7</v>
      </c>
      <c r="B2226" t="s">
        <v>20</v>
      </c>
      <c r="C2226">
        <v>2021</v>
      </c>
      <c r="D2226">
        <v>46.5</v>
      </c>
      <c r="E2226">
        <v>200</v>
      </c>
      <c r="F2226">
        <v>182</v>
      </c>
      <c r="G2226">
        <v>64.5</v>
      </c>
      <c r="H2226">
        <v>48000</v>
      </c>
      <c r="I2226" t="s">
        <v>23</v>
      </c>
    </row>
    <row r="2227" spans="1:9" hidden="1" x14ac:dyDescent="0.25">
      <c r="A2227">
        <v>8</v>
      </c>
      <c r="B2227" t="s">
        <v>20</v>
      </c>
      <c r="C2227">
        <v>2021</v>
      </c>
      <c r="D2227">
        <v>182</v>
      </c>
      <c r="E2227" t="s">
        <v>9</v>
      </c>
      <c r="F2227">
        <v>118</v>
      </c>
      <c r="G2227">
        <v>64</v>
      </c>
      <c r="H2227">
        <v>48000</v>
      </c>
      <c r="I2227" t="s">
        <v>23</v>
      </c>
    </row>
    <row r="2228" spans="1:9" hidden="1" x14ac:dyDescent="0.25">
      <c r="A2228">
        <v>9</v>
      </c>
      <c r="B2228" t="s">
        <v>20</v>
      </c>
      <c r="C2228">
        <v>2021</v>
      </c>
      <c r="D2228">
        <v>118</v>
      </c>
      <c r="E2228" t="s">
        <v>9</v>
      </c>
      <c r="F2228">
        <v>75.25</v>
      </c>
      <c r="G2228">
        <v>42.75</v>
      </c>
      <c r="H2228">
        <v>48000</v>
      </c>
      <c r="I2228" t="s">
        <v>23</v>
      </c>
    </row>
    <row r="2229" spans="1:9" hidden="1" x14ac:dyDescent="0.25">
      <c r="A2229">
        <v>10</v>
      </c>
      <c r="B2229" t="s">
        <v>20</v>
      </c>
      <c r="C2229">
        <v>2021</v>
      </c>
      <c r="D2229">
        <v>75.25</v>
      </c>
      <c r="E2229">
        <v>150</v>
      </c>
      <c r="F2229">
        <v>174.25</v>
      </c>
      <c r="G2229">
        <v>51</v>
      </c>
      <c r="H2229">
        <v>48000</v>
      </c>
      <c r="I2229" t="s">
        <v>23</v>
      </c>
    </row>
    <row r="2230" spans="1:9" hidden="1" x14ac:dyDescent="0.25">
      <c r="A2230">
        <v>11</v>
      </c>
      <c r="B2230" t="s">
        <v>20</v>
      </c>
      <c r="C2230">
        <v>2021</v>
      </c>
      <c r="D2230">
        <v>174.25</v>
      </c>
      <c r="E2230" t="s">
        <v>9</v>
      </c>
      <c r="F2230">
        <v>112</v>
      </c>
      <c r="G2230">
        <v>62.25</v>
      </c>
      <c r="H2230">
        <v>48000</v>
      </c>
      <c r="I2230" t="s">
        <v>23</v>
      </c>
    </row>
    <row r="2231" spans="1:9" hidden="1" x14ac:dyDescent="0.25">
      <c r="A2231">
        <v>12</v>
      </c>
      <c r="B2231" t="s">
        <v>20</v>
      </c>
      <c r="C2231">
        <v>2021</v>
      </c>
      <c r="D2231">
        <v>112</v>
      </c>
      <c r="E2231" t="s">
        <v>9</v>
      </c>
      <c r="F2231">
        <v>67.5</v>
      </c>
      <c r="G2231">
        <v>44.5</v>
      </c>
      <c r="H2231">
        <v>48000</v>
      </c>
      <c r="I2231" t="s">
        <v>23</v>
      </c>
    </row>
    <row r="2232" spans="1:9" hidden="1" x14ac:dyDescent="0.25">
      <c r="A2232">
        <v>13</v>
      </c>
      <c r="B2232" t="s">
        <v>20</v>
      </c>
      <c r="C2232">
        <v>2021</v>
      </c>
      <c r="D2232">
        <v>67.5</v>
      </c>
      <c r="E2232" t="s">
        <v>9</v>
      </c>
      <c r="F2232">
        <v>30.5</v>
      </c>
      <c r="G2232">
        <v>37</v>
      </c>
      <c r="H2232">
        <v>48000</v>
      </c>
      <c r="I2232" t="s">
        <v>23</v>
      </c>
    </row>
    <row r="2233" spans="1:9" hidden="1" x14ac:dyDescent="0.25">
      <c r="A2233">
        <v>14</v>
      </c>
      <c r="B2233" t="s">
        <v>20</v>
      </c>
      <c r="C2233">
        <v>2021</v>
      </c>
      <c r="D2233">
        <v>30.5</v>
      </c>
      <c r="E2233">
        <v>200</v>
      </c>
      <c r="F2233">
        <v>189.5</v>
      </c>
      <c r="G2233">
        <v>41</v>
      </c>
      <c r="H2233">
        <v>48000</v>
      </c>
      <c r="I2233" t="s">
        <v>23</v>
      </c>
    </row>
    <row r="2234" spans="1:9" hidden="1" x14ac:dyDescent="0.25">
      <c r="A2234">
        <v>15</v>
      </c>
      <c r="B2234" t="s">
        <v>20</v>
      </c>
      <c r="C2234">
        <v>2021</v>
      </c>
      <c r="D2234">
        <v>189.5</v>
      </c>
      <c r="E2234" t="s">
        <v>9</v>
      </c>
      <c r="F2234">
        <v>137</v>
      </c>
      <c r="G2234">
        <v>52.5</v>
      </c>
      <c r="H2234">
        <v>48000</v>
      </c>
      <c r="I2234" t="s">
        <v>23</v>
      </c>
    </row>
    <row r="2235" spans="1:9" hidden="1" x14ac:dyDescent="0.25">
      <c r="A2235">
        <v>16</v>
      </c>
      <c r="B2235" t="s">
        <v>20</v>
      </c>
      <c r="C2235">
        <v>2021</v>
      </c>
      <c r="D2235">
        <v>137</v>
      </c>
      <c r="E2235">
        <v>100</v>
      </c>
      <c r="F2235">
        <v>189</v>
      </c>
      <c r="G2235">
        <v>48</v>
      </c>
      <c r="H2235">
        <v>48000</v>
      </c>
      <c r="I2235" t="s">
        <v>23</v>
      </c>
    </row>
    <row r="2236" spans="1:9" hidden="1" x14ac:dyDescent="0.25">
      <c r="A2236">
        <v>17</v>
      </c>
      <c r="B2236" t="s">
        <v>20</v>
      </c>
      <c r="C2236">
        <v>2021</v>
      </c>
      <c r="D2236">
        <v>189</v>
      </c>
      <c r="E2236" t="s">
        <v>9</v>
      </c>
      <c r="F2236">
        <v>138.375</v>
      </c>
      <c r="G2236">
        <v>50.625</v>
      </c>
      <c r="H2236">
        <v>48000</v>
      </c>
      <c r="I2236" t="s">
        <v>23</v>
      </c>
    </row>
    <row r="2237" spans="1:9" hidden="1" x14ac:dyDescent="0.25">
      <c r="A2237">
        <v>18</v>
      </c>
      <c r="B2237" t="s">
        <v>20</v>
      </c>
      <c r="C2237">
        <v>2021</v>
      </c>
      <c r="D2237">
        <v>138.375</v>
      </c>
      <c r="E2237">
        <v>50</v>
      </c>
      <c r="F2237">
        <v>132.5</v>
      </c>
      <c r="G2237">
        <v>55.875</v>
      </c>
      <c r="H2237">
        <v>48000</v>
      </c>
      <c r="I2237" t="s">
        <v>23</v>
      </c>
    </row>
    <row r="2238" spans="1:9" hidden="1" x14ac:dyDescent="0.25">
      <c r="A2238">
        <v>19</v>
      </c>
      <c r="B2238" t="s">
        <v>20</v>
      </c>
      <c r="C2238">
        <v>2021</v>
      </c>
      <c r="D2238">
        <v>132.5</v>
      </c>
      <c r="E2238" t="s">
        <v>9</v>
      </c>
      <c r="F2238">
        <v>54.5</v>
      </c>
      <c r="G2238">
        <v>78</v>
      </c>
      <c r="H2238">
        <v>48000</v>
      </c>
      <c r="I2238" t="s">
        <v>23</v>
      </c>
    </row>
    <row r="2239" spans="1:9" hidden="1" x14ac:dyDescent="0.25">
      <c r="A2239">
        <v>20</v>
      </c>
      <c r="B2239" t="s">
        <v>20</v>
      </c>
      <c r="C2239">
        <v>2021</v>
      </c>
      <c r="D2239">
        <v>54.5</v>
      </c>
      <c r="E2239">
        <v>100</v>
      </c>
      <c r="F2239">
        <v>105.5</v>
      </c>
      <c r="G2239">
        <v>49</v>
      </c>
      <c r="H2239">
        <v>48000</v>
      </c>
      <c r="I2239" t="s">
        <v>23</v>
      </c>
    </row>
    <row r="2240" spans="1:9" hidden="1" x14ac:dyDescent="0.25">
      <c r="A2240">
        <v>21</v>
      </c>
      <c r="B2240" t="s">
        <v>20</v>
      </c>
      <c r="C2240">
        <v>2021</v>
      </c>
      <c r="D2240">
        <v>105.5</v>
      </c>
      <c r="E2240" t="s">
        <v>9</v>
      </c>
      <c r="F2240">
        <v>47.375</v>
      </c>
      <c r="G2240">
        <v>58.125</v>
      </c>
      <c r="H2240">
        <v>48000</v>
      </c>
      <c r="I2240" t="s">
        <v>23</v>
      </c>
    </row>
    <row r="2241" spans="1:9" hidden="1" x14ac:dyDescent="0.25">
      <c r="A2241">
        <v>22</v>
      </c>
      <c r="B2241" t="s">
        <v>20</v>
      </c>
      <c r="C2241">
        <v>2021</v>
      </c>
      <c r="D2241">
        <v>47.375</v>
      </c>
      <c r="E2241">
        <v>200</v>
      </c>
      <c r="F2241">
        <v>189.25</v>
      </c>
      <c r="G2241">
        <v>58.125</v>
      </c>
      <c r="H2241">
        <v>48000</v>
      </c>
      <c r="I2241" t="s">
        <v>23</v>
      </c>
    </row>
    <row r="2242" spans="1:9" hidden="1" x14ac:dyDescent="0.25">
      <c r="A2242">
        <v>23</v>
      </c>
      <c r="B2242" t="s">
        <v>20</v>
      </c>
      <c r="C2242">
        <v>2021</v>
      </c>
      <c r="D2242">
        <v>189.25</v>
      </c>
      <c r="E2242" t="s">
        <v>9</v>
      </c>
      <c r="F2242">
        <v>135.25</v>
      </c>
      <c r="G2242">
        <v>54</v>
      </c>
      <c r="H2242">
        <v>48000</v>
      </c>
      <c r="I2242" t="s">
        <v>23</v>
      </c>
    </row>
    <row r="2243" spans="1:9" hidden="1" x14ac:dyDescent="0.25">
      <c r="A2243">
        <v>24</v>
      </c>
      <c r="B2243" t="s">
        <v>20</v>
      </c>
      <c r="C2243">
        <v>2021</v>
      </c>
      <c r="D2243">
        <v>135.25</v>
      </c>
      <c r="E2243" t="s">
        <v>9</v>
      </c>
      <c r="F2243">
        <v>135.25</v>
      </c>
      <c r="G2243">
        <v>0</v>
      </c>
      <c r="H2243">
        <v>48000</v>
      </c>
      <c r="I2243" t="s">
        <v>23</v>
      </c>
    </row>
    <row r="2244" spans="1:9" hidden="1" x14ac:dyDescent="0.25">
      <c r="A2244">
        <v>25</v>
      </c>
      <c r="B2244" t="s">
        <v>20</v>
      </c>
      <c r="C2244">
        <v>2021</v>
      </c>
      <c r="D2244">
        <v>135.25</v>
      </c>
      <c r="E2244" t="s">
        <v>9</v>
      </c>
      <c r="F2244">
        <v>55</v>
      </c>
      <c r="G2244">
        <v>80.25</v>
      </c>
      <c r="H2244">
        <v>48000</v>
      </c>
      <c r="I2244" t="s">
        <v>23</v>
      </c>
    </row>
    <row r="2245" spans="1:9" hidden="1" x14ac:dyDescent="0.25">
      <c r="A2245">
        <v>26</v>
      </c>
      <c r="B2245" t="s">
        <v>20</v>
      </c>
      <c r="C2245">
        <v>2021</v>
      </c>
      <c r="D2245">
        <v>55</v>
      </c>
      <c r="E2245">
        <v>100</v>
      </c>
      <c r="F2245">
        <v>76</v>
      </c>
      <c r="G2245">
        <v>79</v>
      </c>
      <c r="H2245">
        <v>48000</v>
      </c>
      <c r="I2245" t="s">
        <v>23</v>
      </c>
    </row>
    <row r="2246" spans="1:9" hidden="1" x14ac:dyDescent="0.25">
      <c r="A2246">
        <v>27</v>
      </c>
      <c r="B2246" t="s">
        <v>20</v>
      </c>
      <c r="C2246">
        <v>2021</v>
      </c>
      <c r="D2246">
        <v>76</v>
      </c>
      <c r="E2246" t="s">
        <v>9</v>
      </c>
      <c r="F2246">
        <v>39.625</v>
      </c>
      <c r="G2246">
        <v>36.375</v>
      </c>
      <c r="H2246">
        <v>48000</v>
      </c>
      <c r="I2246" t="s">
        <v>23</v>
      </c>
    </row>
    <row r="2247" spans="1:9" hidden="1" x14ac:dyDescent="0.25">
      <c r="A2247">
        <v>28</v>
      </c>
      <c r="B2247" t="s">
        <v>20</v>
      </c>
      <c r="C2247">
        <v>2021</v>
      </c>
      <c r="D2247">
        <v>39.625</v>
      </c>
      <c r="E2247">
        <v>140</v>
      </c>
      <c r="F2247">
        <v>139</v>
      </c>
      <c r="G2247">
        <v>40.625</v>
      </c>
      <c r="H2247">
        <v>48000</v>
      </c>
      <c r="I2247" t="s">
        <v>23</v>
      </c>
    </row>
    <row r="2248" spans="1:9" hidden="1" x14ac:dyDescent="0.25">
      <c r="A2248">
        <v>29</v>
      </c>
      <c r="B2248" t="s">
        <v>20</v>
      </c>
      <c r="C2248">
        <v>2021</v>
      </c>
      <c r="D2248">
        <v>139</v>
      </c>
      <c r="E2248" t="s">
        <v>9</v>
      </c>
      <c r="F2248">
        <v>95</v>
      </c>
      <c r="G2248">
        <v>44</v>
      </c>
      <c r="H2248">
        <v>48000</v>
      </c>
      <c r="I2248" t="s">
        <v>23</v>
      </c>
    </row>
    <row r="2249" spans="1:9" hidden="1" x14ac:dyDescent="0.25">
      <c r="A2249">
        <v>30</v>
      </c>
      <c r="B2249" t="s">
        <v>20</v>
      </c>
      <c r="C2249">
        <v>2021</v>
      </c>
      <c r="D2249">
        <v>95</v>
      </c>
      <c r="E2249">
        <v>150</v>
      </c>
      <c r="F2249">
        <v>193</v>
      </c>
      <c r="G2249">
        <v>52</v>
      </c>
      <c r="H2249">
        <v>48000</v>
      </c>
      <c r="I2249" t="s">
        <v>23</v>
      </c>
    </row>
    <row r="2250" spans="1:9" hidden="1" x14ac:dyDescent="0.25">
      <c r="A2250">
        <v>31</v>
      </c>
      <c r="B2250" t="s">
        <v>20</v>
      </c>
      <c r="C2250">
        <v>2021</v>
      </c>
      <c r="D2250">
        <v>193</v>
      </c>
      <c r="E2250" t="s">
        <v>9</v>
      </c>
      <c r="F2250">
        <v>193</v>
      </c>
      <c r="G2250">
        <v>0</v>
      </c>
      <c r="H2250">
        <v>48000</v>
      </c>
      <c r="I2250" t="s">
        <v>23</v>
      </c>
    </row>
    <row r="2251" spans="1:9" hidden="1" x14ac:dyDescent="0.25">
      <c r="A2251">
        <v>1</v>
      </c>
      <c r="B2251" t="s">
        <v>20</v>
      </c>
      <c r="C2251">
        <v>2021</v>
      </c>
      <c r="D2251">
        <v>5.25</v>
      </c>
      <c r="E2251">
        <v>30</v>
      </c>
      <c r="F2251">
        <v>20.75</v>
      </c>
      <c r="G2251">
        <v>14.5</v>
      </c>
      <c r="H2251">
        <v>48000</v>
      </c>
      <c r="I2251" t="s">
        <v>25</v>
      </c>
    </row>
    <row r="2252" spans="1:9" hidden="1" x14ac:dyDescent="0.25">
      <c r="A2252">
        <v>2</v>
      </c>
      <c r="B2252" t="s">
        <v>20</v>
      </c>
      <c r="C2252">
        <v>2021</v>
      </c>
      <c r="D2252">
        <v>20.75</v>
      </c>
      <c r="E2252" t="s">
        <v>9</v>
      </c>
      <c r="F2252">
        <v>11.25</v>
      </c>
      <c r="G2252">
        <v>9.5</v>
      </c>
      <c r="H2252">
        <v>48000</v>
      </c>
      <c r="I2252" t="s">
        <v>25</v>
      </c>
    </row>
    <row r="2253" spans="1:9" hidden="1" x14ac:dyDescent="0.25">
      <c r="A2253">
        <v>3</v>
      </c>
      <c r="B2253" t="s">
        <v>20</v>
      </c>
      <c r="C2253">
        <v>2021</v>
      </c>
      <c r="D2253">
        <v>11.25</v>
      </c>
      <c r="E2253">
        <v>74</v>
      </c>
      <c r="F2253">
        <v>70</v>
      </c>
      <c r="G2253">
        <v>15.25</v>
      </c>
      <c r="H2253">
        <v>48000</v>
      </c>
      <c r="I2253" t="s">
        <v>25</v>
      </c>
    </row>
    <row r="2254" spans="1:9" hidden="1" x14ac:dyDescent="0.25">
      <c r="A2254">
        <v>4</v>
      </c>
      <c r="B2254" t="s">
        <v>20</v>
      </c>
      <c r="C2254">
        <v>2021</v>
      </c>
      <c r="D2254">
        <v>70</v>
      </c>
      <c r="E2254" t="s">
        <v>9</v>
      </c>
      <c r="F2254">
        <v>47.5</v>
      </c>
      <c r="G2254">
        <v>22.5</v>
      </c>
      <c r="H2254">
        <v>48000</v>
      </c>
      <c r="I2254" t="s">
        <v>25</v>
      </c>
    </row>
    <row r="2255" spans="1:9" hidden="1" x14ac:dyDescent="0.25">
      <c r="A2255">
        <v>5</v>
      </c>
      <c r="B2255" t="s">
        <v>20</v>
      </c>
      <c r="C2255">
        <v>2021</v>
      </c>
      <c r="D2255">
        <v>47.5</v>
      </c>
      <c r="E2255" t="s">
        <v>9</v>
      </c>
      <c r="F2255">
        <v>22.75</v>
      </c>
      <c r="G2255">
        <v>24.75</v>
      </c>
      <c r="H2255">
        <v>48000</v>
      </c>
      <c r="I2255" t="s">
        <v>25</v>
      </c>
    </row>
    <row r="2256" spans="1:9" hidden="1" x14ac:dyDescent="0.25">
      <c r="A2256">
        <v>6</v>
      </c>
      <c r="B2256" t="s">
        <v>20</v>
      </c>
      <c r="C2256">
        <v>2021</v>
      </c>
      <c r="D2256">
        <v>22.75</v>
      </c>
      <c r="E2256" t="s">
        <v>9</v>
      </c>
      <c r="F2256">
        <v>16</v>
      </c>
      <c r="G2256">
        <v>6.75</v>
      </c>
      <c r="H2256">
        <v>48000</v>
      </c>
      <c r="I2256" t="s">
        <v>25</v>
      </c>
    </row>
    <row r="2257" spans="1:9" hidden="1" x14ac:dyDescent="0.25">
      <c r="A2257">
        <v>7</v>
      </c>
      <c r="B2257" t="s">
        <v>20</v>
      </c>
      <c r="C2257">
        <v>2021</v>
      </c>
      <c r="D2257">
        <v>16</v>
      </c>
      <c r="E2257">
        <v>100</v>
      </c>
      <c r="F2257">
        <v>91.25</v>
      </c>
      <c r="G2257">
        <v>24.75</v>
      </c>
      <c r="H2257">
        <v>48000</v>
      </c>
      <c r="I2257" t="s">
        <v>25</v>
      </c>
    </row>
    <row r="2258" spans="1:9" hidden="1" x14ac:dyDescent="0.25">
      <c r="A2258">
        <v>8</v>
      </c>
      <c r="B2258" t="s">
        <v>20</v>
      </c>
      <c r="C2258">
        <v>2021</v>
      </c>
      <c r="D2258">
        <v>91.25</v>
      </c>
      <c r="E2258" t="s">
        <v>9</v>
      </c>
      <c r="F2258">
        <v>74.375</v>
      </c>
      <c r="G2258">
        <v>16.875</v>
      </c>
      <c r="H2258">
        <v>48000</v>
      </c>
      <c r="I2258" t="s">
        <v>25</v>
      </c>
    </row>
    <row r="2259" spans="1:9" hidden="1" x14ac:dyDescent="0.25">
      <c r="A2259">
        <v>9</v>
      </c>
      <c r="B2259" t="s">
        <v>20</v>
      </c>
      <c r="C2259">
        <v>2021</v>
      </c>
      <c r="D2259">
        <v>74.375</v>
      </c>
      <c r="E2259" t="s">
        <v>9</v>
      </c>
      <c r="F2259">
        <v>69</v>
      </c>
      <c r="G2259">
        <v>5.375</v>
      </c>
      <c r="H2259">
        <v>48000</v>
      </c>
      <c r="I2259" t="s">
        <v>25</v>
      </c>
    </row>
    <row r="2260" spans="1:9" hidden="1" x14ac:dyDescent="0.25">
      <c r="A2260">
        <v>10</v>
      </c>
      <c r="B2260" t="s">
        <v>20</v>
      </c>
      <c r="C2260">
        <v>2021</v>
      </c>
      <c r="D2260">
        <v>69</v>
      </c>
      <c r="E2260" t="s">
        <v>9</v>
      </c>
      <c r="F2260">
        <v>61</v>
      </c>
      <c r="G2260">
        <v>8</v>
      </c>
      <c r="H2260">
        <v>48000</v>
      </c>
      <c r="I2260" t="s">
        <v>25</v>
      </c>
    </row>
    <row r="2261" spans="1:9" hidden="1" x14ac:dyDescent="0.25">
      <c r="A2261">
        <v>11</v>
      </c>
      <c r="B2261" t="s">
        <v>20</v>
      </c>
      <c r="C2261">
        <v>2021</v>
      </c>
      <c r="D2261">
        <v>61</v>
      </c>
      <c r="E2261" t="s">
        <v>9</v>
      </c>
      <c r="F2261">
        <v>42.75</v>
      </c>
      <c r="G2261">
        <v>18.25</v>
      </c>
      <c r="H2261">
        <v>48000</v>
      </c>
      <c r="I2261" t="s">
        <v>25</v>
      </c>
    </row>
    <row r="2262" spans="1:9" hidden="1" x14ac:dyDescent="0.25">
      <c r="A2262">
        <v>12</v>
      </c>
      <c r="B2262" t="s">
        <v>20</v>
      </c>
      <c r="C2262">
        <v>2021</v>
      </c>
      <c r="D2262">
        <v>42.75</v>
      </c>
      <c r="E2262" t="s">
        <v>9</v>
      </c>
      <c r="F2262">
        <v>24.875</v>
      </c>
      <c r="G2262">
        <v>17.875</v>
      </c>
      <c r="H2262">
        <v>48000</v>
      </c>
      <c r="I2262" t="s">
        <v>25</v>
      </c>
    </row>
    <row r="2263" spans="1:9" hidden="1" x14ac:dyDescent="0.25">
      <c r="A2263">
        <v>13</v>
      </c>
      <c r="B2263" t="s">
        <v>20</v>
      </c>
      <c r="C2263">
        <v>2021</v>
      </c>
      <c r="D2263">
        <v>24.875</v>
      </c>
      <c r="E2263" t="s">
        <v>9</v>
      </c>
      <c r="F2263">
        <v>14.5</v>
      </c>
      <c r="G2263">
        <v>10.375</v>
      </c>
      <c r="H2263">
        <v>48000</v>
      </c>
      <c r="I2263" t="s">
        <v>25</v>
      </c>
    </row>
    <row r="2264" spans="1:9" hidden="1" x14ac:dyDescent="0.25">
      <c r="A2264">
        <v>14</v>
      </c>
      <c r="B2264" t="s">
        <v>20</v>
      </c>
      <c r="C2264">
        <v>2021</v>
      </c>
      <c r="D2264">
        <v>14.5</v>
      </c>
      <c r="E2264" t="s">
        <v>9</v>
      </c>
      <c r="F2264">
        <v>3.5</v>
      </c>
      <c r="G2264">
        <v>11</v>
      </c>
      <c r="H2264">
        <v>48000</v>
      </c>
      <c r="I2264" t="s">
        <v>25</v>
      </c>
    </row>
    <row r="2265" spans="1:9" hidden="1" x14ac:dyDescent="0.25">
      <c r="A2265">
        <v>15</v>
      </c>
      <c r="B2265" t="s">
        <v>20</v>
      </c>
      <c r="C2265">
        <v>2021</v>
      </c>
      <c r="D2265">
        <v>3.5</v>
      </c>
      <c r="E2265">
        <v>50</v>
      </c>
      <c r="F2265">
        <v>44.75</v>
      </c>
      <c r="G2265">
        <v>8.75</v>
      </c>
      <c r="H2265">
        <v>48000</v>
      </c>
      <c r="I2265" t="s">
        <v>25</v>
      </c>
    </row>
    <row r="2266" spans="1:9" hidden="1" x14ac:dyDescent="0.25">
      <c r="A2266">
        <v>16</v>
      </c>
      <c r="B2266" t="s">
        <v>20</v>
      </c>
      <c r="C2266">
        <v>2021</v>
      </c>
      <c r="D2266">
        <v>44.75</v>
      </c>
      <c r="E2266" t="s">
        <v>9</v>
      </c>
      <c r="F2266">
        <v>34</v>
      </c>
      <c r="G2266">
        <v>10.75</v>
      </c>
      <c r="H2266">
        <v>48000</v>
      </c>
      <c r="I2266" t="s">
        <v>25</v>
      </c>
    </row>
    <row r="2267" spans="1:9" hidden="1" x14ac:dyDescent="0.25">
      <c r="A2267">
        <v>17</v>
      </c>
      <c r="B2267" t="s">
        <v>20</v>
      </c>
      <c r="C2267">
        <v>2021</v>
      </c>
      <c r="D2267">
        <v>34</v>
      </c>
      <c r="E2267" t="s">
        <v>9</v>
      </c>
      <c r="F2267">
        <v>22</v>
      </c>
      <c r="G2267">
        <v>12</v>
      </c>
      <c r="H2267">
        <v>48000</v>
      </c>
      <c r="I2267" t="s">
        <v>25</v>
      </c>
    </row>
    <row r="2268" spans="1:9" hidden="1" x14ac:dyDescent="0.25">
      <c r="A2268">
        <v>18</v>
      </c>
      <c r="B2268" t="s">
        <v>20</v>
      </c>
      <c r="C2268">
        <v>2021</v>
      </c>
      <c r="D2268">
        <v>22</v>
      </c>
      <c r="E2268">
        <v>50</v>
      </c>
      <c r="F2268">
        <v>45</v>
      </c>
      <c r="G2268">
        <v>27</v>
      </c>
      <c r="H2268">
        <v>48000</v>
      </c>
      <c r="I2268" t="s">
        <v>25</v>
      </c>
    </row>
    <row r="2269" spans="1:9" hidden="1" x14ac:dyDescent="0.25">
      <c r="A2269">
        <v>19</v>
      </c>
      <c r="B2269" t="s">
        <v>20</v>
      </c>
      <c r="C2269">
        <v>2021</v>
      </c>
      <c r="D2269">
        <v>45</v>
      </c>
      <c r="E2269" t="s">
        <v>9</v>
      </c>
      <c r="F2269">
        <v>28.5</v>
      </c>
      <c r="G2269">
        <v>16.5</v>
      </c>
      <c r="H2269">
        <v>48000</v>
      </c>
      <c r="I2269" t="s">
        <v>25</v>
      </c>
    </row>
    <row r="2270" spans="1:9" hidden="1" x14ac:dyDescent="0.25">
      <c r="A2270">
        <v>20</v>
      </c>
      <c r="B2270" t="s">
        <v>20</v>
      </c>
      <c r="C2270">
        <v>2021</v>
      </c>
      <c r="D2270">
        <v>28.5</v>
      </c>
      <c r="E2270" t="s">
        <v>9</v>
      </c>
      <c r="F2270">
        <v>5.75</v>
      </c>
      <c r="G2270">
        <v>22.75</v>
      </c>
      <c r="H2270">
        <v>48000</v>
      </c>
      <c r="I2270" t="s">
        <v>25</v>
      </c>
    </row>
    <row r="2271" spans="1:9" hidden="1" x14ac:dyDescent="0.25">
      <c r="A2271">
        <v>21</v>
      </c>
      <c r="B2271" t="s">
        <v>20</v>
      </c>
      <c r="C2271">
        <v>2021</v>
      </c>
      <c r="D2271">
        <v>5.75</v>
      </c>
      <c r="E2271">
        <v>60</v>
      </c>
      <c r="F2271">
        <v>45</v>
      </c>
      <c r="G2271">
        <v>20.75</v>
      </c>
      <c r="H2271">
        <v>48000</v>
      </c>
      <c r="I2271" t="s">
        <v>25</v>
      </c>
    </row>
    <row r="2272" spans="1:9" hidden="1" x14ac:dyDescent="0.25">
      <c r="A2272">
        <v>22</v>
      </c>
      <c r="B2272" t="s">
        <v>20</v>
      </c>
      <c r="C2272">
        <v>2021</v>
      </c>
      <c r="D2272">
        <v>45</v>
      </c>
      <c r="E2272" t="s">
        <v>9</v>
      </c>
      <c r="F2272">
        <v>31.875</v>
      </c>
      <c r="G2272">
        <v>13.125</v>
      </c>
      <c r="H2272">
        <v>48000</v>
      </c>
      <c r="I2272" t="s">
        <v>25</v>
      </c>
    </row>
    <row r="2273" spans="1:9" hidden="1" x14ac:dyDescent="0.25">
      <c r="A2273">
        <v>23</v>
      </c>
      <c r="B2273" t="s">
        <v>20</v>
      </c>
      <c r="C2273">
        <v>2021</v>
      </c>
      <c r="D2273">
        <v>31.875</v>
      </c>
      <c r="E2273" t="s">
        <v>9</v>
      </c>
      <c r="F2273">
        <v>16.375</v>
      </c>
      <c r="G2273">
        <v>15.5</v>
      </c>
      <c r="H2273">
        <v>48000</v>
      </c>
      <c r="I2273" t="s">
        <v>25</v>
      </c>
    </row>
    <row r="2274" spans="1:9" hidden="1" x14ac:dyDescent="0.25">
      <c r="A2274">
        <v>24</v>
      </c>
      <c r="B2274" t="s">
        <v>20</v>
      </c>
      <c r="C2274">
        <v>2021</v>
      </c>
      <c r="D2274">
        <v>16.375</v>
      </c>
      <c r="E2274" t="s">
        <v>9</v>
      </c>
      <c r="F2274">
        <v>16.375</v>
      </c>
      <c r="G2274">
        <v>0</v>
      </c>
      <c r="H2274">
        <v>48000</v>
      </c>
      <c r="I2274" t="s">
        <v>25</v>
      </c>
    </row>
    <row r="2275" spans="1:9" hidden="1" x14ac:dyDescent="0.25">
      <c r="A2275">
        <v>25</v>
      </c>
      <c r="B2275" t="s">
        <v>20</v>
      </c>
      <c r="C2275">
        <v>2021</v>
      </c>
      <c r="D2275">
        <v>16.375</v>
      </c>
      <c r="E2275">
        <v>10</v>
      </c>
      <c r="F2275" t="s">
        <v>9</v>
      </c>
      <c r="G2275">
        <v>26.375</v>
      </c>
      <c r="H2275">
        <v>48000</v>
      </c>
      <c r="I2275" t="s">
        <v>25</v>
      </c>
    </row>
    <row r="2276" spans="1:9" hidden="1" x14ac:dyDescent="0.25">
      <c r="A2276">
        <v>26</v>
      </c>
      <c r="B2276" t="s">
        <v>20</v>
      </c>
      <c r="C2276">
        <v>2021</v>
      </c>
      <c r="D2276" t="s">
        <v>9</v>
      </c>
      <c r="E2276">
        <v>30</v>
      </c>
      <c r="F2276">
        <v>7.5</v>
      </c>
      <c r="G2276">
        <v>22.5</v>
      </c>
      <c r="H2276">
        <v>48000</v>
      </c>
      <c r="I2276" t="s">
        <v>25</v>
      </c>
    </row>
    <row r="2277" spans="1:9" hidden="1" x14ac:dyDescent="0.25">
      <c r="A2277">
        <v>27</v>
      </c>
      <c r="B2277" t="s">
        <v>20</v>
      </c>
      <c r="C2277">
        <v>2021</v>
      </c>
      <c r="D2277">
        <v>7.5</v>
      </c>
      <c r="E2277">
        <v>10</v>
      </c>
      <c r="F2277">
        <v>6</v>
      </c>
      <c r="G2277">
        <v>11.5</v>
      </c>
      <c r="H2277">
        <v>48000</v>
      </c>
      <c r="I2277" t="s">
        <v>25</v>
      </c>
    </row>
    <row r="2278" spans="1:9" hidden="1" x14ac:dyDescent="0.25">
      <c r="A2278">
        <v>28</v>
      </c>
      <c r="B2278" t="s">
        <v>20</v>
      </c>
      <c r="C2278">
        <v>2021</v>
      </c>
      <c r="D2278">
        <v>6</v>
      </c>
      <c r="E2278">
        <v>10</v>
      </c>
      <c r="F2278">
        <v>2</v>
      </c>
      <c r="G2278">
        <v>14</v>
      </c>
      <c r="H2278">
        <v>48000</v>
      </c>
      <c r="I2278" t="s">
        <v>25</v>
      </c>
    </row>
    <row r="2279" spans="1:9" hidden="1" x14ac:dyDescent="0.25">
      <c r="A2279">
        <v>29</v>
      </c>
      <c r="B2279" t="s">
        <v>20</v>
      </c>
      <c r="C2279">
        <v>2021</v>
      </c>
      <c r="D2279">
        <v>2</v>
      </c>
      <c r="E2279">
        <v>50</v>
      </c>
      <c r="F2279">
        <v>43.875</v>
      </c>
      <c r="G2279">
        <v>8.125</v>
      </c>
      <c r="H2279">
        <v>48000</v>
      </c>
      <c r="I2279" t="s">
        <v>25</v>
      </c>
    </row>
    <row r="2280" spans="1:9" hidden="1" x14ac:dyDescent="0.25">
      <c r="A2280">
        <v>30</v>
      </c>
      <c r="B2280" t="s">
        <v>20</v>
      </c>
      <c r="C2280">
        <v>2021</v>
      </c>
      <c r="D2280">
        <v>43.875</v>
      </c>
      <c r="E2280" t="s">
        <v>9</v>
      </c>
      <c r="F2280">
        <v>23.25</v>
      </c>
      <c r="G2280">
        <v>20.625</v>
      </c>
      <c r="H2280">
        <v>48000</v>
      </c>
      <c r="I2280" t="s">
        <v>25</v>
      </c>
    </row>
    <row r="2281" spans="1:9" hidden="1" x14ac:dyDescent="0.25">
      <c r="A2281">
        <v>31</v>
      </c>
      <c r="B2281" t="s">
        <v>20</v>
      </c>
      <c r="C2281">
        <v>2021</v>
      </c>
      <c r="D2281">
        <v>43.875</v>
      </c>
      <c r="E2281" t="s">
        <v>9</v>
      </c>
      <c r="F2281" t="s">
        <v>9</v>
      </c>
      <c r="G2281">
        <v>43.875</v>
      </c>
      <c r="H2281">
        <v>48000</v>
      </c>
      <c r="I2281" t="s">
        <v>25</v>
      </c>
    </row>
    <row r="2282" spans="1:9" x14ac:dyDescent="0.25">
      <c r="A2282">
        <v>1</v>
      </c>
      <c r="B2282" t="s">
        <v>8</v>
      </c>
      <c r="C2282">
        <v>2022</v>
      </c>
      <c r="D2282">
        <v>149.375</v>
      </c>
      <c r="E2282" t="s">
        <v>9</v>
      </c>
      <c r="F2282">
        <v>102</v>
      </c>
      <c r="G2282">
        <v>47.375</v>
      </c>
      <c r="H2282">
        <v>48000</v>
      </c>
      <c r="I2282" t="s">
        <v>22</v>
      </c>
    </row>
    <row r="2283" spans="1:9" x14ac:dyDescent="0.25">
      <c r="A2283">
        <v>2</v>
      </c>
      <c r="B2283" t="s">
        <v>8</v>
      </c>
      <c r="C2283">
        <v>2022</v>
      </c>
      <c r="D2283">
        <v>102</v>
      </c>
      <c r="E2283" t="s">
        <v>9</v>
      </c>
      <c r="F2283">
        <v>48.125</v>
      </c>
      <c r="G2283">
        <v>53.875</v>
      </c>
      <c r="H2283">
        <v>48000</v>
      </c>
      <c r="I2283" t="s">
        <v>22</v>
      </c>
    </row>
    <row r="2284" spans="1:9" x14ac:dyDescent="0.25">
      <c r="A2284">
        <v>3</v>
      </c>
      <c r="B2284" t="s">
        <v>8</v>
      </c>
      <c r="C2284">
        <v>2022</v>
      </c>
      <c r="D2284">
        <v>48.125</v>
      </c>
      <c r="E2284">
        <v>100</v>
      </c>
      <c r="F2284">
        <v>120.25</v>
      </c>
      <c r="G2284">
        <v>27.875</v>
      </c>
      <c r="H2284">
        <v>48000</v>
      </c>
      <c r="I2284" t="s">
        <v>22</v>
      </c>
    </row>
    <row r="2285" spans="1:9" x14ac:dyDescent="0.25">
      <c r="A2285">
        <v>4</v>
      </c>
      <c r="B2285" t="s">
        <v>8</v>
      </c>
      <c r="C2285">
        <v>2022</v>
      </c>
      <c r="D2285">
        <v>120.25</v>
      </c>
      <c r="E2285" t="s">
        <v>9</v>
      </c>
      <c r="F2285">
        <v>89.25</v>
      </c>
      <c r="G2285">
        <v>31</v>
      </c>
      <c r="H2285">
        <v>48000</v>
      </c>
      <c r="I2285" t="s">
        <v>22</v>
      </c>
    </row>
    <row r="2286" spans="1:9" x14ac:dyDescent="0.25">
      <c r="A2286">
        <v>5</v>
      </c>
      <c r="B2286" t="s">
        <v>8</v>
      </c>
      <c r="C2286">
        <v>2022</v>
      </c>
      <c r="D2286">
        <v>89.25</v>
      </c>
      <c r="E2286">
        <v>120</v>
      </c>
      <c r="F2286">
        <v>176</v>
      </c>
      <c r="G2286">
        <v>33.25</v>
      </c>
      <c r="H2286">
        <v>48000</v>
      </c>
      <c r="I2286" t="s">
        <v>22</v>
      </c>
    </row>
    <row r="2287" spans="1:9" x14ac:dyDescent="0.25">
      <c r="A2287">
        <v>6</v>
      </c>
      <c r="B2287" t="s">
        <v>8</v>
      </c>
      <c r="C2287">
        <v>2022</v>
      </c>
      <c r="D2287">
        <v>176</v>
      </c>
      <c r="E2287" t="s">
        <v>9</v>
      </c>
      <c r="F2287">
        <v>153.625</v>
      </c>
      <c r="G2287">
        <v>22.375</v>
      </c>
      <c r="H2287">
        <v>48000</v>
      </c>
      <c r="I2287" t="s">
        <v>22</v>
      </c>
    </row>
    <row r="2288" spans="1:9" x14ac:dyDescent="0.25">
      <c r="A2288">
        <v>7</v>
      </c>
      <c r="B2288" t="s">
        <v>8</v>
      </c>
      <c r="C2288">
        <v>2022</v>
      </c>
      <c r="D2288">
        <v>153.625</v>
      </c>
      <c r="E2288" t="s">
        <v>9</v>
      </c>
      <c r="F2288">
        <v>125.625</v>
      </c>
      <c r="G2288">
        <v>28</v>
      </c>
      <c r="H2288">
        <v>48000</v>
      </c>
      <c r="I2288" t="s">
        <v>22</v>
      </c>
    </row>
    <row r="2289" spans="1:9" x14ac:dyDescent="0.25">
      <c r="A2289">
        <v>8</v>
      </c>
      <c r="B2289" t="s">
        <v>8</v>
      </c>
      <c r="C2289">
        <v>2022</v>
      </c>
      <c r="D2289">
        <v>125.625</v>
      </c>
      <c r="E2289">
        <v>51</v>
      </c>
      <c r="F2289">
        <v>144.65</v>
      </c>
      <c r="G2289">
        <v>31.975000000000001</v>
      </c>
      <c r="H2289">
        <v>48000</v>
      </c>
      <c r="I2289" t="s">
        <v>22</v>
      </c>
    </row>
    <row r="2290" spans="1:9" x14ac:dyDescent="0.25">
      <c r="A2290">
        <v>9</v>
      </c>
      <c r="B2290" t="s">
        <v>8</v>
      </c>
      <c r="C2290">
        <v>2022</v>
      </c>
      <c r="D2290">
        <v>144.65</v>
      </c>
      <c r="E2290" t="s">
        <v>9</v>
      </c>
      <c r="F2290">
        <v>113</v>
      </c>
      <c r="G2290">
        <v>31.65</v>
      </c>
      <c r="H2290">
        <v>48000</v>
      </c>
      <c r="I2290" t="s">
        <v>22</v>
      </c>
    </row>
    <row r="2291" spans="1:9" x14ac:dyDescent="0.25">
      <c r="A2291">
        <v>10</v>
      </c>
      <c r="B2291" t="s">
        <v>8</v>
      </c>
      <c r="C2291">
        <v>2022</v>
      </c>
      <c r="D2291">
        <v>113</v>
      </c>
      <c r="E2291">
        <v>50</v>
      </c>
      <c r="F2291">
        <v>130.25</v>
      </c>
      <c r="G2291">
        <v>32.75</v>
      </c>
      <c r="H2291">
        <v>48000</v>
      </c>
      <c r="I2291" t="s">
        <v>22</v>
      </c>
    </row>
    <row r="2292" spans="1:9" x14ac:dyDescent="0.25">
      <c r="A2292">
        <v>11</v>
      </c>
      <c r="B2292" t="s">
        <v>8</v>
      </c>
      <c r="C2292">
        <v>2022</v>
      </c>
      <c r="D2292">
        <v>130.25</v>
      </c>
      <c r="E2292" t="s">
        <v>9</v>
      </c>
      <c r="F2292">
        <v>108.875</v>
      </c>
      <c r="G2292">
        <v>21.375</v>
      </c>
      <c r="H2292">
        <v>48000</v>
      </c>
      <c r="I2292" t="s">
        <v>22</v>
      </c>
    </row>
    <row r="2293" spans="1:9" x14ac:dyDescent="0.25">
      <c r="A2293">
        <v>12</v>
      </c>
      <c r="B2293" t="s">
        <v>8</v>
      </c>
      <c r="C2293">
        <v>2022</v>
      </c>
      <c r="D2293">
        <v>108.875</v>
      </c>
      <c r="E2293" t="s">
        <v>9</v>
      </c>
      <c r="F2293">
        <v>81.75</v>
      </c>
      <c r="G2293">
        <v>27.125</v>
      </c>
      <c r="H2293">
        <v>48000</v>
      </c>
      <c r="I2293" t="s">
        <v>22</v>
      </c>
    </row>
    <row r="2294" spans="1:9" x14ac:dyDescent="0.25">
      <c r="A2294">
        <v>13</v>
      </c>
      <c r="B2294" t="s">
        <v>8</v>
      </c>
      <c r="C2294">
        <v>2022</v>
      </c>
      <c r="D2294">
        <v>81.75</v>
      </c>
      <c r="E2294" t="s">
        <v>9</v>
      </c>
      <c r="F2294">
        <v>63.875</v>
      </c>
      <c r="G2294">
        <v>17.875</v>
      </c>
      <c r="H2294">
        <v>48000</v>
      </c>
      <c r="I2294" t="s">
        <v>22</v>
      </c>
    </row>
    <row r="2295" spans="1:9" x14ac:dyDescent="0.25">
      <c r="A2295">
        <v>14</v>
      </c>
      <c r="B2295" t="s">
        <v>8</v>
      </c>
      <c r="C2295">
        <v>2022</v>
      </c>
      <c r="D2295">
        <v>63.875</v>
      </c>
      <c r="E2295" t="s">
        <v>9</v>
      </c>
      <c r="F2295">
        <v>42</v>
      </c>
      <c r="G2295">
        <v>21.875</v>
      </c>
      <c r="H2295">
        <v>48000</v>
      </c>
      <c r="I2295" t="s">
        <v>22</v>
      </c>
    </row>
    <row r="2296" spans="1:9" x14ac:dyDescent="0.25">
      <c r="A2296">
        <v>15</v>
      </c>
      <c r="B2296" t="s">
        <v>8</v>
      </c>
      <c r="C2296">
        <v>2022</v>
      </c>
      <c r="D2296">
        <v>42</v>
      </c>
      <c r="E2296">
        <v>90</v>
      </c>
      <c r="F2296">
        <v>103.152</v>
      </c>
      <c r="G2296">
        <v>28.847999999999999</v>
      </c>
      <c r="H2296">
        <v>48000</v>
      </c>
      <c r="I2296" t="s">
        <v>22</v>
      </c>
    </row>
    <row r="2297" spans="1:9" x14ac:dyDescent="0.25">
      <c r="A2297">
        <v>16</v>
      </c>
      <c r="B2297" t="s">
        <v>8</v>
      </c>
      <c r="C2297">
        <v>2022</v>
      </c>
      <c r="D2297">
        <v>103.152</v>
      </c>
      <c r="E2297" t="s">
        <v>9</v>
      </c>
      <c r="F2297">
        <v>74.875</v>
      </c>
      <c r="G2297">
        <v>28.277000000000001</v>
      </c>
      <c r="H2297">
        <v>48000</v>
      </c>
      <c r="I2297" t="s">
        <v>22</v>
      </c>
    </row>
    <row r="2298" spans="1:9" x14ac:dyDescent="0.25">
      <c r="A2298">
        <v>17</v>
      </c>
      <c r="B2298" t="s">
        <v>8</v>
      </c>
      <c r="C2298">
        <v>2022</v>
      </c>
      <c r="D2298">
        <v>74.875</v>
      </c>
      <c r="E2298">
        <v>100</v>
      </c>
      <c r="F2298">
        <v>162.25</v>
      </c>
      <c r="G2298">
        <v>12.625</v>
      </c>
      <c r="H2298">
        <v>48000</v>
      </c>
      <c r="I2298" t="s">
        <v>22</v>
      </c>
    </row>
    <row r="2299" spans="1:9" x14ac:dyDescent="0.25">
      <c r="A2299">
        <v>18</v>
      </c>
      <c r="B2299" t="s">
        <v>8</v>
      </c>
      <c r="C2299">
        <v>2022</v>
      </c>
      <c r="D2299">
        <v>162.25</v>
      </c>
      <c r="E2299" t="s">
        <v>9</v>
      </c>
      <c r="F2299">
        <v>146.625</v>
      </c>
      <c r="G2299">
        <v>15.625</v>
      </c>
      <c r="H2299">
        <v>48000</v>
      </c>
      <c r="I2299" t="s">
        <v>22</v>
      </c>
    </row>
    <row r="2300" spans="1:9" x14ac:dyDescent="0.25">
      <c r="A2300">
        <v>19</v>
      </c>
      <c r="B2300" t="s">
        <v>8</v>
      </c>
      <c r="C2300">
        <v>2022</v>
      </c>
      <c r="D2300">
        <v>146.625</v>
      </c>
      <c r="E2300" t="s">
        <v>9</v>
      </c>
      <c r="F2300">
        <v>133.375</v>
      </c>
      <c r="G2300">
        <v>13.25</v>
      </c>
      <c r="H2300">
        <v>48000</v>
      </c>
      <c r="I2300" t="s">
        <v>22</v>
      </c>
    </row>
    <row r="2301" spans="1:9" x14ac:dyDescent="0.25">
      <c r="A2301">
        <v>20</v>
      </c>
      <c r="B2301" t="s">
        <v>8</v>
      </c>
      <c r="C2301">
        <v>2022</v>
      </c>
      <c r="D2301">
        <v>133.375</v>
      </c>
      <c r="E2301" t="s">
        <v>9</v>
      </c>
      <c r="F2301">
        <v>117.375</v>
      </c>
      <c r="G2301">
        <v>16</v>
      </c>
      <c r="H2301">
        <v>48000</v>
      </c>
      <c r="I2301" t="s">
        <v>22</v>
      </c>
    </row>
    <row r="2302" spans="1:9" x14ac:dyDescent="0.25">
      <c r="A2302">
        <v>21</v>
      </c>
      <c r="B2302" t="s">
        <v>8</v>
      </c>
      <c r="C2302">
        <v>2022</v>
      </c>
      <c r="D2302">
        <v>117.375</v>
      </c>
      <c r="E2302" t="s">
        <v>9</v>
      </c>
      <c r="F2302">
        <v>93.375</v>
      </c>
      <c r="G2302">
        <v>24</v>
      </c>
      <c r="H2302">
        <v>48000</v>
      </c>
      <c r="I2302" t="s">
        <v>22</v>
      </c>
    </row>
    <row r="2303" spans="1:9" x14ac:dyDescent="0.25">
      <c r="A2303">
        <v>22</v>
      </c>
      <c r="B2303" t="s">
        <v>8</v>
      </c>
      <c r="C2303">
        <v>2022</v>
      </c>
      <c r="D2303">
        <v>93.375</v>
      </c>
      <c r="E2303">
        <v>150</v>
      </c>
      <c r="F2303">
        <v>202</v>
      </c>
      <c r="G2303">
        <v>41.375</v>
      </c>
      <c r="H2303">
        <v>48000</v>
      </c>
      <c r="I2303" t="s">
        <v>22</v>
      </c>
    </row>
    <row r="2304" spans="1:9" x14ac:dyDescent="0.25">
      <c r="A2304">
        <v>23</v>
      </c>
      <c r="B2304" t="s">
        <v>8</v>
      </c>
      <c r="C2304">
        <v>2022</v>
      </c>
      <c r="D2304">
        <v>202</v>
      </c>
      <c r="E2304" t="s">
        <v>9</v>
      </c>
      <c r="F2304">
        <v>161.875</v>
      </c>
      <c r="G2304">
        <v>40.125</v>
      </c>
      <c r="H2304">
        <v>48000</v>
      </c>
      <c r="I2304" t="s">
        <v>22</v>
      </c>
    </row>
    <row r="2305" spans="1:9" x14ac:dyDescent="0.25">
      <c r="A2305">
        <v>24</v>
      </c>
      <c r="B2305" t="s">
        <v>8</v>
      </c>
      <c r="C2305">
        <v>2022</v>
      </c>
      <c r="D2305">
        <v>161.875</v>
      </c>
      <c r="E2305" t="s">
        <v>9</v>
      </c>
      <c r="F2305">
        <v>155</v>
      </c>
      <c r="G2305">
        <v>6.875</v>
      </c>
      <c r="H2305">
        <v>48000</v>
      </c>
      <c r="I2305" t="s">
        <v>22</v>
      </c>
    </row>
    <row r="2306" spans="1:9" x14ac:dyDescent="0.25">
      <c r="A2306">
        <v>25</v>
      </c>
      <c r="B2306" t="s">
        <v>8</v>
      </c>
      <c r="C2306">
        <v>2022</v>
      </c>
      <c r="D2306">
        <v>155</v>
      </c>
      <c r="E2306" t="s">
        <v>9</v>
      </c>
      <c r="F2306">
        <v>143.25</v>
      </c>
      <c r="G2306">
        <v>11.75</v>
      </c>
      <c r="H2306">
        <v>48000</v>
      </c>
      <c r="I2306" t="s">
        <v>22</v>
      </c>
    </row>
    <row r="2307" spans="1:9" x14ac:dyDescent="0.25">
      <c r="A2307">
        <v>26</v>
      </c>
      <c r="B2307" t="s">
        <v>8</v>
      </c>
      <c r="C2307">
        <v>2022</v>
      </c>
      <c r="D2307">
        <v>143.25</v>
      </c>
      <c r="E2307">
        <v>60</v>
      </c>
      <c r="F2307">
        <v>188.875</v>
      </c>
      <c r="G2307">
        <v>14.375</v>
      </c>
      <c r="H2307">
        <v>48000</v>
      </c>
      <c r="I2307" t="s">
        <v>22</v>
      </c>
    </row>
    <row r="2308" spans="1:9" x14ac:dyDescent="0.25">
      <c r="A2308">
        <v>27</v>
      </c>
      <c r="B2308" t="s">
        <v>8</v>
      </c>
      <c r="C2308">
        <v>2022</v>
      </c>
      <c r="D2308">
        <v>188.875</v>
      </c>
      <c r="E2308" t="s">
        <v>9</v>
      </c>
      <c r="F2308">
        <v>174.25</v>
      </c>
      <c r="G2308">
        <v>14.625</v>
      </c>
      <c r="H2308">
        <v>48000</v>
      </c>
      <c r="I2308" t="s">
        <v>22</v>
      </c>
    </row>
    <row r="2309" spans="1:9" x14ac:dyDescent="0.25">
      <c r="A2309">
        <v>28</v>
      </c>
      <c r="B2309" t="s">
        <v>8</v>
      </c>
      <c r="C2309">
        <v>2022</v>
      </c>
      <c r="D2309">
        <v>174.25</v>
      </c>
      <c r="E2309" t="s">
        <v>9</v>
      </c>
      <c r="F2309">
        <v>153.5</v>
      </c>
      <c r="G2309">
        <v>20.75</v>
      </c>
      <c r="H2309">
        <v>48000</v>
      </c>
      <c r="I2309" t="s">
        <v>22</v>
      </c>
    </row>
    <row r="2310" spans="1:9" x14ac:dyDescent="0.25">
      <c r="A2310">
        <v>29</v>
      </c>
      <c r="B2310" t="s">
        <v>8</v>
      </c>
      <c r="C2310">
        <v>2022</v>
      </c>
      <c r="D2310">
        <v>153.5</v>
      </c>
      <c r="E2310" t="s">
        <v>9</v>
      </c>
      <c r="F2310">
        <v>123.5</v>
      </c>
      <c r="G2310">
        <v>30</v>
      </c>
      <c r="H2310">
        <v>48000</v>
      </c>
      <c r="I2310" t="s">
        <v>22</v>
      </c>
    </row>
    <row r="2311" spans="1:9" x14ac:dyDescent="0.25">
      <c r="A2311">
        <v>30</v>
      </c>
      <c r="B2311" t="s">
        <v>8</v>
      </c>
      <c r="C2311">
        <v>2022</v>
      </c>
      <c r="D2311">
        <v>123.5</v>
      </c>
      <c r="E2311" t="s">
        <v>9</v>
      </c>
      <c r="F2311">
        <v>88.5</v>
      </c>
      <c r="G2311">
        <v>35</v>
      </c>
      <c r="H2311">
        <v>48000</v>
      </c>
      <c r="I2311" t="s">
        <v>22</v>
      </c>
    </row>
    <row r="2312" spans="1:9" x14ac:dyDescent="0.25">
      <c r="A2312">
        <v>31</v>
      </c>
      <c r="B2312" t="s">
        <v>8</v>
      </c>
      <c r="C2312">
        <v>2022</v>
      </c>
      <c r="D2312">
        <v>88.5</v>
      </c>
      <c r="E2312" t="s">
        <v>9</v>
      </c>
      <c r="F2312">
        <v>74.875</v>
      </c>
      <c r="G2312">
        <v>13.625</v>
      </c>
      <c r="H2312">
        <v>48000</v>
      </c>
      <c r="I2312" t="s">
        <v>22</v>
      </c>
    </row>
    <row r="2313" spans="1:9" hidden="1" x14ac:dyDescent="0.25">
      <c r="A2313">
        <v>1</v>
      </c>
      <c r="B2313" t="s">
        <v>8</v>
      </c>
      <c r="C2313">
        <v>2022</v>
      </c>
      <c r="D2313">
        <v>23.25</v>
      </c>
      <c r="E2313">
        <v>50</v>
      </c>
      <c r="F2313">
        <v>32</v>
      </c>
      <c r="G2313">
        <v>41.25</v>
      </c>
      <c r="H2313">
        <v>48000</v>
      </c>
      <c r="I2313" t="s">
        <v>25</v>
      </c>
    </row>
    <row r="2314" spans="1:9" hidden="1" x14ac:dyDescent="0.25">
      <c r="A2314">
        <v>2</v>
      </c>
      <c r="B2314" t="s">
        <v>8</v>
      </c>
      <c r="C2314">
        <v>2022</v>
      </c>
      <c r="D2314">
        <v>32</v>
      </c>
      <c r="E2314">
        <v>20</v>
      </c>
      <c r="F2314">
        <v>22</v>
      </c>
      <c r="G2314">
        <v>30</v>
      </c>
      <c r="H2314">
        <v>48000</v>
      </c>
      <c r="I2314" t="s">
        <v>25</v>
      </c>
    </row>
    <row r="2315" spans="1:9" hidden="1" x14ac:dyDescent="0.25">
      <c r="A2315">
        <v>3</v>
      </c>
      <c r="B2315" t="s">
        <v>8</v>
      </c>
      <c r="C2315">
        <v>2022</v>
      </c>
      <c r="D2315">
        <v>22</v>
      </c>
      <c r="E2315">
        <v>60</v>
      </c>
      <c r="F2315">
        <v>66.25</v>
      </c>
      <c r="G2315">
        <v>15.75</v>
      </c>
      <c r="H2315">
        <v>48000</v>
      </c>
      <c r="I2315" t="s">
        <v>25</v>
      </c>
    </row>
    <row r="2316" spans="1:9" hidden="1" x14ac:dyDescent="0.25">
      <c r="A2316">
        <v>4</v>
      </c>
      <c r="B2316" t="s">
        <v>8</v>
      </c>
      <c r="C2316">
        <v>2022</v>
      </c>
      <c r="D2316">
        <v>66.25</v>
      </c>
      <c r="E2316" t="s">
        <v>9</v>
      </c>
      <c r="F2316">
        <v>49.5</v>
      </c>
      <c r="G2316">
        <v>16.75</v>
      </c>
      <c r="H2316">
        <v>48000</v>
      </c>
      <c r="I2316" t="s">
        <v>25</v>
      </c>
    </row>
    <row r="2317" spans="1:9" hidden="1" x14ac:dyDescent="0.25">
      <c r="A2317">
        <v>5</v>
      </c>
      <c r="B2317" t="s">
        <v>8</v>
      </c>
      <c r="C2317">
        <v>2022</v>
      </c>
      <c r="D2317">
        <v>49.5</v>
      </c>
      <c r="E2317" t="s">
        <v>9</v>
      </c>
      <c r="F2317">
        <v>30.875</v>
      </c>
      <c r="G2317">
        <v>18.625</v>
      </c>
      <c r="H2317">
        <v>48000</v>
      </c>
      <c r="I2317" t="s">
        <v>25</v>
      </c>
    </row>
    <row r="2318" spans="1:9" hidden="1" x14ac:dyDescent="0.25">
      <c r="A2318">
        <v>6</v>
      </c>
      <c r="B2318" t="s">
        <v>8</v>
      </c>
      <c r="C2318">
        <v>2022</v>
      </c>
      <c r="D2318">
        <v>30.875</v>
      </c>
      <c r="E2318" t="s">
        <v>9</v>
      </c>
      <c r="F2318">
        <v>19</v>
      </c>
      <c r="G2318">
        <v>11.875</v>
      </c>
      <c r="H2318">
        <v>48000</v>
      </c>
      <c r="I2318" t="s">
        <v>25</v>
      </c>
    </row>
    <row r="2319" spans="1:9" hidden="1" x14ac:dyDescent="0.25">
      <c r="A2319">
        <v>7</v>
      </c>
      <c r="B2319" t="s">
        <v>8</v>
      </c>
      <c r="C2319">
        <v>2022</v>
      </c>
      <c r="D2319">
        <v>19</v>
      </c>
      <c r="E2319">
        <v>10</v>
      </c>
      <c r="F2319">
        <v>3.375</v>
      </c>
      <c r="G2319">
        <v>25.625</v>
      </c>
      <c r="H2319">
        <v>48000</v>
      </c>
      <c r="I2319" t="s">
        <v>25</v>
      </c>
    </row>
    <row r="2320" spans="1:9" hidden="1" x14ac:dyDescent="0.25">
      <c r="A2320">
        <v>8</v>
      </c>
      <c r="B2320" t="s">
        <v>8</v>
      </c>
      <c r="C2320">
        <v>2022</v>
      </c>
      <c r="D2320">
        <v>3.375</v>
      </c>
      <c r="E2320">
        <v>67</v>
      </c>
      <c r="F2320">
        <v>58.125</v>
      </c>
      <c r="G2320">
        <v>12.25</v>
      </c>
      <c r="H2320">
        <v>48000</v>
      </c>
      <c r="I2320" t="s">
        <v>25</v>
      </c>
    </row>
    <row r="2321" spans="1:9" hidden="1" x14ac:dyDescent="0.25">
      <c r="A2321">
        <v>9</v>
      </c>
      <c r="B2321" t="s">
        <v>8</v>
      </c>
      <c r="C2321">
        <v>2022</v>
      </c>
      <c r="D2321">
        <v>58.125</v>
      </c>
      <c r="E2321" t="s">
        <v>9</v>
      </c>
      <c r="F2321">
        <v>43.625</v>
      </c>
      <c r="G2321">
        <v>14.5</v>
      </c>
      <c r="H2321">
        <v>48000</v>
      </c>
      <c r="I2321" t="s">
        <v>25</v>
      </c>
    </row>
    <row r="2322" spans="1:9" hidden="1" x14ac:dyDescent="0.25">
      <c r="A2322">
        <v>10</v>
      </c>
      <c r="B2322" t="s">
        <v>8</v>
      </c>
      <c r="C2322">
        <v>2022</v>
      </c>
      <c r="D2322">
        <v>43.625</v>
      </c>
      <c r="E2322" t="s">
        <v>9</v>
      </c>
      <c r="F2322">
        <v>27.375</v>
      </c>
      <c r="G2322">
        <v>16.25</v>
      </c>
      <c r="H2322">
        <v>48000</v>
      </c>
      <c r="I2322" t="s">
        <v>25</v>
      </c>
    </row>
    <row r="2323" spans="1:9" hidden="1" x14ac:dyDescent="0.25">
      <c r="A2323">
        <v>11</v>
      </c>
      <c r="B2323" t="s">
        <v>8</v>
      </c>
      <c r="C2323">
        <v>2022</v>
      </c>
      <c r="D2323">
        <v>27.375</v>
      </c>
      <c r="E2323" t="s">
        <v>9</v>
      </c>
      <c r="F2323">
        <v>18.5</v>
      </c>
      <c r="G2323">
        <v>8.875</v>
      </c>
      <c r="H2323">
        <v>48000</v>
      </c>
      <c r="I2323" t="s">
        <v>25</v>
      </c>
    </row>
    <row r="2324" spans="1:9" hidden="1" x14ac:dyDescent="0.25">
      <c r="A2324">
        <v>12</v>
      </c>
      <c r="B2324" t="s">
        <v>8</v>
      </c>
      <c r="C2324">
        <v>2022</v>
      </c>
      <c r="D2324">
        <v>18.5</v>
      </c>
      <c r="E2324" t="s">
        <v>9</v>
      </c>
      <c r="F2324">
        <v>3.125</v>
      </c>
      <c r="G2324">
        <v>15.375</v>
      </c>
      <c r="H2324">
        <v>48000</v>
      </c>
      <c r="I2324" t="s">
        <v>25</v>
      </c>
    </row>
    <row r="2325" spans="1:9" hidden="1" x14ac:dyDescent="0.25">
      <c r="A2325">
        <v>13</v>
      </c>
      <c r="B2325" t="s">
        <v>8</v>
      </c>
      <c r="C2325">
        <v>2022</v>
      </c>
      <c r="D2325">
        <v>3.125</v>
      </c>
      <c r="E2325">
        <v>48</v>
      </c>
      <c r="F2325">
        <v>41.375</v>
      </c>
      <c r="G2325">
        <v>9.75</v>
      </c>
      <c r="H2325">
        <v>48000</v>
      </c>
      <c r="I2325" t="s">
        <v>25</v>
      </c>
    </row>
    <row r="2326" spans="1:9" hidden="1" x14ac:dyDescent="0.25">
      <c r="A2326">
        <v>14</v>
      </c>
      <c r="B2326" t="s">
        <v>8</v>
      </c>
      <c r="C2326">
        <v>2022</v>
      </c>
      <c r="D2326">
        <v>41.375</v>
      </c>
      <c r="E2326" t="s">
        <v>9</v>
      </c>
      <c r="F2326">
        <v>29</v>
      </c>
      <c r="G2326">
        <v>12.375</v>
      </c>
      <c r="H2326">
        <v>48000</v>
      </c>
      <c r="I2326" t="s">
        <v>25</v>
      </c>
    </row>
    <row r="2327" spans="1:9" hidden="1" x14ac:dyDescent="0.25">
      <c r="A2327">
        <v>15</v>
      </c>
      <c r="B2327" t="s">
        <v>8</v>
      </c>
      <c r="C2327">
        <v>2022</v>
      </c>
      <c r="D2327">
        <v>29</v>
      </c>
      <c r="E2327" t="s">
        <v>9</v>
      </c>
      <c r="F2327">
        <v>9.625</v>
      </c>
      <c r="G2327">
        <v>19.375</v>
      </c>
      <c r="H2327">
        <v>48000</v>
      </c>
      <c r="I2327" t="s">
        <v>25</v>
      </c>
    </row>
    <row r="2328" spans="1:9" hidden="1" x14ac:dyDescent="0.25">
      <c r="A2328">
        <v>16</v>
      </c>
      <c r="B2328" t="s">
        <v>8</v>
      </c>
      <c r="C2328">
        <v>2022</v>
      </c>
      <c r="D2328">
        <v>9.625</v>
      </c>
      <c r="E2328">
        <v>41</v>
      </c>
      <c r="F2328">
        <v>30.5</v>
      </c>
      <c r="G2328">
        <v>20.125</v>
      </c>
      <c r="H2328">
        <v>48000</v>
      </c>
      <c r="I2328" t="s">
        <v>25</v>
      </c>
    </row>
    <row r="2329" spans="1:9" hidden="1" x14ac:dyDescent="0.25">
      <c r="A2329">
        <v>17</v>
      </c>
      <c r="B2329" t="s">
        <v>8</v>
      </c>
      <c r="C2329">
        <v>2022</v>
      </c>
      <c r="D2329">
        <v>30.5</v>
      </c>
      <c r="E2329" t="s">
        <v>9</v>
      </c>
      <c r="F2329">
        <v>21.5</v>
      </c>
      <c r="G2329">
        <v>9</v>
      </c>
      <c r="H2329">
        <v>48000</v>
      </c>
      <c r="I2329" t="s">
        <v>25</v>
      </c>
    </row>
    <row r="2330" spans="1:9" hidden="1" x14ac:dyDescent="0.25">
      <c r="A2330">
        <v>18</v>
      </c>
      <c r="B2330" t="s">
        <v>8</v>
      </c>
      <c r="C2330">
        <v>2022</v>
      </c>
      <c r="D2330">
        <v>21.5</v>
      </c>
      <c r="E2330" t="s">
        <v>9</v>
      </c>
      <c r="F2330">
        <v>10.5</v>
      </c>
      <c r="G2330">
        <v>11</v>
      </c>
      <c r="H2330">
        <v>48000</v>
      </c>
      <c r="I2330" t="s">
        <v>25</v>
      </c>
    </row>
    <row r="2331" spans="1:9" hidden="1" x14ac:dyDescent="0.25">
      <c r="A2331">
        <v>19</v>
      </c>
      <c r="B2331" t="s">
        <v>8</v>
      </c>
      <c r="C2331">
        <v>2022</v>
      </c>
      <c r="D2331">
        <v>10.5</v>
      </c>
      <c r="E2331">
        <v>10</v>
      </c>
      <c r="F2331">
        <v>8.75</v>
      </c>
      <c r="G2331">
        <v>11.75</v>
      </c>
      <c r="H2331">
        <v>48000</v>
      </c>
      <c r="I2331" t="s">
        <v>25</v>
      </c>
    </row>
    <row r="2332" spans="1:9" hidden="1" x14ac:dyDescent="0.25">
      <c r="A2332">
        <v>20</v>
      </c>
      <c r="B2332" t="s">
        <v>8</v>
      </c>
      <c r="C2332">
        <v>2022</v>
      </c>
      <c r="D2332">
        <v>8.75</v>
      </c>
      <c r="E2332">
        <v>100</v>
      </c>
      <c r="F2332">
        <v>98.025000000000006</v>
      </c>
      <c r="G2332">
        <v>10.725</v>
      </c>
      <c r="H2332">
        <v>48000</v>
      </c>
      <c r="I2332" t="s">
        <v>25</v>
      </c>
    </row>
    <row r="2333" spans="1:9" hidden="1" x14ac:dyDescent="0.25">
      <c r="A2333">
        <v>21</v>
      </c>
      <c r="B2333" t="s">
        <v>8</v>
      </c>
      <c r="C2333">
        <v>2022</v>
      </c>
      <c r="D2333">
        <v>98.025000000000006</v>
      </c>
      <c r="E2333" t="s">
        <v>9</v>
      </c>
      <c r="F2333">
        <v>85</v>
      </c>
      <c r="G2333">
        <v>13.025</v>
      </c>
      <c r="H2333">
        <v>48000</v>
      </c>
      <c r="I2333" t="s">
        <v>25</v>
      </c>
    </row>
    <row r="2334" spans="1:9" hidden="1" x14ac:dyDescent="0.25">
      <c r="A2334">
        <v>22</v>
      </c>
      <c r="B2334" t="s">
        <v>8</v>
      </c>
      <c r="C2334">
        <v>2022</v>
      </c>
      <c r="D2334">
        <v>85</v>
      </c>
      <c r="E2334" t="s">
        <v>9</v>
      </c>
      <c r="F2334">
        <v>70.125</v>
      </c>
      <c r="G2334">
        <v>14.875</v>
      </c>
      <c r="H2334">
        <v>48000</v>
      </c>
      <c r="I2334" t="s">
        <v>25</v>
      </c>
    </row>
    <row r="2335" spans="1:9" hidden="1" x14ac:dyDescent="0.25">
      <c r="A2335">
        <v>23</v>
      </c>
      <c r="B2335" t="s">
        <v>8</v>
      </c>
      <c r="C2335">
        <v>2022</v>
      </c>
      <c r="D2335">
        <v>70.125</v>
      </c>
      <c r="E2335" t="s">
        <v>9</v>
      </c>
      <c r="F2335">
        <v>45.5</v>
      </c>
      <c r="G2335">
        <v>24.625</v>
      </c>
      <c r="H2335">
        <v>48000</v>
      </c>
      <c r="I2335" t="s">
        <v>25</v>
      </c>
    </row>
    <row r="2336" spans="1:9" hidden="1" x14ac:dyDescent="0.25">
      <c r="A2336">
        <v>24</v>
      </c>
      <c r="B2336" t="s">
        <v>8</v>
      </c>
      <c r="C2336">
        <v>2022</v>
      </c>
      <c r="D2336">
        <v>45.5</v>
      </c>
      <c r="E2336" t="s">
        <v>9</v>
      </c>
      <c r="F2336">
        <v>38.5</v>
      </c>
      <c r="G2336">
        <v>7</v>
      </c>
      <c r="H2336">
        <v>48000</v>
      </c>
      <c r="I2336" t="s">
        <v>25</v>
      </c>
    </row>
    <row r="2337" spans="1:9" hidden="1" x14ac:dyDescent="0.25">
      <c r="A2337">
        <v>25</v>
      </c>
      <c r="B2337" t="s">
        <v>8</v>
      </c>
      <c r="C2337">
        <v>2022</v>
      </c>
      <c r="D2337">
        <v>38.5</v>
      </c>
      <c r="E2337" t="s">
        <v>9</v>
      </c>
      <c r="F2337">
        <v>24.5</v>
      </c>
      <c r="G2337">
        <v>14</v>
      </c>
      <c r="H2337">
        <v>48000</v>
      </c>
      <c r="I2337" t="s">
        <v>25</v>
      </c>
    </row>
    <row r="2338" spans="1:9" hidden="1" x14ac:dyDescent="0.25">
      <c r="A2338">
        <v>26</v>
      </c>
      <c r="B2338" t="s">
        <v>8</v>
      </c>
      <c r="C2338">
        <v>2022</v>
      </c>
      <c r="D2338">
        <v>24.5</v>
      </c>
      <c r="E2338" t="s">
        <v>9</v>
      </c>
      <c r="F2338">
        <v>16.875</v>
      </c>
      <c r="G2338">
        <v>7.625</v>
      </c>
      <c r="H2338">
        <v>48000</v>
      </c>
      <c r="I2338" t="s">
        <v>25</v>
      </c>
    </row>
    <row r="2339" spans="1:9" hidden="1" x14ac:dyDescent="0.25">
      <c r="A2339">
        <v>27</v>
      </c>
      <c r="B2339" t="s">
        <v>8</v>
      </c>
      <c r="C2339">
        <v>2022</v>
      </c>
      <c r="D2339">
        <v>16.875</v>
      </c>
      <c r="E2339">
        <v>95</v>
      </c>
      <c r="F2339">
        <v>105.75</v>
      </c>
      <c r="G2339">
        <v>6.125</v>
      </c>
      <c r="H2339">
        <v>48000</v>
      </c>
      <c r="I2339" t="s">
        <v>25</v>
      </c>
    </row>
    <row r="2340" spans="1:9" hidden="1" x14ac:dyDescent="0.25">
      <c r="A2340">
        <v>28</v>
      </c>
      <c r="B2340" t="s">
        <v>8</v>
      </c>
      <c r="C2340">
        <v>2022</v>
      </c>
      <c r="D2340">
        <v>105.75</v>
      </c>
      <c r="E2340" t="s">
        <v>9</v>
      </c>
      <c r="F2340">
        <v>92</v>
      </c>
      <c r="G2340">
        <v>13.75</v>
      </c>
      <c r="H2340">
        <v>48000</v>
      </c>
      <c r="I2340" t="s">
        <v>25</v>
      </c>
    </row>
    <row r="2341" spans="1:9" hidden="1" x14ac:dyDescent="0.25">
      <c r="A2341">
        <v>29</v>
      </c>
      <c r="B2341" t="s">
        <v>8</v>
      </c>
      <c r="C2341">
        <v>2022</v>
      </c>
      <c r="D2341">
        <v>92</v>
      </c>
      <c r="E2341" t="s">
        <v>9</v>
      </c>
      <c r="F2341">
        <v>70.25</v>
      </c>
      <c r="G2341">
        <v>21.75</v>
      </c>
      <c r="H2341">
        <v>48000</v>
      </c>
      <c r="I2341" t="s">
        <v>25</v>
      </c>
    </row>
    <row r="2342" spans="1:9" hidden="1" x14ac:dyDescent="0.25">
      <c r="A2342">
        <v>30</v>
      </c>
      <c r="B2342" t="s">
        <v>8</v>
      </c>
      <c r="C2342">
        <v>2022</v>
      </c>
      <c r="D2342">
        <v>70.25</v>
      </c>
      <c r="E2342" t="s">
        <v>9</v>
      </c>
      <c r="F2342">
        <v>52.375</v>
      </c>
      <c r="G2342">
        <v>17.875</v>
      </c>
      <c r="H2342">
        <v>48000</v>
      </c>
      <c r="I2342" t="s">
        <v>25</v>
      </c>
    </row>
    <row r="2343" spans="1:9" hidden="1" x14ac:dyDescent="0.25">
      <c r="A2343">
        <v>31</v>
      </c>
      <c r="B2343" t="s">
        <v>8</v>
      </c>
      <c r="C2343">
        <v>2022</v>
      </c>
      <c r="D2343">
        <v>52.375</v>
      </c>
      <c r="E2343" t="s">
        <v>9</v>
      </c>
      <c r="F2343">
        <v>38.75</v>
      </c>
      <c r="G2343">
        <v>13.625</v>
      </c>
      <c r="H2343">
        <v>48000</v>
      </c>
      <c r="I2343" t="s">
        <v>25</v>
      </c>
    </row>
    <row r="2344" spans="1:9" x14ac:dyDescent="0.25">
      <c r="A2344">
        <v>1</v>
      </c>
      <c r="B2344" t="s">
        <v>11</v>
      </c>
      <c r="C2344">
        <v>2022</v>
      </c>
      <c r="D2344">
        <v>74.875</v>
      </c>
      <c r="E2344">
        <v>64</v>
      </c>
      <c r="F2344">
        <v>131.5</v>
      </c>
      <c r="G2344">
        <v>7.375</v>
      </c>
      <c r="H2344">
        <v>48000</v>
      </c>
      <c r="I2344" t="s">
        <v>22</v>
      </c>
    </row>
    <row r="2345" spans="1:9" x14ac:dyDescent="0.25">
      <c r="A2345">
        <v>2</v>
      </c>
      <c r="B2345" t="s">
        <v>11</v>
      </c>
      <c r="C2345">
        <v>2022</v>
      </c>
      <c r="D2345">
        <v>131.5</v>
      </c>
      <c r="E2345" t="s">
        <v>9</v>
      </c>
      <c r="F2345">
        <v>117.125</v>
      </c>
      <c r="G2345">
        <v>14.375</v>
      </c>
      <c r="H2345">
        <v>48000</v>
      </c>
      <c r="I2345" t="s">
        <v>22</v>
      </c>
    </row>
    <row r="2346" spans="1:9" x14ac:dyDescent="0.25">
      <c r="A2346">
        <v>3</v>
      </c>
      <c r="B2346" t="s">
        <v>11</v>
      </c>
      <c r="C2346">
        <v>2022</v>
      </c>
      <c r="D2346">
        <v>117.125</v>
      </c>
      <c r="E2346" t="s">
        <v>9</v>
      </c>
      <c r="F2346">
        <v>103</v>
      </c>
      <c r="G2346">
        <v>14.125</v>
      </c>
      <c r="H2346">
        <v>48000</v>
      </c>
      <c r="I2346" t="s">
        <v>22</v>
      </c>
    </row>
    <row r="2347" spans="1:9" x14ac:dyDescent="0.25">
      <c r="A2347">
        <v>4</v>
      </c>
      <c r="B2347" t="s">
        <v>11</v>
      </c>
      <c r="C2347">
        <v>2022</v>
      </c>
      <c r="D2347">
        <v>103</v>
      </c>
      <c r="E2347" t="s">
        <v>9</v>
      </c>
      <c r="F2347">
        <v>84.5</v>
      </c>
      <c r="G2347">
        <v>18.5</v>
      </c>
      <c r="H2347">
        <v>48000</v>
      </c>
      <c r="I2347" t="s">
        <v>22</v>
      </c>
    </row>
    <row r="2348" spans="1:9" x14ac:dyDescent="0.25">
      <c r="A2348">
        <v>5</v>
      </c>
      <c r="B2348" t="s">
        <v>11</v>
      </c>
      <c r="C2348">
        <v>2022</v>
      </c>
      <c r="D2348">
        <v>84.5</v>
      </c>
      <c r="E2348">
        <v>90</v>
      </c>
      <c r="F2348">
        <v>139</v>
      </c>
      <c r="G2348">
        <v>35.5</v>
      </c>
      <c r="H2348">
        <v>48000</v>
      </c>
      <c r="I2348" t="s">
        <v>22</v>
      </c>
    </row>
    <row r="2349" spans="1:9" x14ac:dyDescent="0.25">
      <c r="A2349">
        <v>6</v>
      </c>
      <c r="B2349" t="s">
        <v>11</v>
      </c>
      <c r="C2349">
        <v>2022</v>
      </c>
      <c r="D2349">
        <v>139</v>
      </c>
      <c r="E2349" t="s">
        <v>9</v>
      </c>
      <c r="F2349">
        <v>106</v>
      </c>
      <c r="G2349">
        <v>33</v>
      </c>
      <c r="H2349">
        <v>48000</v>
      </c>
      <c r="I2349" t="s">
        <v>22</v>
      </c>
    </row>
    <row r="2350" spans="1:9" x14ac:dyDescent="0.25">
      <c r="A2350">
        <v>7</v>
      </c>
      <c r="B2350" t="s">
        <v>11</v>
      </c>
      <c r="C2350">
        <v>2022</v>
      </c>
      <c r="D2350">
        <v>106</v>
      </c>
      <c r="E2350" t="s">
        <v>9</v>
      </c>
      <c r="F2350">
        <v>97.25</v>
      </c>
      <c r="G2350">
        <v>8.75</v>
      </c>
      <c r="H2350">
        <v>48000</v>
      </c>
      <c r="I2350" t="s">
        <v>22</v>
      </c>
    </row>
    <row r="2351" spans="1:9" x14ac:dyDescent="0.25">
      <c r="A2351">
        <v>8</v>
      </c>
      <c r="B2351" t="s">
        <v>11</v>
      </c>
      <c r="C2351">
        <v>2022</v>
      </c>
      <c r="D2351">
        <v>97.25</v>
      </c>
      <c r="E2351" t="s">
        <v>9</v>
      </c>
      <c r="F2351">
        <v>82.375</v>
      </c>
      <c r="G2351">
        <v>14.875</v>
      </c>
      <c r="H2351">
        <v>48000</v>
      </c>
      <c r="I2351" t="s">
        <v>22</v>
      </c>
    </row>
    <row r="2352" spans="1:9" x14ac:dyDescent="0.25">
      <c r="A2352">
        <v>9</v>
      </c>
      <c r="B2352" t="s">
        <v>11</v>
      </c>
      <c r="C2352">
        <v>2022</v>
      </c>
      <c r="D2352">
        <v>82.375</v>
      </c>
      <c r="E2352">
        <v>50</v>
      </c>
      <c r="F2352">
        <v>119</v>
      </c>
      <c r="G2352">
        <v>13.375</v>
      </c>
      <c r="H2352">
        <v>48000</v>
      </c>
      <c r="I2352" t="s">
        <v>22</v>
      </c>
    </row>
    <row r="2353" spans="1:9" x14ac:dyDescent="0.25">
      <c r="A2353">
        <v>10</v>
      </c>
      <c r="B2353" t="s">
        <v>11</v>
      </c>
      <c r="C2353">
        <v>2022</v>
      </c>
      <c r="D2353">
        <v>119</v>
      </c>
      <c r="E2353" t="s">
        <v>9</v>
      </c>
      <c r="F2353">
        <v>108</v>
      </c>
      <c r="G2353">
        <v>11</v>
      </c>
      <c r="H2353">
        <v>48000</v>
      </c>
      <c r="I2353" t="s">
        <v>22</v>
      </c>
    </row>
    <row r="2354" spans="1:9" x14ac:dyDescent="0.25">
      <c r="A2354">
        <v>11</v>
      </c>
      <c r="B2354" t="s">
        <v>11</v>
      </c>
      <c r="C2354">
        <v>2022</v>
      </c>
      <c r="D2354">
        <v>108</v>
      </c>
      <c r="E2354" t="s">
        <v>9</v>
      </c>
      <c r="F2354">
        <v>83.875</v>
      </c>
      <c r="G2354">
        <v>24.125</v>
      </c>
      <c r="H2354">
        <v>48000</v>
      </c>
      <c r="I2354" t="s">
        <v>22</v>
      </c>
    </row>
    <row r="2355" spans="1:9" x14ac:dyDescent="0.25">
      <c r="A2355">
        <v>12</v>
      </c>
      <c r="B2355" t="s">
        <v>11</v>
      </c>
      <c r="C2355">
        <v>2022</v>
      </c>
      <c r="D2355">
        <v>83.875</v>
      </c>
      <c r="E2355">
        <v>50</v>
      </c>
      <c r="F2355">
        <v>103.375</v>
      </c>
      <c r="G2355">
        <v>30.5</v>
      </c>
      <c r="H2355">
        <v>48000</v>
      </c>
      <c r="I2355" t="s">
        <v>22</v>
      </c>
    </row>
    <row r="2356" spans="1:9" x14ac:dyDescent="0.25">
      <c r="A2356">
        <v>13</v>
      </c>
      <c r="B2356" t="s">
        <v>11</v>
      </c>
      <c r="C2356">
        <v>2022</v>
      </c>
      <c r="D2356">
        <v>103.375</v>
      </c>
      <c r="E2356" t="s">
        <v>9</v>
      </c>
      <c r="F2356">
        <v>62.875</v>
      </c>
      <c r="G2356">
        <v>40.5</v>
      </c>
      <c r="H2356">
        <v>48000</v>
      </c>
      <c r="I2356" t="s">
        <v>22</v>
      </c>
    </row>
    <row r="2357" spans="1:9" x14ac:dyDescent="0.25">
      <c r="A2357">
        <v>14</v>
      </c>
      <c r="B2357" t="s">
        <v>11</v>
      </c>
      <c r="C2357">
        <v>2022</v>
      </c>
      <c r="D2357">
        <v>62.875</v>
      </c>
      <c r="E2357">
        <v>50</v>
      </c>
      <c r="F2357">
        <v>96.5</v>
      </c>
      <c r="G2357">
        <v>16.375</v>
      </c>
      <c r="H2357">
        <v>48000</v>
      </c>
      <c r="I2357" t="s">
        <v>22</v>
      </c>
    </row>
    <row r="2358" spans="1:9" x14ac:dyDescent="0.25">
      <c r="A2358">
        <v>15</v>
      </c>
      <c r="B2358" t="s">
        <v>11</v>
      </c>
      <c r="C2358">
        <v>2022</v>
      </c>
      <c r="D2358">
        <v>96.5</v>
      </c>
      <c r="E2358" t="s">
        <v>9</v>
      </c>
      <c r="F2358">
        <v>87</v>
      </c>
      <c r="G2358">
        <v>9.5</v>
      </c>
      <c r="H2358">
        <v>48000</v>
      </c>
      <c r="I2358" t="s">
        <v>22</v>
      </c>
    </row>
    <row r="2359" spans="1:9" x14ac:dyDescent="0.25">
      <c r="A2359">
        <v>16</v>
      </c>
      <c r="B2359" t="s">
        <v>11</v>
      </c>
      <c r="C2359">
        <v>2022</v>
      </c>
      <c r="D2359">
        <v>87</v>
      </c>
      <c r="E2359">
        <v>50</v>
      </c>
      <c r="F2359">
        <v>125.5</v>
      </c>
      <c r="G2359">
        <v>11.5</v>
      </c>
      <c r="H2359">
        <v>48000</v>
      </c>
      <c r="I2359" t="s">
        <v>22</v>
      </c>
    </row>
    <row r="2360" spans="1:9" x14ac:dyDescent="0.25">
      <c r="A2360">
        <v>17</v>
      </c>
      <c r="B2360" t="s">
        <v>11</v>
      </c>
      <c r="C2360">
        <v>2022</v>
      </c>
      <c r="D2360">
        <v>125.5</v>
      </c>
      <c r="E2360" t="s">
        <v>9</v>
      </c>
      <c r="F2360">
        <v>109</v>
      </c>
      <c r="G2360">
        <v>16.5</v>
      </c>
      <c r="H2360">
        <v>48000</v>
      </c>
      <c r="I2360" t="s">
        <v>22</v>
      </c>
    </row>
    <row r="2361" spans="1:9" x14ac:dyDescent="0.25">
      <c r="A2361">
        <v>18</v>
      </c>
      <c r="B2361" t="s">
        <v>11</v>
      </c>
      <c r="C2361">
        <v>2022</v>
      </c>
      <c r="D2361">
        <v>109</v>
      </c>
      <c r="E2361" t="s">
        <v>9</v>
      </c>
      <c r="F2361">
        <v>88.375</v>
      </c>
      <c r="G2361">
        <v>20.625</v>
      </c>
      <c r="H2361">
        <v>48000</v>
      </c>
      <c r="I2361" t="s">
        <v>22</v>
      </c>
    </row>
    <row r="2362" spans="1:9" x14ac:dyDescent="0.25">
      <c r="A2362">
        <v>19</v>
      </c>
      <c r="B2362" t="s">
        <v>11</v>
      </c>
      <c r="C2362">
        <v>2022</v>
      </c>
      <c r="D2362">
        <v>88.375</v>
      </c>
      <c r="E2362">
        <v>50</v>
      </c>
      <c r="F2362">
        <v>109.25</v>
      </c>
      <c r="G2362">
        <v>29.125</v>
      </c>
      <c r="H2362">
        <v>48000</v>
      </c>
      <c r="I2362" t="s">
        <v>22</v>
      </c>
    </row>
    <row r="2363" spans="1:9" x14ac:dyDescent="0.25">
      <c r="A2363">
        <v>20</v>
      </c>
      <c r="B2363" t="s">
        <v>11</v>
      </c>
      <c r="C2363">
        <v>2022</v>
      </c>
      <c r="D2363">
        <v>109.25</v>
      </c>
      <c r="E2363" t="s">
        <v>9</v>
      </c>
      <c r="F2363">
        <v>77.125</v>
      </c>
      <c r="G2363">
        <v>32.125</v>
      </c>
      <c r="H2363">
        <v>48000</v>
      </c>
      <c r="I2363" t="s">
        <v>22</v>
      </c>
    </row>
    <row r="2364" spans="1:9" x14ac:dyDescent="0.25">
      <c r="A2364">
        <v>21</v>
      </c>
      <c r="B2364" t="s">
        <v>11</v>
      </c>
      <c r="C2364">
        <v>2022</v>
      </c>
      <c r="D2364">
        <v>77.125</v>
      </c>
      <c r="E2364">
        <v>40</v>
      </c>
      <c r="F2364">
        <v>105.625</v>
      </c>
      <c r="G2364">
        <v>11.5</v>
      </c>
      <c r="H2364">
        <v>48000</v>
      </c>
      <c r="I2364" t="s">
        <v>22</v>
      </c>
    </row>
    <row r="2365" spans="1:9" x14ac:dyDescent="0.25">
      <c r="A2365">
        <v>22</v>
      </c>
      <c r="B2365" t="s">
        <v>11</v>
      </c>
      <c r="C2365">
        <v>2022</v>
      </c>
      <c r="D2365">
        <v>105.625</v>
      </c>
      <c r="E2365" t="s">
        <v>9</v>
      </c>
      <c r="F2365">
        <v>95.375</v>
      </c>
      <c r="G2365">
        <v>10.25</v>
      </c>
      <c r="H2365">
        <v>48000</v>
      </c>
      <c r="I2365" t="s">
        <v>22</v>
      </c>
    </row>
    <row r="2366" spans="1:9" x14ac:dyDescent="0.25">
      <c r="A2366">
        <v>23</v>
      </c>
      <c r="B2366" t="s">
        <v>11</v>
      </c>
      <c r="C2366">
        <v>2022</v>
      </c>
      <c r="D2366">
        <v>95.375</v>
      </c>
      <c r="E2366">
        <v>30</v>
      </c>
      <c r="F2366">
        <v>114.125</v>
      </c>
      <c r="G2366">
        <v>11.25</v>
      </c>
      <c r="H2366">
        <v>48000</v>
      </c>
      <c r="I2366" t="s">
        <v>22</v>
      </c>
    </row>
    <row r="2367" spans="1:9" x14ac:dyDescent="0.25">
      <c r="A2367">
        <v>24</v>
      </c>
      <c r="B2367" t="s">
        <v>11</v>
      </c>
      <c r="C2367">
        <v>2022</v>
      </c>
      <c r="D2367">
        <v>114.125</v>
      </c>
      <c r="E2367" t="s">
        <v>9</v>
      </c>
      <c r="F2367">
        <v>103.875</v>
      </c>
      <c r="G2367">
        <v>10.25</v>
      </c>
      <c r="H2367">
        <v>48000</v>
      </c>
      <c r="I2367" t="s">
        <v>22</v>
      </c>
    </row>
    <row r="2368" spans="1:9" x14ac:dyDescent="0.25">
      <c r="A2368">
        <v>25</v>
      </c>
      <c r="B2368" t="s">
        <v>11</v>
      </c>
      <c r="C2368">
        <v>2022</v>
      </c>
      <c r="D2368">
        <v>103.875</v>
      </c>
      <c r="E2368" t="s">
        <v>9</v>
      </c>
      <c r="F2368">
        <v>81</v>
      </c>
      <c r="G2368">
        <v>22.875</v>
      </c>
      <c r="H2368">
        <v>48000</v>
      </c>
      <c r="I2368" t="s">
        <v>22</v>
      </c>
    </row>
    <row r="2369" spans="1:9" x14ac:dyDescent="0.25">
      <c r="A2369">
        <v>26</v>
      </c>
      <c r="B2369" t="s">
        <v>11</v>
      </c>
      <c r="C2369">
        <v>2022</v>
      </c>
      <c r="D2369">
        <v>81</v>
      </c>
      <c r="E2369">
        <v>50</v>
      </c>
      <c r="F2369">
        <v>103.75</v>
      </c>
      <c r="G2369">
        <v>27.25</v>
      </c>
      <c r="H2369">
        <v>48000</v>
      </c>
      <c r="I2369" t="s">
        <v>22</v>
      </c>
    </row>
    <row r="2370" spans="1:9" x14ac:dyDescent="0.25">
      <c r="A2370">
        <v>27</v>
      </c>
      <c r="B2370" t="s">
        <v>11</v>
      </c>
      <c r="C2370">
        <v>2022</v>
      </c>
      <c r="D2370">
        <v>103.75</v>
      </c>
      <c r="E2370" t="s">
        <v>9</v>
      </c>
      <c r="F2370">
        <v>67</v>
      </c>
      <c r="G2370">
        <v>36.75</v>
      </c>
      <c r="H2370">
        <v>48000</v>
      </c>
      <c r="I2370" t="s">
        <v>22</v>
      </c>
    </row>
    <row r="2371" spans="1:9" x14ac:dyDescent="0.25">
      <c r="A2371">
        <v>28</v>
      </c>
      <c r="B2371" t="s">
        <v>11</v>
      </c>
      <c r="C2371">
        <v>2022</v>
      </c>
      <c r="D2371">
        <v>67</v>
      </c>
      <c r="E2371">
        <v>50</v>
      </c>
      <c r="F2371">
        <v>107.125</v>
      </c>
      <c r="G2371">
        <v>9.875</v>
      </c>
      <c r="H2371">
        <v>48000</v>
      </c>
      <c r="I2371" t="s">
        <v>22</v>
      </c>
    </row>
    <row r="2372" spans="1:9" hidden="1" x14ac:dyDescent="0.25">
      <c r="A2372">
        <v>1</v>
      </c>
      <c r="B2372" t="s">
        <v>11</v>
      </c>
      <c r="C2372">
        <v>2022</v>
      </c>
      <c r="D2372">
        <v>46.75</v>
      </c>
      <c r="E2372">
        <v>100</v>
      </c>
      <c r="F2372">
        <v>112</v>
      </c>
      <c r="G2372">
        <v>34.75</v>
      </c>
      <c r="H2372">
        <v>48000</v>
      </c>
      <c r="I2372" t="s">
        <v>23</v>
      </c>
    </row>
    <row r="2373" spans="1:9" hidden="1" x14ac:dyDescent="0.25">
      <c r="A2373">
        <v>2</v>
      </c>
      <c r="B2373" t="s">
        <v>11</v>
      </c>
      <c r="C2373">
        <v>2022</v>
      </c>
      <c r="D2373">
        <v>112</v>
      </c>
      <c r="E2373" t="s">
        <v>9</v>
      </c>
      <c r="F2373">
        <v>90.375</v>
      </c>
      <c r="G2373">
        <v>21.625</v>
      </c>
      <c r="H2373">
        <v>48000</v>
      </c>
      <c r="I2373" t="s">
        <v>23</v>
      </c>
    </row>
    <row r="2374" spans="1:9" hidden="1" x14ac:dyDescent="0.25">
      <c r="A2374">
        <v>3</v>
      </c>
      <c r="B2374" t="s">
        <v>11</v>
      </c>
      <c r="C2374">
        <v>2022</v>
      </c>
      <c r="D2374">
        <v>90.375</v>
      </c>
      <c r="E2374" t="s">
        <v>9</v>
      </c>
      <c r="F2374">
        <v>68.5</v>
      </c>
      <c r="G2374">
        <v>21.875</v>
      </c>
      <c r="H2374">
        <v>48000</v>
      </c>
      <c r="I2374" t="s">
        <v>23</v>
      </c>
    </row>
    <row r="2375" spans="1:9" hidden="1" x14ac:dyDescent="0.25">
      <c r="A2375">
        <v>4</v>
      </c>
      <c r="B2375" t="s">
        <v>11</v>
      </c>
      <c r="C2375">
        <v>2022</v>
      </c>
      <c r="D2375">
        <v>68.5</v>
      </c>
      <c r="E2375" t="s">
        <v>9</v>
      </c>
      <c r="F2375">
        <v>28.125</v>
      </c>
      <c r="G2375">
        <v>40.375</v>
      </c>
      <c r="H2375">
        <v>48000</v>
      </c>
      <c r="I2375" t="s">
        <v>23</v>
      </c>
    </row>
    <row r="2376" spans="1:9" hidden="1" x14ac:dyDescent="0.25">
      <c r="A2376">
        <v>5</v>
      </c>
      <c r="B2376" t="s">
        <v>11</v>
      </c>
      <c r="C2376">
        <v>2022</v>
      </c>
      <c r="D2376">
        <v>28.125</v>
      </c>
      <c r="E2376">
        <v>150</v>
      </c>
      <c r="F2376">
        <v>138.625</v>
      </c>
      <c r="G2376">
        <v>39.5</v>
      </c>
      <c r="H2376">
        <v>48000</v>
      </c>
      <c r="I2376" t="s">
        <v>23</v>
      </c>
    </row>
    <row r="2377" spans="1:9" hidden="1" x14ac:dyDescent="0.25">
      <c r="A2377">
        <v>6</v>
      </c>
      <c r="B2377" t="s">
        <v>11</v>
      </c>
      <c r="C2377">
        <v>2022</v>
      </c>
      <c r="D2377">
        <v>138.625</v>
      </c>
      <c r="E2377" t="s">
        <v>9</v>
      </c>
      <c r="F2377">
        <v>86.5</v>
      </c>
      <c r="G2377">
        <v>52.125</v>
      </c>
      <c r="H2377">
        <v>48000</v>
      </c>
      <c r="I2377" t="s">
        <v>23</v>
      </c>
    </row>
    <row r="2378" spans="1:9" hidden="1" x14ac:dyDescent="0.25">
      <c r="A2378">
        <v>7</v>
      </c>
      <c r="B2378" t="s">
        <v>11</v>
      </c>
      <c r="C2378">
        <v>2022</v>
      </c>
      <c r="D2378">
        <v>86.5</v>
      </c>
      <c r="E2378" t="s">
        <v>9</v>
      </c>
      <c r="F2378">
        <v>64.5</v>
      </c>
      <c r="G2378">
        <v>22</v>
      </c>
      <c r="H2378">
        <v>48000</v>
      </c>
      <c r="I2378" t="s">
        <v>23</v>
      </c>
    </row>
    <row r="2379" spans="1:9" hidden="1" x14ac:dyDescent="0.25">
      <c r="A2379">
        <v>8</v>
      </c>
      <c r="B2379" t="s">
        <v>11</v>
      </c>
      <c r="C2379">
        <v>2022</v>
      </c>
      <c r="D2379">
        <v>64.5</v>
      </c>
      <c r="E2379" t="s">
        <v>9</v>
      </c>
      <c r="F2379">
        <v>42.875</v>
      </c>
      <c r="G2379">
        <v>21.625</v>
      </c>
      <c r="H2379">
        <v>48000</v>
      </c>
      <c r="I2379" t="s">
        <v>23</v>
      </c>
    </row>
    <row r="2380" spans="1:9" hidden="1" x14ac:dyDescent="0.25">
      <c r="A2380">
        <v>9</v>
      </c>
      <c r="B2380" t="s">
        <v>11</v>
      </c>
      <c r="C2380">
        <v>2022</v>
      </c>
      <c r="D2380">
        <v>42.875</v>
      </c>
      <c r="E2380">
        <v>150</v>
      </c>
      <c r="F2380">
        <v>162.125</v>
      </c>
      <c r="G2380">
        <v>30.75</v>
      </c>
      <c r="H2380">
        <v>48000</v>
      </c>
      <c r="I2380" t="s">
        <v>23</v>
      </c>
    </row>
    <row r="2381" spans="1:9" hidden="1" x14ac:dyDescent="0.25">
      <c r="A2381">
        <v>10</v>
      </c>
      <c r="B2381" t="s">
        <v>11</v>
      </c>
      <c r="C2381">
        <v>2022</v>
      </c>
      <c r="D2381">
        <v>162.125</v>
      </c>
      <c r="E2381" t="s">
        <v>9</v>
      </c>
      <c r="F2381">
        <v>137.375</v>
      </c>
      <c r="G2381">
        <v>24.75</v>
      </c>
      <c r="H2381">
        <v>48000</v>
      </c>
      <c r="I2381" t="s">
        <v>23</v>
      </c>
    </row>
    <row r="2382" spans="1:9" hidden="1" x14ac:dyDescent="0.25">
      <c r="A2382">
        <v>11</v>
      </c>
      <c r="B2382" t="s">
        <v>11</v>
      </c>
      <c r="C2382">
        <v>2022</v>
      </c>
      <c r="D2382">
        <v>137.375</v>
      </c>
      <c r="E2382" t="s">
        <v>9</v>
      </c>
      <c r="F2382">
        <v>91</v>
      </c>
      <c r="G2382">
        <v>46.375</v>
      </c>
      <c r="H2382">
        <v>48000</v>
      </c>
      <c r="I2382" t="s">
        <v>23</v>
      </c>
    </row>
    <row r="2383" spans="1:9" hidden="1" x14ac:dyDescent="0.25">
      <c r="A2383">
        <v>12</v>
      </c>
      <c r="B2383" t="s">
        <v>11</v>
      </c>
      <c r="C2383">
        <v>2022</v>
      </c>
      <c r="D2383">
        <v>91</v>
      </c>
      <c r="E2383">
        <v>100</v>
      </c>
      <c r="F2383">
        <v>134.25</v>
      </c>
      <c r="G2383">
        <v>56.75</v>
      </c>
      <c r="H2383">
        <v>48000</v>
      </c>
      <c r="I2383" t="s">
        <v>23</v>
      </c>
    </row>
    <row r="2384" spans="1:9" hidden="1" x14ac:dyDescent="0.25">
      <c r="A2384">
        <v>13</v>
      </c>
      <c r="B2384" t="s">
        <v>11</v>
      </c>
      <c r="C2384">
        <v>2022</v>
      </c>
      <c r="D2384">
        <v>134.25</v>
      </c>
      <c r="E2384" t="s">
        <v>9</v>
      </c>
      <c r="F2384">
        <v>99.5</v>
      </c>
      <c r="G2384">
        <v>34.75</v>
      </c>
      <c r="H2384">
        <v>48000</v>
      </c>
      <c r="I2384" t="s">
        <v>23</v>
      </c>
    </row>
    <row r="2385" spans="1:9" hidden="1" x14ac:dyDescent="0.25">
      <c r="A2385">
        <v>14</v>
      </c>
      <c r="B2385" t="s">
        <v>11</v>
      </c>
      <c r="C2385">
        <v>2022</v>
      </c>
      <c r="D2385">
        <v>99.5</v>
      </c>
      <c r="E2385">
        <v>50</v>
      </c>
      <c r="F2385">
        <v>113.25</v>
      </c>
      <c r="G2385">
        <v>36.25</v>
      </c>
      <c r="H2385">
        <v>48000</v>
      </c>
      <c r="I2385" t="s">
        <v>23</v>
      </c>
    </row>
    <row r="2386" spans="1:9" hidden="1" x14ac:dyDescent="0.25">
      <c r="A2386">
        <v>15</v>
      </c>
      <c r="B2386" t="s">
        <v>11</v>
      </c>
      <c r="C2386">
        <v>2022</v>
      </c>
      <c r="D2386">
        <v>113.25</v>
      </c>
      <c r="E2386" t="s">
        <v>9</v>
      </c>
      <c r="F2386">
        <v>85.875</v>
      </c>
      <c r="G2386">
        <v>27.375</v>
      </c>
      <c r="H2386">
        <v>48000</v>
      </c>
      <c r="I2386" t="s">
        <v>23</v>
      </c>
    </row>
    <row r="2387" spans="1:9" hidden="1" x14ac:dyDescent="0.25">
      <c r="A2387">
        <v>16</v>
      </c>
      <c r="B2387" t="s">
        <v>11</v>
      </c>
      <c r="C2387">
        <v>2022</v>
      </c>
      <c r="D2387">
        <v>85.875</v>
      </c>
      <c r="E2387">
        <v>70</v>
      </c>
      <c r="F2387">
        <v>124.5</v>
      </c>
      <c r="G2387">
        <v>31.375</v>
      </c>
      <c r="H2387">
        <v>48000</v>
      </c>
      <c r="I2387" t="s">
        <v>23</v>
      </c>
    </row>
    <row r="2388" spans="1:9" hidden="1" x14ac:dyDescent="0.25">
      <c r="A2388">
        <v>17</v>
      </c>
      <c r="B2388" t="s">
        <v>11</v>
      </c>
      <c r="C2388">
        <v>2022</v>
      </c>
      <c r="D2388">
        <v>124.5</v>
      </c>
      <c r="E2388" t="s">
        <v>9</v>
      </c>
      <c r="F2388">
        <v>105.75</v>
      </c>
      <c r="G2388">
        <v>18.75</v>
      </c>
      <c r="H2388">
        <v>48000</v>
      </c>
      <c r="I2388" t="s">
        <v>23</v>
      </c>
    </row>
    <row r="2389" spans="1:9" hidden="1" x14ac:dyDescent="0.25">
      <c r="A2389">
        <v>18</v>
      </c>
      <c r="B2389" t="s">
        <v>11</v>
      </c>
      <c r="C2389">
        <v>2022</v>
      </c>
      <c r="D2389">
        <v>105.75</v>
      </c>
      <c r="E2389" t="s">
        <v>9</v>
      </c>
      <c r="F2389">
        <v>73</v>
      </c>
      <c r="G2389">
        <v>32.75</v>
      </c>
      <c r="H2389">
        <v>48000</v>
      </c>
      <c r="I2389" t="s">
        <v>23</v>
      </c>
    </row>
    <row r="2390" spans="1:9" hidden="1" x14ac:dyDescent="0.25">
      <c r="A2390">
        <v>19</v>
      </c>
      <c r="B2390" t="s">
        <v>11</v>
      </c>
      <c r="C2390">
        <v>2022</v>
      </c>
      <c r="D2390">
        <v>73</v>
      </c>
      <c r="E2390">
        <v>100</v>
      </c>
      <c r="F2390">
        <v>134.25</v>
      </c>
      <c r="G2390">
        <v>38.75</v>
      </c>
      <c r="H2390">
        <v>48000</v>
      </c>
      <c r="I2390" t="s">
        <v>23</v>
      </c>
    </row>
    <row r="2391" spans="1:9" hidden="1" x14ac:dyDescent="0.25">
      <c r="A2391">
        <v>20</v>
      </c>
      <c r="B2391" t="s">
        <v>11</v>
      </c>
      <c r="C2391">
        <v>2022</v>
      </c>
      <c r="D2391">
        <v>134.25</v>
      </c>
      <c r="E2391" t="s">
        <v>9</v>
      </c>
      <c r="F2391">
        <v>99.875</v>
      </c>
      <c r="G2391">
        <v>34.375</v>
      </c>
      <c r="H2391">
        <v>48000</v>
      </c>
      <c r="I2391" t="s">
        <v>23</v>
      </c>
    </row>
    <row r="2392" spans="1:9" hidden="1" x14ac:dyDescent="0.25">
      <c r="A2392">
        <v>21</v>
      </c>
      <c r="B2392" t="s">
        <v>11</v>
      </c>
      <c r="C2392">
        <v>2022</v>
      </c>
      <c r="D2392">
        <v>99.875</v>
      </c>
      <c r="E2392">
        <v>50</v>
      </c>
      <c r="F2392">
        <v>133</v>
      </c>
      <c r="G2392">
        <v>16.875</v>
      </c>
      <c r="H2392">
        <v>48000</v>
      </c>
      <c r="I2392" t="s">
        <v>23</v>
      </c>
    </row>
    <row r="2393" spans="1:9" hidden="1" x14ac:dyDescent="0.25">
      <c r="A2393">
        <v>22</v>
      </c>
      <c r="B2393" t="s">
        <v>11</v>
      </c>
      <c r="C2393">
        <v>2022</v>
      </c>
      <c r="D2393">
        <v>133</v>
      </c>
      <c r="E2393" t="s">
        <v>9</v>
      </c>
      <c r="F2393">
        <v>114.25</v>
      </c>
      <c r="G2393">
        <v>18.75</v>
      </c>
      <c r="H2393">
        <v>48000</v>
      </c>
      <c r="I2393" t="s">
        <v>23</v>
      </c>
    </row>
    <row r="2394" spans="1:9" hidden="1" x14ac:dyDescent="0.25">
      <c r="A2394">
        <v>23</v>
      </c>
      <c r="B2394" t="s">
        <v>11</v>
      </c>
      <c r="C2394">
        <v>2022</v>
      </c>
      <c r="D2394">
        <v>114.25</v>
      </c>
      <c r="E2394">
        <v>50</v>
      </c>
      <c r="F2394">
        <v>141</v>
      </c>
      <c r="G2394">
        <v>23.25</v>
      </c>
      <c r="H2394">
        <v>48000</v>
      </c>
      <c r="I2394" t="s">
        <v>23</v>
      </c>
    </row>
    <row r="2395" spans="1:9" hidden="1" x14ac:dyDescent="0.25">
      <c r="A2395">
        <v>24</v>
      </c>
      <c r="B2395" t="s">
        <v>11</v>
      </c>
      <c r="C2395">
        <v>2022</v>
      </c>
      <c r="D2395">
        <v>141</v>
      </c>
      <c r="E2395" t="s">
        <v>9</v>
      </c>
      <c r="F2395">
        <v>124.625</v>
      </c>
      <c r="G2395">
        <v>16.375</v>
      </c>
      <c r="H2395">
        <v>48000</v>
      </c>
      <c r="I2395" t="s">
        <v>23</v>
      </c>
    </row>
    <row r="2396" spans="1:9" hidden="1" x14ac:dyDescent="0.25">
      <c r="A2396">
        <v>25</v>
      </c>
      <c r="B2396" t="s">
        <v>11</v>
      </c>
      <c r="C2396">
        <v>2022</v>
      </c>
      <c r="D2396">
        <v>124.625</v>
      </c>
      <c r="E2396" t="s">
        <v>9</v>
      </c>
      <c r="F2396">
        <v>77</v>
      </c>
      <c r="G2396">
        <v>47.625</v>
      </c>
      <c r="H2396">
        <v>48000</v>
      </c>
      <c r="I2396" t="s">
        <v>23</v>
      </c>
    </row>
    <row r="2397" spans="1:9" hidden="1" x14ac:dyDescent="0.25">
      <c r="A2397">
        <v>26</v>
      </c>
      <c r="B2397" t="s">
        <v>11</v>
      </c>
      <c r="C2397">
        <v>2022</v>
      </c>
      <c r="D2397">
        <v>77</v>
      </c>
      <c r="E2397">
        <v>100</v>
      </c>
      <c r="F2397">
        <v>128</v>
      </c>
      <c r="G2397">
        <v>49</v>
      </c>
      <c r="H2397">
        <v>48000</v>
      </c>
      <c r="I2397" t="s">
        <v>23</v>
      </c>
    </row>
    <row r="2398" spans="1:9" hidden="1" x14ac:dyDescent="0.25">
      <c r="A2398">
        <v>27</v>
      </c>
      <c r="B2398" t="s">
        <v>11</v>
      </c>
      <c r="C2398">
        <v>2022</v>
      </c>
      <c r="D2398">
        <v>128</v>
      </c>
      <c r="E2398" t="s">
        <v>9</v>
      </c>
      <c r="F2398">
        <v>68.5</v>
      </c>
      <c r="G2398">
        <v>59.5</v>
      </c>
      <c r="H2398">
        <v>48000</v>
      </c>
      <c r="I2398" t="s">
        <v>23</v>
      </c>
    </row>
    <row r="2399" spans="1:9" hidden="1" x14ac:dyDescent="0.25">
      <c r="A2399">
        <v>28</v>
      </c>
      <c r="B2399" t="s">
        <v>11</v>
      </c>
      <c r="C2399">
        <v>2022</v>
      </c>
      <c r="D2399">
        <v>68.5</v>
      </c>
      <c r="E2399">
        <v>50</v>
      </c>
      <c r="F2399">
        <v>86.75</v>
      </c>
      <c r="G2399">
        <v>31.75</v>
      </c>
      <c r="H2399">
        <v>48000</v>
      </c>
      <c r="I2399" t="s">
        <v>23</v>
      </c>
    </row>
    <row r="2400" spans="1:9" hidden="1" x14ac:dyDescent="0.25">
      <c r="A2400">
        <v>1</v>
      </c>
      <c r="B2400" t="s">
        <v>11</v>
      </c>
      <c r="C2400">
        <v>2022</v>
      </c>
      <c r="D2400">
        <v>38.75</v>
      </c>
      <c r="E2400" t="s">
        <v>9</v>
      </c>
      <c r="F2400">
        <v>30.875</v>
      </c>
      <c r="G2400">
        <v>7.875</v>
      </c>
      <c r="H2400">
        <v>48000</v>
      </c>
      <c r="I2400" t="s">
        <v>25</v>
      </c>
    </row>
    <row r="2401" spans="1:9" hidden="1" x14ac:dyDescent="0.25">
      <c r="A2401">
        <v>2</v>
      </c>
      <c r="B2401" t="s">
        <v>11</v>
      </c>
      <c r="C2401">
        <v>2022</v>
      </c>
      <c r="D2401">
        <v>30.875</v>
      </c>
      <c r="E2401">
        <v>50</v>
      </c>
      <c r="F2401">
        <v>72</v>
      </c>
      <c r="G2401">
        <v>8.875</v>
      </c>
      <c r="H2401">
        <v>48000</v>
      </c>
      <c r="I2401" t="s">
        <v>25</v>
      </c>
    </row>
    <row r="2402" spans="1:9" hidden="1" x14ac:dyDescent="0.25">
      <c r="A2402">
        <v>3</v>
      </c>
      <c r="B2402" t="s">
        <v>11</v>
      </c>
      <c r="C2402">
        <v>2022</v>
      </c>
      <c r="D2402">
        <v>72</v>
      </c>
      <c r="E2402" t="s">
        <v>9</v>
      </c>
      <c r="F2402">
        <v>63.75</v>
      </c>
      <c r="G2402">
        <v>8.25</v>
      </c>
      <c r="H2402">
        <v>48000</v>
      </c>
      <c r="I2402" t="s">
        <v>25</v>
      </c>
    </row>
    <row r="2403" spans="1:9" hidden="1" x14ac:dyDescent="0.25">
      <c r="A2403">
        <v>4</v>
      </c>
      <c r="B2403" t="s">
        <v>11</v>
      </c>
      <c r="C2403">
        <v>2022</v>
      </c>
      <c r="D2403">
        <v>63.75</v>
      </c>
      <c r="E2403" t="s">
        <v>9</v>
      </c>
      <c r="F2403">
        <v>54.75</v>
      </c>
      <c r="G2403">
        <v>9</v>
      </c>
      <c r="H2403">
        <v>48000</v>
      </c>
      <c r="I2403" t="s">
        <v>25</v>
      </c>
    </row>
    <row r="2404" spans="1:9" hidden="1" x14ac:dyDescent="0.25">
      <c r="A2404">
        <v>5</v>
      </c>
      <c r="B2404" t="s">
        <v>11</v>
      </c>
      <c r="C2404">
        <v>2022</v>
      </c>
      <c r="D2404">
        <v>54.75</v>
      </c>
      <c r="E2404" t="s">
        <v>9</v>
      </c>
      <c r="F2404">
        <v>39.125</v>
      </c>
      <c r="G2404">
        <v>15.625</v>
      </c>
      <c r="H2404">
        <v>48000</v>
      </c>
      <c r="I2404" t="s">
        <v>25</v>
      </c>
    </row>
    <row r="2405" spans="1:9" hidden="1" x14ac:dyDescent="0.25">
      <c r="A2405">
        <v>6</v>
      </c>
      <c r="B2405" t="s">
        <v>11</v>
      </c>
      <c r="C2405">
        <v>2022</v>
      </c>
      <c r="D2405">
        <v>39.125</v>
      </c>
      <c r="E2405" t="s">
        <v>9</v>
      </c>
      <c r="F2405">
        <v>23</v>
      </c>
      <c r="G2405">
        <v>16.125</v>
      </c>
      <c r="H2405">
        <v>48000</v>
      </c>
      <c r="I2405" t="s">
        <v>25</v>
      </c>
    </row>
    <row r="2406" spans="1:9" hidden="1" x14ac:dyDescent="0.25">
      <c r="A2406">
        <v>7</v>
      </c>
      <c r="B2406" t="s">
        <v>11</v>
      </c>
      <c r="C2406">
        <v>2022</v>
      </c>
      <c r="D2406">
        <v>23</v>
      </c>
      <c r="E2406" t="s">
        <v>9</v>
      </c>
      <c r="F2406">
        <v>13</v>
      </c>
      <c r="G2406">
        <v>10</v>
      </c>
      <c r="H2406">
        <v>48000</v>
      </c>
      <c r="I2406" t="s">
        <v>25</v>
      </c>
    </row>
    <row r="2407" spans="1:9" hidden="1" x14ac:dyDescent="0.25">
      <c r="A2407">
        <v>8</v>
      </c>
      <c r="B2407" t="s">
        <v>11</v>
      </c>
      <c r="C2407">
        <v>2022</v>
      </c>
      <c r="D2407">
        <v>13</v>
      </c>
      <c r="E2407" t="s">
        <v>9</v>
      </c>
      <c r="F2407">
        <v>0</v>
      </c>
      <c r="G2407">
        <v>13</v>
      </c>
      <c r="H2407">
        <v>48000</v>
      </c>
      <c r="I2407" t="s">
        <v>25</v>
      </c>
    </row>
    <row r="2408" spans="1:9" hidden="1" x14ac:dyDescent="0.25">
      <c r="A2408">
        <v>9</v>
      </c>
      <c r="B2408" t="s">
        <v>11</v>
      </c>
      <c r="C2408">
        <v>2022</v>
      </c>
      <c r="D2408">
        <v>0</v>
      </c>
      <c r="E2408">
        <v>50</v>
      </c>
      <c r="F2408">
        <v>37.25</v>
      </c>
      <c r="G2408">
        <v>12.75</v>
      </c>
      <c r="H2408">
        <v>48000</v>
      </c>
      <c r="I2408" t="s">
        <v>25</v>
      </c>
    </row>
    <row r="2409" spans="1:9" hidden="1" x14ac:dyDescent="0.25">
      <c r="A2409">
        <v>10</v>
      </c>
      <c r="B2409" t="s">
        <v>11</v>
      </c>
      <c r="C2409">
        <v>2022</v>
      </c>
      <c r="D2409">
        <v>37.25</v>
      </c>
      <c r="E2409" t="s">
        <v>9</v>
      </c>
      <c r="F2409">
        <v>31</v>
      </c>
      <c r="G2409">
        <v>6.25</v>
      </c>
      <c r="H2409">
        <v>48000</v>
      </c>
      <c r="I2409" t="s">
        <v>25</v>
      </c>
    </row>
    <row r="2410" spans="1:9" hidden="1" x14ac:dyDescent="0.25">
      <c r="A2410">
        <v>11</v>
      </c>
      <c r="B2410" t="s">
        <v>11</v>
      </c>
      <c r="C2410">
        <v>2022</v>
      </c>
      <c r="D2410">
        <v>31</v>
      </c>
      <c r="E2410" t="s">
        <v>9</v>
      </c>
      <c r="F2410">
        <v>19</v>
      </c>
      <c r="G2410">
        <v>12</v>
      </c>
      <c r="H2410">
        <v>48000</v>
      </c>
      <c r="I2410" t="s">
        <v>25</v>
      </c>
    </row>
    <row r="2411" spans="1:9" hidden="1" x14ac:dyDescent="0.25">
      <c r="A2411">
        <v>12</v>
      </c>
      <c r="B2411" t="s">
        <v>11</v>
      </c>
      <c r="C2411">
        <v>2022</v>
      </c>
      <c r="D2411">
        <v>19</v>
      </c>
      <c r="E2411">
        <v>90</v>
      </c>
      <c r="F2411">
        <v>85.75</v>
      </c>
      <c r="G2411">
        <v>23.25</v>
      </c>
      <c r="H2411">
        <v>48000</v>
      </c>
      <c r="I2411" t="s">
        <v>25</v>
      </c>
    </row>
    <row r="2412" spans="1:9" hidden="1" x14ac:dyDescent="0.25">
      <c r="A2412">
        <v>13</v>
      </c>
      <c r="B2412" t="s">
        <v>11</v>
      </c>
      <c r="C2412">
        <v>2022</v>
      </c>
      <c r="D2412">
        <v>85.75</v>
      </c>
      <c r="E2412" t="s">
        <v>9</v>
      </c>
      <c r="F2412">
        <v>67.625</v>
      </c>
      <c r="G2412">
        <v>18.125</v>
      </c>
      <c r="H2412">
        <v>48000</v>
      </c>
      <c r="I2412" t="s">
        <v>25</v>
      </c>
    </row>
    <row r="2413" spans="1:9" hidden="1" x14ac:dyDescent="0.25">
      <c r="A2413">
        <v>14</v>
      </c>
      <c r="B2413" t="s">
        <v>11</v>
      </c>
      <c r="C2413">
        <v>2022</v>
      </c>
      <c r="D2413">
        <v>67.625</v>
      </c>
      <c r="E2413" t="s">
        <v>9</v>
      </c>
      <c r="F2413">
        <v>58</v>
      </c>
      <c r="G2413">
        <v>9.625</v>
      </c>
      <c r="H2413">
        <v>48000</v>
      </c>
      <c r="I2413" t="s">
        <v>25</v>
      </c>
    </row>
    <row r="2414" spans="1:9" hidden="1" x14ac:dyDescent="0.25">
      <c r="A2414">
        <v>15</v>
      </c>
      <c r="B2414" t="s">
        <v>11</v>
      </c>
      <c r="C2414">
        <v>2022</v>
      </c>
      <c r="D2414">
        <v>58</v>
      </c>
      <c r="E2414" t="s">
        <v>9</v>
      </c>
      <c r="F2414">
        <v>43.875</v>
      </c>
      <c r="G2414">
        <v>14.125</v>
      </c>
      <c r="H2414">
        <v>48000</v>
      </c>
      <c r="I2414" t="s">
        <v>25</v>
      </c>
    </row>
    <row r="2415" spans="1:9" hidden="1" x14ac:dyDescent="0.25">
      <c r="A2415">
        <v>16</v>
      </c>
      <c r="B2415" t="s">
        <v>11</v>
      </c>
      <c r="C2415">
        <v>2022</v>
      </c>
      <c r="D2415">
        <v>43.875</v>
      </c>
      <c r="E2415" t="s">
        <v>9</v>
      </c>
      <c r="F2415">
        <v>33.5</v>
      </c>
      <c r="G2415">
        <v>10.375</v>
      </c>
      <c r="H2415">
        <v>48000</v>
      </c>
      <c r="I2415" t="s">
        <v>25</v>
      </c>
    </row>
    <row r="2416" spans="1:9" hidden="1" x14ac:dyDescent="0.25">
      <c r="A2416">
        <v>17</v>
      </c>
      <c r="B2416" t="s">
        <v>11</v>
      </c>
      <c r="C2416">
        <v>2022</v>
      </c>
      <c r="D2416">
        <v>33.5</v>
      </c>
      <c r="E2416">
        <v>60</v>
      </c>
      <c r="F2416">
        <v>86</v>
      </c>
      <c r="G2416">
        <v>7.5</v>
      </c>
      <c r="H2416">
        <v>48000</v>
      </c>
      <c r="I2416" t="s">
        <v>25</v>
      </c>
    </row>
    <row r="2417" spans="1:9" hidden="1" x14ac:dyDescent="0.25">
      <c r="A2417">
        <v>18</v>
      </c>
      <c r="B2417" t="s">
        <v>11</v>
      </c>
      <c r="C2417">
        <v>2022</v>
      </c>
      <c r="D2417">
        <v>86</v>
      </c>
      <c r="E2417" t="s">
        <v>9</v>
      </c>
      <c r="F2417">
        <v>77.75</v>
      </c>
      <c r="G2417">
        <v>8.25</v>
      </c>
      <c r="H2417">
        <v>48000</v>
      </c>
      <c r="I2417" t="s">
        <v>25</v>
      </c>
    </row>
    <row r="2418" spans="1:9" hidden="1" x14ac:dyDescent="0.25">
      <c r="A2418">
        <v>19</v>
      </c>
      <c r="B2418" t="s">
        <v>11</v>
      </c>
      <c r="C2418">
        <v>2022</v>
      </c>
      <c r="D2418">
        <v>77.75</v>
      </c>
      <c r="E2418" t="s">
        <v>9</v>
      </c>
      <c r="F2418">
        <v>54.625</v>
      </c>
      <c r="G2418">
        <v>23.125</v>
      </c>
      <c r="H2418">
        <v>48000</v>
      </c>
      <c r="I2418" t="s">
        <v>25</v>
      </c>
    </row>
    <row r="2419" spans="1:9" hidden="1" x14ac:dyDescent="0.25">
      <c r="A2419">
        <v>20</v>
      </c>
      <c r="B2419" t="s">
        <v>11</v>
      </c>
      <c r="C2419">
        <v>2022</v>
      </c>
      <c r="D2419">
        <v>54.625</v>
      </c>
      <c r="E2419" t="s">
        <v>9</v>
      </c>
      <c r="F2419">
        <v>40</v>
      </c>
      <c r="G2419">
        <v>14.625</v>
      </c>
      <c r="H2419">
        <v>48000</v>
      </c>
      <c r="I2419" t="s">
        <v>25</v>
      </c>
    </row>
    <row r="2420" spans="1:9" hidden="1" x14ac:dyDescent="0.25">
      <c r="A2420">
        <v>21</v>
      </c>
      <c r="B2420" t="s">
        <v>11</v>
      </c>
      <c r="C2420">
        <v>2022</v>
      </c>
      <c r="D2420">
        <v>40</v>
      </c>
      <c r="E2420" t="s">
        <v>9</v>
      </c>
      <c r="F2420">
        <v>33.375</v>
      </c>
      <c r="G2420">
        <v>6.625</v>
      </c>
      <c r="H2420">
        <v>48000</v>
      </c>
      <c r="I2420" t="s">
        <v>25</v>
      </c>
    </row>
    <row r="2421" spans="1:9" hidden="1" x14ac:dyDescent="0.25">
      <c r="A2421">
        <v>22</v>
      </c>
      <c r="B2421" t="s">
        <v>11</v>
      </c>
      <c r="C2421">
        <v>2022</v>
      </c>
      <c r="D2421">
        <v>33.375</v>
      </c>
      <c r="E2421" t="s">
        <v>9</v>
      </c>
      <c r="F2421">
        <v>28.125</v>
      </c>
      <c r="G2421">
        <v>5.25</v>
      </c>
      <c r="H2421">
        <v>48000</v>
      </c>
      <c r="I2421" t="s">
        <v>25</v>
      </c>
    </row>
    <row r="2422" spans="1:9" hidden="1" x14ac:dyDescent="0.25">
      <c r="A2422">
        <v>23</v>
      </c>
      <c r="B2422" t="s">
        <v>11</v>
      </c>
      <c r="C2422">
        <v>2022</v>
      </c>
      <c r="D2422">
        <v>28.125</v>
      </c>
      <c r="E2422">
        <v>90</v>
      </c>
      <c r="F2422">
        <v>111.25</v>
      </c>
      <c r="G2422">
        <v>6.875</v>
      </c>
      <c r="H2422">
        <v>48000</v>
      </c>
      <c r="I2422" t="s">
        <v>25</v>
      </c>
    </row>
    <row r="2423" spans="1:9" hidden="1" x14ac:dyDescent="0.25">
      <c r="A2423">
        <v>24</v>
      </c>
      <c r="B2423" t="s">
        <v>11</v>
      </c>
      <c r="C2423">
        <v>2022</v>
      </c>
      <c r="D2423">
        <v>111.25</v>
      </c>
      <c r="E2423" t="s">
        <v>9</v>
      </c>
      <c r="F2423">
        <v>102.625</v>
      </c>
      <c r="G2423">
        <v>8.625</v>
      </c>
      <c r="H2423">
        <v>48000</v>
      </c>
      <c r="I2423" t="s">
        <v>25</v>
      </c>
    </row>
    <row r="2424" spans="1:9" hidden="1" x14ac:dyDescent="0.25">
      <c r="A2424">
        <v>25</v>
      </c>
      <c r="B2424" t="s">
        <v>11</v>
      </c>
      <c r="C2424">
        <v>2022</v>
      </c>
      <c r="D2424">
        <v>102.625</v>
      </c>
      <c r="E2424" t="s">
        <v>9</v>
      </c>
      <c r="F2424">
        <v>94.75</v>
      </c>
      <c r="G2424">
        <v>7.875</v>
      </c>
      <c r="H2424">
        <v>48000</v>
      </c>
      <c r="I2424" t="s">
        <v>25</v>
      </c>
    </row>
    <row r="2425" spans="1:9" hidden="1" x14ac:dyDescent="0.25">
      <c r="A2425">
        <v>26</v>
      </c>
      <c r="B2425" t="s">
        <v>11</v>
      </c>
      <c r="C2425">
        <v>2022</v>
      </c>
      <c r="D2425">
        <v>94.75</v>
      </c>
      <c r="E2425" t="s">
        <v>9</v>
      </c>
      <c r="F2425">
        <v>73</v>
      </c>
      <c r="G2425">
        <v>21.75</v>
      </c>
      <c r="H2425">
        <v>48000</v>
      </c>
      <c r="I2425" t="s">
        <v>25</v>
      </c>
    </row>
    <row r="2426" spans="1:9" hidden="1" x14ac:dyDescent="0.25">
      <c r="A2426">
        <v>27</v>
      </c>
      <c r="B2426" t="s">
        <v>11</v>
      </c>
      <c r="C2426">
        <v>2022</v>
      </c>
      <c r="D2426">
        <v>73</v>
      </c>
      <c r="E2426" t="s">
        <v>9</v>
      </c>
      <c r="F2426">
        <v>59.375</v>
      </c>
      <c r="G2426">
        <v>13.625</v>
      </c>
      <c r="H2426">
        <v>48000</v>
      </c>
      <c r="I2426" t="s">
        <v>25</v>
      </c>
    </row>
    <row r="2427" spans="1:9" hidden="1" x14ac:dyDescent="0.25">
      <c r="A2427">
        <v>28</v>
      </c>
      <c r="B2427" t="s">
        <v>11</v>
      </c>
      <c r="C2427">
        <v>2022</v>
      </c>
      <c r="D2427">
        <v>59.375</v>
      </c>
      <c r="E2427" t="s">
        <v>9</v>
      </c>
      <c r="F2427">
        <v>52</v>
      </c>
      <c r="G2427">
        <v>7.375</v>
      </c>
      <c r="H2427">
        <v>48000</v>
      </c>
      <c r="I2427" t="s">
        <v>25</v>
      </c>
    </row>
    <row r="2428" spans="1:9" x14ac:dyDescent="0.25">
      <c r="A2428">
        <v>1</v>
      </c>
      <c r="B2428" t="s">
        <v>12</v>
      </c>
      <c r="C2428">
        <v>2022</v>
      </c>
      <c r="D2428">
        <v>107.125</v>
      </c>
      <c r="E2428" t="s">
        <v>9</v>
      </c>
      <c r="F2428">
        <v>96.75</v>
      </c>
      <c r="G2428">
        <v>10.375</v>
      </c>
      <c r="H2428">
        <v>48000</v>
      </c>
      <c r="I2428" t="s">
        <v>22</v>
      </c>
    </row>
    <row r="2429" spans="1:9" x14ac:dyDescent="0.25">
      <c r="A2429">
        <v>2</v>
      </c>
      <c r="B2429" t="s">
        <v>12</v>
      </c>
      <c r="C2429">
        <v>2022</v>
      </c>
      <c r="D2429">
        <v>96.75</v>
      </c>
      <c r="E2429">
        <v>50</v>
      </c>
      <c r="F2429">
        <v>127.375</v>
      </c>
      <c r="G2429">
        <v>19.375</v>
      </c>
      <c r="H2429">
        <v>48000</v>
      </c>
      <c r="I2429" t="s">
        <v>22</v>
      </c>
    </row>
    <row r="2430" spans="1:9" x14ac:dyDescent="0.25">
      <c r="A2430">
        <v>3</v>
      </c>
      <c r="B2430" t="s">
        <v>12</v>
      </c>
      <c r="C2430">
        <v>2022</v>
      </c>
      <c r="D2430">
        <v>127.375</v>
      </c>
      <c r="E2430" t="s">
        <v>9</v>
      </c>
      <c r="F2430">
        <v>107.375</v>
      </c>
      <c r="G2430">
        <v>20</v>
      </c>
      <c r="H2430">
        <v>48000</v>
      </c>
      <c r="I2430" t="s">
        <v>22</v>
      </c>
    </row>
    <row r="2431" spans="1:9" x14ac:dyDescent="0.25">
      <c r="A2431">
        <v>4</v>
      </c>
      <c r="B2431" t="s">
        <v>12</v>
      </c>
      <c r="C2431">
        <v>2022</v>
      </c>
      <c r="D2431">
        <v>107.375</v>
      </c>
      <c r="E2431" t="s">
        <v>9</v>
      </c>
      <c r="F2431">
        <v>82.75</v>
      </c>
      <c r="G2431">
        <v>24.625</v>
      </c>
      <c r="H2431">
        <v>48000</v>
      </c>
      <c r="I2431" t="s">
        <v>22</v>
      </c>
    </row>
    <row r="2432" spans="1:9" x14ac:dyDescent="0.25">
      <c r="A2432">
        <v>5</v>
      </c>
      <c r="B2432" t="s">
        <v>12</v>
      </c>
      <c r="C2432">
        <v>2022</v>
      </c>
      <c r="D2432">
        <v>82.75</v>
      </c>
      <c r="E2432">
        <v>120</v>
      </c>
      <c r="F2432">
        <v>165.375</v>
      </c>
      <c r="G2432">
        <v>37.375</v>
      </c>
      <c r="H2432">
        <v>48000</v>
      </c>
      <c r="I2432" t="s">
        <v>22</v>
      </c>
    </row>
    <row r="2433" spans="1:9" x14ac:dyDescent="0.25">
      <c r="A2433">
        <v>6</v>
      </c>
      <c r="B2433" t="s">
        <v>12</v>
      </c>
      <c r="C2433">
        <v>2022</v>
      </c>
      <c r="D2433">
        <v>165.375</v>
      </c>
      <c r="E2433" t="s">
        <v>9</v>
      </c>
      <c r="F2433">
        <v>130</v>
      </c>
      <c r="G2433">
        <v>35.375</v>
      </c>
      <c r="H2433">
        <v>48000</v>
      </c>
      <c r="I2433" t="s">
        <v>22</v>
      </c>
    </row>
    <row r="2434" spans="1:9" x14ac:dyDescent="0.25">
      <c r="A2434">
        <v>7</v>
      </c>
      <c r="B2434" t="s">
        <v>12</v>
      </c>
      <c r="C2434">
        <v>2022</v>
      </c>
      <c r="D2434">
        <v>130</v>
      </c>
      <c r="E2434" t="s">
        <v>9</v>
      </c>
      <c r="F2434">
        <v>114.125</v>
      </c>
      <c r="G2434">
        <v>15.875</v>
      </c>
      <c r="H2434">
        <v>48000</v>
      </c>
      <c r="I2434" t="s">
        <v>22</v>
      </c>
    </row>
    <row r="2435" spans="1:9" x14ac:dyDescent="0.25">
      <c r="A2435">
        <v>8</v>
      </c>
      <c r="B2435" t="s">
        <v>12</v>
      </c>
      <c r="C2435">
        <v>2022</v>
      </c>
      <c r="D2435">
        <v>114.125</v>
      </c>
      <c r="E2435" t="s">
        <v>9</v>
      </c>
      <c r="F2435">
        <v>96</v>
      </c>
      <c r="G2435">
        <v>18.125</v>
      </c>
      <c r="H2435">
        <v>48000</v>
      </c>
      <c r="I2435" t="s">
        <v>22</v>
      </c>
    </row>
    <row r="2436" spans="1:9" x14ac:dyDescent="0.25">
      <c r="A2436">
        <v>9</v>
      </c>
      <c r="B2436" t="s">
        <v>12</v>
      </c>
      <c r="C2436">
        <v>2022</v>
      </c>
      <c r="D2436">
        <v>96</v>
      </c>
      <c r="E2436">
        <v>50</v>
      </c>
      <c r="F2436">
        <v>127.5</v>
      </c>
      <c r="G2436">
        <v>18.5</v>
      </c>
      <c r="H2436">
        <v>48000</v>
      </c>
      <c r="I2436" t="s">
        <v>22</v>
      </c>
    </row>
    <row r="2437" spans="1:9" x14ac:dyDescent="0.25">
      <c r="A2437">
        <v>10</v>
      </c>
      <c r="B2437" t="s">
        <v>12</v>
      </c>
      <c r="C2437">
        <v>2022</v>
      </c>
      <c r="D2437">
        <v>127.5</v>
      </c>
      <c r="E2437" t="s">
        <v>9</v>
      </c>
      <c r="F2437">
        <v>114</v>
      </c>
      <c r="G2437">
        <v>13.5</v>
      </c>
      <c r="H2437">
        <v>48000</v>
      </c>
      <c r="I2437" t="s">
        <v>22</v>
      </c>
    </row>
    <row r="2438" spans="1:9" x14ac:dyDescent="0.25">
      <c r="A2438">
        <v>11</v>
      </c>
      <c r="B2438" t="s">
        <v>12</v>
      </c>
      <c r="C2438">
        <v>2022</v>
      </c>
      <c r="D2438">
        <v>114</v>
      </c>
      <c r="E2438" t="s">
        <v>9</v>
      </c>
      <c r="F2438">
        <v>89</v>
      </c>
      <c r="G2438">
        <v>25</v>
      </c>
      <c r="H2438">
        <v>48000</v>
      </c>
      <c r="I2438" t="s">
        <v>22</v>
      </c>
    </row>
    <row r="2439" spans="1:9" x14ac:dyDescent="0.25">
      <c r="A2439">
        <v>12</v>
      </c>
      <c r="B2439" t="s">
        <v>12</v>
      </c>
      <c r="C2439">
        <v>2022</v>
      </c>
      <c r="D2439">
        <v>89</v>
      </c>
      <c r="E2439">
        <v>30</v>
      </c>
      <c r="F2439">
        <v>75.375</v>
      </c>
      <c r="G2439">
        <v>43.625</v>
      </c>
      <c r="H2439">
        <v>48000</v>
      </c>
      <c r="I2439" t="s">
        <v>22</v>
      </c>
    </row>
    <row r="2440" spans="1:9" x14ac:dyDescent="0.25">
      <c r="A2440">
        <v>13</v>
      </c>
      <c r="B2440" t="s">
        <v>12</v>
      </c>
      <c r="C2440">
        <v>2022</v>
      </c>
      <c r="D2440">
        <v>75.375</v>
      </c>
      <c r="E2440" t="s">
        <v>9</v>
      </c>
      <c r="F2440">
        <v>37.25</v>
      </c>
      <c r="G2440">
        <v>38.125</v>
      </c>
      <c r="H2440">
        <v>48000</v>
      </c>
      <c r="I2440" t="s">
        <v>22</v>
      </c>
    </row>
    <row r="2441" spans="1:9" x14ac:dyDescent="0.25">
      <c r="A2441">
        <v>14</v>
      </c>
      <c r="B2441" t="s">
        <v>12</v>
      </c>
      <c r="C2441">
        <v>2022</v>
      </c>
      <c r="D2441">
        <v>37.25</v>
      </c>
      <c r="E2441">
        <v>60</v>
      </c>
      <c r="F2441">
        <v>88.625</v>
      </c>
      <c r="G2441">
        <v>8.625</v>
      </c>
      <c r="H2441">
        <v>48000</v>
      </c>
      <c r="I2441" t="s">
        <v>22</v>
      </c>
    </row>
    <row r="2442" spans="1:9" x14ac:dyDescent="0.25">
      <c r="A2442">
        <v>15</v>
      </c>
      <c r="B2442" t="s">
        <v>12</v>
      </c>
      <c r="C2442">
        <v>2022</v>
      </c>
      <c r="D2442">
        <v>88.625</v>
      </c>
      <c r="E2442" t="s">
        <v>9</v>
      </c>
      <c r="F2442">
        <v>77.875</v>
      </c>
      <c r="G2442">
        <v>10.75</v>
      </c>
      <c r="H2442">
        <v>48000</v>
      </c>
      <c r="I2442" t="s">
        <v>22</v>
      </c>
    </row>
    <row r="2443" spans="1:9" x14ac:dyDescent="0.25">
      <c r="A2443">
        <v>16</v>
      </c>
      <c r="B2443" t="s">
        <v>12</v>
      </c>
      <c r="C2443">
        <v>2022</v>
      </c>
      <c r="D2443">
        <v>77.875</v>
      </c>
      <c r="E2443">
        <v>50</v>
      </c>
      <c r="F2443">
        <v>111.5</v>
      </c>
      <c r="G2443">
        <v>16.375</v>
      </c>
      <c r="H2443">
        <v>48000</v>
      </c>
      <c r="I2443" t="s">
        <v>22</v>
      </c>
    </row>
    <row r="2444" spans="1:9" x14ac:dyDescent="0.25">
      <c r="A2444">
        <v>17</v>
      </c>
      <c r="B2444" t="s">
        <v>12</v>
      </c>
      <c r="C2444">
        <v>2022</v>
      </c>
      <c r="D2444">
        <v>111.5</v>
      </c>
      <c r="E2444" t="s">
        <v>9</v>
      </c>
      <c r="F2444">
        <v>99</v>
      </c>
      <c r="G2444">
        <v>12.5</v>
      </c>
      <c r="H2444">
        <v>48000</v>
      </c>
      <c r="I2444" t="s">
        <v>22</v>
      </c>
    </row>
    <row r="2445" spans="1:9" x14ac:dyDescent="0.25">
      <c r="A2445">
        <v>18</v>
      </c>
      <c r="B2445" t="s">
        <v>12</v>
      </c>
      <c r="C2445">
        <v>2022</v>
      </c>
      <c r="D2445">
        <v>99</v>
      </c>
      <c r="E2445" t="s">
        <v>9</v>
      </c>
      <c r="F2445">
        <v>71.5</v>
      </c>
      <c r="G2445">
        <v>27.5</v>
      </c>
      <c r="H2445">
        <v>48000</v>
      </c>
      <c r="I2445" t="s">
        <v>22</v>
      </c>
    </row>
    <row r="2446" spans="1:9" x14ac:dyDescent="0.25">
      <c r="A2446">
        <v>19</v>
      </c>
      <c r="B2446" t="s">
        <v>12</v>
      </c>
      <c r="C2446">
        <v>2022</v>
      </c>
      <c r="D2446">
        <v>71.5</v>
      </c>
      <c r="E2446">
        <v>90</v>
      </c>
      <c r="F2446">
        <v>130.75</v>
      </c>
      <c r="G2446">
        <v>30.75</v>
      </c>
      <c r="H2446">
        <v>48000</v>
      </c>
      <c r="I2446" t="s">
        <v>22</v>
      </c>
    </row>
    <row r="2447" spans="1:9" x14ac:dyDescent="0.25">
      <c r="A2447">
        <v>20</v>
      </c>
      <c r="B2447" t="s">
        <v>12</v>
      </c>
      <c r="C2447">
        <v>2022</v>
      </c>
      <c r="D2447">
        <v>130.75</v>
      </c>
      <c r="E2447" t="s">
        <v>9</v>
      </c>
      <c r="F2447">
        <v>87.75</v>
      </c>
      <c r="G2447">
        <v>43</v>
      </c>
      <c r="H2447">
        <v>48000</v>
      </c>
      <c r="I2447" t="s">
        <v>22</v>
      </c>
    </row>
    <row r="2448" spans="1:9" x14ac:dyDescent="0.25">
      <c r="A2448">
        <v>21</v>
      </c>
      <c r="B2448" t="s">
        <v>12</v>
      </c>
      <c r="C2448">
        <v>2022</v>
      </c>
      <c r="D2448">
        <v>87.75</v>
      </c>
      <c r="E2448" t="s">
        <v>9</v>
      </c>
      <c r="F2448">
        <v>58.125</v>
      </c>
      <c r="G2448">
        <v>29.625</v>
      </c>
      <c r="H2448">
        <v>48000</v>
      </c>
      <c r="I2448" t="s">
        <v>22</v>
      </c>
    </row>
    <row r="2449" spans="1:9" x14ac:dyDescent="0.25">
      <c r="A2449">
        <v>22</v>
      </c>
      <c r="B2449" t="s">
        <v>12</v>
      </c>
      <c r="C2449">
        <v>2022</v>
      </c>
      <c r="D2449">
        <v>58.125</v>
      </c>
      <c r="E2449">
        <v>100</v>
      </c>
      <c r="F2449">
        <v>141.75</v>
      </c>
      <c r="G2449">
        <v>16.375</v>
      </c>
      <c r="H2449">
        <v>48000</v>
      </c>
      <c r="I2449" t="s">
        <v>22</v>
      </c>
    </row>
    <row r="2450" spans="1:9" x14ac:dyDescent="0.25">
      <c r="A2450">
        <v>23</v>
      </c>
      <c r="B2450" t="s">
        <v>12</v>
      </c>
      <c r="C2450">
        <v>2022</v>
      </c>
      <c r="D2450">
        <v>141.75</v>
      </c>
      <c r="E2450" t="s">
        <v>9</v>
      </c>
      <c r="F2450">
        <v>129.25</v>
      </c>
      <c r="G2450">
        <v>12.5</v>
      </c>
      <c r="H2450">
        <v>48000</v>
      </c>
      <c r="I2450" t="s">
        <v>22</v>
      </c>
    </row>
    <row r="2451" spans="1:9" x14ac:dyDescent="0.25">
      <c r="A2451">
        <v>24</v>
      </c>
      <c r="B2451" t="s">
        <v>12</v>
      </c>
      <c r="C2451">
        <v>2022</v>
      </c>
      <c r="D2451">
        <v>129.25</v>
      </c>
      <c r="E2451" t="s">
        <v>9</v>
      </c>
      <c r="F2451">
        <v>116.75</v>
      </c>
      <c r="G2451">
        <v>12.5</v>
      </c>
      <c r="H2451">
        <v>48000</v>
      </c>
      <c r="I2451" t="s">
        <v>22</v>
      </c>
    </row>
    <row r="2452" spans="1:9" x14ac:dyDescent="0.25">
      <c r="A2452">
        <v>25</v>
      </c>
      <c r="B2452" t="s">
        <v>12</v>
      </c>
      <c r="C2452">
        <v>2022</v>
      </c>
      <c r="D2452">
        <v>116.75</v>
      </c>
      <c r="E2452" t="s">
        <v>9</v>
      </c>
      <c r="F2452">
        <v>96.5</v>
      </c>
      <c r="G2452">
        <v>20.25</v>
      </c>
      <c r="H2452">
        <v>48000</v>
      </c>
      <c r="I2452" t="s">
        <v>22</v>
      </c>
    </row>
    <row r="2453" spans="1:9" x14ac:dyDescent="0.25">
      <c r="A2453">
        <v>26</v>
      </c>
      <c r="B2453" t="s">
        <v>12</v>
      </c>
      <c r="C2453">
        <v>2022</v>
      </c>
      <c r="D2453">
        <v>96.5</v>
      </c>
      <c r="E2453">
        <v>50</v>
      </c>
      <c r="F2453">
        <v>116.25</v>
      </c>
      <c r="G2453">
        <v>30.25</v>
      </c>
      <c r="H2453">
        <v>48000</v>
      </c>
      <c r="I2453" t="s">
        <v>22</v>
      </c>
    </row>
    <row r="2454" spans="1:9" x14ac:dyDescent="0.25">
      <c r="A2454">
        <v>27</v>
      </c>
      <c r="B2454" t="s">
        <v>12</v>
      </c>
      <c r="C2454">
        <v>2022</v>
      </c>
      <c r="D2454">
        <v>116.25</v>
      </c>
      <c r="E2454" t="s">
        <v>9</v>
      </c>
      <c r="F2454">
        <v>82.75</v>
      </c>
      <c r="G2454">
        <v>33.5</v>
      </c>
      <c r="H2454">
        <v>48000</v>
      </c>
      <c r="I2454" t="s">
        <v>22</v>
      </c>
    </row>
    <row r="2455" spans="1:9" x14ac:dyDescent="0.25">
      <c r="A2455">
        <v>28</v>
      </c>
      <c r="B2455" t="s">
        <v>12</v>
      </c>
      <c r="C2455">
        <v>2022</v>
      </c>
      <c r="D2455">
        <v>82.75</v>
      </c>
      <c r="E2455" t="s">
        <v>9</v>
      </c>
      <c r="F2455">
        <v>69.125</v>
      </c>
      <c r="G2455">
        <v>13.625</v>
      </c>
      <c r="H2455">
        <v>48000</v>
      </c>
      <c r="I2455" t="s">
        <v>22</v>
      </c>
    </row>
    <row r="2456" spans="1:9" x14ac:dyDescent="0.25">
      <c r="A2456">
        <v>29</v>
      </c>
      <c r="B2456" t="s">
        <v>12</v>
      </c>
      <c r="C2456">
        <v>2022</v>
      </c>
      <c r="D2456">
        <v>69.125</v>
      </c>
      <c r="E2456" t="s">
        <v>9</v>
      </c>
      <c r="F2456">
        <v>57.625</v>
      </c>
      <c r="G2456">
        <v>11.5</v>
      </c>
      <c r="H2456">
        <v>48000</v>
      </c>
      <c r="I2456" t="s">
        <v>22</v>
      </c>
    </row>
    <row r="2457" spans="1:9" x14ac:dyDescent="0.25">
      <c r="A2457">
        <v>30</v>
      </c>
      <c r="B2457" t="s">
        <v>12</v>
      </c>
      <c r="C2457">
        <v>2022</v>
      </c>
      <c r="D2457">
        <v>57.625</v>
      </c>
      <c r="E2457">
        <v>50</v>
      </c>
      <c r="F2457">
        <v>92.25</v>
      </c>
      <c r="G2457">
        <v>15.375</v>
      </c>
      <c r="H2457">
        <v>48000</v>
      </c>
      <c r="I2457" t="s">
        <v>22</v>
      </c>
    </row>
    <row r="2458" spans="1:9" x14ac:dyDescent="0.25">
      <c r="A2458">
        <v>31</v>
      </c>
      <c r="B2458" t="s">
        <v>12</v>
      </c>
      <c r="C2458">
        <v>2022</v>
      </c>
      <c r="D2458">
        <v>92.25</v>
      </c>
      <c r="E2458" t="s">
        <v>9</v>
      </c>
      <c r="F2458">
        <v>78.125</v>
      </c>
      <c r="G2458">
        <v>14.125</v>
      </c>
      <c r="H2458">
        <v>48000</v>
      </c>
      <c r="I2458" t="s">
        <v>22</v>
      </c>
    </row>
    <row r="2459" spans="1:9" hidden="1" x14ac:dyDescent="0.25">
      <c r="A2459">
        <v>1</v>
      </c>
      <c r="B2459" t="s">
        <v>12</v>
      </c>
      <c r="C2459">
        <v>2022</v>
      </c>
      <c r="D2459">
        <v>86.75</v>
      </c>
      <c r="E2459" t="s">
        <v>9</v>
      </c>
      <c r="F2459">
        <v>65.625</v>
      </c>
      <c r="G2459">
        <v>21.125</v>
      </c>
      <c r="H2459">
        <v>48000</v>
      </c>
      <c r="I2459" t="s">
        <v>23</v>
      </c>
    </row>
    <row r="2460" spans="1:9" hidden="1" x14ac:dyDescent="0.25">
      <c r="A2460">
        <v>2</v>
      </c>
      <c r="B2460" t="s">
        <v>12</v>
      </c>
      <c r="C2460">
        <v>2022</v>
      </c>
      <c r="D2460">
        <v>65.625</v>
      </c>
      <c r="E2460">
        <v>80</v>
      </c>
      <c r="F2460">
        <v>125</v>
      </c>
      <c r="G2460">
        <v>20.625</v>
      </c>
      <c r="H2460">
        <v>48000</v>
      </c>
      <c r="I2460" t="s">
        <v>23</v>
      </c>
    </row>
    <row r="2461" spans="1:9" hidden="1" x14ac:dyDescent="0.25">
      <c r="A2461">
        <v>3</v>
      </c>
      <c r="B2461" t="s">
        <v>12</v>
      </c>
      <c r="C2461">
        <v>2022</v>
      </c>
      <c r="D2461">
        <v>125</v>
      </c>
      <c r="E2461" t="s">
        <v>9</v>
      </c>
      <c r="F2461">
        <v>102.125</v>
      </c>
      <c r="G2461">
        <v>22.875</v>
      </c>
      <c r="H2461">
        <v>48000</v>
      </c>
      <c r="I2461" t="s">
        <v>23</v>
      </c>
    </row>
    <row r="2462" spans="1:9" hidden="1" x14ac:dyDescent="0.25">
      <c r="A2462">
        <v>4</v>
      </c>
      <c r="B2462" t="s">
        <v>12</v>
      </c>
      <c r="C2462">
        <v>2022</v>
      </c>
      <c r="D2462">
        <v>102.125</v>
      </c>
      <c r="E2462" t="s">
        <v>9</v>
      </c>
      <c r="F2462">
        <v>63.125</v>
      </c>
      <c r="G2462">
        <v>39</v>
      </c>
      <c r="H2462">
        <v>48000</v>
      </c>
      <c r="I2462" t="s">
        <v>23</v>
      </c>
    </row>
    <row r="2463" spans="1:9" hidden="1" x14ac:dyDescent="0.25">
      <c r="A2463">
        <v>5</v>
      </c>
      <c r="B2463" t="s">
        <v>12</v>
      </c>
      <c r="C2463">
        <v>2022</v>
      </c>
      <c r="D2463">
        <v>63.125</v>
      </c>
      <c r="E2463">
        <v>150</v>
      </c>
      <c r="F2463">
        <v>163</v>
      </c>
      <c r="G2463">
        <v>50.125</v>
      </c>
      <c r="H2463">
        <v>48000</v>
      </c>
      <c r="I2463" t="s">
        <v>23</v>
      </c>
    </row>
    <row r="2464" spans="1:9" hidden="1" x14ac:dyDescent="0.25">
      <c r="A2464">
        <v>6</v>
      </c>
      <c r="B2464" t="s">
        <v>12</v>
      </c>
      <c r="C2464">
        <v>2022</v>
      </c>
      <c r="D2464">
        <v>163</v>
      </c>
      <c r="E2464" t="s">
        <v>9</v>
      </c>
      <c r="F2464">
        <v>116.5</v>
      </c>
      <c r="G2464">
        <v>46.5</v>
      </c>
      <c r="H2464">
        <v>48000</v>
      </c>
      <c r="I2464" t="s">
        <v>23</v>
      </c>
    </row>
    <row r="2465" spans="1:9" hidden="1" x14ac:dyDescent="0.25">
      <c r="A2465">
        <v>7</v>
      </c>
      <c r="B2465" t="s">
        <v>12</v>
      </c>
      <c r="C2465">
        <v>2022</v>
      </c>
      <c r="D2465">
        <v>116.5</v>
      </c>
      <c r="E2465">
        <v>50</v>
      </c>
      <c r="F2465">
        <v>144.75</v>
      </c>
      <c r="G2465">
        <v>21.75</v>
      </c>
      <c r="H2465">
        <v>48000</v>
      </c>
      <c r="I2465" t="s">
        <v>23</v>
      </c>
    </row>
    <row r="2466" spans="1:9" hidden="1" x14ac:dyDescent="0.25">
      <c r="A2466">
        <v>8</v>
      </c>
      <c r="B2466" t="s">
        <v>12</v>
      </c>
      <c r="C2466">
        <v>2022</v>
      </c>
      <c r="D2466">
        <v>144.75</v>
      </c>
      <c r="E2466" t="s">
        <v>9</v>
      </c>
      <c r="F2466">
        <v>89</v>
      </c>
      <c r="G2466">
        <v>55.75</v>
      </c>
      <c r="H2466">
        <v>48000</v>
      </c>
      <c r="I2466" t="s">
        <v>23</v>
      </c>
    </row>
    <row r="2467" spans="1:9" hidden="1" x14ac:dyDescent="0.25">
      <c r="A2467">
        <v>9</v>
      </c>
      <c r="B2467" t="s">
        <v>12</v>
      </c>
      <c r="C2467">
        <v>2022</v>
      </c>
      <c r="D2467">
        <v>89</v>
      </c>
      <c r="E2467">
        <v>90</v>
      </c>
      <c r="F2467">
        <v>152.125</v>
      </c>
      <c r="G2467">
        <v>26.875</v>
      </c>
      <c r="H2467">
        <v>48000</v>
      </c>
      <c r="I2467" t="s">
        <v>23</v>
      </c>
    </row>
    <row r="2468" spans="1:9" hidden="1" x14ac:dyDescent="0.25">
      <c r="A2468">
        <v>10</v>
      </c>
      <c r="B2468" t="s">
        <v>12</v>
      </c>
      <c r="C2468">
        <v>2022</v>
      </c>
      <c r="D2468">
        <v>152.125</v>
      </c>
      <c r="E2468" t="s">
        <v>9</v>
      </c>
      <c r="F2468">
        <v>121.5</v>
      </c>
      <c r="G2468">
        <v>30.625</v>
      </c>
      <c r="H2468">
        <v>48000</v>
      </c>
      <c r="I2468" t="s">
        <v>23</v>
      </c>
    </row>
    <row r="2469" spans="1:9" hidden="1" x14ac:dyDescent="0.25">
      <c r="A2469">
        <v>11</v>
      </c>
      <c r="B2469" t="s">
        <v>12</v>
      </c>
      <c r="C2469">
        <v>2022</v>
      </c>
      <c r="D2469">
        <v>121.5</v>
      </c>
      <c r="E2469" t="s">
        <v>9</v>
      </c>
      <c r="F2469">
        <v>55.5</v>
      </c>
      <c r="G2469">
        <v>66</v>
      </c>
      <c r="H2469">
        <v>48000</v>
      </c>
      <c r="I2469" t="s">
        <v>23</v>
      </c>
    </row>
    <row r="2470" spans="1:9" hidden="1" x14ac:dyDescent="0.25">
      <c r="A2470">
        <v>12</v>
      </c>
      <c r="B2470" t="s">
        <v>12</v>
      </c>
      <c r="C2470">
        <v>2022</v>
      </c>
      <c r="D2470">
        <v>55.5</v>
      </c>
      <c r="E2470">
        <v>90</v>
      </c>
      <c r="F2470">
        <v>86.25</v>
      </c>
      <c r="G2470">
        <v>59.25</v>
      </c>
      <c r="H2470">
        <v>48000</v>
      </c>
      <c r="I2470" t="s">
        <v>23</v>
      </c>
    </row>
    <row r="2471" spans="1:9" hidden="1" x14ac:dyDescent="0.25">
      <c r="A2471">
        <v>13</v>
      </c>
      <c r="B2471" t="s">
        <v>12</v>
      </c>
      <c r="C2471">
        <v>2022</v>
      </c>
      <c r="D2471">
        <v>86.25</v>
      </c>
      <c r="E2471" t="s">
        <v>9</v>
      </c>
      <c r="F2471">
        <v>34</v>
      </c>
      <c r="G2471">
        <v>52.25</v>
      </c>
      <c r="H2471">
        <v>48000</v>
      </c>
      <c r="I2471" t="s">
        <v>23</v>
      </c>
    </row>
    <row r="2472" spans="1:9" hidden="1" x14ac:dyDescent="0.25">
      <c r="A2472">
        <v>14</v>
      </c>
      <c r="B2472" t="s">
        <v>12</v>
      </c>
      <c r="C2472">
        <v>2022</v>
      </c>
      <c r="D2472">
        <v>34</v>
      </c>
      <c r="E2472">
        <v>60</v>
      </c>
      <c r="F2472">
        <v>79</v>
      </c>
      <c r="G2472">
        <v>15</v>
      </c>
      <c r="H2472">
        <v>48000</v>
      </c>
      <c r="I2472" t="s">
        <v>23</v>
      </c>
    </row>
    <row r="2473" spans="1:9" hidden="1" x14ac:dyDescent="0.25">
      <c r="A2473">
        <v>15</v>
      </c>
      <c r="B2473" t="s">
        <v>12</v>
      </c>
      <c r="C2473">
        <v>2022</v>
      </c>
      <c r="D2473">
        <v>79</v>
      </c>
      <c r="E2473" t="s">
        <v>9</v>
      </c>
      <c r="F2473">
        <v>48.625</v>
      </c>
      <c r="G2473">
        <v>30.375</v>
      </c>
      <c r="H2473">
        <v>48000</v>
      </c>
      <c r="I2473" t="s">
        <v>23</v>
      </c>
    </row>
    <row r="2474" spans="1:9" hidden="1" x14ac:dyDescent="0.25">
      <c r="A2474">
        <v>16</v>
      </c>
      <c r="B2474" t="s">
        <v>12</v>
      </c>
      <c r="C2474">
        <v>2022</v>
      </c>
      <c r="D2474">
        <v>48.625</v>
      </c>
      <c r="E2474">
        <v>90</v>
      </c>
      <c r="F2474">
        <v>105.625</v>
      </c>
      <c r="G2474">
        <v>33</v>
      </c>
      <c r="H2474">
        <v>48000</v>
      </c>
      <c r="I2474" t="s">
        <v>23</v>
      </c>
    </row>
    <row r="2475" spans="1:9" hidden="1" x14ac:dyDescent="0.25">
      <c r="A2475">
        <v>17</v>
      </c>
      <c r="B2475" t="s">
        <v>12</v>
      </c>
      <c r="C2475">
        <v>2022</v>
      </c>
      <c r="D2475">
        <v>105.625</v>
      </c>
      <c r="E2475" t="s">
        <v>9</v>
      </c>
      <c r="F2475">
        <v>79</v>
      </c>
      <c r="G2475">
        <v>26.625</v>
      </c>
      <c r="H2475">
        <v>48000</v>
      </c>
      <c r="I2475" t="s">
        <v>23</v>
      </c>
    </row>
    <row r="2476" spans="1:9" hidden="1" x14ac:dyDescent="0.25">
      <c r="A2476">
        <v>18</v>
      </c>
      <c r="B2476" t="s">
        <v>12</v>
      </c>
      <c r="C2476">
        <v>2022</v>
      </c>
      <c r="D2476">
        <v>79</v>
      </c>
      <c r="E2476" t="s">
        <v>9</v>
      </c>
      <c r="F2476">
        <v>40.75</v>
      </c>
      <c r="G2476">
        <v>38.25</v>
      </c>
      <c r="H2476">
        <v>48000</v>
      </c>
      <c r="I2476" t="s">
        <v>23</v>
      </c>
    </row>
    <row r="2477" spans="1:9" hidden="1" x14ac:dyDescent="0.25">
      <c r="A2477">
        <v>19</v>
      </c>
      <c r="B2477" t="s">
        <v>12</v>
      </c>
      <c r="C2477">
        <v>2022</v>
      </c>
      <c r="D2477">
        <v>40.75</v>
      </c>
      <c r="E2477">
        <v>150</v>
      </c>
      <c r="F2477">
        <v>142</v>
      </c>
      <c r="G2477">
        <v>48.75</v>
      </c>
      <c r="H2477">
        <v>48000</v>
      </c>
      <c r="I2477" t="s">
        <v>23</v>
      </c>
    </row>
    <row r="2478" spans="1:9" hidden="1" x14ac:dyDescent="0.25">
      <c r="A2478">
        <v>20</v>
      </c>
      <c r="B2478" t="s">
        <v>12</v>
      </c>
      <c r="C2478">
        <v>2022</v>
      </c>
      <c r="D2478">
        <v>142</v>
      </c>
      <c r="E2478" t="s">
        <v>9</v>
      </c>
      <c r="F2478">
        <v>77.5</v>
      </c>
      <c r="G2478">
        <v>64.5</v>
      </c>
      <c r="H2478">
        <v>48000</v>
      </c>
      <c r="I2478" t="s">
        <v>23</v>
      </c>
    </row>
    <row r="2479" spans="1:9" hidden="1" x14ac:dyDescent="0.25">
      <c r="A2479">
        <v>21</v>
      </c>
      <c r="B2479" t="s">
        <v>12</v>
      </c>
      <c r="C2479">
        <v>2022</v>
      </c>
      <c r="D2479">
        <v>77.5</v>
      </c>
      <c r="E2479">
        <v>30</v>
      </c>
      <c r="F2479">
        <v>61</v>
      </c>
      <c r="G2479">
        <v>46.5</v>
      </c>
      <c r="H2479">
        <v>48000</v>
      </c>
      <c r="I2479" t="s">
        <v>23</v>
      </c>
    </row>
    <row r="2480" spans="1:9" hidden="1" x14ac:dyDescent="0.25">
      <c r="A2480">
        <v>22</v>
      </c>
      <c r="B2480" t="s">
        <v>12</v>
      </c>
      <c r="C2480">
        <v>2022</v>
      </c>
      <c r="D2480">
        <v>61</v>
      </c>
      <c r="E2480">
        <v>130</v>
      </c>
      <c r="F2480">
        <v>178.875</v>
      </c>
      <c r="G2480">
        <v>12.125</v>
      </c>
      <c r="H2480">
        <v>48000</v>
      </c>
      <c r="I2480" t="s">
        <v>23</v>
      </c>
    </row>
    <row r="2481" spans="1:9" hidden="1" x14ac:dyDescent="0.25">
      <c r="A2481">
        <v>23</v>
      </c>
      <c r="B2481" t="s">
        <v>12</v>
      </c>
      <c r="C2481">
        <v>2022</v>
      </c>
      <c r="D2481">
        <v>178.875</v>
      </c>
      <c r="E2481" t="s">
        <v>9</v>
      </c>
      <c r="F2481">
        <v>154.125</v>
      </c>
      <c r="G2481">
        <v>24.75</v>
      </c>
      <c r="H2481">
        <v>48000</v>
      </c>
      <c r="I2481" t="s">
        <v>23</v>
      </c>
    </row>
    <row r="2482" spans="1:9" hidden="1" x14ac:dyDescent="0.25">
      <c r="A2482">
        <v>24</v>
      </c>
      <c r="B2482" t="s">
        <v>12</v>
      </c>
      <c r="C2482">
        <v>2022</v>
      </c>
      <c r="D2482">
        <v>154.125</v>
      </c>
      <c r="E2482" t="s">
        <v>9</v>
      </c>
      <c r="F2482">
        <v>139.25</v>
      </c>
      <c r="G2482">
        <v>14.875</v>
      </c>
      <c r="H2482">
        <v>48000</v>
      </c>
      <c r="I2482" t="s">
        <v>23</v>
      </c>
    </row>
    <row r="2483" spans="1:9" hidden="1" x14ac:dyDescent="0.25">
      <c r="A2483">
        <v>25</v>
      </c>
      <c r="B2483" t="s">
        <v>12</v>
      </c>
      <c r="C2483">
        <v>2022</v>
      </c>
      <c r="D2483">
        <v>139.25</v>
      </c>
      <c r="E2483" t="s">
        <v>9</v>
      </c>
      <c r="F2483">
        <v>108.75</v>
      </c>
      <c r="G2483">
        <v>30.5</v>
      </c>
      <c r="H2483">
        <v>48000</v>
      </c>
      <c r="I2483" t="s">
        <v>23</v>
      </c>
    </row>
    <row r="2484" spans="1:9" hidden="1" x14ac:dyDescent="0.25">
      <c r="A2484">
        <v>26</v>
      </c>
      <c r="B2484" t="s">
        <v>12</v>
      </c>
      <c r="C2484">
        <v>2022</v>
      </c>
      <c r="D2484">
        <v>108.75</v>
      </c>
      <c r="E2484">
        <v>90</v>
      </c>
      <c r="F2484">
        <v>143.25</v>
      </c>
      <c r="G2484">
        <v>55.5</v>
      </c>
      <c r="H2484">
        <v>48000</v>
      </c>
      <c r="I2484" t="s">
        <v>23</v>
      </c>
    </row>
    <row r="2485" spans="1:9" hidden="1" x14ac:dyDescent="0.25">
      <c r="A2485">
        <v>27</v>
      </c>
      <c r="B2485" t="s">
        <v>12</v>
      </c>
      <c r="C2485">
        <v>2022</v>
      </c>
      <c r="D2485">
        <v>143.25</v>
      </c>
      <c r="E2485" t="s">
        <v>9</v>
      </c>
      <c r="F2485">
        <v>93.125</v>
      </c>
      <c r="G2485">
        <v>50.125</v>
      </c>
      <c r="H2485">
        <v>48000</v>
      </c>
      <c r="I2485" t="s">
        <v>23</v>
      </c>
    </row>
    <row r="2486" spans="1:9" hidden="1" x14ac:dyDescent="0.25">
      <c r="A2486">
        <v>28</v>
      </c>
      <c r="B2486" t="s">
        <v>12</v>
      </c>
      <c r="C2486">
        <v>2022</v>
      </c>
      <c r="D2486">
        <v>93.125</v>
      </c>
      <c r="E2486" t="s">
        <v>9</v>
      </c>
      <c r="F2486">
        <v>73</v>
      </c>
      <c r="G2486">
        <v>20.125</v>
      </c>
      <c r="H2486">
        <v>48000</v>
      </c>
      <c r="I2486" t="s">
        <v>23</v>
      </c>
    </row>
    <row r="2487" spans="1:9" hidden="1" x14ac:dyDescent="0.25">
      <c r="A2487">
        <v>29</v>
      </c>
      <c r="B2487" t="s">
        <v>12</v>
      </c>
      <c r="C2487">
        <v>2022</v>
      </c>
      <c r="D2487">
        <v>73</v>
      </c>
      <c r="E2487" t="s">
        <v>9</v>
      </c>
      <c r="F2487">
        <v>43.75</v>
      </c>
      <c r="G2487">
        <v>29.25</v>
      </c>
      <c r="H2487">
        <v>48000</v>
      </c>
      <c r="I2487" t="s">
        <v>23</v>
      </c>
    </row>
    <row r="2488" spans="1:9" hidden="1" x14ac:dyDescent="0.25">
      <c r="A2488">
        <v>30</v>
      </c>
      <c r="B2488" t="s">
        <v>12</v>
      </c>
      <c r="C2488">
        <v>2022</v>
      </c>
      <c r="D2488">
        <v>43.75</v>
      </c>
      <c r="E2488">
        <v>60</v>
      </c>
      <c r="F2488">
        <v>76.5</v>
      </c>
      <c r="G2488">
        <v>27.25</v>
      </c>
      <c r="H2488">
        <v>48000</v>
      </c>
      <c r="I2488" t="s">
        <v>23</v>
      </c>
    </row>
    <row r="2489" spans="1:9" hidden="1" x14ac:dyDescent="0.25">
      <c r="A2489">
        <v>31</v>
      </c>
      <c r="B2489" t="s">
        <v>12</v>
      </c>
      <c r="C2489">
        <v>2022</v>
      </c>
      <c r="D2489">
        <v>76.5</v>
      </c>
      <c r="E2489" t="s">
        <v>9</v>
      </c>
      <c r="F2489">
        <v>54</v>
      </c>
      <c r="G2489">
        <v>22.5</v>
      </c>
      <c r="H2489">
        <v>48000</v>
      </c>
      <c r="I2489" t="s">
        <v>23</v>
      </c>
    </row>
    <row r="2490" spans="1:9" hidden="1" x14ac:dyDescent="0.25">
      <c r="A2490">
        <v>1</v>
      </c>
      <c r="B2490" t="s">
        <v>12</v>
      </c>
      <c r="C2490">
        <v>2022</v>
      </c>
      <c r="D2490">
        <v>52</v>
      </c>
      <c r="E2490" t="s">
        <v>9</v>
      </c>
      <c r="F2490">
        <v>42.375</v>
      </c>
      <c r="G2490">
        <v>9.625</v>
      </c>
      <c r="H2490">
        <v>48000</v>
      </c>
      <c r="I2490" t="s">
        <v>25</v>
      </c>
    </row>
    <row r="2491" spans="1:9" hidden="1" x14ac:dyDescent="0.25">
      <c r="A2491">
        <v>2</v>
      </c>
      <c r="B2491" t="s">
        <v>12</v>
      </c>
      <c r="C2491">
        <v>2022</v>
      </c>
      <c r="D2491">
        <v>42.375</v>
      </c>
      <c r="E2491" t="s">
        <v>9</v>
      </c>
      <c r="F2491">
        <v>32.375</v>
      </c>
      <c r="G2491">
        <v>10</v>
      </c>
      <c r="H2491">
        <v>48000</v>
      </c>
      <c r="I2491" t="s">
        <v>25</v>
      </c>
    </row>
    <row r="2492" spans="1:9" hidden="1" x14ac:dyDescent="0.25">
      <c r="A2492">
        <v>3</v>
      </c>
      <c r="B2492" t="s">
        <v>12</v>
      </c>
      <c r="C2492">
        <v>2022</v>
      </c>
      <c r="D2492">
        <v>32.375</v>
      </c>
      <c r="E2492" t="s">
        <v>9</v>
      </c>
      <c r="F2492">
        <v>21</v>
      </c>
      <c r="G2492">
        <v>11.375</v>
      </c>
      <c r="H2492">
        <v>48000</v>
      </c>
      <c r="I2492" t="s">
        <v>25</v>
      </c>
    </row>
    <row r="2493" spans="1:9" hidden="1" x14ac:dyDescent="0.25">
      <c r="A2493">
        <v>4</v>
      </c>
      <c r="B2493" t="s">
        <v>12</v>
      </c>
      <c r="C2493">
        <v>2022</v>
      </c>
      <c r="D2493">
        <v>21</v>
      </c>
      <c r="E2493" t="s">
        <v>9</v>
      </c>
      <c r="F2493">
        <v>7.75</v>
      </c>
      <c r="G2493">
        <v>13.25</v>
      </c>
      <c r="H2493">
        <v>48000</v>
      </c>
      <c r="I2493" t="s">
        <v>25</v>
      </c>
    </row>
    <row r="2494" spans="1:9" hidden="1" x14ac:dyDescent="0.25">
      <c r="A2494">
        <v>5</v>
      </c>
      <c r="B2494" t="s">
        <v>12</v>
      </c>
      <c r="C2494">
        <v>2022</v>
      </c>
      <c r="D2494">
        <v>7.75</v>
      </c>
      <c r="E2494">
        <v>60</v>
      </c>
      <c r="F2494">
        <v>48.125</v>
      </c>
      <c r="G2494">
        <v>19.625</v>
      </c>
      <c r="H2494">
        <v>48000</v>
      </c>
      <c r="I2494" t="s">
        <v>25</v>
      </c>
    </row>
    <row r="2495" spans="1:9" hidden="1" x14ac:dyDescent="0.25">
      <c r="A2495">
        <v>6</v>
      </c>
      <c r="B2495" t="s">
        <v>12</v>
      </c>
      <c r="C2495">
        <v>2022</v>
      </c>
      <c r="D2495">
        <v>48.125</v>
      </c>
      <c r="E2495" t="s">
        <v>9</v>
      </c>
      <c r="F2495">
        <v>27.75</v>
      </c>
      <c r="G2495">
        <v>20.375</v>
      </c>
      <c r="H2495">
        <v>48000</v>
      </c>
      <c r="I2495" t="s">
        <v>25</v>
      </c>
    </row>
    <row r="2496" spans="1:9" hidden="1" x14ac:dyDescent="0.25">
      <c r="A2496">
        <v>7</v>
      </c>
      <c r="B2496" t="s">
        <v>12</v>
      </c>
      <c r="C2496">
        <v>2022</v>
      </c>
      <c r="D2496">
        <v>27.75</v>
      </c>
      <c r="E2496" t="s">
        <v>9</v>
      </c>
      <c r="F2496">
        <v>17.75</v>
      </c>
      <c r="G2496">
        <v>10</v>
      </c>
      <c r="H2496">
        <v>48000</v>
      </c>
      <c r="I2496" t="s">
        <v>25</v>
      </c>
    </row>
    <row r="2497" spans="1:9" hidden="1" x14ac:dyDescent="0.25">
      <c r="A2497">
        <v>8</v>
      </c>
      <c r="B2497" t="s">
        <v>12</v>
      </c>
      <c r="C2497">
        <v>2022</v>
      </c>
      <c r="D2497">
        <v>17.75</v>
      </c>
      <c r="E2497">
        <v>10</v>
      </c>
      <c r="F2497">
        <v>5</v>
      </c>
      <c r="G2497">
        <v>22.75</v>
      </c>
      <c r="H2497">
        <v>48000</v>
      </c>
      <c r="I2497" t="s">
        <v>25</v>
      </c>
    </row>
    <row r="2498" spans="1:9" hidden="1" x14ac:dyDescent="0.25">
      <c r="A2498">
        <v>9</v>
      </c>
      <c r="B2498" t="s">
        <v>12</v>
      </c>
      <c r="C2498">
        <v>2022</v>
      </c>
      <c r="D2498">
        <v>5</v>
      </c>
      <c r="E2498">
        <v>15</v>
      </c>
      <c r="F2498">
        <v>10.5</v>
      </c>
      <c r="G2498">
        <v>9.5</v>
      </c>
      <c r="H2498">
        <v>48000</v>
      </c>
      <c r="I2498" t="s">
        <v>25</v>
      </c>
    </row>
    <row r="2499" spans="1:9" hidden="1" x14ac:dyDescent="0.25">
      <c r="A2499">
        <v>10</v>
      </c>
      <c r="B2499" t="s">
        <v>12</v>
      </c>
      <c r="C2499">
        <v>2022</v>
      </c>
      <c r="D2499">
        <v>10.5</v>
      </c>
      <c r="E2499">
        <v>10</v>
      </c>
      <c r="F2499">
        <v>8.375</v>
      </c>
      <c r="G2499">
        <v>12.125</v>
      </c>
      <c r="H2499">
        <v>48000</v>
      </c>
      <c r="I2499" t="s">
        <v>25</v>
      </c>
    </row>
    <row r="2500" spans="1:9" hidden="1" x14ac:dyDescent="0.25">
      <c r="A2500">
        <v>11</v>
      </c>
      <c r="B2500" t="s">
        <v>12</v>
      </c>
      <c r="C2500">
        <v>2022</v>
      </c>
      <c r="D2500">
        <v>8.375</v>
      </c>
      <c r="E2500">
        <v>50</v>
      </c>
      <c r="F2500">
        <v>40.25</v>
      </c>
      <c r="G2500">
        <v>18.125</v>
      </c>
      <c r="H2500">
        <v>48000</v>
      </c>
      <c r="I2500" t="s">
        <v>25</v>
      </c>
    </row>
    <row r="2501" spans="1:9" hidden="1" x14ac:dyDescent="0.25">
      <c r="A2501">
        <v>12</v>
      </c>
      <c r="B2501" t="s">
        <v>12</v>
      </c>
      <c r="C2501">
        <v>2022</v>
      </c>
      <c r="D2501">
        <v>40.25</v>
      </c>
      <c r="E2501" t="s">
        <v>9</v>
      </c>
      <c r="F2501">
        <v>15.625</v>
      </c>
      <c r="G2501">
        <v>24.625</v>
      </c>
      <c r="H2501">
        <v>48000</v>
      </c>
      <c r="I2501" t="s">
        <v>25</v>
      </c>
    </row>
    <row r="2502" spans="1:9" hidden="1" x14ac:dyDescent="0.25">
      <c r="A2502">
        <v>13</v>
      </c>
      <c r="B2502" t="s">
        <v>12</v>
      </c>
      <c r="C2502">
        <v>2022</v>
      </c>
      <c r="D2502">
        <v>15.625</v>
      </c>
      <c r="E2502">
        <v>10</v>
      </c>
      <c r="F2502">
        <v>9</v>
      </c>
      <c r="G2502">
        <v>16.625</v>
      </c>
      <c r="H2502">
        <v>48000</v>
      </c>
      <c r="I2502" t="s">
        <v>25</v>
      </c>
    </row>
    <row r="2503" spans="1:9" hidden="1" x14ac:dyDescent="0.25">
      <c r="A2503">
        <v>14</v>
      </c>
      <c r="B2503" t="s">
        <v>12</v>
      </c>
      <c r="C2503">
        <v>2022</v>
      </c>
      <c r="D2503">
        <v>9</v>
      </c>
      <c r="E2503">
        <v>33</v>
      </c>
      <c r="F2503">
        <v>37.25</v>
      </c>
      <c r="G2503">
        <v>4.75</v>
      </c>
      <c r="H2503">
        <v>48000</v>
      </c>
      <c r="I2503" t="s">
        <v>25</v>
      </c>
    </row>
    <row r="2504" spans="1:9" hidden="1" x14ac:dyDescent="0.25">
      <c r="A2504">
        <v>15</v>
      </c>
      <c r="B2504" t="s">
        <v>12</v>
      </c>
      <c r="C2504">
        <v>2022</v>
      </c>
      <c r="D2504">
        <v>37.25</v>
      </c>
      <c r="E2504" t="s">
        <v>9</v>
      </c>
      <c r="F2504">
        <v>26</v>
      </c>
      <c r="G2504">
        <v>11.25</v>
      </c>
      <c r="H2504">
        <v>48000</v>
      </c>
      <c r="I2504" t="s">
        <v>25</v>
      </c>
    </row>
    <row r="2505" spans="1:9" hidden="1" x14ac:dyDescent="0.25">
      <c r="A2505">
        <v>16</v>
      </c>
      <c r="B2505" t="s">
        <v>12</v>
      </c>
      <c r="C2505">
        <v>2022</v>
      </c>
      <c r="D2505">
        <v>26</v>
      </c>
      <c r="E2505" t="s">
        <v>9</v>
      </c>
      <c r="F2505">
        <v>19.625</v>
      </c>
      <c r="G2505">
        <v>6.375</v>
      </c>
      <c r="H2505">
        <v>48000</v>
      </c>
      <c r="I2505" t="s">
        <v>25</v>
      </c>
    </row>
    <row r="2506" spans="1:9" hidden="1" x14ac:dyDescent="0.25">
      <c r="A2506">
        <v>17</v>
      </c>
      <c r="B2506" t="s">
        <v>12</v>
      </c>
      <c r="C2506">
        <v>2022</v>
      </c>
      <c r="D2506">
        <v>19.625</v>
      </c>
      <c r="E2506" t="s">
        <v>9</v>
      </c>
      <c r="F2506">
        <v>13.25</v>
      </c>
      <c r="G2506">
        <v>6.375</v>
      </c>
      <c r="H2506">
        <v>48000</v>
      </c>
      <c r="I2506" t="s">
        <v>25</v>
      </c>
    </row>
    <row r="2507" spans="1:9" hidden="1" x14ac:dyDescent="0.25">
      <c r="A2507">
        <v>18</v>
      </c>
      <c r="B2507" t="s">
        <v>12</v>
      </c>
      <c r="C2507">
        <v>2022</v>
      </c>
      <c r="D2507">
        <v>13.25</v>
      </c>
      <c r="E2507" t="s">
        <v>9</v>
      </c>
      <c r="F2507">
        <v>2.375</v>
      </c>
      <c r="G2507">
        <v>10.875</v>
      </c>
      <c r="H2507">
        <v>48000</v>
      </c>
      <c r="I2507" t="s">
        <v>25</v>
      </c>
    </row>
    <row r="2508" spans="1:9" hidden="1" x14ac:dyDescent="0.25">
      <c r="A2508">
        <v>19</v>
      </c>
      <c r="B2508" t="s">
        <v>12</v>
      </c>
      <c r="C2508">
        <v>2022</v>
      </c>
      <c r="D2508">
        <v>2.375</v>
      </c>
      <c r="E2508">
        <v>100</v>
      </c>
      <c r="F2508">
        <v>89</v>
      </c>
      <c r="G2508">
        <v>13.375</v>
      </c>
      <c r="H2508">
        <v>48000</v>
      </c>
      <c r="I2508" t="s">
        <v>25</v>
      </c>
    </row>
    <row r="2509" spans="1:9" hidden="1" x14ac:dyDescent="0.25">
      <c r="A2509">
        <v>20</v>
      </c>
      <c r="B2509" t="s">
        <v>12</v>
      </c>
      <c r="C2509">
        <v>2022</v>
      </c>
      <c r="D2509">
        <v>89</v>
      </c>
      <c r="E2509" t="s">
        <v>9</v>
      </c>
      <c r="F2509">
        <v>78.75</v>
      </c>
      <c r="G2509">
        <v>10.25</v>
      </c>
      <c r="H2509">
        <v>48000</v>
      </c>
      <c r="I2509" t="s">
        <v>25</v>
      </c>
    </row>
    <row r="2510" spans="1:9" hidden="1" x14ac:dyDescent="0.25">
      <c r="A2510">
        <v>21</v>
      </c>
      <c r="B2510" t="s">
        <v>12</v>
      </c>
      <c r="C2510">
        <v>2022</v>
      </c>
      <c r="D2510">
        <v>78.75</v>
      </c>
      <c r="E2510" t="s">
        <v>9</v>
      </c>
      <c r="F2510">
        <v>67.125</v>
      </c>
      <c r="G2510">
        <v>11.625</v>
      </c>
      <c r="H2510">
        <v>48000</v>
      </c>
      <c r="I2510" t="s">
        <v>25</v>
      </c>
    </row>
    <row r="2511" spans="1:9" hidden="1" x14ac:dyDescent="0.25">
      <c r="A2511">
        <v>22</v>
      </c>
      <c r="B2511" t="s">
        <v>12</v>
      </c>
      <c r="C2511">
        <v>2022</v>
      </c>
      <c r="D2511">
        <v>67.125</v>
      </c>
      <c r="E2511" t="s">
        <v>9</v>
      </c>
      <c r="F2511">
        <v>63</v>
      </c>
      <c r="G2511">
        <v>4.125</v>
      </c>
      <c r="H2511">
        <v>48000</v>
      </c>
      <c r="I2511" t="s">
        <v>25</v>
      </c>
    </row>
    <row r="2512" spans="1:9" hidden="1" x14ac:dyDescent="0.25">
      <c r="A2512">
        <v>23</v>
      </c>
      <c r="B2512" t="s">
        <v>12</v>
      </c>
      <c r="C2512">
        <v>2022</v>
      </c>
      <c r="D2512">
        <v>63</v>
      </c>
      <c r="E2512" t="s">
        <v>9</v>
      </c>
      <c r="F2512">
        <v>56.625</v>
      </c>
      <c r="G2512">
        <v>6.375</v>
      </c>
      <c r="H2512">
        <v>48000</v>
      </c>
      <c r="I2512" t="s">
        <v>25</v>
      </c>
    </row>
    <row r="2513" spans="1:9" hidden="1" x14ac:dyDescent="0.25">
      <c r="A2513">
        <v>24</v>
      </c>
      <c r="B2513" t="s">
        <v>12</v>
      </c>
      <c r="C2513">
        <v>2022</v>
      </c>
      <c r="D2513">
        <v>56.625</v>
      </c>
      <c r="E2513" t="s">
        <v>9</v>
      </c>
      <c r="F2513">
        <v>46.875</v>
      </c>
      <c r="G2513">
        <v>9.75</v>
      </c>
      <c r="H2513">
        <v>48000</v>
      </c>
      <c r="I2513" t="s">
        <v>25</v>
      </c>
    </row>
    <row r="2514" spans="1:9" hidden="1" x14ac:dyDescent="0.25">
      <c r="A2514">
        <v>25</v>
      </c>
      <c r="B2514" t="s">
        <v>12</v>
      </c>
      <c r="C2514">
        <v>2022</v>
      </c>
      <c r="D2514">
        <v>46.875</v>
      </c>
      <c r="E2514" t="s">
        <v>9</v>
      </c>
      <c r="F2514">
        <v>40.875</v>
      </c>
      <c r="G2514">
        <v>6</v>
      </c>
      <c r="H2514">
        <v>48000</v>
      </c>
      <c r="I2514" t="s">
        <v>25</v>
      </c>
    </row>
    <row r="2515" spans="1:9" hidden="1" x14ac:dyDescent="0.25">
      <c r="A2515">
        <v>26</v>
      </c>
      <c r="B2515" t="s">
        <v>12</v>
      </c>
      <c r="C2515">
        <v>2022</v>
      </c>
      <c r="D2515">
        <v>40.875</v>
      </c>
      <c r="E2515">
        <v>50</v>
      </c>
      <c r="F2515">
        <v>76.25</v>
      </c>
      <c r="G2515">
        <v>14.625</v>
      </c>
      <c r="H2515">
        <v>48000</v>
      </c>
      <c r="I2515" t="s">
        <v>25</v>
      </c>
    </row>
    <row r="2516" spans="1:9" hidden="1" x14ac:dyDescent="0.25">
      <c r="A2516">
        <v>27</v>
      </c>
      <c r="B2516" t="s">
        <v>12</v>
      </c>
      <c r="C2516">
        <v>2022</v>
      </c>
      <c r="D2516">
        <v>76.25</v>
      </c>
      <c r="E2516" t="s">
        <v>9</v>
      </c>
      <c r="F2516">
        <v>59.875</v>
      </c>
      <c r="G2516">
        <v>16.375</v>
      </c>
      <c r="H2516">
        <v>48000</v>
      </c>
      <c r="I2516" t="s">
        <v>25</v>
      </c>
    </row>
    <row r="2517" spans="1:9" hidden="1" x14ac:dyDescent="0.25">
      <c r="A2517">
        <v>28</v>
      </c>
      <c r="B2517" t="s">
        <v>12</v>
      </c>
      <c r="C2517">
        <v>2022</v>
      </c>
      <c r="D2517">
        <v>59.875</v>
      </c>
      <c r="E2517" t="s">
        <v>9</v>
      </c>
      <c r="F2517">
        <v>50</v>
      </c>
      <c r="G2517">
        <v>9.875</v>
      </c>
      <c r="H2517">
        <v>48000</v>
      </c>
      <c r="I2517" t="s">
        <v>25</v>
      </c>
    </row>
    <row r="2518" spans="1:9" hidden="1" x14ac:dyDescent="0.25">
      <c r="A2518">
        <v>29</v>
      </c>
      <c r="B2518" t="s">
        <v>12</v>
      </c>
      <c r="C2518">
        <v>2022</v>
      </c>
      <c r="D2518">
        <v>50</v>
      </c>
      <c r="E2518" t="s">
        <v>9</v>
      </c>
      <c r="F2518">
        <v>42.125</v>
      </c>
      <c r="G2518">
        <v>7.875</v>
      </c>
      <c r="H2518">
        <v>48000</v>
      </c>
      <c r="I2518" t="s">
        <v>25</v>
      </c>
    </row>
    <row r="2519" spans="1:9" hidden="1" x14ac:dyDescent="0.25">
      <c r="A2519">
        <v>30</v>
      </c>
      <c r="B2519" t="s">
        <v>12</v>
      </c>
      <c r="C2519">
        <v>2022</v>
      </c>
      <c r="D2519">
        <v>42.125</v>
      </c>
      <c r="E2519" t="s">
        <v>9</v>
      </c>
      <c r="F2519">
        <v>31.75</v>
      </c>
      <c r="G2519">
        <v>10.375</v>
      </c>
      <c r="H2519">
        <v>48000</v>
      </c>
      <c r="I2519" t="s">
        <v>25</v>
      </c>
    </row>
    <row r="2520" spans="1:9" hidden="1" x14ac:dyDescent="0.25">
      <c r="A2520">
        <v>31</v>
      </c>
      <c r="B2520" t="s">
        <v>12</v>
      </c>
      <c r="C2520">
        <v>2022</v>
      </c>
      <c r="D2520">
        <v>31.75</v>
      </c>
      <c r="E2520" t="s">
        <v>9</v>
      </c>
      <c r="F2520">
        <v>24</v>
      </c>
      <c r="G2520">
        <v>7.75</v>
      </c>
      <c r="H2520">
        <v>48000</v>
      </c>
      <c r="I2520" t="s">
        <v>25</v>
      </c>
    </row>
    <row r="2521" spans="1:9" x14ac:dyDescent="0.25">
      <c r="A2521">
        <v>1</v>
      </c>
      <c r="B2521" t="s">
        <v>13</v>
      </c>
      <c r="C2521">
        <v>2022</v>
      </c>
      <c r="D2521">
        <v>78.125</v>
      </c>
      <c r="E2521" t="s">
        <v>9</v>
      </c>
      <c r="F2521">
        <v>51.75</v>
      </c>
      <c r="G2521">
        <v>26.375</v>
      </c>
      <c r="H2521">
        <v>48000</v>
      </c>
      <c r="I2521" t="s">
        <v>22</v>
      </c>
    </row>
    <row r="2522" spans="1:9" x14ac:dyDescent="0.25">
      <c r="A2522">
        <v>2</v>
      </c>
      <c r="B2522" t="s">
        <v>13</v>
      </c>
      <c r="C2522">
        <v>2022</v>
      </c>
      <c r="D2522">
        <v>51.75</v>
      </c>
      <c r="E2522">
        <v>70</v>
      </c>
      <c r="F2522">
        <v>89.5</v>
      </c>
      <c r="G2522">
        <v>32.25</v>
      </c>
      <c r="H2522">
        <v>48000</v>
      </c>
      <c r="I2522" t="s">
        <v>22</v>
      </c>
    </row>
    <row r="2523" spans="1:9" x14ac:dyDescent="0.25">
      <c r="A2523">
        <v>3</v>
      </c>
      <c r="B2523" t="s">
        <v>13</v>
      </c>
      <c r="C2523">
        <v>2022</v>
      </c>
      <c r="D2523">
        <v>89.5</v>
      </c>
      <c r="E2523" t="s">
        <v>9</v>
      </c>
      <c r="F2523">
        <v>50.5</v>
      </c>
      <c r="G2523">
        <v>39</v>
      </c>
      <c r="H2523">
        <v>48000</v>
      </c>
      <c r="I2523" t="s">
        <v>22</v>
      </c>
    </row>
    <row r="2524" spans="1:9" x14ac:dyDescent="0.25">
      <c r="A2524">
        <v>4</v>
      </c>
      <c r="B2524" t="s">
        <v>13</v>
      </c>
      <c r="C2524">
        <v>2022</v>
      </c>
      <c r="D2524">
        <v>50.5</v>
      </c>
      <c r="E2524">
        <v>50</v>
      </c>
      <c r="F2524">
        <v>88</v>
      </c>
      <c r="G2524">
        <v>12.5</v>
      </c>
      <c r="H2524">
        <v>48000</v>
      </c>
      <c r="I2524" t="s">
        <v>22</v>
      </c>
    </row>
    <row r="2525" spans="1:9" x14ac:dyDescent="0.25">
      <c r="A2525">
        <v>5</v>
      </c>
      <c r="B2525" t="s">
        <v>13</v>
      </c>
      <c r="C2525">
        <v>2022</v>
      </c>
      <c r="D2525">
        <v>88</v>
      </c>
      <c r="E2525" t="s">
        <v>9</v>
      </c>
      <c r="F2525">
        <v>78.125</v>
      </c>
      <c r="G2525">
        <v>9.875</v>
      </c>
      <c r="H2525">
        <v>48000</v>
      </c>
      <c r="I2525" t="s">
        <v>22</v>
      </c>
    </row>
    <row r="2526" spans="1:9" x14ac:dyDescent="0.25">
      <c r="A2526">
        <v>6</v>
      </c>
      <c r="B2526" t="s">
        <v>13</v>
      </c>
      <c r="C2526">
        <v>2022</v>
      </c>
      <c r="D2526">
        <v>78.125</v>
      </c>
      <c r="E2526">
        <v>50</v>
      </c>
      <c r="F2526">
        <v>114.875</v>
      </c>
      <c r="G2526">
        <v>13.25</v>
      </c>
      <c r="H2526">
        <v>48000</v>
      </c>
      <c r="I2526" t="s">
        <v>22</v>
      </c>
    </row>
    <row r="2527" spans="1:9" x14ac:dyDescent="0.25">
      <c r="A2527">
        <v>7</v>
      </c>
      <c r="B2527" t="s">
        <v>13</v>
      </c>
      <c r="C2527">
        <v>2022</v>
      </c>
      <c r="D2527">
        <v>114.875</v>
      </c>
      <c r="E2527" t="s">
        <v>9</v>
      </c>
      <c r="F2527">
        <v>100</v>
      </c>
      <c r="G2527">
        <v>14.875</v>
      </c>
      <c r="H2527">
        <v>48000</v>
      </c>
      <c r="I2527" t="s">
        <v>22</v>
      </c>
    </row>
    <row r="2528" spans="1:9" x14ac:dyDescent="0.25">
      <c r="A2528">
        <v>8</v>
      </c>
      <c r="B2528" t="s">
        <v>13</v>
      </c>
      <c r="C2528">
        <v>2022</v>
      </c>
      <c r="D2528">
        <v>100</v>
      </c>
      <c r="E2528" t="s">
        <v>9</v>
      </c>
      <c r="F2528">
        <v>76.75</v>
      </c>
      <c r="G2528">
        <v>23.25</v>
      </c>
      <c r="H2528">
        <v>48000</v>
      </c>
      <c r="I2528" t="s">
        <v>22</v>
      </c>
    </row>
    <row r="2529" spans="1:9" x14ac:dyDescent="0.25">
      <c r="A2529">
        <v>9</v>
      </c>
      <c r="B2529" t="s">
        <v>13</v>
      </c>
      <c r="C2529">
        <v>2022</v>
      </c>
      <c r="D2529">
        <v>76.75</v>
      </c>
      <c r="E2529">
        <v>60</v>
      </c>
      <c r="F2529">
        <v>95</v>
      </c>
      <c r="G2529">
        <v>41.75</v>
      </c>
      <c r="H2529">
        <v>48000</v>
      </c>
      <c r="I2529" t="s">
        <v>22</v>
      </c>
    </row>
    <row r="2530" spans="1:9" x14ac:dyDescent="0.25">
      <c r="A2530">
        <v>10</v>
      </c>
      <c r="B2530" t="s">
        <v>13</v>
      </c>
      <c r="C2530">
        <v>2022</v>
      </c>
      <c r="D2530">
        <v>95</v>
      </c>
      <c r="E2530" t="s">
        <v>9</v>
      </c>
      <c r="F2530">
        <v>50.5</v>
      </c>
      <c r="G2530">
        <v>44.5</v>
      </c>
      <c r="H2530">
        <v>48000</v>
      </c>
      <c r="I2530" t="s">
        <v>22</v>
      </c>
    </row>
    <row r="2531" spans="1:9" x14ac:dyDescent="0.25">
      <c r="A2531">
        <v>11</v>
      </c>
      <c r="B2531" t="s">
        <v>13</v>
      </c>
      <c r="C2531">
        <v>2022</v>
      </c>
      <c r="D2531">
        <v>50.5</v>
      </c>
      <c r="E2531">
        <v>100</v>
      </c>
      <c r="F2531">
        <v>127.625</v>
      </c>
      <c r="G2531">
        <v>22.875</v>
      </c>
      <c r="H2531">
        <v>48000</v>
      </c>
      <c r="I2531" t="s">
        <v>22</v>
      </c>
    </row>
    <row r="2532" spans="1:9" x14ac:dyDescent="0.25">
      <c r="A2532">
        <v>12</v>
      </c>
      <c r="B2532" t="s">
        <v>13</v>
      </c>
      <c r="C2532">
        <v>2022</v>
      </c>
      <c r="D2532">
        <v>127.625</v>
      </c>
      <c r="E2532" t="s">
        <v>9</v>
      </c>
      <c r="F2532">
        <v>90.625</v>
      </c>
      <c r="G2532">
        <v>37</v>
      </c>
      <c r="H2532">
        <v>48000</v>
      </c>
      <c r="I2532" t="s">
        <v>22</v>
      </c>
    </row>
    <row r="2533" spans="1:9" x14ac:dyDescent="0.25">
      <c r="A2533">
        <v>13</v>
      </c>
      <c r="B2533" t="s">
        <v>13</v>
      </c>
      <c r="C2533">
        <v>2022</v>
      </c>
      <c r="D2533">
        <v>90.625</v>
      </c>
      <c r="E2533">
        <v>50</v>
      </c>
      <c r="F2533">
        <v>117.25</v>
      </c>
      <c r="G2533">
        <v>23.375</v>
      </c>
      <c r="H2533">
        <v>48000</v>
      </c>
      <c r="I2533" t="s">
        <v>22</v>
      </c>
    </row>
    <row r="2534" spans="1:9" x14ac:dyDescent="0.25">
      <c r="A2534">
        <v>14</v>
      </c>
      <c r="B2534" t="s">
        <v>13</v>
      </c>
      <c r="C2534">
        <v>2022</v>
      </c>
      <c r="D2534">
        <v>117.25</v>
      </c>
      <c r="E2534" t="s">
        <v>9</v>
      </c>
      <c r="F2534">
        <v>82.25</v>
      </c>
      <c r="G2534">
        <v>35</v>
      </c>
      <c r="H2534">
        <v>48000</v>
      </c>
      <c r="I2534" t="s">
        <v>22</v>
      </c>
    </row>
    <row r="2535" spans="1:9" x14ac:dyDescent="0.25">
      <c r="A2535">
        <v>15</v>
      </c>
      <c r="B2535" t="s">
        <v>13</v>
      </c>
      <c r="C2535">
        <v>2022</v>
      </c>
      <c r="D2535">
        <v>82.25</v>
      </c>
      <c r="E2535" t="s">
        <v>9</v>
      </c>
      <c r="F2535">
        <v>45.875</v>
      </c>
      <c r="G2535">
        <v>36.375</v>
      </c>
      <c r="H2535">
        <v>48000</v>
      </c>
      <c r="I2535" t="s">
        <v>22</v>
      </c>
    </row>
    <row r="2536" spans="1:9" x14ac:dyDescent="0.25">
      <c r="A2536">
        <v>16</v>
      </c>
      <c r="B2536" t="s">
        <v>13</v>
      </c>
      <c r="C2536">
        <v>2022</v>
      </c>
      <c r="D2536">
        <v>45.875</v>
      </c>
      <c r="E2536">
        <v>60</v>
      </c>
      <c r="F2536">
        <v>75.75</v>
      </c>
      <c r="G2536">
        <v>30.125</v>
      </c>
      <c r="H2536">
        <v>48000</v>
      </c>
      <c r="I2536" t="s">
        <v>22</v>
      </c>
    </row>
    <row r="2537" spans="1:9" x14ac:dyDescent="0.25">
      <c r="A2537">
        <v>17</v>
      </c>
      <c r="B2537" t="s">
        <v>13</v>
      </c>
      <c r="C2537">
        <v>2022</v>
      </c>
      <c r="D2537">
        <v>75.75</v>
      </c>
      <c r="E2537" t="s">
        <v>9</v>
      </c>
      <c r="F2537">
        <v>36.75</v>
      </c>
      <c r="G2537">
        <v>39</v>
      </c>
      <c r="H2537">
        <v>48000</v>
      </c>
      <c r="I2537" t="s">
        <v>22</v>
      </c>
    </row>
    <row r="2538" spans="1:9" x14ac:dyDescent="0.25">
      <c r="A2538">
        <v>18</v>
      </c>
      <c r="B2538" t="s">
        <v>13</v>
      </c>
      <c r="C2538">
        <v>2022</v>
      </c>
      <c r="D2538">
        <v>36.75</v>
      </c>
      <c r="E2538" t="s">
        <v>9</v>
      </c>
      <c r="F2538">
        <v>24.75</v>
      </c>
      <c r="G2538">
        <v>12</v>
      </c>
      <c r="H2538">
        <v>48000</v>
      </c>
      <c r="I2538" t="s">
        <v>22</v>
      </c>
    </row>
    <row r="2539" spans="1:9" x14ac:dyDescent="0.25">
      <c r="A2539">
        <v>19</v>
      </c>
      <c r="B2539" t="s">
        <v>13</v>
      </c>
      <c r="C2539">
        <v>2022</v>
      </c>
      <c r="D2539">
        <v>24.75</v>
      </c>
      <c r="E2539">
        <v>100</v>
      </c>
      <c r="F2539">
        <v>114.875</v>
      </c>
      <c r="G2539">
        <v>9.875</v>
      </c>
      <c r="H2539">
        <v>48000</v>
      </c>
      <c r="I2539" t="s">
        <v>22</v>
      </c>
    </row>
    <row r="2540" spans="1:9" x14ac:dyDescent="0.25">
      <c r="A2540">
        <v>20</v>
      </c>
      <c r="B2540" t="s">
        <v>13</v>
      </c>
      <c r="C2540">
        <v>2022</v>
      </c>
      <c r="D2540">
        <v>114.875</v>
      </c>
      <c r="E2540" t="s">
        <v>9</v>
      </c>
      <c r="F2540">
        <v>98.5</v>
      </c>
      <c r="G2540">
        <v>16.375</v>
      </c>
      <c r="H2540">
        <v>48000</v>
      </c>
      <c r="I2540" t="s">
        <v>22</v>
      </c>
    </row>
    <row r="2541" spans="1:9" x14ac:dyDescent="0.25">
      <c r="A2541">
        <v>21</v>
      </c>
      <c r="B2541" t="s">
        <v>13</v>
      </c>
      <c r="C2541">
        <v>2022</v>
      </c>
      <c r="D2541">
        <v>98.5</v>
      </c>
      <c r="E2541" t="s">
        <v>9</v>
      </c>
      <c r="F2541">
        <v>84</v>
      </c>
      <c r="G2541">
        <v>14.5</v>
      </c>
      <c r="H2541">
        <v>48000</v>
      </c>
      <c r="I2541" t="s">
        <v>22</v>
      </c>
    </row>
    <row r="2542" spans="1:9" x14ac:dyDescent="0.25">
      <c r="A2542">
        <v>22</v>
      </c>
      <c r="B2542" t="s">
        <v>13</v>
      </c>
      <c r="C2542">
        <v>2022</v>
      </c>
      <c r="D2542">
        <v>84</v>
      </c>
      <c r="E2542" t="s">
        <v>9</v>
      </c>
      <c r="F2542">
        <v>59.25</v>
      </c>
      <c r="G2542">
        <v>24.75</v>
      </c>
      <c r="H2542">
        <v>48000</v>
      </c>
      <c r="I2542" t="s">
        <v>22</v>
      </c>
    </row>
    <row r="2543" spans="1:9" x14ac:dyDescent="0.25">
      <c r="A2543">
        <v>23</v>
      </c>
      <c r="B2543" t="s">
        <v>13</v>
      </c>
      <c r="C2543">
        <v>2022</v>
      </c>
      <c r="D2543">
        <v>59.25</v>
      </c>
      <c r="E2543">
        <v>90</v>
      </c>
      <c r="F2543">
        <v>113</v>
      </c>
      <c r="G2543">
        <v>36.25</v>
      </c>
      <c r="H2543">
        <v>48000</v>
      </c>
      <c r="I2543" t="s">
        <v>22</v>
      </c>
    </row>
    <row r="2544" spans="1:9" x14ac:dyDescent="0.25">
      <c r="A2544">
        <v>24</v>
      </c>
      <c r="B2544" t="s">
        <v>13</v>
      </c>
      <c r="C2544">
        <v>2022</v>
      </c>
      <c r="D2544">
        <v>113</v>
      </c>
      <c r="E2544" t="s">
        <v>9</v>
      </c>
      <c r="F2544">
        <v>67.5</v>
      </c>
      <c r="G2544">
        <v>45.5</v>
      </c>
      <c r="H2544">
        <v>48000</v>
      </c>
      <c r="I2544" t="s">
        <v>22</v>
      </c>
    </row>
    <row r="2545" spans="1:9" x14ac:dyDescent="0.25">
      <c r="A2545">
        <v>25</v>
      </c>
      <c r="B2545" t="s">
        <v>13</v>
      </c>
      <c r="C2545">
        <v>2022</v>
      </c>
      <c r="D2545">
        <v>67.5</v>
      </c>
      <c r="E2545" t="s">
        <v>9</v>
      </c>
      <c r="F2545">
        <v>55.25</v>
      </c>
      <c r="G2545">
        <v>12.25</v>
      </c>
      <c r="H2545">
        <v>48000</v>
      </c>
      <c r="I2545" t="s">
        <v>22</v>
      </c>
    </row>
    <row r="2546" spans="1:9" x14ac:dyDescent="0.25">
      <c r="A2546">
        <v>26</v>
      </c>
      <c r="B2546" t="s">
        <v>13</v>
      </c>
      <c r="C2546">
        <v>2022</v>
      </c>
      <c r="D2546">
        <v>55.25</v>
      </c>
      <c r="E2546">
        <v>70</v>
      </c>
      <c r="F2546">
        <v>114.875</v>
      </c>
      <c r="G2546">
        <v>10.375</v>
      </c>
      <c r="H2546">
        <v>48000</v>
      </c>
      <c r="I2546" t="s">
        <v>22</v>
      </c>
    </row>
    <row r="2547" spans="1:9" x14ac:dyDescent="0.25">
      <c r="A2547">
        <v>27</v>
      </c>
      <c r="B2547" t="s">
        <v>13</v>
      </c>
      <c r="C2547">
        <v>2022</v>
      </c>
      <c r="D2547">
        <v>114.875</v>
      </c>
      <c r="E2547" t="s">
        <v>9</v>
      </c>
      <c r="F2547">
        <v>100.75</v>
      </c>
      <c r="G2547">
        <v>14.125</v>
      </c>
      <c r="H2547">
        <v>48000</v>
      </c>
      <c r="I2547" t="s">
        <v>22</v>
      </c>
    </row>
    <row r="2548" spans="1:9" x14ac:dyDescent="0.25">
      <c r="A2548">
        <v>28</v>
      </c>
      <c r="B2548" t="s">
        <v>13</v>
      </c>
      <c r="C2548">
        <v>2022</v>
      </c>
      <c r="D2548">
        <v>100.75</v>
      </c>
      <c r="E2548" t="s">
        <v>9</v>
      </c>
      <c r="F2548">
        <v>87</v>
      </c>
      <c r="G2548">
        <v>13.75</v>
      </c>
      <c r="H2548">
        <v>48000</v>
      </c>
      <c r="I2548" t="s">
        <v>22</v>
      </c>
    </row>
    <row r="2549" spans="1:9" x14ac:dyDescent="0.25">
      <c r="A2549">
        <v>29</v>
      </c>
      <c r="B2549" t="s">
        <v>13</v>
      </c>
      <c r="C2549">
        <v>2022</v>
      </c>
      <c r="D2549">
        <v>87</v>
      </c>
      <c r="E2549" t="s">
        <v>9</v>
      </c>
      <c r="F2549">
        <v>65</v>
      </c>
      <c r="G2549">
        <v>22</v>
      </c>
      <c r="H2549">
        <v>48000</v>
      </c>
      <c r="I2549" t="s">
        <v>22</v>
      </c>
    </row>
    <row r="2550" spans="1:9" x14ac:dyDescent="0.25">
      <c r="A2550">
        <v>30</v>
      </c>
      <c r="B2550" t="s">
        <v>13</v>
      </c>
      <c r="C2550">
        <v>2022</v>
      </c>
      <c r="D2550">
        <v>65</v>
      </c>
      <c r="E2550">
        <v>70</v>
      </c>
      <c r="F2550">
        <v>81</v>
      </c>
      <c r="G2550">
        <v>54</v>
      </c>
      <c r="H2550">
        <v>48000</v>
      </c>
      <c r="I2550" t="s">
        <v>22</v>
      </c>
    </row>
    <row r="2551" spans="1:9" hidden="1" x14ac:dyDescent="0.25">
      <c r="A2551">
        <v>1</v>
      </c>
      <c r="B2551" t="s">
        <v>13</v>
      </c>
      <c r="C2551">
        <v>2022</v>
      </c>
      <c r="D2551">
        <v>54</v>
      </c>
      <c r="E2551">
        <v>30</v>
      </c>
      <c r="F2551">
        <v>45.5</v>
      </c>
      <c r="G2551">
        <v>38.5</v>
      </c>
      <c r="H2551">
        <v>48000</v>
      </c>
      <c r="I2551" t="s">
        <v>23</v>
      </c>
    </row>
    <row r="2552" spans="1:9" hidden="1" x14ac:dyDescent="0.25">
      <c r="A2552">
        <v>2</v>
      </c>
      <c r="B2552" t="s">
        <v>13</v>
      </c>
      <c r="C2552">
        <v>2022</v>
      </c>
      <c r="D2552">
        <v>45.5</v>
      </c>
      <c r="E2552">
        <v>120</v>
      </c>
      <c r="F2552">
        <v>114.125</v>
      </c>
      <c r="G2552">
        <v>51.375</v>
      </c>
      <c r="H2552">
        <v>48000</v>
      </c>
      <c r="I2552" t="s">
        <v>23</v>
      </c>
    </row>
    <row r="2553" spans="1:9" hidden="1" x14ac:dyDescent="0.25">
      <c r="A2553">
        <v>3</v>
      </c>
      <c r="B2553" t="s">
        <v>13</v>
      </c>
      <c r="C2553">
        <v>2022</v>
      </c>
      <c r="D2553">
        <v>114.125</v>
      </c>
      <c r="E2553" t="s">
        <v>9</v>
      </c>
      <c r="F2553">
        <v>51</v>
      </c>
      <c r="G2553">
        <v>63.125</v>
      </c>
      <c r="H2553">
        <v>48000</v>
      </c>
      <c r="I2553" t="s">
        <v>23</v>
      </c>
    </row>
    <row r="2554" spans="1:9" hidden="1" x14ac:dyDescent="0.25">
      <c r="A2554">
        <v>4</v>
      </c>
      <c r="B2554" t="s">
        <v>13</v>
      </c>
      <c r="C2554">
        <v>2022</v>
      </c>
      <c r="D2554">
        <v>51</v>
      </c>
      <c r="E2554">
        <v>50</v>
      </c>
      <c r="F2554">
        <v>78.75</v>
      </c>
      <c r="G2554">
        <v>22.25</v>
      </c>
      <c r="H2554">
        <v>48000</v>
      </c>
      <c r="I2554" t="s">
        <v>23</v>
      </c>
    </row>
    <row r="2555" spans="1:9" hidden="1" x14ac:dyDescent="0.25">
      <c r="A2555">
        <v>5</v>
      </c>
      <c r="B2555" t="s">
        <v>13</v>
      </c>
      <c r="C2555">
        <v>2022</v>
      </c>
      <c r="D2555">
        <v>78.75</v>
      </c>
      <c r="E2555" t="s">
        <v>9</v>
      </c>
      <c r="F2555">
        <v>55.375</v>
      </c>
      <c r="G2555">
        <v>23.375</v>
      </c>
      <c r="H2555">
        <v>48000</v>
      </c>
      <c r="I2555" t="s">
        <v>23</v>
      </c>
    </row>
    <row r="2556" spans="1:9" hidden="1" x14ac:dyDescent="0.25">
      <c r="A2556">
        <v>6</v>
      </c>
      <c r="B2556" t="s">
        <v>13</v>
      </c>
      <c r="C2556">
        <v>2022</v>
      </c>
      <c r="D2556">
        <v>55.375</v>
      </c>
      <c r="E2556">
        <v>120</v>
      </c>
      <c r="F2556">
        <v>148.375</v>
      </c>
      <c r="G2556">
        <v>27</v>
      </c>
      <c r="H2556">
        <v>48000</v>
      </c>
      <c r="I2556" t="s">
        <v>23</v>
      </c>
    </row>
    <row r="2557" spans="1:9" hidden="1" x14ac:dyDescent="0.25">
      <c r="A2557">
        <v>7</v>
      </c>
      <c r="B2557" t="s">
        <v>13</v>
      </c>
      <c r="C2557">
        <v>2022</v>
      </c>
      <c r="D2557">
        <v>148.375</v>
      </c>
      <c r="E2557" t="s">
        <v>9</v>
      </c>
      <c r="F2557">
        <v>125.875</v>
      </c>
      <c r="G2557">
        <v>22.5</v>
      </c>
      <c r="H2557">
        <v>48000</v>
      </c>
      <c r="I2557" t="s">
        <v>23</v>
      </c>
    </row>
    <row r="2558" spans="1:9" hidden="1" x14ac:dyDescent="0.25">
      <c r="A2558">
        <v>8</v>
      </c>
      <c r="B2558" t="s">
        <v>13</v>
      </c>
      <c r="C2558">
        <v>2022</v>
      </c>
      <c r="D2558">
        <v>125.875</v>
      </c>
      <c r="E2558" t="s">
        <v>9</v>
      </c>
      <c r="F2558">
        <v>92.875</v>
      </c>
      <c r="G2558">
        <v>33</v>
      </c>
      <c r="H2558">
        <v>48000</v>
      </c>
      <c r="I2558" t="s">
        <v>23</v>
      </c>
    </row>
    <row r="2559" spans="1:9" hidden="1" x14ac:dyDescent="0.25">
      <c r="A2559">
        <v>9</v>
      </c>
      <c r="B2559" t="s">
        <v>13</v>
      </c>
      <c r="C2559">
        <v>2022</v>
      </c>
      <c r="D2559">
        <v>92.875</v>
      </c>
      <c r="E2559">
        <v>150</v>
      </c>
      <c r="F2559">
        <v>184</v>
      </c>
      <c r="G2559">
        <v>58.875</v>
      </c>
      <c r="H2559">
        <v>48000</v>
      </c>
      <c r="I2559" t="s">
        <v>23</v>
      </c>
    </row>
    <row r="2560" spans="1:9" hidden="1" x14ac:dyDescent="0.25">
      <c r="A2560">
        <v>10</v>
      </c>
      <c r="B2560" t="s">
        <v>13</v>
      </c>
      <c r="C2560">
        <v>2022</v>
      </c>
      <c r="D2560">
        <v>184</v>
      </c>
      <c r="E2560" t="s">
        <v>9</v>
      </c>
      <c r="F2560">
        <v>114</v>
      </c>
      <c r="G2560">
        <v>70</v>
      </c>
      <c r="H2560">
        <v>48000</v>
      </c>
      <c r="I2560" t="s">
        <v>23</v>
      </c>
    </row>
    <row r="2561" spans="1:9" hidden="1" x14ac:dyDescent="0.25">
      <c r="A2561">
        <v>11</v>
      </c>
      <c r="B2561" t="s">
        <v>13</v>
      </c>
      <c r="C2561">
        <v>2022</v>
      </c>
      <c r="D2561">
        <v>114</v>
      </c>
      <c r="E2561">
        <v>50</v>
      </c>
      <c r="F2561">
        <v>135.75</v>
      </c>
      <c r="G2561">
        <v>28.25</v>
      </c>
      <c r="H2561">
        <v>48000</v>
      </c>
      <c r="I2561" t="s">
        <v>23</v>
      </c>
    </row>
    <row r="2562" spans="1:9" hidden="1" x14ac:dyDescent="0.25">
      <c r="A2562">
        <v>12</v>
      </c>
      <c r="B2562" t="s">
        <v>13</v>
      </c>
      <c r="C2562">
        <v>2022</v>
      </c>
      <c r="D2562">
        <v>135.75</v>
      </c>
      <c r="E2562" t="s">
        <v>9</v>
      </c>
      <c r="F2562">
        <v>109.25</v>
      </c>
      <c r="G2562">
        <v>26.5</v>
      </c>
      <c r="H2562">
        <v>48000</v>
      </c>
      <c r="I2562" t="s">
        <v>23</v>
      </c>
    </row>
    <row r="2563" spans="1:9" hidden="1" x14ac:dyDescent="0.25">
      <c r="A2563">
        <v>13</v>
      </c>
      <c r="B2563" t="s">
        <v>13</v>
      </c>
      <c r="C2563">
        <v>2022</v>
      </c>
      <c r="D2563">
        <v>109.25</v>
      </c>
      <c r="E2563">
        <v>90</v>
      </c>
      <c r="F2563">
        <v>157</v>
      </c>
      <c r="G2563">
        <v>42.25</v>
      </c>
      <c r="H2563">
        <v>48000</v>
      </c>
      <c r="I2563" t="s">
        <v>23</v>
      </c>
    </row>
    <row r="2564" spans="1:9" hidden="1" x14ac:dyDescent="0.25">
      <c r="A2564">
        <v>14</v>
      </c>
      <c r="B2564" t="s">
        <v>13</v>
      </c>
      <c r="C2564">
        <v>2022</v>
      </c>
      <c r="D2564">
        <v>157</v>
      </c>
      <c r="E2564" t="s">
        <v>9</v>
      </c>
      <c r="F2564">
        <v>106.125</v>
      </c>
      <c r="G2564">
        <v>50.875</v>
      </c>
      <c r="H2564">
        <v>48000</v>
      </c>
      <c r="I2564" t="s">
        <v>23</v>
      </c>
    </row>
    <row r="2565" spans="1:9" hidden="1" x14ac:dyDescent="0.25">
      <c r="A2565">
        <v>15</v>
      </c>
      <c r="B2565" t="s">
        <v>13</v>
      </c>
      <c r="C2565">
        <v>2022</v>
      </c>
      <c r="D2565">
        <v>106.125</v>
      </c>
      <c r="E2565" t="s">
        <v>9</v>
      </c>
      <c r="F2565">
        <v>53.75</v>
      </c>
      <c r="G2565">
        <v>52.375</v>
      </c>
      <c r="H2565">
        <v>48000</v>
      </c>
      <c r="I2565" t="s">
        <v>23</v>
      </c>
    </row>
    <row r="2566" spans="1:9" hidden="1" x14ac:dyDescent="0.25">
      <c r="A2566">
        <v>16</v>
      </c>
      <c r="B2566" t="s">
        <v>13</v>
      </c>
      <c r="C2566">
        <v>2022</v>
      </c>
      <c r="D2566">
        <v>53.75</v>
      </c>
      <c r="E2566">
        <v>120</v>
      </c>
      <c r="F2566">
        <v>130.625</v>
      </c>
      <c r="G2566">
        <v>43.125</v>
      </c>
      <c r="H2566">
        <v>48000</v>
      </c>
      <c r="I2566" t="s">
        <v>23</v>
      </c>
    </row>
    <row r="2567" spans="1:9" hidden="1" x14ac:dyDescent="0.25">
      <c r="A2567">
        <v>17</v>
      </c>
      <c r="B2567" t="s">
        <v>13</v>
      </c>
      <c r="C2567">
        <v>2022</v>
      </c>
      <c r="D2567">
        <v>130.625</v>
      </c>
      <c r="E2567" t="s">
        <v>9</v>
      </c>
      <c r="F2567">
        <v>82.5</v>
      </c>
      <c r="G2567">
        <v>48.125</v>
      </c>
      <c r="H2567">
        <v>48000</v>
      </c>
      <c r="I2567" t="s">
        <v>23</v>
      </c>
    </row>
    <row r="2568" spans="1:9" hidden="1" x14ac:dyDescent="0.25">
      <c r="A2568">
        <v>18</v>
      </c>
      <c r="B2568" t="s">
        <v>13</v>
      </c>
      <c r="C2568">
        <v>2022</v>
      </c>
      <c r="D2568">
        <v>82.5</v>
      </c>
      <c r="E2568" t="s">
        <v>9</v>
      </c>
      <c r="F2568">
        <v>59.5</v>
      </c>
      <c r="G2568">
        <v>23</v>
      </c>
      <c r="H2568">
        <v>48000</v>
      </c>
      <c r="I2568" t="s">
        <v>23</v>
      </c>
    </row>
    <row r="2569" spans="1:9" hidden="1" x14ac:dyDescent="0.25">
      <c r="A2569">
        <v>19</v>
      </c>
      <c r="B2569" t="s">
        <v>13</v>
      </c>
      <c r="C2569">
        <v>2022</v>
      </c>
      <c r="D2569">
        <v>59.5</v>
      </c>
      <c r="E2569">
        <v>100</v>
      </c>
      <c r="F2569">
        <v>144.5</v>
      </c>
      <c r="G2569">
        <v>15</v>
      </c>
      <c r="H2569">
        <v>48000</v>
      </c>
      <c r="I2569" t="s">
        <v>23</v>
      </c>
    </row>
    <row r="2570" spans="1:9" hidden="1" x14ac:dyDescent="0.25">
      <c r="A2570">
        <v>20</v>
      </c>
      <c r="B2570" t="s">
        <v>13</v>
      </c>
      <c r="C2570">
        <v>2022</v>
      </c>
      <c r="D2570">
        <v>144.5</v>
      </c>
      <c r="E2570" t="s">
        <v>9</v>
      </c>
      <c r="F2570">
        <v>124.75</v>
      </c>
      <c r="G2570">
        <v>19.75</v>
      </c>
      <c r="H2570">
        <v>48000</v>
      </c>
      <c r="I2570" t="s">
        <v>23</v>
      </c>
    </row>
    <row r="2571" spans="1:9" hidden="1" x14ac:dyDescent="0.25">
      <c r="A2571">
        <v>21</v>
      </c>
      <c r="B2571" t="s">
        <v>13</v>
      </c>
      <c r="C2571">
        <v>2022</v>
      </c>
      <c r="D2571">
        <v>124.75</v>
      </c>
      <c r="E2571" t="s">
        <v>9</v>
      </c>
      <c r="F2571">
        <v>108.375</v>
      </c>
      <c r="G2571">
        <v>16.375</v>
      </c>
      <c r="H2571">
        <v>48000</v>
      </c>
      <c r="I2571" t="s">
        <v>23</v>
      </c>
    </row>
    <row r="2572" spans="1:9" hidden="1" x14ac:dyDescent="0.25">
      <c r="A2572">
        <v>22</v>
      </c>
      <c r="B2572" t="s">
        <v>13</v>
      </c>
      <c r="C2572">
        <v>2022</v>
      </c>
      <c r="D2572">
        <v>108.375</v>
      </c>
      <c r="E2572" t="s">
        <v>9</v>
      </c>
      <c r="F2572">
        <v>80</v>
      </c>
      <c r="G2572">
        <v>28.375</v>
      </c>
      <c r="H2572">
        <v>48000</v>
      </c>
      <c r="I2572" t="s">
        <v>23</v>
      </c>
    </row>
    <row r="2573" spans="1:9" hidden="1" x14ac:dyDescent="0.25">
      <c r="A2573">
        <v>23</v>
      </c>
      <c r="B2573" t="s">
        <v>13</v>
      </c>
      <c r="C2573">
        <v>2022</v>
      </c>
      <c r="D2573">
        <v>80</v>
      </c>
      <c r="E2573">
        <v>120</v>
      </c>
      <c r="F2573">
        <v>153.5</v>
      </c>
      <c r="G2573">
        <v>46.5</v>
      </c>
      <c r="H2573">
        <v>48000</v>
      </c>
      <c r="I2573" t="s">
        <v>23</v>
      </c>
    </row>
    <row r="2574" spans="1:9" hidden="1" x14ac:dyDescent="0.25">
      <c r="A2574">
        <v>24</v>
      </c>
      <c r="B2574" t="s">
        <v>13</v>
      </c>
      <c r="C2574">
        <v>2022</v>
      </c>
      <c r="D2574">
        <v>153.5</v>
      </c>
      <c r="E2574" t="s">
        <v>9</v>
      </c>
      <c r="F2574">
        <v>110.125</v>
      </c>
      <c r="G2574">
        <v>43.375</v>
      </c>
      <c r="H2574">
        <v>48000</v>
      </c>
      <c r="I2574" t="s">
        <v>23</v>
      </c>
    </row>
    <row r="2575" spans="1:9" hidden="1" x14ac:dyDescent="0.25">
      <c r="A2575">
        <v>25</v>
      </c>
      <c r="B2575" t="s">
        <v>13</v>
      </c>
      <c r="C2575">
        <v>2022</v>
      </c>
      <c r="D2575">
        <v>110.125</v>
      </c>
      <c r="E2575" t="s">
        <v>9</v>
      </c>
      <c r="F2575">
        <v>89.125</v>
      </c>
      <c r="G2575">
        <v>21</v>
      </c>
      <c r="H2575">
        <v>48000</v>
      </c>
      <c r="I2575" t="s">
        <v>23</v>
      </c>
    </row>
    <row r="2576" spans="1:9" hidden="1" x14ac:dyDescent="0.25">
      <c r="A2576">
        <v>26</v>
      </c>
      <c r="B2576" t="s">
        <v>13</v>
      </c>
      <c r="C2576">
        <v>2022</v>
      </c>
      <c r="D2576">
        <v>89.125</v>
      </c>
      <c r="E2576">
        <v>80</v>
      </c>
      <c r="F2576">
        <v>142</v>
      </c>
      <c r="G2576">
        <v>27.125</v>
      </c>
      <c r="H2576">
        <v>48000</v>
      </c>
      <c r="I2576" t="s">
        <v>23</v>
      </c>
    </row>
    <row r="2577" spans="1:9" hidden="1" x14ac:dyDescent="0.25">
      <c r="A2577">
        <v>27</v>
      </c>
      <c r="B2577" t="s">
        <v>13</v>
      </c>
      <c r="C2577">
        <v>2022</v>
      </c>
      <c r="D2577">
        <v>142</v>
      </c>
      <c r="E2577" t="s">
        <v>9</v>
      </c>
      <c r="F2577">
        <v>122.125</v>
      </c>
      <c r="G2577">
        <v>19.875</v>
      </c>
      <c r="H2577">
        <v>48000</v>
      </c>
      <c r="I2577" t="s">
        <v>23</v>
      </c>
    </row>
    <row r="2578" spans="1:9" hidden="1" x14ac:dyDescent="0.25">
      <c r="A2578">
        <v>28</v>
      </c>
      <c r="B2578" t="s">
        <v>13</v>
      </c>
      <c r="C2578">
        <v>2022</v>
      </c>
      <c r="D2578">
        <v>122.125</v>
      </c>
      <c r="E2578" t="s">
        <v>9</v>
      </c>
      <c r="F2578">
        <v>97.125</v>
      </c>
      <c r="G2578">
        <v>25</v>
      </c>
      <c r="H2578">
        <v>48000</v>
      </c>
      <c r="I2578" t="s">
        <v>23</v>
      </c>
    </row>
    <row r="2579" spans="1:9" hidden="1" x14ac:dyDescent="0.25">
      <c r="A2579">
        <v>29</v>
      </c>
      <c r="B2579" t="s">
        <v>13</v>
      </c>
      <c r="C2579">
        <v>2022</v>
      </c>
      <c r="D2579">
        <v>97.125</v>
      </c>
      <c r="E2579" t="s">
        <v>9</v>
      </c>
      <c r="F2579">
        <v>60.25</v>
      </c>
      <c r="G2579">
        <v>36.875</v>
      </c>
      <c r="H2579">
        <v>48000</v>
      </c>
      <c r="I2579" t="s">
        <v>23</v>
      </c>
    </row>
    <row r="2580" spans="1:9" hidden="1" x14ac:dyDescent="0.25">
      <c r="A2580">
        <v>30</v>
      </c>
      <c r="B2580" t="s">
        <v>9</v>
      </c>
      <c r="C2580" t="s">
        <v>9</v>
      </c>
      <c r="D2580">
        <v>60.25</v>
      </c>
      <c r="E2580">
        <v>160</v>
      </c>
      <c r="F2580">
        <v>153</v>
      </c>
      <c r="G2580">
        <v>67.25</v>
      </c>
      <c r="H2580">
        <v>48000</v>
      </c>
      <c r="I2580" t="s">
        <v>23</v>
      </c>
    </row>
    <row r="2581" spans="1:9" hidden="1" x14ac:dyDescent="0.25">
      <c r="A2581">
        <v>1</v>
      </c>
      <c r="B2581" t="s">
        <v>13</v>
      </c>
      <c r="C2581">
        <v>2022</v>
      </c>
      <c r="D2581">
        <v>24</v>
      </c>
      <c r="E2581" t="s">
        <v>9</v>
      </c>
      <c r="F2581">
        <v>13.75</v>
      </c>
      <c r="G2581">
        <v>10.25</v>
      </c>
      <c r="H2581">
        <v>48000</v>
      </c>
      <c r="I2581" t="s">
        <v>25</v>
      </c>
    </row>
    <row r="2582" spans="1:9" hidden="1" x14ac:dyDescent="0.25">
      <c r="A2582">
        <v>2</v>
      </c>
      <c r="B2582" t="s">
        <v>13</v>
      </c>
      <c r="C2582">
        <v>2022</v>
      </c>
      <c r="D2582">
        <v>13.75</v>
      </c>
      <c r="E2582">
        <v>40</v>
      </c>
      <c r="F2582">
        <v>41.125</v>
      </c>
      <c r="G2582">
        <v>12.625</v>
      </c>
      <c r="H2582">
        <v>48000</v>
      </c>
      <c r="I2582" t="s">
        <v>25</v>
      </c>
    </row>
    <row r="2583" spans="1:9" hidden="1" x14ac:dyDescent="0.25">
      <c r="A2583">
        <v>3</v>
      </c>
      <c r="B2583" t="s">
        <v>13</v>
      </c>
      <c r="C2583">
        <v>2022</v>
      </c>
      <c r="D2583">
        <v>41.125</v>
      </c>
      <c r="E2583" t="s">
        <v>9</v>
      </c>
      <c r="F2583">
        <v>11</v>
      </c>
      <c r="G2583">
        <v>30.125</v>
      </c>
      <c r="H2583">
        <v>48000</v>
      </c>
      <c r="I2583" t="s">
        <v>25</v>
      </c>
    </row>
    <row r="2584" spans="1:9" hidden="1" x14ac:dyDescent="0.25">
      <c r="A2584">
        <v>4</v>
      </c>
      <c r="B2584" t="s">
        <v>13</v>
      </c>
      <c r="C2584">
        <v>2022</v>
      </c>
      <c r="D2584">
        <v>11</v>
      </c>
      <c r="E2584">
        <v>70</v>
      </c>
      <c r="F2584">
        <v>76.5</v>
      </c>
      <c r="G2584">
        <v>4.5</v>
      </c>
      <c r="H2584">
        <v>48000</v>
      </c>
      <c r="I2584" t="s">
        <v>25</v>
      </c>
    </row>
    <row r="2585" spans="1:9" hidden="1" x14ac:dyDescent="0.25">
      <c r="A2585">
        <v>5</v>
      </c>
      <c r="B2585" t="s">
        <v>13</v>
      </c>
      <c r="C2585">
        <v>2022</v>
      </c>
      <c r="D2585">
        <v>76.5</v>
      </c>
      <c r="E2585" t="s">
        <v>9</v>
      </c>
      <c r="F2585">
        <v>69</v>
      </c>
      <c r="G2585">
        <v>7.5</v>
      </c>
      <c r="H2585">
        <v>48000</v>
      </c>
      <c r="I2585" t="s">
        <v>25</v>
      </c>
    </row>
    <row r="2586" spans="1:9" hidden="1" x14ac:dyDescent="0.25">
      <c r="A2586">
        <v>6</v>
      </c>
      <c r="B2586" t="s">
        <v>13</v>
      </c>
      <c r="C2586">
        <v>2022</v>
      </c>
      <c r="D2586">
        <v>69</v>
      </c>
      <c r="E2586" t="s">
        <v>9</v>
      </c>
      <c r="F2586">
        <v>61.024999999999999</v>
      </c>
      <c r="G2586">
        <v>7.9749999999999996</v>
      </c>
      <c r="H2586">
        <v>48000</v>
      </c>
      <c r="I2586" t="s">
        <v>25</v>
      </c>
    </row>
    <row r="2587" spans="1:9" hidden="1" x14ac:dyDescent="0.25">
      <c r="A2587">
        <v>7</v>
      </c>
      <c r="B2587" t="s">
        <v>13</v>
      </c>
      <c r="C2587">
        <v>2022</v>
      </c>
      <c r="D2587">
        <v>61.024999999999999</v>
      </c>
      <c r="E2587" t="s">
        <v>9</v>
      </c>
      <c r="F2587">
        <v>54.25</v>
      </c>
      <c r="G2587">
        <v>6.7750000000000004</v>
      </c>
      <c r="H2587">
        <v>48000</v>
      </c>
      <c r="I2587" t="s">
        <v>25</v>
      </c>
    </row>
    <row r="2588" spans="1:9" hidden="1" x14ac:dyDescent="0.25">
      <c r="A2588">
        <v>8</v>
      </c>
      <c r="B2588" t="s">
        <v>13</v>
      </c>
      <c r="C2588">
        <v>2022</v>
      </c>
      <c r="D2588">
        <v>54.25</v>
      </c>
      <c r="E2588" t="s">
        <v>9</v>
      </c>
      <c r="F2588">
        <v>43.75</v>
      </c>
      <c r="G2588">
        <v>10.5</v>
      </c>
      <c r="H2588">
        <v>48000</v>
      </c>
      <c r="I2588" t="s">
        <v>25</v>
      </c>
    </row>
    <row r="2589" spans="1:9" hidden="1" x14ac:dyDescent="0.25">
      <c r="A2589">
        <v>9</v>
      </c>
      <c r="B2589" t="s">
        <v>13</v>
      </c>
      <c r="C2589">
        <v>2022</v>
      </c>
      <c r="D2589">
        <v>43.75</v>
      </c>
      <c r="E2589">
        <v>20</v>
      </c>
      <c r="F2589">
        <v>51.25</v>
      </c>
      <c r="G2589">
        <v>12.5</v>
      </c>
      <c r="H2589">
        <v>48000</v>
      </c>
      <c r="I2589" t="s">
        <v>25</v>
      </c>
    </row>
    <row r="2590" spans="1:9" hidden="1" x14ac:dyDescent="0.25">
      <c r="A2590">
        <v>10</v>
      </c>
      <c r="B2590" t="s">
        <v>13</v>
      </c>
      <c r="C2590">
        <v>2022</v>
      </c>
      <c r="D2590">
        <v>51.25</v>
      </c>
      <c r="E2590" t="s">
        <v>9</v>
      </c>
      <c r="F2590">
        <v>35.25</v>
      </c>
      <c r="G2590">
        <v>16</v>
      </c>
      <c r="H2590">
        <v>48000</v>
      </c>
      <c r="I2590" t="s">
        <v>25</v>
      </c>
    </row>
    <row r="2591" spans="1:9" hidden="1" x14ac:dyDescent="0.25">
      <c r="A2591">
        <v>11</v>
      </c>
      <c r="B2591" t="s">
        <v>13</v>
      </c>
      <c r="C2591">
        <v>2022</v>
      </c>
      <c r="D2591">
        <v>35.25</v>
      </c>
      <c r="E2591" t="s">
        <v>9</v>
      </c>
      <c r="F2591">
        <v>24.375</v>
      </c>
      <c r="G2591">
        <v>10.875</v>
      </c>
      <c r="H2591">
        <v>48000</v>
      </c>
      <c r="I2591" t="s">
        <v>25</v>
      </c>
    </row>
    <row r="2592" spans="1:9" hidden="1" x14ac:dyDescent="0.25">
      <c r="A2592">
        <v>12</v>
      </c>
      <c r="B2592" t="s">
        <v>13</v>
      </c>
      <c r="C2592">
        <v>2022</v>
      </c>
      <c r="D2592">
        <v>24.375</v>
      </c>
      <c r="E2592" t="s">
        <v>9</v>
      </c>
      <c r="F2592">
        <v>15.75</v>
      </c>
      <c r="G2592">
        <v>8.625</v>
      </c>
      <c r="H2592">
        <v>48000</v>
      </c>
      <c r="I2592" t="s">
        <v>25</v>
      </c>
    </row>
    <row r="2593" spans="1:9" hidden="1" x14ac:dyDescent="0.25">
      <c r="A2593">
        <v>13</v>
      </c>
      <c r="B2593" t="s">
        <v>13</v>
      </c>
      <c r="C2593">
        <v>2022</v>
      </c>
      <c r="D2593">
        <v>15.75</v>
      </c>
      <c r="E2593">
        <v>50</v>
      </c>
      <c r="F2593">
        <v>52.625</v>
      </c>
      <c r="G2593">
        <v>13.125</v>
      </c>
      <c r="H2593">
        <v>48000</v>
      </c>
      <c r="I2593" t="s">
        <v>25</v>
      </c>
    </row>
    <row r="2594" spans="1:9" hidden="1" x14ac:dyDescent="0.25">
      <c r="A2594">
        <v>14</v>
      </c>
      <c r="B2594" t="s">
        <v>13</v>
      </c>
      <c r="C2594">
        <v>2022</v>
      </c>
      <c r="D2594">
        <v>52.625</v>
      </c>
      <c r="E2594" t="s">
        <v>9</v>
      </c>
      <c r="F2594">
        <v>35.375</v>
      </c>
      <c r="G2594">
        <v>17.25</v>
      </c>
      <c r="H2594">
        <v>48000</v>
      </c>
      <c r="I2594" t="s">
        <v>25</v>
      </c>
    </row>
    <row r="2595" spans="1:9" hidden="1" x14ac:dyDescent="0.25">
      <c r="A2595">
        <v>15</v>
      </c>
      <c r="B2595" t="s">
        <v>13</v>
      </c>
      <c r="C2595">
        <v>2022</v>
      </c>
      <c r="D2595">
        <v>35.375</v>
      </c>
      <c r="E2595" t="s">
        <v>9</v>
      </c>
      <c r="F2595">
        <v>16.75</v>
      </c>
      <c r="G2595">
        <v>18.625</v>
      </c>
      <c r="H2595">
        <v>48000</v>
      </c>
      <c r="I2595" t="s">
        <v>25</v>
      </c>
    </row>
    <row r="2596" spans="1:9" hidden="1" x14ac:dyDescent="0.25">
      <c r="A2596">
        <v>16</v>
      </c>
      <c r="B2596" t="s">
        <v>13</v>
      </c>
      <c r="C2596">
        <v>2022</v>
      </c>
      <c r="D2596">
        <v>16.75</v>
      </c>
      <c r="E2596">
        <v>39</v>
      </c>
      <c r="F2596">
        <v>46.5</v>
      </c>
      <c r="G2596">
        <v>9.25</v>
      </c>
      <c r="H2596">
        <v>48000</v>
      </c>
      <c r="I2596" t="s">
        <v>25</v>
      </c>
    </row>
    <row r="2597" spans="1:9" hidden="1" x14ac:dyDescent="0.25">
      <c r="A2597">
        <v>17</v>
      </c>
      <c r="B2597" t="s">
        <v>13</v>
      </c>
      <c r="C2597">
        <v>2022</v>
      </c>
      <c r="D2597">
        <v>46.5</v>
      </c>
      <c r="E2597" t="s">
        <v>9</v>
      </c>
      <c r="F2597">
        <v>30</v>
      </c>
      <c r="G2597">
        <v>16.5</v>
      </c>
      <c r="H2597">
        <v>48000</v>
      </c>
      <c r="I2597" t="s">
        <v>25</v>
      </c>
    </row>
    <row r="2598" spans="1:9" hidden="1" x14ac:dyDescent="0.25">
      <c r="A2598">
        <v>18</v>
      </c>
      <c r="B2598" t="s">
        <v>13</v>
      </c>
      <c r="C2598">
        <v>2022</v>
      </c>
      <c r="D2598">
        <v>30</v>
      </c>
      <c r="E2598" t="s">
        <v>9</v>
      </c>
      <c r="F2598">
        <v>23.375</v>
      </c>
      <c r="G2598">
        <v>6.625</v>
      </c>
      <c r="H2598">
        <v>48000</v>
      </c>
      <c r="I2598" t="s">
        <v>25</v>
      </c>
    </row>
    <row r="2599" spans="1:9" hidden="1" x14ac:dyDescent="0.25">
      <c r="A2599">
        <v>19</v>
      </c>
      <c r="B2599" t="s">
        <v>13</v>
      </c>
      <c r="C2599">
        <v>2022</v>
      </c>
      <c r="D2599">
        <v>23.375</v>
      </c>
      <c r="E2599" t="s">
        <v>9</v>
      </c>
      <c r="F2599">
        <v>14.25</v>
      </c>
      <c r="G2599">
        <v>9.125</v>
      </c>
      <c r="H2599">
        <v>48000</v>
      </c>
      <c r="I2599" t="s">
        <v>25</v>
      </c>
    </row>
    <row r="2600" spans="1:9" hidden="1" x14ac:dyDescent="0.25">
      <c r="A2600">
        <v>20</v>
      </c>
      <c r="B2600" t="s">
        <v>13</v>
      </c>
      <c r="C2600">
        <v>2022</v>
      </c>
      <c r="D2600">
        <v>14.25</v>
      </c>
      <c r="E2600">
        <v>75</v>
      </c>
      <c r="F2600">
        <v>85.625</v>
      </c>
      <c r="G2600">
        <v>3.625</v>
      </c>
      <c r="H2600">
        <v>48000</v>
      </c>
      <c r="I2600" t="s">
        <v>25</v>
      </c>
    </row>
    <row r="2601" spans="1:9" hidden="1" x14ac:dyDescent="0.25">
      <c r="A2601">
        <v>21</v>
      </c>
      <c r="B2601" t="s">
        <v>13</v>
      </c>
      <c r="C2601">
        <v>2022</v>
      </c>
      <c r="D2601">
        <v>85.625</v>
      </c>
      <c r="E2601" t="s">
        <v>9</v>
      </c>
      <c r="F2601">
        <v>79</v>
      </c>
      <c r="G2601">
        <v>6.625</v>
      </c>
      <c r="H2601">
        <v>48000</v>
      </c>
      <c r="I2601" t="s">
        <v>25</v>
      </c>
    </row>
    <row r="2602" spans="1:9" hidden="1" x14ac:dyDescent="0.25">
      <c r="A2602">
        <v>22</v>
      </c>
      <c r="B2602" t="s">
        <v>13</v>
      </c>
      <c r="C2602">
        <v>2022</v>
      </c>
      <c r="D2602">
        <v>79</v>
      </c>
      <c r="E2602" t="s">
        <v>9</v>
      </c>
      <c r="F2602">
        <v>64.5</v>
      </c>
      <c r="G2602">
        <v>14.5</v>
      </c>
      <c r="H2602">
        <v>48000</v>
      </c>
      <c r="I2602" t="s">
        <v>25</v>
      </c>
    </row>
    <row r="2603" spans="1:9" hidden="1" x14ac:dyDescent="0.25">
      <c r="A2603">
        <v>23</v>
      </c>
      <c r="B2603" t="s">
        <v>13</v>
      </c>
      <c r="C2603">
        <v>2022</v>
      </c>
      <c r="D2603">
        <v>64.5</v>
      </c>
      <c r="E2603" t="s">
        <v>9</v>
      </c>
      <c r="F2603">
        <v>55.625</v>
      </c>
      <c r="G2603">
        <v>8.875</v>
      </c>
      <c r="H2603">
        <v>48000</v>
      </c>
      <c r="I2603" t="s">
        <v>25</v>
      </c>
    </row>
    <row r="2604" spans="1:9" hidden="1" x14ac:dyDescent="0.25">
      <c r="A2604">
        <v>24</v>
      </c>
      <c r="B2604" t="s">
        <v>13</v>
      </c>
      <c r="C2604">
        <v>2022</v>
      </c>
      <c r="D2604">
        <v>55.625</v>
      </c>
      <c r="E2604" t="s">
        <v>9</v>
      </c>
      <c r="F2604">
        <v>37.5</v>
      </c>
      <c r="G2604">
        <v>18.125</v>
      </c>
      <c r="H2604">
        <v>48000</v>
      </c>
      <c r="I2604" t="s">
        <v>25</v>
      </c>
    </row>
    <row r="2605" spans="1:9" hidden="1" x14ac:dyDescent="0.25">
      <c r="A2605">
        <v>25</v>
      </c>
      <c r="B2605" t="s">
        <v>13</v>
      </c>
      <c r="C2605">
        <v>2022</v>
      </c>
      <c r="D2605">
        <v>37.5</v>
      </c>
      <c r="E2605" t="s">
        <v>9</v>
      </c>
      <c r="F2605">
        <v>31</v>
      </c>
      <c r="G2605">
        <v>6.5</v>
      </c>
      <c r="H2605">
        <v>48000</v>
      </c>
      <c r="I2605" t="s">
        <v>25</v>
      </c>
    </row>
    <row r="2606" spans="1:9" hidden="1" x14ac:dyDescent="0.25">
      <c r="A2606">
        <v>26</v>
      </c>
      <c r="B2606" t="s">
        <v>13</v>
      </c>
      <c r="C2606">
        <v>2022</v>
      </c>
      <c r="D2606">
        <v>31</v>
      </c>
      <c r="E2606" t="s">
        <v>9</v>
      </c>
      <c r="F2606">
        <v>22.024999999999999</v>
      </c>
      <c r="G2606">
        <v>8.9749999999999996</v>
      </c>
      <c r="H2606">
        <v>48000</v>
      </c>
      <c r="I2606" t="s">
        <v>25</v>
      </c>
    </row>
    <row r="2607" spans="1:9" hidden="1" x14ac:dyDescent="0.25">
      <c r="A2607">
        <v>27</v>
      </c>
      <c r="B2607" t="s">
        <v>13</v>
      </c>
      <c r="C2607">
        <v>2022</v>
      </c>
      <c r="D2607">
        <v>22.024999999999999</v>
      </c>
      <c r="E2607" t="s">
        <v>9</v>
      </c>
      <c r="F2607">
        <v>15</v>
      </c>
      <c r="G2607">
        <v>7.0250000000000004</v>
      </c>
      <c r="H2607">
        <v>48000</v>
      </c>
      <c r="I2607" t="s">
        <v>25</v>
      </c>
    </row>
    <row r="2608" spans="1:9" hidden="1" x14ac:dyDescent="0.25">
      <c r="A2608">
        <v>28</v>
      </c>
      <c r="B2608" t="s">
        <v>13</v>
      </c>
      <c r="C2608">
        <v>2022</v>
      </c>
      <c r="D2608">
        <v>15</v>
      </c>
      <c r="E2608">
        <v>40</v>
      </c>
      <c r="F2608">
        <v>48.875</v>
      </c>
      <c r="G2608">
        <v>6.125</v>
      </c>
      <c r="H2608">
        <v>48000</v>
      </c>
      <c r="I2608" t="s">
        <v>25</v>
      </c>
    </row>
    <row r="2609" spans="1:9" hidden="1" x14ac:dyDescent="0.25">
      <c r="A2609">
        <v>29</v>
      </c>
      <c r="B2609" t="s">
        <v>13</v>
      </c>
      <c r="C2609">
        <v>2022</v>
      </c>
      <c r="D2609">
        <v>48.875</v>
      </c>
      <c r="E2609" t="s">
        <v>9</v>
      </c>
      <c r="F2609">
        <v>40.125</v>
      </c>
      <c r="G2609">
        <v>8.75</v>
      </c>
      <c r="H2609">
        <v>48000</v>
      </c>
      <c r="I2609" t="s">
        <v>25</v>
      </c>
    </row>
    <row r="2610" spans="1:9" hidden="1" x14ac:dyDescent="0.25">
      <c r="A2610">
        <v>30</v>
      </c>
      <c r="B2610" t="s">
        <v>13</v>
      </c>
      <c r="C2610">
        <v>2022</v>
      </c>
      <c r="D2610">
        <v>40.125</v>
      </c>
      <c r="E2610" t="s">
        <v>9</v>
      </c>
      <c r="F2610">
        <v>19</v>
      </c>
      <c r="G2610">
        <v>21.125</v>
      </c>
      <c r="H2610">
        <v>48000</v>
      </c>
      <c r="I2610" t="s">
        <v>25</v>
      </c>
    </row>
    <row r="2611" spans="1:9" x14ac:dyDescent="0.25">
      <c r="A2611">
        <v>1</v>
      </c>
      <c r="B2611" t="s">
        <v>14</v>
      </c>
      <c r="C2611">
        <v>2022</v>
      </c>
      <c r="D2611">
        <v>81</v>
      </c>
      <c r="E2611" t="s">
        <v>9</v>
      </c>
      <c r="F2611">
        <v>41.25</v>
      </c>
      <c r="G2611">
        <v>39.75</v>
      </c>
      <c r="H2611">
        <v>48000</v>
      </c>
      <c r="I2611" t="s">
        <v>22</v>
      </c>
    </row>
    <row r="2612" spans="1:9" x14ac:dyDescent="0.25">
      <c r="A2612">
        <v>2</v>
      </c>
      <c r="B2612" t="s">
        <v>14</v>
      </c>
      <c r="C2612">
        <v>2022</v>
      </c>
      <c r="D2612">
        <v>41.25</v>
      </c>
      <c r="E2612" t="s">
        <v>9</v>
      </c>
      <c r="F2612">
        <v>28.5</v>
      </c>
      <c r="G2612">
        <v>12.75</v>
      </c>
      <c r="H2612">
        <v>48000</v>
      </c>
      <c r="I2612" t="s">
        <v>22</v>
      </c>
    </row>
    <row r="2613" spans="1:9" x14ac:dyDescent="0.25">
      <c r="A2613">
        <v>3</v>
      </c>
      <c r="B2613" t="s">
        <v>14</v>
      </c>
      <c r="C2613">
        <v>2022</v>
      </c>
      <c r="D2613">
        <v>28.5</v>
      </c>
      <c r="E2613">
        <v>90</v>
      </c>
      <c r="F2613">
        <v>103.625</v>
      </c>
      <c r="G2613">
        <v>14.875</v>
      </c>
      <c r="H2613">
        <v>48000</v>
      </c>
      <c r="I2613" t="s">
        <v>22</v>
      </c>
    </row>
    <row r="2614" spans="1:9" x14ac:dyDescent="0.25">
      <c r="A2614">
        <v>4</v>
      </c>
      <c r="B2614" t="s">
        <v>14</v>
      </c>
      <c r="C2614">
        <v>2022</v>
      </c>
      <c r="D2614">
        <v>103.625</v>
      </c>
      <c r="E2614" t="s">
        <v>9</v>
      </c>
      <c r="F2614">
        <v>80.5</v>
      </c>
      <c r="G2614">
        <v>23.125</v>
      </c>
      <c r="H2614">
        <v>48000</v>
      </c>
      <c r="I2614" t="s">
        <v>22</v>
      </c>
    </row>
    <row r="2615" spans="1:9" x14ac:dyDescent="0.25">
      <c r="A2615">
        <v>5</v>
      </c>
      <c r="B2615" t="s">
        <v>14</v>
      </c>
      <c r="C2615">
        <v>2022</v>
      </c>
      <c r="D2615">
        <v>80.5</v>
      </c>
      <c r="E2615" t="s">
        <v>9</v>
      </c>
      <c r="F2615">
        <v>51.125</v>
      </c>
      <c r="G2615">
        <v>29.375</v>
      </c>
      <c r="H2615">
        <v>48000</v>
      </c>
      <c r="I2615" t="s">
        <v>22</v>
      </c>
    </row>
    <row r="2616" spans="1:9" x14ac:dyDescent="0.25">
      <c r="A2616">
        <v>6</v>
      </c>
      <c r="B2616" t="s">
        <v>14</v>
      </c>
      <c r="C2616">
        <v>2022</v>
      </c>
      <c r="D2616">
        <v>51.125</v>
      </c>
      <c r="E2616">
        <v>60</v>
      </c>
      <c r="F2616">
        <v>84.25</v>
      </c>
      <c r="G2616">
        <v>26.875</v>
      </c>
      <c r="H2616">
        <v>48000</v>
      </c>
      <c r="I2616" t="s">
        <v>22</v>
      </c>
    </row>
    <row r="2617" spans="1:9" x14ac:dyDescent="0.25">
      <c r="A2617">
        <v>7</v>
      </c>
      <c r="B2617" t="s">
        <v>14</v>
      </c>
      <c r="C2617">
        <v>2022</v>
      </c>
      <c r="D2617">
        <v>84.25</v>
      </c>
      <c r="E2617" t="s">
        <v>9</v>
      </c>
      <c r="F2617">
        <v>44.125</v>
      </c>
      <c r="G2617">
        <v>40.125</v>
      </c>
      <c r="H2617">
        <v>48000</v>
      </c>
      <c r="I2617" t="s">
        <v>22</v>
      </c>
    </row>
    <row r="2618" spans="1:9" x14ac:dyDescent="0.25">
      <c r="A2618">
        <v>8</v>
      </c>
      <c r="B2618" t="s">
        <v>14</v>
      </c>
      <c r="C2618">
        <v>2022</v>
      </c>
      <c r="D2618">
        <v>44.125</v>
      </c>
      <c r="E2618">
        <v>30</v>
      </c>
      <c r="F2618">
        <v>30.25</v>
      </c>
      <c r="G2618">
        <v>43.875</v>
      </c>
      <c r="H2618">
        <v>48000</v>
      </c>
      <c r="I2618" t="s">
        <v>22</v>
      </c>
    </row>
    <row r="2619" spans="1:9" x14ac:dyDescent="0.25">
      <c r="A2619">
        <v>9</v>
      </c>
      <c r="B2619" t="s">
        <v>14</v>
      </c>
      <c r="C2619">
        <v>2022</v>
      </c>
      <c r="D2619">
        <v>30.25</v>
      </c>
      <c r="E2619">
        <v>60</v>
      </c>
      <c r="F2619">
        <v>78.625</v>
      </c>
      <c r="G2619">
        <v>11.625</v>
      </c>
      <c r="H2619">
        <v>48000</v>
      </c>
      <c r="I2619" t="s">
        <v>22</v>
      </c>
    </row>
    <row r="2620" spans="1:9" x14ac:dyDescent="0.25">
      <c r="A2620">
        <v>10</v>
      </c>
      <c r="B2620" t="s">
        <v>14</v>
      </c>
      <c r="C2620">
        <v>2022</v>
      </c>
      <c r="D2620">
        <v>78.625</v>
      </c>
      <c r="E2620" t="s">
        <v>9</v>
      </c>
      <c r="F2620">
        <v>66.5</v>
      </c>
      <c r="G2620">
        <v>12.125</v>
      </c>
      <c r="H2620">
        <v>48000</v>
      </c>
      <c r="I2620" t="s">
        <v>22</v>
      </c>
    </row>
    <row r="2621" spans="1:9" x14ac:dyDescent="0.25">
      <c r="A2621">
        <v>11</v>
      </c>
      <c r="B2621" t="s">
        <v>14</v>
      </c>
      <c r="C2621">
        <v>2022</v>
      </c>
      <c r="D2621">
        <v>66.5</v>
      </c>
      <c r="E2621">
        <v>50</v>
      </c>
      <c r="F2621">
        <v>92.75</v>
      </c>
      <c r="G2621">
        <v>23.75</v>
      </c>
      <c r="H2621">
        <v>48000</v>
      </c>
      <c r="I2621" t="s">
        <v>22</v>
      </c>
    </row>
    <row r="2622" spans="1:9" x14ac:dyDescent="0.25">
      <c r="A2622">
        <v>12</v>
      </c>
      <c r="B2622" t="s">
        <v>14</v>
      </c>
      <c r="C2622">
        <v>2022</v>
      </c>
      <c r="D2622">
        <v>92.75</v>
      </c>
      <c r="E2622" t="s">
        <v>9</v>
      </c>
      <c r="F2622">
        <v>74.5</v>
      </c>
      <c r="G2622">
        <v>18.25</v>
      </c>
      <c r="H2622">
        <v>48000</v>
      </c>
      <c r="I2622" t="s">
        <v>22</v>
      </c>
    </row>
    <row r="2623" spans="1:9" x14ac:dyDescent="0.25">
      <c r="A2623">
        <v>13</v>
      </c>
      <c r="B2623" t="s">
        <v>14</v>
      </c>
      <c r="C2623">
        <v>2022</v>
      </c>
      <c r="D2623">
        <v>74.5</v>
      </c>
      <c r="E2623" t="s">
        <v>9</v>
      </c>
      <c r="F2623">
        <v>45.25</v>
      </c>
      <c r="G2623">
        <v>29.25</v>
      </c>
      <c r="H2623">
        <v>48000</v>
      </c>
      <c r="I2623" t="s">
        <v>22</v>
      </c>
    </row>
    <row r="2624" spans="1:9" x14ac:dyDescent="0.25">
      <c r="A2624">
        <v>14</v>
      </c>
      <c r="B2624" t="s">
        <v>14</v>
      </c>
      <c r="C2624">
        <v>2022</v>
      </c>
      <c r="D2624">
        <v>45.25</v>
      </c>
      <c r="E2624">
        <v>80</v>
      </c>
      <c r="F2624">
        <v>91.25</v>
      </c>
      <c r="G2624">
        <v>34</v>
      </c>
      <c r="H2624">
        <v>48000</v>
      </c>
      <c r="I2624" t="s">
        <v>22</v>
      </c>
    </row>
    <row r="2625" spans="1:9" x14ac:dyDescent="0.25">
      <c r="A2625">
        <v>15</v>
      </c>
      <c r="B2625" t="s">
        <v>14</v>
      </c>
      <c r="C2625">
        <v>2022</v>
      </c>
      <c r="D2625">
        <v>91.25</v>
      </c>
      <c r="E2625" t="s">
        <v>9</v>
      </c>
      <c r="F2625">
        <v>49.375</v>
      </c>
      <c r="G2625">
        <v>41.875</v>
      </c>
      <c r="H2625">
        <v>48000</v>
      </c>
      <c r="I2625" t="s">
        <v>22</v>
      </c>
    </row>
    <row r="2626" spans="1:9" x14ac:dyDescent="0.25">
      <c r="A2626">
        <v>16</v>
      </c>
      <c r="B2626" t="s">
        <v>14</v>
      </c>
      <c r="C2626">
        <v>2022</v>
      </c>
      <c r="D2626">
        <v>49.375</v>
      </c>
      <c r="E2626">
        <v>60</v>
      </c>
      <c r="F2626">
        <v>99</v>
      </c>
      <c r="G2626">
        <v>10.375</v>
      </c>
      <c r="H2626">
        <v>48000</v>
      </c>
      <c r="I2626" t="s">
        <v>22</v>
      </c>
    </row>
    <row r="2627" spans="1:9" x14ac:dyDescent="0.25">
      <c r="A2627">
        <v>17</v>
      </c>
      <c r="B2627" t="s">
        <v>14</v>
      </c>
      <c r="C2627">
        <v>2022</v>
      </c>
      <c r="D2627">
        <v>99</v>
      </c>
      <c r="E2627" t="s">
        <v>9</v>
      </c>
      <c r="F2627">
        <v>87.875</v>
      </c>
      <c r="G2627">
        <v>11.125</v>
      </c>
      <c r="H2627">
        <v>48000</v>
      </c>
      <c r="I2627" t="s">
        <v>22</v>
      </c>
    </row>
    <row r="2628" spans="1:9" x14ac:dyDescent="0.25">
      <c r="A2628">
        <v>18</v>
      </c>
      <c r="B2628" t="s">
        <v>14</v>
      </c>
      <c r="C2628">
        <v>2022</v>
      </c>
      <c r="D2628">
        <v>87.875</v>
      </c>
      <c r="E2628" t="s">
        <v>9</v>
      </c>
      <c r="F2628">
        <v>66.25</v>
      </c>
      <c r="G2628">
        <v>21.625</v>
      </c>
      <c r="H2628">
        <v>48000</v>
      </c>
      <c r="I2628" t="s">
        <v>22</v>
      </c>
    </row>
    <row r="2629" spans="1:9" x14ac:dyDescent="0.25">
      <c r="A2629">
        <v>19</v>
      </c>
      <c r="B2629" t="s">
        <v>14</v>
      </c>
      <c r="C2629">
        <v>2022</v>
      </c>
      <c r="D2629">
        <v>66.25</v>
      </c>
      <c r="E2629" t="s">
        <v>9</v>
      </c>
      <c r="F2629">
        <v>53.5</v>
      </c>
      <c r="G2629">
        <v>12.75</v>
      </c>
      <c r="H2629">
        <v>48000</v>
      </c>
      <c r="I2629" t="s">
        <v>22</v>
      </c>
    </row>
    <row r="2630" spans="1:9" x14ac:dyDescent="0.25">
      <c r="A2630">
        <v>20</v>
      </c>
      <c r="B2630" t="s">
        <v>14</v>
      </c>
      <c r="C2630">
        <v>2022</v>
      </c>
      <c r="D2630">
        <v>53.5</v>
      </c>
      <c r="E2630">
        <v>90</v>
      </c>
      <c r="F2630">
        <v>115.75</v>
      </c>
      <c r="G2630">
        <v>27.75</v>
      </c>
      <c r="H2630">
        <v>48000</v>
      </c>
      <c r="I2630" t="s">
        <v>22</v>
      </c>
    </row>
    <row r="2631" spans="1:9" x14ac:dyDescent="0.25">
      <c r="A2631">
        <v>21</v>
      </c>
      <c r="B2631" t="s">
        <v>14</v>
      </c>
      <c r="C2631">
        <v>2022</v>
      </c>
      <c r="D2631">
        <v>115.75</v>
      </c>
      <c r="E2631" t="s">
        <v>9</v>
      </c>
      <c r="F2631">
        <v>73.375</v>
      </c>
      <c r="G2631">
        <v>42.375</v>
      </c>
      <c r="H2631">
        <v>48000</v>
      </c>
      <c r="I2631" t="s">
        <v>22</v>
      </c>
    </row>
    <row r="2632" spans="1:9" x14ac:dyDescent="0.25">
      <c r="A2632">
        <v>22</v>
      </c>
      <c r="B2632" t="s">
        <v>14</v>
      </c>
      <c r="C2632">
        <v>2022</v>
      </c>
      <c r="D2632">
        <v>73.375</v>
      </c>
      <c r="E2632" t="s">
        <v>9</v>
      </c>
      <c r="F2632">
        <v>18.125</v>
      </c>
      <c r="G2632">
        <v>55.25</v>
      </c>
      <c r="H2632">
        <v>48000</v>
      </c>
      <c r="I2632" t="s">
        <v>22</v>
      </c>
    </row>
    <row r="2633" spans="1:9" x14ac:dyDescent="0.25">
      <c r="A2633">
        <v>23</v>
      </c>
      <c r="B2633" t="s">
        <v>14</v>
      </c>
      <c r="C2633">
        <v>2022</v>
      </c>
      <c r="D2633">
        <v>18.125</v>
      </c>
      <c r="E2633">
        <v>50</v>
      </c>
      <c r="F2633">
        <v>58.5</v>
      </c>
      <c r="G2633">
        <v>9.625</v>
      </c>
      <c r="H2633">
        <v>48000</v>
      </c>
      <c r="I2633" t="s">
        <v>22</v>
      </c>
    </row>
    <row r="2634" spans="1:9" x14ac:dyDescent="0.25">
      <c r="A2634">
        <v>24</v>
      </c>
      <c r="B2634" t="s">
        <v>14</v>
      </c>
      <c r="C2634">
        <v>2022</v>
      </c>
      <c r="D2634">
        <v>58.5</v>
      </c>
      <c r="E2634" t="s">
        <v>9</v>
      </c>
      <c r="F2634">
        <v>45.25</v>
      </c>
      <c r="G2634">
        <v>13.25</v>
      </c>
      <c r="H2634">
        <v>48000</v>
      </c>
      <c r="I2634" t="s">
        <v>22</v>
      </c>
    </row>
    <row r="2635" spans="1:9" x14ac:dyDescent="0.25">
      <c r="A2635">
        <v>25</v>
      </c>
      <c r="B2635" t="s">
        <v>14</v>
      </c>
      <c r="C2635">
        <v>2022</v>
      </c>
      <c r="D2635">
        <v>45.25</v>
      </c>
      <c r="E2635">
        <v>60</v>
      </c>
      <c r="F2635">
        <v>90.625</v>
      </c>
      <c r="G2635">
        <v>14.625</v>
      </c>
      <c r="H2635">
        <v>48000</v>
      </c>
      <c r="I2635" t="s">
        <v>22</v>
      </c>
    </row>
    <row r="2636" spans="1:9" x14ac:dyDescent="0.25">
      <c r="A2636">
        <v>26</v>
      </c>
      <c r="B2636" t="s">
        <v>14</v>
      </c>
      <c r="C2636">
        <v>2022</v>
      </c>
      <c r="D2636">
        <v>90.625</v>
      </c>
      <c r="E2636" t="s">
        <v>9</v>
      </c>
      <c r="F2636">
        <v>70</v>
      </c>
      <c r="G2636">
        <v>20.625</v>
      </c>
      <c r="H2636">
        <v>48000</v>
      </c>
      <c r="I2636" t="s">
        <v>22</v>
      </c>
    </row>
    <row r="2637" spans="1:9" x14ac:dyDescent="0.25">
      <c r="A2637">
        <v>27</v>
      </c>
      <c r="B2637" t="s">
        <v>14</v>
      </c>
      <c r="C2637">
        <v>2022</v>
      </c>
      <c r="D2637">
        <v>70</v>
      </c>
      <c r="E2637" t="s">
        <v>9</v>
      </c>
      <c r="F2637">
        <v>49.75</v>
      </c>
      <c r="G2637">
        <v>20.25</v>
      </c>
      <c r="H2637">
        <v>48000</v>
      </c>
      <c r="I2637" t="s">
        <v>22</v>
      </c>
    </row>
    <row r="2638" spans="1:9" x14ac:dyDescent="0.25">
      <c r="A2638">
        <v>28</v>
      </c>
      <c r="B2638" t="s">
        <v>14</v>
      </c>
      <c r="C2638">
        <v>2022</v>
      </c>
      <c r="D2638">
        <v>49.75</v>
      </c>
      <c r="E2638">
        <v>80</v>
      </c>
      <c r="F2638">
        <v>83.375</v>
      </c>
      <c r="G2638">
        <v>46.375</v>
      </c>
      <c r="H2638">
        <v>48000</v>
      </c>
      <c r="I2638" t="s">
        <v>22</v>
      </c>
    </row>
    <row r="2639" spans="1:9" x14ac:dyDescent="0.25">
      <c r="A2639">
        <v>29</v>
      </c>
      <c r="B2639" t="s">
        <v>14</v>
      </c>
      <c r="C2639">
        <v>2022</v>
      </c>
      <c r="D2639">
        <v>83.375</v>
      </c>
      <c r="E2639" t="s">
        <v>9</v>
      </c>
      <c r="F2639">
        <v>40.375</v>
      </c>
      <c r="G2639">
        <v>43</v>
      </c>
      <c r="H2639">
        <v>48000</v>
      </c>
      <c r="I2639" t="s">
        <v>22</v>
      </c>
    </row>
    <row r="2640" spans="1:9" x14ac:dyDescent="0.25">
      <c r="A2640">
        <v>30</v>
      </c>
      <c r="B2640" t="s">
        <v>9</v>
      </c>
      <c r="C2640" t="s">
        <v>9</v>
      </c>
      <c r="D2640">
        <v>40.375</v>
      </c>
      <c r="E2640">
        <v>60</v>
      </c>
      <c r="F2640">
        <v>65.25</v>
      </c>
      <c r="G2640">
        <v>35.125</v>
      </c>
      <c r="H2640">
        <v>48000</v>
      </c>
      <c r="I2640" t="s">
        <v>22</v>
      </c>
    </row>
    <row r="2641" spans="1:9" x14ac:dyDescent="0.25">
      <c r="A2641">
        <v>31</v>
      </c>
      <c r="B2641" t="s">
        <v>9</v>
      </c>
      <c r="C2641" t="s">
        <v>9</v>
      </c>
      <c r="D2641">
        <v>65.25</v>
      </c>
      <c r="E2641" t="s">
        <v>9</v>
      </c>
      <c r="F2641">
        <v>52.125</v>
      </c>
      <c r="G2641">
        <v>13.125</v>
      </c>
      <c r="H2641">
        <v>48000</v>
      </c>
      <c r="I2641" t="s">
        <v>22</v>
      </c>
    </row>
    <row r="2642" spans="1:9" hidden="1" x14ac:dyDescent="0.25">
      <c r="A2642">
        <v>1</v>
      </c>
      <c r="B2642" t="s">
        <v>14</v>
      </c>
      <c r="C2642">
        <v>2022</v>
      </c>
      <c r="D2642">
        <v>153</v>
      </c>
      <c r="E2642" t="s">
        <v>9</v>
      </c>
      <c r="F2642">
        <v>103.75</v>
      </c>
      <c r="G2642">
        <v>49.25</v>
      </c>
      <c r="H2642">
        <v>48000</v>
      </c>
      <c r="I2642" t="s">
        <v>23</v>
      </c>
    </row>
    <row r="2643" spans="1:9" hidden="1" x14ac:dyDescent="0.25">
      <c r="A2643">
        <v>2</v>
      </c>
      <c r="B2643" t="s">
        <v>14</v>
      </c>
      <c r="C2643">
        <v>2022</v>
      </c>
      <c r="D2643">
        <v>103.75</v>
      </c>
      <c r="E2643" t="s">
        <v>9</v>
      </c>
      <c r="F2643">
        <v>79.125</v>
      </c>
      <c r="G2643">
        <v>24.625</v>
      </c>
      <c r="H2643">
        <v>48000</v>
      </c>
      <c r="I2643" t="s">
        <v>23</v>
      </c>
    </row>
    <row r="2644" spans="1:9" hidden="1" x14ac:dyDescent="0.25">
      <c r="A2644">
        <v>3</v>
      </c>
      <c r="B2644" t="s">
        <v>14</v>
      </c>
      <c r="C2644">
        <v>2022</v>
      </c>
      <c r="D2644">
        <v>79.125</v>
      </c>
      <c r="E2644">
        <v>59</v>
      </c>
      <c r="F2644">
        <v>112</v>
      </c>
      <c r="G2644">
        <v>26.125</v>
      </c>
      <c r="H2644">
        <v>48000</v>
      </c>
      <c r="I2644" t="s">
        <v>23</v>
      </c>
    </row>
    <row r="2645" spans="1:9" hidden="1" x14ac:dyDescent="0.25">
      <c r="A2645">
        <v>4</v>
      </c>
      <c r="B2645" t="s">
        <v>14</v>
      </c>
      <c r="C2645">
        <v>2022</v>
      </c>
      <c r="D2645">
        <v>112</v>
      </c>
      <c r="E2645" t="s">
        <v>9</v>
      </c>
      <c r="F2645">
        <v>82.75</v>
      </c>
      <c r="G2645">
        <v>29.25</v>
      </c>
      <c r="H2645">
        <v>48000</v>
      </c>
      <c r="I2645" t="s">
        <v>23</v>
      </c>
    </row>
    <row r="2646" spans="1:9" hidden="1" x14ac:dyDescent="0.25">
      <c r="A2646">
        <v>5</v>
      </c>
      <c r="B2646" t="s">
        <v>14</v>
      </c>
      <c r="C2646">
        <v>2022</v>
      </c>
      <c r="D2646">
        <v>82.75</v>
      </c>
      <c r="E2646" t="s">
        <v>9</v>
      </c>
      <c r="F2646">
        <v>52.25</v>
      </c>
      <c r="G2646">
        <v>30.5</v>
      </c>
      <c r="H2646">
        <v>48000</v>
      </c>
      <c r="I2646" t="s">
        <v>23</v>
      </c>
    </row>
    <row r="2647" spans="1:9" hidden="1" x14ac:dyDescent="0.25">
      <c r="A2647">
        <v>6</v>
      </c>
      <c r="B2647" t="s">
        <v>14</v>
      </c>
      <c r="C2647">
        <v>2022</v>
      </c>
      <c r="D2647">
        <v>52.25</v>
      </c>
      <c r="E2647">
        <v>100</v>
      </c>
      <c r="F2647">
        <v>116</v>
      </c>
      <c r="G2647">
        <v>36.25</v>
      </c>
      <c r="H2647">
        <v>48000</v>
      </c>
      <c r="I2647" t="s">
        <v>23</v>
      </c>
    </row>
    <row r="2648" spans="1:9" hidden="1" x14ac:dyDescent="0.25">
      <c r="A2648">
        <v>7</v>
      </c>
      <c r="B2648" t="s">
        <v>14</v>
      </c>
      <c r="C2648">
        <v>2022</v>
      </c>
      <c r="D2648">
        <v>116</v>
      </c>
      <c r="E2648" t="s">
        <v>9</v>
      </c>
      <c r="F2648">
        <v>35.5</v>
      </c>
      <c r="G2648">
        <v>80.5</v>
      </c>
      <c r="H2648">
        <v>48000</v>
      </c>
      <c r="I2648" t="s">
        <v>23</v>
      </c>
    </row>
    <row r="2649" spans="1:9" hidden="1" x14ac:dyDescent="0.25">
      <c r="A2649">
        <v>8</v>
      </c>
      <c r="B2649" t="s">
        <v>14</v>
      </c>
      <c r="C2649">
        <v>2022</v>
      </c>
      <c r="D2649">
        <v>35.5</v>
      </c>
      <c r="E2649">
        <v>49</v>
      </c>
      <c r="F2649">
        <v>31.625</v>
      </c>
      <c r="G2649">
        <v>52.875</v>
      </c>
      <c r="H2649">
        <v>48000</v>
      </c>
      <c r="I2649" t="s">
        <v>23</v>
      </c>
    </row>
    <row r="2650" spans="1:9" hidden="1" x14ac:dyDescent="0.25">
      <c r="A2650">
        <v>9</v>
      </c>
      <c r="B2650" t="s">
        <v>14</v>
      </c>
      <c r="C2650">
        <v>2022</v>
      </c>
      <c r="D2650">
        <v>31.625</v>
      </c>
      <c r="E2650">
        <v>90</v>
      </c>
      <c r="F2650">
        <v>92</v>
      </c>
      <c r="G2650">
        <v>29.625</v>
      </c>
      <c r="H2650">
        <v>48000</v>
      </c>
      <c r="I2650" t="s">
        <v>23</v>
      </c>
    </row>
    <row r="2651" spans="1:9" hidden="1" x14ac:dyDescent="0.25">
      <c r="A2651">
        <v>10</v>
      </c>
      <c r="B2651" t="s">
        <v>14</v>
      </c>
      <c r="C2651">
        <v>2022</v>
      </c>
      <c r="D2651">
        <v>92</v>
      </c>
      <c r="E2651" t="s">
        <v>9</v>
      </c>
      <c r="F2651">
        <v>67.75</v>
      </c>
      <c r="G2651">
        <v>24.25</v>
      </c>
      <c r="H2651">
        <v>48000</v>
      </c>
      <c r="I2651" t="s">
        <v>23</v>
      </c>
    </row>
    <row r="2652" spans="1:9" hidden="1" x14ac:dyDescent="0.25">
      <c r="A2652">
        <v>11</v>
      </c>
      <c r="B2652" t="s">
        <v>14</v>
      </c>
      <c r="C2652">
        <v>2022</v>
      </c>
      <c r="D2652">
        <v>67.75</v>
      </c>
      <c r="E2652">
        <v>50</v>
      </c>
      <c r="F2652">
        <v>84</v>
      </c>
      <c r="G2652">
        <v>33.75</v>
      </c>
      <c r="H2652">
        <v>48000</v>
      </c>
      <c r="I2652" t="s">
        <v>23</v>
      </c>
    </row>
    <row r="2653" spans="1:9" hidden="1" x14ac:dyDescent="0.25">
      <c r="A2653">
        <v>12</v>
      </c>
      <c r="B2653" t="s">
        <v>14</v>
      </c>
      <c r="C2653">
        <v>2022</v>
      </c>
      <c r="D2653">
        <v>84</v>
      </c>
      <c r="E2653" t="s">
        <v>9</v>
      </c>
      <c r="F2653">
        <v>62</v>
      </c>
      <c r="G2653">
        <v>22</v>
      </c>
      <c r="H2653">
        <v>48000</v>
      </c>
      <c r="I2653" t="s">
        <v>23</v>
      </c>
    </row>
    <row r="2654" spans="1:9" hidden="1" x14ac:dyDescent="0.25">
      <c r="A2654">
        <v>13</v>
      </c>
      <c r="B2654" t="s">
        <v>14</v>
      </c>
      <c r="C2654">
        <v>2022</v>
      </c>
      <c r="D2654">
        <v>62</v>
      </c>
      <c r="E2654" t="s">
        <v>9</v>
      </c>
      <c r="F2654">
        <v>11</v>
      </c>
      <c r="G2654">
        <v>51</v>
      </c>
      <c r="H2654">
        <v>48000</v>
      </c>
      <c r="I2654" t="s">
        <v>23</v>
      </c>
    </row>
    <row r="2655" spans="1:9" hidden="1" x14ac:dyDescent="0.25">
      <c r="A2655">
        <v>14</v>
      </c>
      <c r="B2655" t="s">
        <v>14</v>
      </c>
      <c r="C2655">
        <v>2022</v>
      </c>
      <c r="D2655">
        <v>11</v>
      </c>
      <c r="E2655">
        <v>180</v>
      </c>
      <c r="F2655">
        <v>139.875</v>
      </c>
      <c r="G2655">
        <v>51.125</v>
      </c>
      <c r="H2655">
        <v>48000</v>
      </c>
      <c r="I2655" t="s">
        <v>23</v>
      </c>
    </row>
    <row r="2656" spans="1:9" hidden="1" x14ac:dyDescent="0.25">
      <c r="A2656">
        <v>15</v>
      </c>
      <c r="B2656" t="s">
        <v>14</v>
      </c>
      <c r="C2656">
        <v>2022</v>
      </c>
      <c r="D2656">
        <v>139.875</v>
      </c>
      <c r="E2656" t="s">
        <v>9</v>
      </c>
      <c r="F2656">
        <v>102.5</v>
      </c>
      <c r="G2656">
        <v>37.375</v>
      </c>
      <c r="H2656">
        <v>48000</v>
      </c>
      <c r="I2656" t="s">
        <v>23</v>
      </c>
    </row>
    <row r="2657" spans="1:9" hidden="1" x14ac:dyDescent="0.25">
      <c r="A2657">
        <v>16</v>
      </c>
      <c r="B2657" t="s">
        <v>14</v>
      </c>
      <c r="C2657">
        <v>2022</v>
      </c>
      <c r="D2657">
        <v>102.5</v>
      </c>
      <c r="E2657">
        <v>80</v>
      </c>
      <c r="F2657">
        <v>155</v>
      </c>
      <c r="G2657">
        <v>27.5</v>
      </c>
      <c r="H2657">
        <v>48000</v>
      </c>
      <c r="I2657" t="s">
        <v>23</v>
      </c>
    </row>
    <row r="2658" spans="1:9" hidden="1" x14ac:dyDescent="0.25">
      <c r="A2658">
        <v>17</v>
      </c>
      <c r="B2658" t="s">
        <v>14</v>
      </c>
      <c r="C2658">
        <v>2022</v>
      </c>
      <c r="D2658">
        <v>155</v>
      </c>
      <c r="E2658" t="s">
        <v>9</v>
      </c>
      <c r="F2658">
        <v>129.75</v>
      </c>
      <c r="G2658">
        <v>25.25</v>
      </c>
      <c r="H2658">
        <v>48000</v>
      </c>
      <c r="I2658" t="s">
        <v>23</v>
      </c>
    </row>
    <row r="2659" spans="1:9" hidden="1" x14ac:dyDescent="0.25">
      <c r="A2659">
        <v>18</v>
      </c>
      <c r="B2659" t="s">
        <v>14</v>
      </c>
      <c r="C2659">
        <v>2022</v>
      </c>
      <c r="D2659">
        <v>129.75</v>
      </c>
      <c r="E2659" t="s">
        <v>9</v>
      </c>
      <c r="F2659">
        <v>106</v>
      </c>
      <c r="G2659">
        <v>23.75</v>
      </c>
      <c r="H2659">
        <v>48000</v>
      </c>
      <c r="I2659" t="s">
        <v>23</v>
      </c>
    </row>
    <row r="2660" spans="1:9" hidden="1" x14ac:dyDescent="0.25">
      <c r="A2660">
        <v>19</v>
      </c>
      <c r="B2660" t="s">
        <v>14</v>
      </c>
      <c r="C2660">
        <v>2022</v>
      </c>
      <c r="D2660">
        <v>106</v>
      </c>
      <c r="E2660" t="s">
        <v>9</v>
      </c>
      <c r="F2660">
        <v>80.25</v>
      </c>
      <c r="G2660">
        <v>25.75</v>
      </c>
      <c r="H2660">
        <v>48000</v>
      </c>
      <c r="I2660" t="s">
        <v>23</v>
      </c>
    </row>
    <row r="2661" spans="1:9" hidden="1" x14ac:dyDescent="0.25">
      <c r="A2661">
        <v>20</v>
      </c>
      <c r="B2661" t="s">
        <v>14</v>
      </c>
      <c r="C2661">
        <v>2022</v>
      </c>
      <c r="D2661">
        <v>80.25</v>
      </c>
      <c r="E2661">
        <v>120</v>
      </c>
      <c r="F2661">
        <v>166.875</v>
      </c>
      <c r="G2661">
        <v>33.375</v>
      </c>
      <c r="H2661">
        <v>48000</v>
      </c>
      <c r="I2661" t="s">
        <v>23</v>
      </c>
    </row>
    <row r="2662" spans="1:9" hidden="1" x14ac:dyDescent="0.25">
      <c r="A2662">
        <v>21</v>
      </c>
      <c r="B2662" t="s">
        <v>14</v>
      </c>
      <c r="C2662">
        <v>2022</v>
      </c>
      <c r="D2662">
        <v>166.875</v>
      </c>
      <c r="E2662" t="s">
        <v>9</v>
      </c>
      <c r="F2662">
        <v>119.75</v>
      </c>
      <c r="G2662">
        <v>47.125</v>
      </c>
      <c r="H2662">
        <v>48000</v>
      </c>
      <c r="I2662" t="s">
        <v>23</v>
      </c>
    </row>
    <row r="2663" spans="1:9" hidden="1" x14ac:dyDescent="0.25">
      <c r="A2663">
        <v>22</v>
      </c>
      <c r="B2663" t="s">
        <v>14</v>
      </c>
      <c r="C2663">
        <v>2022</v>
      </c>
      <c r="D2663">
        <v>119.75</v>
      </c>
      <c r="E2663" t="s">
        <v>9</v>
      </c>
      <c r="F2663">
        <v>78.25</v>
      </c>
      <c r="G2663">
        <v>41.5</v>
      </c>
      <c r="H2663">
        <v>48000</v>
      </c>
      <c r="I2663" t="s">
        <v>23</v>
      </c>
    </row>
    <row r="2664" spans="1:9" hidden="1" x14ac:dyDescent="0.25">
      <c r="A2664">
        <v>23</v>
      </c>
      <c r="B2664" t="s">
        <v>14</v>
      </c>
      <c r="C2664">
        <v>2022</v>
      </c>
      <c r="D2664">
        <v>78.25</v>
      </c>
      <c r="E2664">
        <v>50</v>
      </c>
      <c r="F2664">
        <v>102.75</v>
      </c>
      <c r="G2664">
        <v>25.5</v>
      </c>
      <c r="H2664">
        <v>48000</v>
      </c>
      <c r="I2664" t="s">
        <v>23</v>
      </c>
    </row>
    <row r="2665" spans="1:9" hidden="1" x14ac:dyDescent="0.25">
      <c r="A2665">
        <v>24</v>
      </c>
      <c r="B2665" t="s">
        <v>14</v>
      </c>
      <c r="C2665">
        <v>2022</v>
      </c>
      <c r="D2665">
        <v>102.75</v>
      </c>
      <c r="E2665" t="s">
        <v>9</v>
      </c>
      <c r="F2665">
        <v>76.125</v>
      </c>
      <c r="G2665">
        <v>26.625</v>
      </c>
      <c r="H2665">
        <v>48000</v>
      </c>
      <c r="I2665" t="s">
        <v>23</v>
      </c>
    </row>
    <row r="2666" spans="1:9" hidden="1" x14ac:dyDescent="0.25">
      <c r="A2666">
        <v>25</v>
      </c>
      <c r="B2666" t="s">
        <v>14</v>
      </c>
      <c r="C2666">
        <v>2022</v>
      </c>
      <c r="D2666">
        <v>76.125</v>
      </c>
      <c r="E2666">
        <v>70</v>
      </c>
      <c r="F2666">
        <v>121.375</v>
      </c>
      <c r="G2666">
        <v>24.75</v>
      </c>
      <c r="H2666">
        <v>48000</v>
      </c>
      <c r="I2666" t="s">
        <v>23</v>
      </c>
    </row>
    <row r="2667" spans="1:9" hidden="1" x14ac:dyDescent="0.25">
      <c r="A2667">
        <v>26</v>
      </c>
      <c r="B2667" t="s">
        <v>14</v>
      </c>
      <c r="C2667">
        <v>2022</v>
      </c>
      <c r="D2667">
        <v>121.375</v>
      </c>
      <c r="E2667" t="s">
        <v>9</v>
      </c>
      <c r="F2667">
        <v>93.5</v>
      </c>
      <c r="G2667">
        <v>27.875</v>
      </c>
      <c r="H2667">
        <v>48000</v>
      </c>
      <c r="I2667" t="s">
        <v>23</v>
      </c>
    </row>
    <row r="2668" spans="1:9" hidden="1" x14ac:dyDescent="0.25">
      <c r="A2668">
        <v>27</v>
      </c>
      <c r="B2668" t="s">
        <v>14</v>
      </c>
      <c r="C2668">
        <v>2022</v>
      </c>
      <c r="D2668">
        <v>93.5</v>
      </c>
      <c r="E2668" t="s">
        <v>9</v>
      </c>
      <c r="F2668">
        <v>44.375</v>
      </c>
      <c r="G2668">
        <v>49.125</v>
      </c>
      <c r="H2668">
        <v>48000</v>
      </c>
      <c r="I2668" t="s">
        <v>23</v>
      </c>
    </row>
    <row r="2669" spans="1:9" hidden="1" x14ac:dyDescent="0.25">
      <c r="A2669">
        <v>28</v>
      </c>
      <c r="B2669" t="s">
        <v>14</v>
      </c>
      <c r="C2669">
        <v>2022</v>
      </c>
      <c r="D2669">
        <v>44.375</v>
      </c>
      <c r="E2669">
        <v>120</v>
      </c>
      <c r="F2669">
        <v>108</v>
      </c>
      <c r="G2669">
        <v>56.375</v>
      </c>
      <c r="H2669">
        <v>48000</v>
      </c>
      <c r="I2669" t="s">
        <v>23</v>
      </c>
    </row>
    <row r="2670" spans="1:9" hidden="1" x14ac:dyDescent="0.25">
      <c r="A2670">
        <v>29</v>
      </c>
      <c r="B2670" t="s">
        <v>14</v>
      </c>
      <c r="C2670">
        <v>2022</v>
      </c>
      <c r="D2670">
        <v>108</v>
      </c>
      <c r="E2670" t="s">
        <v>9</v>
      </c>
      <c r="F2670">
        <v>39.25</v>
      </c>
      <c r="G2670">
        <v>68.75</v>
      </c>
      <c r="H2670">
        <v>48000</v>
      </c>
      <c r="I2670" t="s">
        <v>23</v>
      </c>
    </row>
    <row r="2671" spans="1:9" hidden="1" x14ac:dyDescent="0.25">
      <c r="A2671">
        <v>30</v>
      </c>
      <c r="B2671" t="s">
        <v>9</v>
      </c>
      <c r="C2671" t="s">
        <v>9</v>
      </c>
      <c r="D2671">
        <v>39.25</v>
      </c>
      <c r="E2671">
        <v>80</v>
      </c>
      <c r="F2671">
        <v>72.875</v>
      </c>
      <c r="G2671">
        <v>46.375</v>
      </c>
      <c r="H2671">
        <v>48000</v>
      </c>
      <c r="I2671" t="s">
        <v>23</v>
      </c>
    </row>
    <row r="2672" spans="1:9" hidden="1" x14ac:dyDescent="0.25">
      <c r="A2672">
        <v>31</v>
      </c>
      <c r="B2672" t="s">
        <v>9</v>
      </c>
      <c r="C2672" t="s">
        <v>9</v>
      </c>
      <c r="D2672">
        <v>72.875</v>
      </c>
      <c r="E2672" t="s">
        <v>9</v>
      </c>
      <c r="F2672">
        <v>41.125</v>
      </c>
      <c r="G2672">
        <v>31.75</v>
      </c>
      <c r="H2672">
        <v>48000</v>
      </c>
      <c r="I2672" t="s">
        <v>23</v>
      </c>
    </row>
    <row r="2673" spans="1:9" hidden="1" x14ac:dyDescent="0.25">
      <c r="A2673">
        <v>1</v>
      </c>
      <c r="B2673" t="s">
        <v>14</v>
      </c>
      <c r="C2673">
        <v>2022</v>
      </c>
      <c r="D2673">
        <v>19</v>
      </c>
      <c r="E2673">
        <v>20</v>
      </c>
      <c r="F2673">
        <v>12.75</v>
      </c>
      <c r="G2673">
        <v>26.25</v>
      </c>
      <c r="H2673">
        <v>48000</v>
      </c>
      <c r="I2673" t="s">
        <v>25</v>
      </c>
    </row>
    <row r="2674" spans="1:9" hidden="1" x14ac:dyDescent="0.25">
      <c r="A2674">
        <v>2</v>
      </c>
      <c r="B2674" t="s">
        <v>14</v>
      </c>
      <c r="C2674">
        <v>2022</v>
      </c>
      <c r="D2674">
        <v>12.75</v>
      </c>
      <c r="E2674" t="s">
        <v>9</v>
      </c>
      <c r="F2674">
        <v>1.625</v>
      </c>
      <c r="G2674">
        <v>11.125</v>
      </c>
      <c r="H2674">
        <v>48000</v>
      </c>
      <c r="I2674" t="s">
        <v>25</v>
      </c>
    </row>
    <row r="2675" spans="1:9" hidden="1" x14ac:dyDescent="0.25">
      <c r="A2675">
        <v>3</v>
      </c>
      <c r="B2675" t="s">
        <v>14</v>
      </c>
      <c r="C2675">
        <v>2022</v>
      </c>
      <c r="D2675">
        <v>1.625</v>
      </c>
      <c r="E2675">
        <v>30</v>
      </c>
      <c r="F2675">
        <v>24.625</v>
      </c>
      <c r="G2675">
        <v>7</v>
      </c>
      <c r="H2675">
        <v>48000</v>
      </c>
      <c r="I2675" t="s">
        <v>25</v>
      </c>
    </row>
    <row r="2676" spans="1:9" hidden="1" x14ac:dyDescent="0.25">
      <c r="A2676">
        <v>4</v>
      </c>
      <c r="B2676" t="s">
        <v>14</v>
      </c>
      <c r="C2676">
        <v>2022</v>
      </c>
      <c r="D2676">
        <v>24.625</v>
      </c>
      <c r="E2676" t="s">
        <v>9</v>
      </c>
      <c r="F2676">
        <v>17</v>
      </c>
      <c r="G2676">
        <v>7.625</v>
      </c>
      <c r="H2676">
        <v>48000</v>
      </c>
      <c r="I2676" t="s">
        <v>25</v>
      </c>
    </row>
    <row r="2677" spans="1:9" hidden="1" x14ac:dyDescent="0.25">
      <c r="A2677">
        <v>5</v>
      </c>
      <c r="B2677" t="s">
        <v>14</v>
      </c>
      <c r="C2677">
        <v>2022</v>
      </c>
      <c r="D2677">
        <v>17</v>
      </c>
      <c r="E2677" t="s">
        <v>9</v>
      </c>
      <c r="F2677">
        <v>9.625</v>
      </c>
      <c r="G2677">
        <v>7.375</v>
      </c>
      <c r="H2677">
        <v>48000</v>
      </c>
      <c r="I2677" t="s">
        <v>25</v>
      </c>
    </row>
    <row r="2678" spans="1:9" hidden="1" x14ac:dyDescent="0.25">
      <c r="A2678">
        <v>6</v>
      </c>
      <c r="B2678" t="s">
        <v>14</v>
      </c>
      <c r="C2678">
        <v>2022</v>
      </c>
      <c r="D2678">
        <v>9.625</v>
      </c>
      <c r="E2678">
        <v>60</v>
      </c>
      <c r="F2678">
        <v>62</v>
      </c>
      <c r="G2678">
        <v>7.625</v>
      </c>
      <c r="H2678">
        <v>48000</v>
      </c>
      <c r="I2678" t="s">
        <v>25</v>
      </c>
    </row>
    <row r="2679" spans="1:9" hidden="1" x14ac:dyDescent="0.25">
      <c r="A2679">
        <v>7</v>
      </c>
      <c r="B2679" t="s">
        <v>14</v>
      </c>
      <c r="C2679">
        <v>2022</v>
      </c>
      <c r="D2679">
        <v>62</v>
      </c>
      <c r="E2679" t="s">
        <v>9</v>
      </c>
      <c r="F2679">
        <v>47</v>
      </c>
      <c r="G2679">
        <v>15</v>
      </c>
      <c r="H2679">
        <v>48000</v>
      </c>
      <c r="I2679" t="s">
        <v>25</v>
      </c>
    </row>
    <row r="2680" spans="1:9" hidden="1" x14ac:dyDescent="0.25">
      <c r="A2680">
        <v>8</v>
      </c>
      <c r="B2680" t="s">
        <v>14</v>
      </c>
      <c r="C2680">
        <v>2022</v>
      </c>
      <c r="D2680">
        <v>47</v>
      </c>
      <c r="E2680" t="s">
        <v>9</v>
      </c>
      <c r="F2680">
        <v>19.5</v>
      </c>
      <c r="G2680">
        <v>27.5</v>
      </c>
      <c r="H2680">
        <v>48000</v>
      </c>
      <c r="I2680" t="s">
        <v>25</v>
      </c>
    </row>
    <row r="2681" spans="1:9" hidden="1" x14ac:dyDescent="0.25">
      <c r="A2681">
        <v>9</v>
      </c>
      <c r="B2681" t="s">
        <v>14</v>
      </c>
      <c r="C2681">
        <v>2022</v>
      </c>
      <c r="D2681">
        <v>19.5</v>
      </c>
      <c r="E2681" t="s">
        <v>9</v>
      </c>
      <c r="F2681">
        <v>12.625</v>
      </c>
      <c r="G2681">
        <v>6.875</v>
      </c>
      <c r="H2681">
        <v>48000</v>
      </c>
      <c r="I2681" t="s">
        <v>25</v>
      </c>
    </row>
    <row r="2682" spans="1:9" hidden="1" x14ac:dyDescent="0.25">
      <c r="A2682">
        <v>10</v>
      </c>
      <c r="B2682" t="s">
        <v>14</v>
      </c>
      <c r="C2682">
        <v>2022</v>
      </c>
      <c r="D2682">
        <v>12.625</v>
      </c>
      <c r="E2682" t="s">
        <v>9</v>
      </c>
      <c r="F2682">
        <v>5.375</v>
      </c>
      <c r="G2682">
        <v>7.25</v>
      </c>
      <c r="H2682">
        <v>48000</v>
      </c>
      <c r="I2682" t="s">
        <v>25</v>
      </c>
    </row>
    <row r="2683" spans="1:9" hidden="1" x14ac:dyDescent="0.25">
      <c r="A2683">
        <v>11</v>
      </c>
      <c r="B2683" t="s">
        <v>14</v>
      </c>
      <c r="C2683">
        <v>2022</v>
      </c>
      <c r="D2683">
        <v>5.375</v>
      </c>
      <c r="E2683">
        <v>50</v>
      </c>
      <c r="F2683">
        <v>50.5</v>
      </c>
      <c r="G2683">
        <v>4.875</v>
      </c>
      <c r="H2683">
        <v>48000</v>
      </c>
      <c r="I2683" t="s">
        <v>25</v>
      </c>
    </row>
    <row r="2684" spans="1:9" hidden="1" x14ac:dyDescent="0.25">
      <c r="A2684">
        <v>12</v>
      </c>
      <c r="B2684" t="s">
        <v>14</v>
      </c>
      <c r="C2684">
        <v>2022</v>
      </c>
      <c r="D2684">
        <v>50.5</v>
      </c>
      <c r="E2684" t="s">
        <v>9</v>
      </c>
      <c r="F2684">
        <v>43.75</v>
      </c>
      <c r="G2684">
        <v>6.75</v>
      </c>
      <c r="H2684">
        <v>48000</v>
      </c>
      <c r="I2684" t="s">
        <v>25</v>
      </c>
    </row>
    <row r="2685" spans="1:9" hidden="1" x14ac:dyDescent="0.25">
      <c r="A2685">
        <v>13</v>
      </c>
      <c r="B2685" t="s">
        <v>14</v>
      </c>
      <c r="C2685">
        <v>2022</v>
      </c>
      <c r="D2685">
        <v>43.75</v>
      </c>
      <c r="E2685" t="s">
        <v>9</v>
      </c>
      <c r="F2685">
        <v>29.5</v>
      </c>
      <c r="G2685">
        <v>14.25</v>
      </c>
      <c r="H2685">
        <v>48000</v>
      </c>
      <c r="I2685" t="s">
        <v>25</v>
      </c>
    </row>
    <row r="2686" spans="1:9" hidden="1" x14ac:dyDescent="0.25">
      <c r="A2686">
        <v>14</v>
      </c>
      <c r="B2686" t="s">
        <v>14</v>
      </c>
      <c r="C2686">
        <v>2022</v>
      </c>
      <c r="D2686">
        <v>29.5</v>
      </c>
      <c r="E2686" t="s">
        <v>9</v>
      </c>
      <c r="F2686">
        <v>11.75</v>
      </c>
      <c r="G2686">
        <v>17.75</v>
      </c>
      <c r="H2686">
        <v>48000</v>
      </c>
      <c r="I2686" t="s">
        <v>25</v>
      </c>
    </row>
    <row r="2687" spans="1:9" hidden="1" x14ac:dyDescent="0.25">
      <c r="A2687">
        <v>15</v>
      </c>
      <c r="B2687" t="s">
        <v>14</v>
      </c>
      <c r="C2687">
        <v>2022</v>
      </c>
      <c r="D2687">
        <v>11.75</v>
      </c>
      <c r="E2687">
        <v>50</v>
      </c>
      <c r="F2687">
        <v>47.875</v>
      </c>
      <c r="G2687">
        <v>13.875</v>
      </c>
      <c r="H2687">
        <v>48000</v>
      </c>
      <c r="I2687" t="s">
        <v>25</v>
      </c>
    </row>
    <row r="2688" spans="1:9" hidden="1" x14ac:dyDescent="0.25">
      <c r="A2688">
        <v>16</v>
      </c>
      <c r="B2688" t="s">
        <v>14</v>
      </c>
      <c r="C2688">
        <v>2022</v>
      </c>
      <c r="D2688">
        <v>47.875</v>
      </c>
      <c r="E2688" t="s">
        <v>9</v>
      </c>
      <c r="F2688">
        <v>41.625</v>
      </c>
      <c r="G2688">
        <v>6.25</v>
      </c>
      <c r="H2688">
        <v>48000</v>
      </c>
      <c r="I2688" t="s">
        <v>25</v>
      </c>
    </row>
    <row r="2689" spans="1:9" hidden="1" x14ac:dyDescent="0.25">
      <c r="A2689">
        <v>17</v>
      </c>
      <c r="B2689" t="s">
        <v>14</v>
      </c>
      <c r="C2689">
        <v>2022</v>
      </c>
      <c r="D2689">
        <v>41.625</v>
      </c>
      <c r="E2689" t="s">
        <v>9</v>
      </c>
      <c r="F2689">
        <v>33.125</v>
      </c>
      <c r="G2689">
        <v>8.5</v>
      </c>
      <c r="H2689">
        <v>48000</v>
      </c>
      <c r="I2689" t="s">
        <v>25</v>
      </c>
    </row>
    <row r="2690" spans="1:9" hidden="1" x14ac:dyDescent="0.25">
      <c r="A2690">
        <v>18</v>
      </c>
      <c r="B2690" t="s">
        <v>14</v>
      </c>
      <c r="C2690">
        <v>2022</v>
      </c>
      <c r="D2690">
        <v>33.125</v>
      </c>
      <c r="E2690">
        <v>30</v>
      </c>
      <c r="F2690">
        <v>55</v>
      </c>
      <c r="G2690">
        <v>8.125</v>
      </c>
      <c r="H2690">
        <v>48000</v>
      </c>
      <c r="I2690" t="s">
        <v>25</v>
      </c>
    </row>
    <row r="2691" spans="1:9" hidden="1" x14ac:dyDescent="0.25">
      <c r="A2691">
        <v>19</v>
      </c>
      <c r="B2691" t="s">
        <v>14</v>
      </c>
      <c r="C2691">
        <v>2022</v>
      </c>
      <c r="D2691">
        <v>55</v>
      </c>
      <c r="E2691" t="s">
        <v>9</v>
      </c>
      <c r="F2691">
        <v>48.25</v>
      </c>
      <c r="G2691">
        <v>6.75</v>
      </c>
      <c r="H2691">
        <v>48000</v>
      </c>
      <c r="I2691" t="s">
        <v>25</v>
      </c>
    </row>
    <row r="2692" spans="1:9" hidden="1" x14ac:dyDescent="0.25">
      <c r="A2692">
        <v>20</v>
      </c>
      <c r="B2692" t="s">
        <v>14</v>
      </c>
      <c r="C2692">
        <v>2022</v>
      </c>
      <c r="D2692">
        <v>48.25</v>
      </c>
      <c r="E2692" t="s">
        <v>9</v>
      </c>
      <c r="F2692">
        <v>40</v>
      </c>
      <c r="G2692">
        <v>8.25</v>
      </c>
      <c r="H2692">
        <v>48000</v>
      </c>
      <c r="I2692" t="s">
        <v>25</v>
      </c>
    </row>
    <row r="2693" spans="1:9" hidden="1" x14ac:dyDescent="0.25">
      <c r="A2693">
        <v>21</v>
      </c>
      <c r="B2693" t="s">
        <v>14</v>
      </c>
      <c r="C2693">
        <v>2022</v>
      </c>
      <c r="D2693">
        <v>40</v>
      </c>
      <c r="E2693" t="s">
        <v>9</v>
      </c>
      <c r="F2693">
        <v>23.375</v>
      </c>
      <c r="G2693">
        <v>16.625</v>
      </c>
      <c r="H2693">
        <v>48000</v>
      </c>
      <c r="I2693" t="s">
        <v>25</v>
      </c>
    </row>
    <row r="2694" spans="1:9" hidden="1" x14ac:dyDescent="0.25">
      <c r="A2694">
        <v>22</v>
      </c>
      <c r="B2694" t="s">
        <v>14</v>
      </c>
      <c r="C2694">
        <v>2022</v>
      </c>
      <c r="D2694">
        <v>23.375</v>
      </c>
      <c r="E2694" t="s">
        <v>9</v>
      </c>
      <c r="F2694">
        <v>4.75</v>
      </c>
      <c r="G2694">
        <v>18.625</v>
      </c>
      <c r="H2694">
        <v>48000</v>
      </c>
      <c r="I2694" t="s">
        <v>25</v>
      </c>
    </row>
    <row r="2695" spans="1:9" hidden="1" x14ac:dyDescent="0.25">
      <c r="A2695">
        <v>23</v>
      </c>
      <c r="B2695" t="s">
        <v>14</v>
      </c>
      <c r="C2695">
        <v>2022</v>
      </c>
      <c r="D2695">
        <v>4.75</v>
      </c>
      <c r="E2695">
        <v>50</v>
      </c>
      <c r="F2695">
        <v>51.25</v>
      </c>
      <c r="G2695">
        <v>3.5</v>
      </c>
      <c r="H2695">
        <v>48000</v>
      </c>
      <c r="I2695" t="s">
        <v>25</v>
      </c>
    </row>
    <row r="2696" spans="1:9" hidden="1" x14ac:dyDescent="0.25">
      <c r="A2696">
        <v>24</v>
      </c>
      <c r="B2696" t="s">
        <v>14</v>
      </c>
      <c r="C2696">
        <v>2022</v>
      </c>
      <c r="D2696">
        <v>51.25</v>
      </c>
      <c r="E2696" t="s">
        <v>9</v>
      </c>
      <c r="F2696">
        <v>45.625</v>
      </c>
      <c r="G2696">
        <v>5.625</v>
      </c>
      <c r="H2696">
        <v>48000</v>
      </c>
      <c r="I2696" t="s">
        <v>25</v>
      </c>
    </row>
    <row r="2697" spans="1:9" hidden="1" x14ac:dyDescent="0.25">
      <c r="A2697">
        <v>25</v>
      </c>
      <c r="B2697" t="s">
        <v>14</v>
      </c>
      <c r="C2697">
        <v>2022</v>
      </c>
      <c r="D2697">
        <v>45.625</v>
      </c>
      <c r="E2697" t="s">
        <v>9</v>
      </c>
      <c r="F2697">
        <v>39.375</v>
      </c>
      <c r="G2697">
        <v>6.25</v>
      </c>
      <c r="H2697">
        <v>48000</v>
      </c>
      <c r="I2697" t="s">
        <v>25</v>
      </c>
    </row>
    <row r="2698" spans="1:9" hidden="1" x14ac:dyDescent="0.25">
      <c r="A2698">
        <v>26</v>
      </c>
      <c r="B2698" t="s">
        <v>14</v>
      </c>
      <c r="C2698">
        <v>2022</v>
      </c>
      <c r="D2698">
        <v>39.375</v>
      </c>
      <c r="E2698" t="s">
        <v>9</v>
      </c>
      <c r="F2698">
        <v>29.625</v>
      </c>
      <c r="G2698">
        <v>9.75</v>
      </c>
      <c r="H2698">
        <v>48000</v>
      </c>
      <c r="I2698" t="s">
        <v>25</v>
      </c>
    </row>
    <row r="2699" spans="1:9" hidden="1" x14ac:dyDescent="0.25">
      <c r="A2699">
        <v>27</v>
      </c>
      <c r="B2699" t="s">
        <v>14</v>
      </c>
      <c r="C2699">
        <v>2022</v>
      </c>
      <c r="D2699">
        <v>29.625</v>
      </c>
      <c r="E2699" t="s">
        <v>9</v>
      </c>
      <c r="F2699">
        <v>19.25</v>
      </c>
      <c r="G2699">
        <v>10.375</v>
      </c>
      <c r="H2699">
        <v>48000</v>
      </c>
      <c r="I2699" t="s">
        <v>25</v>
      </c>
    </row>
    <row r="2700" spans="1:9" hidden="1" x14ac:dyDescent="0.25">
      <c r="A2700">
        <v>28</v>
      </c>
      <c r="B2700" t="s">
        <v>14</v>
      </c>
      <c r="C2700">
        <v>2022</v>
      </c>
      <c r="D2700">
        <v>19.25</v>
      </c>
      <c r="E2700">
        <v>50</v>
      </c>
      <c r="F2700">
        <v>58.875</v>
      </c>
      <c r="G2700">
        <v>10.375</v>
      </c>
      <c r="H2700">
        <v>48000</v>
      </c>
      <c r="I2700" t="s">
        <v>25</v>
      </c>
    </row>
    <row r="2701" spans="1:9" hidden="1" x14ac:dyDescent="0.25">
      <c r="A2701">
        <v>29</v>
      </c>
      <c r="B2701" t="s">
        <v>14</v>
      </c>
      <c r="C2701">
        <v>2022</v>
      </c>
      <c r="D2701">
        <v>58.875</v>
      </c>
      <c r="E2701" t="s">
        <v>9</v>
      </c>
      <c r="F2701">
        <v>40</v>
      </c>
      <c r="G2701">
        <v>18.875</v>
      </c>
      <c r="H2701">
        <v>48000</v>
      </c>
      <c r="I2701" t="s">
        <v>25</v>
      </c>
    </row>
    <row r="2702" spans="1:9" hidden="1" x14ac:dyDescent="0.25">
      <c r="A2702">
        <v>30</v>
      </c>
      <c r="B2702" t="s">
        <v>9</v>
      </c>
      <c r="C2702" t="s">
        <v>9</v>
      </c>
      <c r="D2702">
        <v>40</v>
      </c>
      <c r="E2702" t="s">
        <v>9</v>
      </c>
      <c r="F2702">
        <v>23.5</v>
      </c>
      <c r="G2702">
        <v>16.5</v>
      </c>
      <c r="H2702">
        <v>48000</v>
      </c>
      <c r="I2702" t="s">
        <v>25</v>
      </c>
    </row>
    <row r="2703" spans="1:9" hidden="1" x14ac:dyDescent="0.25">
      <c r="A2703">
        <v>31</v>
      </c>
      <c r="B2703" t="s">
        <v>9</v>
      </c>
      <c r="C2703" t="s">
        <v>9</v>
      </c>
      <c r="D2703">
        <v>23.5</v>
      </c>
      <c r="E2703" t="s">
        <v>9</v>
      </c>
      <c r="F2703">
        <v>13.5</v>
      </c>
      <c r="G2703">
        <v>10</v>
      </c>
      <c r="H2703">
        <v>48000</v>
      </c>
      <c r="I2703" t="s">
        <v>25</v>
      </c>
    </row>
    <row r="2704" spans="1:9" x14ac:dyDescent="0.25">
      <c r="A2704">
        <v>1</v>
      </c>
      <c r="B2704" t="s">
        <v>15</v>
      </c>
      <c r="C2704">
        <v>2022</v>
      </c>
      <c r="D2704">
        <v>52.125</v>
      </c>
      <c r="E2704" t="s">
        <v>9</v>
      </c>
      <c r="F2704">
        <v>37.75</v>
      </c>
      <c r="G2704">
        <v>14.375</v>
      </c>
      <c r="H2704">
        <v>48000</v>
      </c>
      <c r="I2704" t="s">
        <v>22</v>
      </c>
    </row>
    <row r="2705" spans="1:9" x14ac:dyDescent="0.25">
      <c r="A2705">
        <v>2</v>
      </c>
      <c r="B2705" t="s">
        <v>15</v>
      </c>
      <c r="C2705">
        <v>2022</v>
      </c>
      <c r="D2705">
        <v>37.75</v>
      </c>
      <c r="E2705">
        <v>70</v>
      </c>
      <c r="F2705">
        <v>82.625</v>
      </c>
      <c r="G2705">
        <v>25.125</v>
      </c>
      <c r="H2705">
        <v>48000</v>
      </c>
      <c r="I2705" t="s">
        <v>22</v>
      </c>
    </row>
    <row r="2706" spans="1:9" x14ac:dyDescent="0.25">
      <c r="A2706">
        <v>3</v>
      </c>
      <c r="B2706" t="s">
        <v>15</v>
      </c>
      <c r="C2706">
        <v>2022</v>
      </c>
      <c r="D2706">
        <v>82.625</v>
      </c>
      <c r="E2706" t="s">
        <v>9</v>
      </c>
      <c r="F2706">
        <v>47.125</v>
      </c>
      <c r="G2706">
        <v>35.5</v>
      </c>
      <c r="H2706">
        <v>48000</v>
      </c>
      <c r="I2706" t="s">
        <v>22</v>
      </c>
    </row>
    <row r="2707" spans="1:9" x14ac:dyDescent="0.25">
      <c r="A2707">
        <v>4</v>
      </c>
      <c r="B2707" t="s">
        <v>15</v>
      </c>
      <c r="C2707">
        <v>2022</v>
      </c>
      <c r="D2707">
        <v>47.125</v>
      </c>
      <c r="E2707">
        <v>70</v>
      </c>
      <c r="F2707">
        <v>67.375</v>
      </c>
      <c r="G2707">
        <v>49.75</v>
      </c>
      <c r="H2707">
        <v>48000</v>
      </c>
      <c r="I2707" t="s">
        <v>22</v>
      </c>
    </row>
    <row r="2708" spans="1:9" x14ac:dyDescent="0.25">
      <c r="A2708">
        <v>5</v>
      </c>
      <c r="B2708" t="s">
        <v>15</v>
      </c>
      <c r="C2708">
        <v>2022</v>
      </c>
      <c r="D2708">
        <v>67.375</v>
      </c>
      <c r="E2708" t="s">
        <v>9</v>
      </c>
      <c r="F2708">
        <v>24.5</v>
      </c>
      <c r="G2708">
        <v>42.875</v>
      </c>
      <c r="H2708">
        <v>48000</v>
      </c>
      <c r="I2708" t="s">
        <v>22</v>
      </c>
    </row>
    <row r="2709" spans="1:9" x14ac:dyDescent="0.25">
      <c r="A2709">
        <v>6</v>
      </c>
      <c r="B2709" t="s">
        <v>15</v>
      </c>
      <c r="C2709">
        <v>2022</v>
      </c>
      <c r="D2709">
        <v>24.5</v>
      </c>
      <c r="E2709">
        <v>20</v>
      </c>
      <c r="F2709">
        <v>31.875</v>
      </c>
      <c r="G2709">
        <v>12.625</v>
      </c>
      <c r="H2709">
        <v>48000</v>
      </c>
      <c r="I2709" t="s">
        <v>22</v>
      </c>
    </row>
    <row r="2710" spans="1:9" x14ac:dyDescent="0.25">
      <c r="A2710">
        <v>7</v>
      </c>
      <c r="B2710" t="s">
        <v>15</v>
      </c>
      <c r="C2710">
        <v>2022</v>
      </c>
      <c r="D2710">
        <v>31.875</v>
      </c>
      <c r="E2710">
        <v>80</v>
      </c>
      <c r="F2710">
        <v>103.5</v>
      </c>
      <c r="G2710">
        <v>8.375</v>
      </c>
      <c r="H2710">
        <v>48000</v>
      </c>
      <c r="I2710" t="s">
        <v>22</v>
      </c>
    </row>
    <row r="2711" spans="1:9" x14ac:dyDescent="0.25">
      <c r="A2711">
        <v>8</v>
      </c>
      <c r="B2711" t="s">
        <v>15</v>
      </c>
      <c r="C2711">
        <v>2022</v>
      </c>
      <c r="D2711">
        <v>103.5</v>
      </c>
      <c r="E2711" t="s">
        <v>9</v>
      </c>
      <c r="F2711">
        <v>80.75</v>
      </c>
      <c r="G2711">
        <v>22.75</v>
      </c>
      <c r="H2711">
        <v>48000</v>
      </c>
      <c r="I2711" t="s">
        <v>22</v>
      </c>
    </row>
    <row r="2712" spans="1:9" x14ac:dyDescent="0.25">
      <c r="A2712">
        <v>9</v>
      </c>
      <c r="B2712" t="s">
        <v>15</v>
      </c>
      <c r="C2712">
        <v>2022</v>
      </c>
      <c r="D2712">
        <v>80.75</v>
      </c>
      <c r="E2712" t="s">
        <v>9</v>
      </c>
      <c r="F2712">
        <v>68.125</v>
      </c>
      <c r="G2712">
        <v>12.625</v>
      </c>
      <c r="H2712">
        <v>48000</v>
      </c>
      <c r="I2712" t="s">
        <v>22</v>
      </c>
    </row>
    <row r="2713" spans="1:9" x14ac:dyDescent="0.25">
      <c r="A2713">
        <v>10</v>
      </c>
      <c r="B2713" t="s">
        <v>15</v>
      </c>
      <c r="C2713">
        <v>2022</v>
      </c>
      <c r="D2713">
        <v>68.125</v>
      </c>
      <c r="E2713">
        <v>90</v>
      </c>
      <c r="F2713">
        <v>130.125</v>
      </c>
      <c r="G2713">
        <v>28</v>
      </c>
      <c r="H2713">
        <v>48000</v>
      </c>
      <c r="I2713" t="s">
        <v>22</v>
      </c>
    </row>
    <row r="2714" spans="1:9" x14ac:dyDescent="0.25">
      <c r="A2714">
        <v>11</v>
      </c>
      <c r="B2714" t="s">
        <v>15</v>
      </c>
      <c r="C2714">
        <v>2022</v>
      </c>
      <c r="D2714">
        <v>130.125</v>
      </c>
      <c r="E2714" t="s">
        <v>9</v>
      </c>
      <c r="F2714">
        <v>83.75</v>
      </c>
      <c r="G2714">
        <v>46.375</v>
      </c>
      <c r="H2714">
        <v>48000</v>
      </c>
      <c r="I2714" t="s">
        <v>22</v>
      </c>
    </row>
    <row r="2715" spans="1:9" x14ac:dyDescent="0.25">
      <c r="A2715">
        <v>12</v>
      </c>
      <c r="B2715" t="s">
        <v>15</v>
      </c>
      <c r="C2715">
        <v>2022</v>
      </c>
      <c r="D2715">
        <v>83.75</v>
      </c>
      <c r="E2715" t="s">
        <v>9</v>
      </c>
      <c r="F2715">
        <v>38</v>
      </c>
      <c r="G2715">
        <v>45.75</v>
      </c>
      <c r="H2715">
        <v>48000</v>
      </c>
      <c r="I2715" t="s">
        <v>22</v>
      </c>
    </row>
    <row r="2716" spans="1:9" x14ac:dyDescent="0.25">
      <c r="A2716">
        <v>13</v>
      </c>
      <c r="B2716" t="s">
        <v>15</v>
      </c>
      <c r="C2716">
        <v>2022</v>
      </c>
      <c r="D2716">
        <v>38</v>
      </c>
      <c r="E2716">
        <v>60</v>
      </c>
      <c r="F2716">
        <v>85</v>
      </c>
      <c r="G2716">
        <v>13</v>
      </c>
      <c r="H2716">
        <v>48000</v>
      </c>
      <c r="I2716" t="s">
        <v>22</v>
      </c>
    </row>
    <row r="2717" spans="1:9" x14ac:dyDescent="0.25">
      <c r="A2717">
        <v>14</v>
      </c>
      <c r="B2717" t="s">
        <v>15</v>
      </c>
      <c r="C2717">
        <v>2022</v>
      </c>
      <c r="D2717">
        <v>85</v>
      </c>
      <c r="E2717" t="s">
        <v>9</v>
      </c>
      <c r="F2717">
        <v>65.375</v>
      </c>
      <c r="G2717">
        <v>19.625</v>
      </c>
      <c r="H2717">
        <v>48000</v>
      </c>
      <c r="I2717" t="s">
        <v>22</v>
      </c>
    </row>
    <row r="2718" spans="1:9" x14ac:dyDescent="0.25">
      <c r="A2718">
        <v>15</v>
      </c>
      <c r="B2718" t="s">
        <v>15</v>
      </c>
      <c r="C2718">
        <v>2022</v>
      </c>
      <c r="D2718">
        <v>65.375</v>
      </c>
      <c r="E2718">
        <v>20</v>
      </c>
      <c r="F2718">
        <v>53.625</v>
      </c>
      <c r="G2718">
        <v>31.75</v>
      </c>
      <c r="H2718">
        <v>48000</v>
      </c>
      <c r="I2718" t="s">
        <v>22</v>
      </c>
    </row>
    <row r="2719" spans="1:9" x14ac:dyDescent="0.25">
      <c r="A2719">
        <v>16</v>
      </c>
      <c r="B2719" t="s">
        <v>15</v>
      </c>
      <c r="C2719">
        <v>2022</v>
      </c>
      <c r="D2719">
        <v>53.625</v>
      </c>
      <c r="E2719">
        <v>20</v>
      </c>
      <c r="F2719">
        <v>55.75</v>
      </c>
      <c r="G2719">
        <v>17.875</v>
      </c>
      <c r="H2719">
        <v>48000</v>
      </c>
      <c r="I2719" t="s">
        <v>22</v>
      </c>
    </row>
    <row r="2720" spans="1:9" x14ac:dyDescent="0.25">
      <c r="A2720">
        <v>17</v>
      </c>
      <c r="B2720" t="s">
        <v>15</v>
      </c>
      <c r="C2720">
        <v>2022</v>
      </c>
      <c r="D2720">
        <v>55.75</v>
      </c>
      <c r="E2720">
        <v>60</v>
      </c>
      <c r="F2720">
        <v>80</v>
      </c>
      <c r="G2720">
        <v>35.75</v>
      </c>
      <c r="H2720">
        <v>48000</v>
      </c>
      <c r="I2720" t="s">
        <v>22</v>
      </c>
    </row>
    <row r="2721" spans="1:9" x14ac:dyDescent="0.25">
      <c r="A2721">
        <v>18</v>
      </c>
      <c r="B2721" t="s">
        <v>15</v>
      </c>
      <c r="C2721">
        <v>2022</v>
      </c>
      <c r="D2721">
        <v>80</v>
      </c>
      <c r="E2721">
        <v>60</v>
      </c>
      <c r="F2721">
        <v>81.5</v>
      </c>
      <c r="G2721">
        <v>58.5</v>
      </c>
      <c r="H2721">
        <v>48000</v>
      </c>
      <c r="I2721" t="s">
        <v>22</v>
      </c>
    </row>
    <row r="2722" spans="1:9" x14ac:dyDescent="0.25">
      <c r="A2722">
        <v>19</v>
      </c>
      <c r="B2722" t="s">
        <v>15</v>
      </c>
      <c r="C2722">
        <v>2022</v>
      </c>
      <c r="D2722">
        <v>81.5</v>
      </c>
      <c r="E2722">
        <v>40</v>
      </c>
      <c r="F2722">
        <v>85.625</v>
      </c>
      <c r="G2722">
        <v>35.875</v>
      </c>
      <c r="H2722">
        <v>48000</v>
      </c>
      <c r="I2722" t="s">
        <v>22</v>
      </c>
    </row>
    <row r="2723" spans="1:9" x14ac:dyDescent="0.25">
      <c r="A2723">
        <v>20</v>
      </c>
      <c r="B2723" t="s">
        <v>15</v>
      </c>
      <c r="C2723">
        <v>2022</v>
      </c>
      <c r="D2723">
        <v>85.625</v>
      </c>
      <c r="E2723">
        <v>30</v>
      </c>
      <c r="F2723">
        <v>66.125</v>
      </c>
      <c r="G2723">
        <v>49.5</v>
      </c>
      <c r="H2723">
        <v>48000</v>
      </c>
      <c r="I2723" t="s">
        <v>22</v>
      </c>
    </row>
    <row r="2724" spans="1:9" x14ac:dyDescent="0.25">
      <c r="A2724">
        <v>21</v>
      </c>
      <c r="B2724" t="s">
        <v>15</v>
      </c>
      <c r="C2724">
        <v>2022</v>
      </c>
      <c r="D2724">
        <v>66.125</v>
      </c>
      <c r="E2724" t="s">
        <v>9</v>
      </c>
      <c r="F2724">
        <v>50.375</v>
      </c>
      <c r="G2724">
        <v>15.75</v>
      </c>
      <c r="H2724">
        <v>48000</v>
      </c>
      <c r="I2724" t="s">
        <v>22</v>
      </c>
    </row>
    <row r="2725" spans="1:9" x14ac:dyDescent="0.25">
      <c r="A2725">
        <v>22</v>
      </c>
      <c r="B2725" t="s">
        <v>15</v>
      </c>
      <c r="C2725">
        <v>2022</v>
      </c>
      <c r="D2725">
        <v>50.375</v>
      </c>
      <c r="E2725">
        <v>60</v>
      </c>
      <c r="F2725">
        <v>87.625</v>
      </c>
      <c r="G2725">
        <v>22.75</v>
      </c>
      <c r="H2725">
        <v>48000</v>
      </c>
      <c r="I2725" t="s">
        <v>22</v>
      </c>
    </row>
    <row r="2726" spans="1:9" x14ac:dyDescent="0.25">
      <c r="A2726">
        <v>23</v>
      </c>
      <c r="B2726" t="s">
        <v>15</v>
      </c>
      <c r="C2726">
        <v>2022</v>
      </c>
      <c r="D2726">
        <v>87.625</v>
      </c>
      <c r="E2726" t="s">
        <v>9</v>
      </c>
      <c r="F2726">
        <v>65.625</v>
      </c>
      <c r="G2726">
        <v>22</v>
      </c>
      <c r="H2726">
        <v>48000</v>
      </c>
      <c r="I2726" t="s">
        <v>22</v>
      </c>
    </row>
    <row r="2727" spans="1:9" x14ac:dyDescent="0.25">
      <c r="A2727">
        <v>24</v>
      </c>
      <c r="B2727" t="s">
        <v>15</v>
      </c>
      <c r="C2727">
        <v>2022</v>
      </c>
      <c r="D2727">
        <v>65.625</v>
      </c>
      <c r="E2727" t="s">
        <v>9</v>
      </c>
      <c r="F2727">
        <v>39.125</v>
      </c>
      <c r="G2727">
        <v>26.5</v>
      </c>
      <c r="H2727">
        <v>48000</v>
      </c>
      <c r="I2727" t="s">
        <v>22</v>
      </c>
    </row>
    <row r="2728" spans="1:9" x14ac:dyDescent="0.25">
      <c r="A2728">
        <v>25</v>
      </c>
      <c r="B2728" t="s">
        <v>15</v>
      </c>
      <c r="C2728">
        <v>2022</v>
      </c>
      <c r="D2728">
        <v>39.125</v>
      </c>
      <c r="E2728">
        <v>70</v>
      </c>
      <c r="F2728">
        <v>72.625</v>
      </c>
      <c r="G2728">
        <v>36.5</v>
      </c>
      <c r="H2728">
        <v>48000</v>
      </c>
      <c r="I2728" t="s">
        <v>22</v>
      </c>
    </row>
    <row r="2729" spans="1:9" x14ac:dyDescent="0.25">
      <c r="A2729">
        <v>26</v>
      </c>
      <c r="B2729" t="s">
        <v>15</v>
      </c>
      <c r="C2729">
        <v>2022</v>
      </c>
      <c r="D2729">
        <v>72.625</v>
      </c>
      <c r="E2729" t="s">
        <v>9</v>
      </c>
      <c r="F2729">
        <v>33.5</v>
      </c>
      <c r="G2729">
        <v>39.125</v>
      </c>
      <c r="H2729">
        <v>48000</v>
      </c>
      <c r="I2729" t="s">
        <v>22</v>
      </c>
    </row>
    <row r="2730" spans="1:9" x14ac:dyDescent="0.25">
      <c r="A2730">
        <v>27</v>
      </c>
      <c r="B2730" t="s">
        <v>15</v>
      </c>
      <c r="C2730">
        <v>2022</v>
      </c>
      <c r="D2730">
        <v>33.5</v>
      </c>
      <c r="E2730">
        <v>60</v>
      </c>
      <c r="F2730">
        <v>57.125</v>
      </c>
      <c r="G2730">
        <v>36.375</v>
      </c>
      <c r="H2730">
        <v>48000</v>
      </c>
      <c r="I2730" t="s">
        <v>22</v>
      </c>
    </row>
    <row r="2731" spans="1:9" x14ac:dyDescent="0.25">
      <c r="A2731">
        <v>28</v>
      </c>
      <c r="B2731" t="s">
        <v>15</v>
      </c>
      <c r="C2731">
        <v>2022</v>
      </c>
      <c r="D2731">
        <v>57.125</v>
      </c>
      <c r="E2731" t="s">
        <v>9</v>
      </c>
      <c r="F2731">
        <v>40.875</v>
      </c>
      <c r="G2731">
        <v>16.25</v>
      </c>
      <c r="H2731">
        <v>48000</v>
      </c>
      <c r="I2731" t="s">
        <v>22</v>
      </c>
    </row>
    <row r="2732" spans="1:9" x14ac:dyDescent="0.25">
      <c r="A2732">
        <v>29</v>
      </c>
      <c r="B2732" t="s">
        <v>15</v>
      </c>
      <c r="C2732">
        <v>2022</v>
      </c>
      <c r="D2732">
        <v>40.875</v>
      </c>
      <c r="E2732">
        <v>90</v>
      </c>
      <c r="F2732">
        <v>96.25</v>
      </c>
      <c r="G2732">
        <v>34.625</v>
      </c>
      <c r="H2732">
        <v>48000</v>
      </c>
      <c r="I2732" t="s">
        <v>22</v>
      </c>
    </row>
    <row r="2733" spans="1:9" x14ac:dyDescent="0.25">
      <c r="A2733">
        <v>30</v>
      </c>
      <c r="B2733" t="s">
        <v>9</v>
      </c>
      <c r="C2733" t="s">
        <v>9</v>
      </c>
      <c r="D2733">
        <v>96.25</v>
      </c>
      <c r="E2733" t="s">
        <v>9</v>
      </c>
      <c r="F2733">
        <v>69.125</v>
      </c>
      <c r="G2733">
        <v>27.125</v>
      </c>
      <c r="H2733">
        <v>48000</v>
      </c>
      <c r="I2733" t="s">
        <v>22</v>
      </c>
    </row>
    <row r="2734" spans="1:9" hidden="1" x14ac:dyDescent="0.25">
      <c r="A2734">
        <v>1</v>
      </c>
      <c r="B2734" t="s">
        <v>15</v>
      </c>
      <c r="C2734">
        <v>2022</v>
      </c>
      <c r="D2734">
        <v>41.125</v>
      </c>
      <c r="E2734">
        <v>20</v>
      </c>
      <c r="F2734">
        <v>32.25</v>
      </c>
      <c r="G2734">
        <v>28.875</v>
      </c>
      <c r="H2734">
        <v>48000</v>
      </c>
      <c r="I2734" t="s">
        <v>23</v>
      </c>
    </row>
    <row r="2735" spans="1:9" hidden="1" x14ac:dyDescent="0.25">
      <c r="A2735">
        <v>2</v>
      </c>
      <c r="B2735" t="s">
        <v>15</v>
      </c>
      <c r="C2735">
        <v>2022</v>
      </c>
      <c r="D2735">
        <v>32.25</v>
      </c>
      <c r="E2735">
        <v>90</v>
      </c>
      <c r="F2735">
        <v>92.75</v>
      </c>
      <c r="G2735">
        <v>29.5</v>
      </c>
      <c r="H2735">
        <v>48000</v>
      </c>
      <c r="I2735" t="s">
        <v>23</v>
      </c>
    </row>
    <row r="2736" spans="1:9" hidden="1" x14ac:dyDescent="0.25">
      <c r="A2736">
        <v>3</v>
      </c>
      <c r="B2736" t="s">
        <v>15</v>
      </c>
      <c r="C2736">
        <v>2022</v>
      </c>
      <c r="D2736">
        <v>92.75</v>
      </c>
      <c r="E2736" t="s">
        <v>9</v>
      </c>
      <c r="F2736">
        <v>52.875</v>
      </c>
      <c r="G2736">
        <v>39.875</v>
      </c>
      <c r="H2736">
        <v>48000</v>
      </c>
      <c r="I2736" t="s">
        <v>23</v>
      </c>
    </row>
    <row r="2737" spans="1:9" hidden="1" x14ac:dyDescent="0.25">
      <c r="A2737">
        <v>4</v>
      </c>
      <c r="B2737" t="s">
        <v>15</v>
      </c>
      <c r="C2737">
        <v>2022</v>
      </c>
      <c r="D2737">
        <v>52.875</v>
      </c>
      <c r="E2737">
        <v>100</v>
      </c>
      <c r="F2737">
        <v>100</v>
      </c>
      <c r="G2737">
        <v>52.875</v>
      </c>
      <c r="H2737">
        <v>48000</v>
      </c>
      <c r="I2737" t="s">
        <v>23</v>
      </c>
    </row>
    <row r="2738" spans="1:9" hidden="1" x14ac:dyDescent="0.25">
      <c r="A2738">
        <v>5</v>
      </c>
      <c r="B2738" t="s">
        <v>15</v>
      </c>
      <c r="C2738">
        <v>2022</v>
      </c>
      <c r="D2738">
        <v>100</v>
      </c>
      <c r="E2738" t="s">
        <v>9</v>
      </c>
      <c r="F2738">
        <v>54.375</v>
      </c>
      <c r="G2738">
        <v>45.625</v>
      </c>
      <c r="H2738">
        <v>48000</v>
      </c>
      <c r="I2738" t="s">
        <v>23</v>
      </c>
    </row>
    <row r="2739" spans="1:9" hidden="1" x14ac:dyDescent="0.25">
      <c r="A2739">
        <v>6</v>
      </c>
      <c r="B2739" t="s">
        <v>15</v>
      </c>
      <c r="C2739">
        <v>2022</v>
      </c>
      <c r="D2739">
        <v>54.375</v>
      </c>
      <c r="E2739" t="s">
        <v>9</v>
      </c>
      <c r="F2739">
        <v>27.5</v>
      </c>
      <c r="G2739">
        <v>26.875</v>
      </c>
      <c r="H2739">
        <v>48000</v>
      </c>
      <c r="I2739" t="s">
        <v>23</v>
      </c>
    </row>
    <row r="2740" spans="1:9" hidden="1" x14ac:dyDescent="0.25">
      <c r="A2740">
        <v>7</v>
      </c>
      <c r="B2740" t="s">
        <v>15</v>
      </c>
      <c r="C2740">
        <v>2022</v>
      </c>
      <c r="D2740">
        <v>27.5</v>
      </c>
      <c r="E2740">
        <v>120</v>
      </c>
      <c r="F2740">
        <v>117.125</v>
      </c>
      <c r="G2740">
        <v>30.375</v>
      </c>
      <c r="H2740">
        <v>48000</v>
      </c>
      <c r="I2740" t="s">
        <v>23</v>
      </c>
    </row>
    <row r="2741" spans="1:9" hidden="1" x14ac:dyDescent="0.25">
      <c r="A2741">
        <v>8</v>
      </c>
      <c r="B2741" t="s">
        <v>15</v>
      </c>
      <c r="C2741">
        <v>2022</v>
      </c>
      <c r="D2741">
        <v>117.125</v>
      </c>
      <c r="E2741" t="s">
        <v>9</v>
      </c>
      <c r="F2741">
        <v>97.5</v>
      </c>
      <c r="G2741">
        <v>19.625</v>
      </c>
      <c r="H2741">
        <v>48000</v>
      </c>
      <c r="I2741" t="s">
        <v>23</v>
      </c>
    </row>
    <row r="2742" spans="1:9" hidden="1" x14ac:dyDescent="0.25">
      <c r="A2742">
        <v>9</v>
      </c>
      <c r="B2742" t="s">
        <v>15</v>
      </c>
      <c r="C2742">
        <v>2022</v>
      </c>
      <c r="D2742">
        <v>97.5</v>
      </c>
      <c r="E2742" t="s">
        <v>9</v>
      </c>
      <c r="F2742">
        <v>76.125</v>
      </c>
      <c r="G2742">
        <v>21.375</v>
      </c>
      <c r="H2742">
        <v>48000</v>
      </c>
      <c r="I2742" t="s">
        <v>23</v>
      </c>
    </row>
    <row r="2743" spans="1:9" hidden="1" x14ac:dyDescent="0.25">
      <c r="A2743">
        <v>10</v>
      </c>
      <c r="B2743" t="s">
        <v>15</v>
      </c>
      <c r="C2743">
        <v>2022</v>
      </c>
      <c r="D2743">
        <v>76.125</v>
      </c>
      <c r="E2743">
        <v>150</v>
      </c>
      <c r="F2743">
        <v>185.625</v>
      </c>
      <c r="G2743">
        <v>40.5</v>
      </c>
      <c r="H2743">
        <v>48000</v>
      </c>
      <c r="I2743" t="s">
        <v>23</v>
      </c>
    </row>
    <row r="2744" spans="1:9" hidden="1" x14ac:dyDescent="0.25">
      <c r="A2744">
        <v>11</v>
      </c>
      <c r="B2744" t="s">
        <v>15</v>
      </c>
      <c r="C2744">
        <v>2022</v>
      </c>
      <c r="D2744">
        <v>185.625</v>
      </c>
      <c r="E2744" t="s">
        <v>9</v>
      </c>
      <c r="F2744">
        <v>147</v>
      </c>
      <c r="G2744">
        <v>38.625</v>
      </c>
      <c r="H2744">
        <v>48000</v>
      </c>
      <c r="I2744" t="s">
        <v>23</v>
      </c>
    </row>
    <row r="2745" spans="1:9" hidden="1" x14ac:dyDescent="0.25">
      <c r="A2745">
        <v>12</v>
      </c>
      <c r="B2745" t="s">
        <v>15</v>
      </c>
      <c r="C2745">
        <v>2022</v>
      </c>
      <c r="D2745">
        <v>147</v>
      </c>
      <c r="E2745" t="s">
        <v>9</v>
      </c>
      <c r="F2745">
        <v>102.5</v>
      </c>
      <c r="G2745">
        <v>44.5</v>
      </c>
      <c r="H2745">
        <v>48000</v>
      </c>
      <c r="I2745" t="s">
        <v>23</v>
      </c>
    </row>
    <row r="2746" spans="1:9" hidden="1" x14ac:dyDescent="0.25">
      <c r="A2746">
        <v>13</v>
      </c>
      <c r="B2746" t="s">
        <v>15</v>
      </c>
      <c r="C2746">
        <v>2022</v>
      </c>
      <c r="D2746">
        <v>102.5</v>
      </c>
      <c r="E2746">
        <v>50</v>
      </c>
      <c r="F2746">
        <v>136.5</v>
      </c>
      <c r="G2746">
        <v>16</v>
      </c>
      <c r="H2746">
        <v>48000</v>
      </c>
      <c r="I2746" t="s">
        <v>23</v>
      </c>
    </row>
    <row r="2747" spans="1:9" hidden="1" x14ac:dyDescent="0.25">
      <c r="A2747">
        <v>14</v>
      </c>
      <c r="B2747" t="s">
        <v>15</v>
      </c>
      <c r="C2747">
        <v>2022</v>
      </c>
      <c r="D2747">
        <v>136.5</v>
      </c>
      <c r="E2747" t="s">
        <v>9</v>
      </c>
      <c r="F2747">
        <v>113.75</v>
      </c>
      <c r="G2747">
        <v>22.75</v>
      </c>
      <c r="H2747">
        <v>48000</v>
      </c>
      <c r="I2747" t="s">
        <v>23</v>
      </c>
    </row>
    <row r="2748" spans="1:9" hidden="1" x14ac:dyDescent="0.25">
      <c r="A2748">
        <v>15</v>
      </c>
      <c r="B2748" t="s">
        <v>15</v>
      </c>
      <c r="C2748">
        <v>2022</v>
      </c>
      <c r="D2748">
        <v>113.75</v>
      </c>
      <c r="E2748" t="s">
        <v>9</v>
      </c>
      <c r="F2748">
        <v>81.125</v>
      </c>
      <c r="G2748">
        <v>32.625</v>
      </c>
      <c r="H2748">
        <v>48000</v>
      </c>
      <c r="I2748" t="s">
        <v>23</v>
      </c>
    </row>
    <row r="2749" spans="1:9" hidden="1" x14ac:dyDescent="0.25">
      <c r="A2749">
        <v>16</v>
      </c>
      <c r="B2749" t="s">
        <v>15</v>
      </c>
      <c r="C2749">
        <v>2022</v>
      </c>
      <c r="D2749">
        <v>81.125</v>
      </c>
      <c r="E2749">
        <v>70</v>
      </c>
      <c r="F2749">
        <v>120</v>
      </c>
      <c r="G2749">
        <v>31.125</v>
      </c>
      <c r="H2749">
        <v>48000</v>
      </c>
      <c r="I2749" t="s">
        <v>23</v>
      </c>
    </row>
    <row r="2750" spans="1:9" hidden="1" x14ac:dyDescent="0.25">
      <c r="A2750">
        <v>17</v>
      </c>
      <c r="B2750" t="s">
        <v>15</v>
      </c>
      <c r="C2750">
        <v>2022</v>
      </c>
      <c r="D2750">
        <v>120</v>
      </c>
      <c r="E2750">
        <v>60</v>
      </c>
      <c r="F2750">
        <v>116.625</v>
      </c>
      <c r="G2750">
        <v>63.375</v>
      </c>
      <c r="H2750">
        <v>48000</v>
      </c>
      <c r="I2750" t="s">
        <v>23</v>
      </c>
    </row>
    <row r="2751" spans="1:9" hidden="1" x14ac:dyDescent="0.25">
      <c r="A2751">
        <v>18</v>
      </c>
      <c r="B2751" t="s">
        <v>15</v>
      </c>
      <c r="C2751">
        <v>2022</v>
      </c>
      <c r="D2751">
        <v>116.625</v>
      </c>
      <c r="E2751">
        <v>90</v>
      </c>
      <c r="F2751">
        <v>153.25</v>
      </c>
      <c r="G2751">
        <v>53.375</v>
      </c>
      <c r="H2751">
        <v>48000</v>
      </c>
      <c r="I2751" t="s">
        <v>23</v>
      </c>
    </row>
    <row r="2752" spans="1:9" hidden="1" x14ac:dyDescent="0.25">
      <c r="A2752">
        <v>19</v>
      </c>
      <c r="B2752" t="s">
        <v>15</v>
      </c>
      <c r="C2752">
        <v>2022</v>
      </c>
      <c r="D2752">
        <v>153.25</v>
      </c>
      <c r="E2752">
        <v>30</v>
      </c>
      <c r="F2752">
        <v>130.625</v>
      </c>
      <c r="G2752">
        <v>52.625</v>
      </c>
      <c r="H2752">
        <v>48000</v>
      </c>
      <c r="I2752" t="s">
        <v>23</v>
      </c>
    </row>
    <row r="2753" spans="1:9" hidden="1" x14ac:dyDescent="0.25">
      <c r="A2753">
        <v>20</v>
      </c>
      <c r="B2753" t="s">
        <v>15</v>
      </c>
      <c r="C2753">
        <v>2022</v>
      </c>
      <c r="D2753">
        <v>130.625</v>
      </c>
      <c r="E2753">
        <v>20</v>
      </c>
      <c r="F2753">
        <v>88.875</v>
      </c>
      <c r="G2753">
        <v>61.75</v>
      </c>
      <c r="H2753">
        <v>48000</v>
      </c>
      <c r="I2753" t="s">
        <v>23</v>
      </c>
    </row>
    <row r="2754" spans="1:9" hidden="1" x14ac:dyDescent="0.25">
      <c r="A2754">
        <v>21</v>
      </c>
      <c r="B2754" t="s">
        <v>15</v>
      </c>
      <c r="C2754">
        <v>2022</v>
      </c>
      <c r="D2754">
        <v>88.875</v>
      </c>
      <c r="E2754" t="s">
        <v>9</v>
      </c>
      <c r="F2754">
        <v>54</v>
      </c>
      <c r="G2754">
        <v>34.875</v>
      </c>
      <c r="H2754">
        <v>48000</v>
      </c>
      <c r="I2754" t="s">
        <v>23</v>
      </c>
    </row>
    <row r="2755" spans="1:9" hidden="1" x14ac:dyDescent="0.25">
      <c r="A2755">
        <v>22</v>
      </c>
      <c r="B2755" t="s">
        <v>15</v>
      </c>
      <c r="C2755">
        <v>2022</v>
      </c>
      <c r="D2755">
        <v>54</v>
      </c>
      <c r="E2755">
        <v>100</v>
      </c>
      <c r="F2755">
        <v>127.5</v>
      </c>
      <c r="G2755">
        <v>26.5</v>
      </c>
      <c r="H2755">
        <v>48000</v>
      </c>
      <c r="I2755" t="s">
        <v>23</v>
      </c>
    </row>
    <row r="2756" spans="1:9" hidden="1" x14ac:dyDescent="0.25">
      <c r="A2756">
        <v>23</v>
      </c>
      <c r="B2756" t="s">
        <v>15</v>
      </c>
      <c r="C2756">
        <v>2022</v>
      </c>
      <c r="D2756">
        <v>127.5</v>
      </c>
      <c r="E2756" t="s">
        <v>9</v>
      </c>
      <c r="F2756">
        <v>94.25</v>
      </c>
      <c r="G2756">
        <v>33.25</v>
      </c>
      <c r="H2756">
        <v>48000</v>
      </c>
      <c r="I2756" t="s">
        <v>23</v>
      </c>
    </row>
    <row r="2757" spans="1:9" hidden="1" x14ac:dyDescent="0.25">
      <c r="A2757">
        <v>24</v>
      </c>
      <c r="B2757" t="s">
        <v>15</v>
      </c>
      <c r="C2757">
        <v>2022</v>
      </c>
      <c r="D2757">
        <v>94.25</v>
      </c>
      <c r="E2757" t="s">
        <v>9</v>
      </c>
      <c r="F2757">
        <v>34</v>
      </c>
      <c r="G2757">
        <v>60.25</v>
      </c>
      <c r="H2757">
        <v>48000</v>
      </c>
      <c r="I2757" t="s">
        <v>23</v>
      </c>
    </row>
    <row r="2758" spans="1:9" hidden="1" x14ac:dyDescent="0.25">
      <c r="A2758">
        <v>25</v>
      </c>
      <c r="B2758" t="s">
        <v>15</v>
      </c>
      <c r="C2758">
        <v>2022</v>
      </c>
      <c r="D2758">
        <v>34</v>
      </c>
      <c r="E2758">
        <v>130</v>
      </c>
      <c r="F2758">
        <v>98.5</v>
      </c>
      <c r="G2758">
        <v>65.5</v>
      </c>
      <c r="H2758">
        <v>48000</v>
      </c>
      <c r="I2758" t="s">
        <v>23</v>
      </c>
    </row>
    <row r="2759" spans="1:9" hidden="1" x14ac:dyDescent="0.25">
      <c r="A2759">
        <v>26</v>
      </c>
      <c r="B2759" t="s">
        <v>15</v>
      </c>
      <c r="C2759">
        <v>2022</v>
      </c>
      <c r="D2759">
        <v>98.5</v>
      </c>
      <c r="E2759" t="s">
        <v>9</v>
      </c>
      <c r="F2759">
        <v>41</v>
      </c>
      <c r="G2759">
        <v>57.5</v>
      </c>
      <c r="H2759">
        <v>48000</v>
      </c>
      <c r="I2759" t="s">
        <v>23</v>
      </c>
    </row>
    <row r="2760" spans="1:9" hidden="1" x14ac:dyDescent="0.25">
      <c r="A2760">
        <v>27</v>
      </c>
      <c r="B2760" t="s">
        <v>15</v>
      </c>
      <c r="C2760">
        <v>2022</v>
      </c>
      <c r="D2760">
        <v>41</v>
      </c>
      <c r="E2760">
        <v>90</v>
      </c>
      <c r="F2760">
        <v>70.5</v>
      </c>
      <c r="G2760">
        <v>60.5</v>
      </c>
      <c r="H2760">
        <v>48000</v>
      </c>
      <c r="I2760" t="s">
        <v>23</v>
      </c>
    </row>
    <row r="2761" spans="1:9" hidden="1" x14ac:dyDescent="0.25">
      <c r="A2761">
        <v>28</v>
      </c>
      <c r="B2761" t="s">
        <v>15</v>
      </c>
      <c r="C2761">
        <v>2022</v>
      </c>
      <c r="D2761">
        <v>70.5</v>
      </c>
      <c r="E2761" t="s">
        <v>9</v>
      </c>
      <c r="F2761">
        <v>46.625</v>
      </c>
      <c r="G2761">
        <v>23.875</v>
      </c>
      <c r="H2761">
        <v>48000</v>
      </c>
      <c r="I2761" t="s">
        <v>23</v>
      </c>
    </row>
    <row r="2762" spans="1:9" hidden="1" x14ac:dyDescent="0.25">
      <c r="A2762">
        <v>29</v>
      </c>
      <c r="B2762" t="s">
        <v>15</v>
      </c>
      <c r="C2762">
        <v>2022</v>
      </c>
      <c r="D2762">
        <v>46.625</v>
      </c>
      <c r="E2762">
        <v>120</v>
      </c>
      <c r="F2762">
        <v>125.875</v>
      </c>
      <c r="G2762">
        <v>40.75</v>
      </c>
      <c r="H2762">
        <v>48000</v>
      </c>
      <c r="I2762" t="s">
        <v>23</v>
      </c>
    </row>
    <row r="2763" spans="1:9" hidden="1" x14ac:dyDescent="0.25">
      <c r="A2763">
        <v>30</v>
      </c>
      <c r="B2763" t="s">
        <v>9</v>
      </c>
      <c r="C2763" t="s">
        <v>9</v>
      </c>
      <c r="D2763">
        <v>125.875</v>
      </c>
      <c r="E2763" t="s">
        <v>9</v>
      </c>
      <c r="F2763">
        <v>79</v>
      </c>
      <c r="G2763">
        <v>46.875</v>
      </c>
      <c r="H2763">
        <v>48000</v>
      </c>
      <c r="I2763" t="s">
        <v>23</v>
      </c>
    </row>
    <row r="2764" spans="1:9" hidden="1" x14ac:dyDescent="0.25">
      <c r="A2764">
        <v>1</v>
      </c>
      <c r="B2764" t="s">
        <v>15</v>
      </c>
      <c r="C2764">
        <v>2022</v>
      </c>
      <c r="D2764">
        <v>13.5</v>
      </c>
      <c r="E2764">
        <v>30</v>
      </c>
      <c r="F2764">
        <v>36.125</v>
      </c>
      <c r="G2764">
        <v>7.375</v>
      </c>
      <c r="H2764">
        <v>48000</v>
      </c>
      <c r="I2764" t="s">
        <v>25</v>
      </c>
    </row>
    <row r="2765" spans="1:9" hidden="1" x14ac:dyDescent="0.25">
      <c r="A2765">
        <v>2</v>
      </c>
      <c r="B2765" t="s">
        <v>15</v>
      </c>
      <c r="C2765">
        <v>2022</v>
      </c>
      <c r="D2765">
        <v>36.125</v>
      </c>
      <c r="E2765" t="s">
        <v>9</v>
      </c>
      <c r="F2765">
        <v>28.125</v>
      </c>
      <c r="G2765">
        <v>8</v>
      </c>
      <c r="H2765">
        <v>48000</v>
      </c>
      <c r="I2765" t="s">
        <v>25</v>
      </c>
    </row>
    <row r="2766" spans="1:9" hidden="1" x14ac:dyDescent="0.25">
      <c r="A2766">
        <v>3</v>
      </c>
      <c r="B2766" t="s">
        <v>15</v>
      </c>
      <c r="C2766">
        <v>2022</v>
      </c>
      <c r="D2766">
        <v>28.125</v>
      </c>
      <c r="E2766" t="s">
        <v>9</v>
      </c>
      <c r="F2766">
        <v>16</v>
      </c>
      <c r="G2766">
        <v>12.125</v>
      </c>
      <c r="H2766">
        <v>48000</v>
      </c>
      <c r="I2766" t="s">
        <v>25</v>
      </c>
    </row>
    <row r="2767" spans="1:9" hidden="1" x14ac:dyDescent="0.25">
      <c r="A2767">
        <v>4</v>
      </c>
      <c r="B2767" t="s">
        <v>15</v>
      </c>
      <c r="C2767">
        <v>2022</v>
      </c>
      <c r="D2767">
        <v>16</v>
      </c>
      <c r="E2767">
        <v>50</v>
      </c>
      <c r="F2767">
        <v>55.125</v>
      </c>
      <c r="G2767">
        <v>10.875</v>
      </c>
      <c r="H2767">
        <v>48000</v>
      </c>
      <c r="I2767" t="s">
        <v>25</v>
      </c>
    </row>
    <row r="2768" spans="1:9" hidden="1" x14ac:dyDescent="0.25">
      <c r="A2768">
        <v>5</v>
      </c>
      <c r="B2768" t="s">
        <v>15</v>
      </c>
      <c r="C2768">
        <v>2022</v>
      </c>
      <c r="D2768">
        <v>55.125</v>
      </c>
      <c r="E2768" t="s">
        <v>9</v>
      </c>
      <c r="F2768">
        <v>43.25</v>
      </c>
      <c r="G2768">
        <v>11.875</v>
      </c>
      <c r="H2768">
        <v>48000</v>
      </c>
      <c r="I2768" t="s">
        <v>25</v>
      </c>
    </row>
    <row r="2769" spans="1:9" hidden="1" x14ac:dyDescent="0.25">
      <c r="A2769">
        <v>6</v>
      </c>
      <c r="B2769" t="s">
        <v>15</v>
      </c>
      <c r="C2769">
        <v>2022</v>
      </c>
      <c r="D2769">
        <v>43.25</v>
      </c>
      <c r="E2769" t="s">
        <v>9</v>
      </c>
      <c r="F2769">
        <v>35.75</v>
      </c>
      <c r="G2769">
        <v>7.5</v>
      </c>
      <c r="H2769">
        <v>48000</v>
      </c>
      <c r="I2769" t="s">
        <v>25</v>
      </c>
    </row>
    <row r="2770" spans="1:9" hidden="1" x14ac:dyDescent="0.25">
      <c r="A2770">
        <v>7</v>
      </c>
      <c r="B2770" t="s">
        <v>15</v>
      </c>
      <c r="C2770">
        <v>2022</v>
      </c>
      <c r="D2770">
        <v>35.75</v>
      </c>
      <c r="E2770" t="s">
        <v>9</v>
      </c>
      <c r="F2770">
        <v>28.875</v>
      </c>
      <c r="G2770">
        <v>6.875</v>
      </c>
      <c r="H2770">
        <v>48000</v>
      </c>
      <c r="I2770" t="s">
        <v>25</v>
      </c>
    </row>
    <row r="2771" spans="1:9" hidden="1" x14ac:dyDescent="0.25">
      <c r="A2771">
        <v>8</v>
      </c>
      <c r="B2771" t="s">
        <v>15</v>
      </c>
      <c r="C2771">
        <v>2022</v>
      </c>
      <c r="D2771">
        <v>28.875</v>
      </c>
      <c r="E2771" t="s">
        <v>9</v>
      </c>
      <c r="F2771">
        <v>18.625</v>
      </c>
      <c r="G2771">
        <v>10.25</v>
      </c>
      <c r="H2771">
        <v>48000</v>
      </c>
      <c r="I2771" t="s">
        <v>25</v>
      </c>
    </row>
    <row r="2772" spans="1:9" hidden="1" x14ac:dyDescent="0.25">
      <c r="A2772">
        <v>9</v>
      </c>
      <c r="B2772" t="s">
        <v>15</v>
      </c>
      <c r="C2772">
        <v>2022</v>
      </c>
      <c r="D2772">
        <v>18.625</v>
      </c>
      <c r="E2772">
        <v>50</v>
      </c>
      <c r="F2772">
        <v>61.625</v>
      </c>
      <c r="G2772">
        <v>7</v>
      </c>
      <c r="H2772">
        <v>48000</v>
      </c>
      <c r="I2772" t="s">
        <v>25</v>
      </c>
    </row>
    <row r="2773" spans="1:9" hidden="1" x14ac:dyDescent="0.25">
      <c r="A2773">
        <v>10</v>
      </c>
      <c r="B2773" t="s">
        <v>15</v>
      </c>
      <c r="C2773">
        <v>2022</v>
      </c>
      <c r="D2773">
        <v>61.625</v>
      </c>
      <c r="E2773" t="s">
        <v>9</v>
      </c>
      <c r="F2773">
        <v>52.375</v>
      </c>
      <c r="G2773">
        <v>9.25</v>
      </c>
      <c r="H2773">
        <v>48000</v>
      </c>
      <c r="I2773" t="s">
        <v>25</v>
      </c>
    </row>
    <row r="2774" spans="1:9" hidden="1" x14ac:dyDescent="0.25">
      <c r="A2774">
        <v>11</v>
      </c>
      <c r="B2774" t="s">
        <v>15</v>
      </c>
      <c r="C2774">
        <v>2022</v>
      </c>
      <c r="D2774">
        <v>52.375</v>
      </c>
      <c r="E2774" t="s">
        <v>9</v>
      </c>
      <c r="F2774">
        <v>41.25</v>
      </c>
      <c r="G2774">
        <v>11.125</v>
      </c>
      <c r="H2774">
        <v>48000</v>
      </c>
      <c r="I2774" t="s">
        <v>25</v>
      </c>
    </row>
    <row r="2775" spans="1:9" hidden="1" x14ac:dyDescent="0.25">
      <c r="A2775">
        <v>12</v>
      </c>
      <c r="B2775" t="s">
        <v>15</v>
      </c>
      <c r="C2775">
        <v>2022</v>
      </c>
      <c r="D2775">
        <v>41.25</v>
      </c>
      <c r="E2775" t="s">
        <v>9</v>
      </c>
      <c r="F2775">
        <v>28.75</v>
      </c>
      <c r="G2775">
        <v>12.5</v>
      </c>
      <c r="H2775">
        <v>48000</v>
      </c>
      <c r="I2775" t="s">
        <v>25</v>
      </c>
    </row>
    <row r="2776" spans="1:9" hidden="1" x14ac:dyDescent="0.25">
      <c r="A2776">
        <v>13</v>
      </c>
      <c r="B2776" t="s">
        <v>15</v>
      </c>
      <c r="C2776">
        <v>2022</v>
      </c>
      <c r="D2776">
        <v>28.75</v>
      </c>
      <c r="E2776" t="s">
        <v>9</v>
      </c>
      <c r="F2776">
        <v>23.5</v>
      </c>
      <c r="G2776">
        <v>5.25</v>
      </c>
      <c r="H2776">
        <v>48000</v>
      </c>
      <c r="I2776" t="s">
        <v>25</v>
      </c>
    </row>
    <row r="2777" spans="1:9" hidden="1" x14ac:dyDescent="0.25">
      <c r="A2777">
        <v>14</v>
      </c>
      <c r="B2777" t="s">
        <v>15</v>
      </c>
      <c r="C2777">
        <v>2022</v>
      </c>
      <c r="D2777">
        <v>23.5</v>
      </c>
      <c r="E2777" t="s">
        <v>9</v>
      </c>
      <c r="F2777">
        <v>15.625</v>
      </c>
      <c r="G2777">
        <v>7.875</v>
      </c>
      <c r="H2777">
        <v>48000</v>
      </c>
      <c r="I2777" t="s">
        <v>25</v>
      </c>
    </row>
    <row r="2778" spans="1:9" hidden="1" x14ac:dyDescent="0.25">
      <c r="A2778">
        <v>15</v>
      </c>
      <c r="B2778" t="s">
        <v>15</v>
      </c>
      <c r="C2778">
        <v>2022</v>
      </c>
      <c r="D2778">
        <v>15.625</v>
      </c>
      <c r="E2778">
        <v>50</v>
      </c>
      <c r="F2778">
        <v>58.875</v>
      </c>
      <c r="G2778">
        <v>6.75</v>
      </c>
      <c r="H2778">
        <v>48000</v>
      </c>
      <c r="I2778" t="s">
        <v>25</v>
      </c>
    </row>
    <row r="2779" spans="1:9" hidden="1" x14ac:dyDescent="0.25">
      <c r="A2779">
        <v>16</v>
      </c>
      <c r="B2779" t="s">
        <v>15</v>
      </c>
      <c r="C2779">
        <v>2022</v>
      </c>
      <c r="D2779">
        <v>58.875</v>
      </c>
      <c r="E2779" t="s">
        <v>9</v>
      </c>
      <c r="F2779">
        <v>50.75</v>
      </c>
      <c r="G2779">
        <v>8.125</v>
      </c>
      <c r="H2779">
        <v>48000</v>
      </c>
      <c r="I2779" t="s">
        <v>25</v>
      </c>
    </row>
    <row r="2780" spans="1:9" hidden="1" x14ac:dyDescent="0.25">
      <c r="A2780">
        <v>17</v>
      </c>
      <c r="B2780" t="s">
        <v>15</v>
      </c>
      <c r="C2780">
        <v>2022</v>
      </c>
      <c r="D2780">
        <v>50.75</v>
      </c>
      <c r="E2780" t="s">
        <v>9</v>
      </c>
      <c r="F2780">
        <v>40.75</v>
      </c>
      <c r="G2780">
        <v>10</v>
      </c>
      <c r="H2780">
        <v>48000</v>
      </c>
      <c r="I2780" t="s">
        <v>25</v>
      </c>
    </row>
    <row r="2781" spans="1:9" hidden="1" x14ac:dyDescent="0.25">
      <c r="A2781">
        <v>18</v>
      </c>
      <c r="B2781" t="s">
        <v>15</v>
      </c>
      <c r="C2781">
        <v>2022</v>
      </c>
      <c r="D2781">
        <v>40.75</v>
      </c>
      <c r="E2781" t="s">
        <v>9</v>
      </c>
      <c r="F2781">
        <v>25.75</v>
      </c>
      <c r="G2781">
        <v>15</v>
      </c>
      <c r="H2781">
        <v>48000</v>
      </c>
      <c r="I2781" t="s">
        <v>25</v>
      </c>
    </row>
    <row r="2782" spans="1:9" hidden="1" x14ac:dyDescent="0.25">
      <c r="A2782">
        <v>19</v>
      </c>
      <c r="B2782" t="s">
        <v>15</v>
      </c>
      <c r="C2782">
        <v>2022</v>
      </c>
      <c r="D2782">
        <v>25.75</v>
      </c>
      <c r="E2782">
        <v>30</v>
      </c>
      <c r="F2782">
        <v>36.875</v>
      </c>
      <c r="G2782">
        <v>18.875</v>
      </c>
      <c r="H2782">
        <v>48000</v>
      </c>
      <c r="I2782" t="s">
        <v>25</v>
      </c>
    </row>
    <row r="2783" spans="1:9" hidden="1" x14ac:dyDescent="0.25">
      <c r="A2783">
        <v>20</v>
      </c>
      <c r="B2783" t="s">
        <v>15</v>
      </c>
      <c r="C2783">
        <v>2022</v>
      </c>
      <c r="D2783">
        <v>36.875</v>
      </c>
      <c r="E2783" t="s">
        <v>9</v>
      </c>
      <c r="F2783">
        <v>23</v>
      </c>
      <c r="G2783">
        <v>13.875</v>
      </c>
      <c r="H2783">
        <v>48000</v>
      </c>
      <c r="I2783" t="s">
        <v>25</v>
      </c>
    </row>
    <row r="2784" spans="1:9" hidden="1" x14ac:dyDescent="0.25">
      <c r="A2784">
        <v>21</v>
      </c>
      <c r="B2784" t="s">
        <v>15</v>
      </c>
      <c r="C2784">
        <v>2022</v>
      </c>
      <c r="D2784">
        <v>23</v>
      </c>
      <c r="E2784">
        <v>0.875</v>
      </c>
      <c r="F2784">
        <v>16.125</v>
      </c>
      <c r="G2784">
        <v>7.75</v>
      </c>
      <c r="H2784">
        <v>48000</v>
      </c>
      <c r="I2784" t="s">
        <v>25</v>
      </c>
    </row>
    <row r="2785" spans="1:9" hidden="1" x14ac:dyDescent="0.25">
      <c r="A2785">
        <v>22</v>
      </c>
      <c r="B2785" t="s">
        <v>15</v>
      </c>
      <c r="C2785">
        <v>2022</v>
      </c>
      <c r="D2785">
        <v>16.125</v>
      </c>
      <c r="E2785">
        <v>20</v>
      </c>
      <c r="F2785">
        <v>27.875</v>
      </c>
      <c r="G2785">
        <v>8.25</v>
      </c>
      <c r="H2785">
        <v>48000</v>
      </c>
      <c r="I2785" t="s">
        <v>25</v>
      </c>
    </row>
    <row r="2786" spans="1:9" hidden="1" x14ac:dyDescent="0.25">
      <c r="A2786">
        <v>23</v>
      </c>
      <c r="B2786" t="s">
        <v>15</v>
      </c>
      <c r="C2786">
        <v>2022</v>
      </c>
      <c r="D2786">
        <v>27.875</v>
      </c>
      <c r="E2786" t="s">
        <v>9</v>
      </c>
      <c r="F2786">
        <v>20.375</v>
      </c>
      <c r="G2786">
        <v>7.5</v>
      </c>
      <c r="H2786">
        <v>48000</v>
      </c>
      <c r="I2786" t="s">
        <v>25</v>
      </c>
    </row>
    <row r="2787" spans="1:9" hidden="1" x14ac:dyDescent="0.25">
      <c r="A2787">
        <v>24</v>
      </c>
      <c r="B2787" t="s">
        <v>15</v>
      </c>
      <c r="C2787">
        <v>2022</v>
      </c>
      <c r="D2787">
        <v>20.375</v>
      </c>
      <c r="E2787" t="s">
        <v>9</v>
      </c>
      <c r="F2787">
        <v>12.75</v>
      </c>
      <c r="G2787">
        <v>7.625</v>
      </c>
      <c r="H2787">
        <v>48000</v>
      </c>
      <c r="I2787" t="s">
        <v>25</v>
      </c>
    </row>
    <row r="2788" spans="1:9" hidden="1" x14ac:dyDescent="0.25">
      <c r="A2788">
        <v>25</v>
      </c>
      <c r="B2788" t="s">
        <v>15</v>
      </c>
      <c r="C2788">
        <v>2022</v>
      </c>
      <c r="D2788">
        <v>12.75</v>
      </c>
      <c r="E2788">
        <v>50</v>
      </c>
      <c r="F2788">
        <v>45.75</v>
      </c>
      <c r="G2788">
        <v>17</v>
      </c>
      <c r="H2788">
        <v>48000</v>
      </c>
      <c r="I2788" t="s">
        <v>25</v>
      </c>
    </row>
    <row r="2789" spans="1:9" hidden="1" x14ac:dyDescent="0.25">
      <c r="A2789">
        <v>26</v>
      </c>
      <c r="B2789" t="s">
        <v>15</v>
      </c>
      <c r="C2789">
        <v>2022</v>
      </c>
      <c r="D2789">
        <v>45.75</v>
      </c>
      <c r="E2789" t="s">
        <v>9</v>
      </c>
      <c r="F2789">
        <v>22</v>
      </c>
      <c r="G2789">
        <v>23.75</v>
      </c>
      <c r="H2789">
        <v>48000</v>
      </c>
      <c r="I2789" t="s">
        <v>25</v>
      </c>
    </row>
    <row r="2790" spans="1:9" hidden="1" x14ac:dyDescent="0.25">
      <c r="A2790">
        <v>27</v>
      </c>
      <c r="B2790" t="s">
        <v>15</v>
      </c>
      <c r="C2790">
        <v>2022</v>
      </c>
      <c r="D2790">
        <v>22</v>
      </c>
      <c r="E2790">
        <v>20</v>
      </c>
      <c r="F2790">
        <v>29.875</v>
      </c>
      <c r="G2790">
        <v>12.125</v>
      </c>
      <c r="H2790">
        <v>48000</v>
      </c>
      <c r="I2790" t="s">
        <v>25</v>
      </c>
    </row>
    <row r="2791" spans="1:9" hidden="1" x14ac:dyDescent="0.25">
      <c r="A2791">
        <v>28</v>
      </c>
      <c r="B2791" t="s">
        <v>15</v>
      </c>
      <c r="C2791">
        <v>2022</v>
      </c>
      <c r="D2791">
        <v>29.875</v>
      </c>
      <c r="E2791" t="s">
        <v>9</v>
      </c>
      <c r="F2791">
        <v>22.375</v>
      </c>
      <c r="G2791">
        <v>7.5</v>
      </c>
      <c r="H2791">
        <v>48000</v>
      </c>
      <c r="I2791" t="s">
        <v>25</v>
      </c>
    </row>
    <row r="2792" spans="1:9" hidden="1" x14ac:dyDescent="0.25">
      <c r="A2792">
        <v>29</v>
      </c>
      <c r="B2792" t="s">
        <v>15</v>
      </c>
      <c r="C2792">
        <v>2022</v>
      </c>
      <c r="D2792">
        <v>22.375</v>
      </c>
      <c r="E2792">
        <v>30</v>
      </c>
      <c r="F2792">
        <v>43.375</v>
      </c>
      <c r="G2792">
        <v>9</v>
      </c>
      <c r="H2792">
        <v>48000</v>
      </c>
      <c r="I2792" t="s">
        <v>25</v>
      </c>
    </row>
    <row r="2793" spans="1:9" hidden="1" x14ac:dyDescent="0.25">
      <c r="A2793">
        <v>30</v>
      </c>
      <c r="B2793" t="s">
        <v>9</v>
      </c>
      <c r="C2793" t="s">
        <v>9</v>
      </c>
      <c r="D2793">
        <v>18</v>
      </c>
      <c r="E2793" t="s">
        <v>9</v>
      </c>
      <c r="F2793">
        <v>18</v>
      </c>
      <c r="G2793">
        <v>0</v>
      </c>
      <c r="H2793">
        <v>6000</v>
      </c>
      <c r="I2793" t="s">
        <v>25</v>
      </c>
    </row>
    <row r="2794" spans="1:9" x14ac:dyDescent="0.25">
      <c r="A2794">
        <v>1</v>
      </c>
      <c r="B2794" t="s">
        <v>16</v>
      </c>
      <c r="C2794">
        <v>2022</v>
      </c>
      <c r="D2794">
        <v>69.125</v>
      </c>
      <c r="E2794" t="s">
        <v>9</v>
      </c>
      <c r="F2794">
        <v>35.375</v>
      </c>
      <c r="G2794">
        <v>33.75</v>
      </c>
      <c r="H2794">
        <v>48000</v>
      </c>
      <c r="I2794" t="s">
        <v>22</v>
      </c>
    </row>
    <row r="2795" spans="1:9" x14ac:dyDescent="0.25">
      <c r="A2795">
        <v>2</v>
      </c>
      <c r="B2795" t="s">
        <v>16</v>
      </c>
      <c r="C2795">
        <v>2022</v>
      </c>
      <c r="D2795">
        <v>35.375</v>
      </c>
      <c r="E2795">
        <v>100</v>
      </c>
      <c r="F2795">
        <v>83</v>
      </c>
      <c r="G2795">
        <v>52.375</v>
      </c>
      <c r="H2795">
        <v>48000</v>
      </c>
      <c r="I2795" t="s">
        <v>22</v>
      </c>
    </row>
    <row r="2796" spans="1:9" x14ac:dyDescent="0.25">
      <c r="A2796">
        <v>3</v>
      </c>
      <c r="B2796" t="s">
        <v>16</v>
      </c>
      <c r="C2796">
        <v>2022</v>
      </c>
      <c r="D2796">
        <v>83</v>
      </c>
      <c r="E2796" t="s">
        <v>9</v>
      </c>
      <c r="F2796">
        <v>42.5</v>
      </c>
      <c r="G2796">
        <v>40.5</v>
      </c>
      <c r="H2796">
        <v>48000</v>
      </c>
      <c r="I2796" t="s">
        <v>22</v>
      </c>
    </row>
    <row r="2797" spans="1:9" x14ac:dyDescent="0.25">
      <c r="A2797">
        <v>4</v>
      </c>
      <c r="B2797" t="s">
        <v>16</v>
      </c>
      <c r="C2797">
        <v>2022</v>
      </c>
      <c r="D2797">
        <v>42.5</v>
      </c>
      <c r="E2797">
        <v>60</v>
      </c>
      <c r="F2797">
        <v>65.75</v>
      </c>
      <c r="G2797">
        <v>36.75</v>
      </c>
      <c r="H2797">
        <v>48000</v>
      </c>
      <c r="I2797" t="s">
        <v>22</v>
      </c>
    </row>
    <row r="2798" spans="1:9" x14ac:dyDescent="0.25">
      <c r="A2798">
        <v>5</v>
      </c>
      <c r="B2798" t="s">
        <v>16</v>
      </c>
      <c r="C2798">
        <v>2022</v>
      </c>
      <c r="D2798">
        <v>65.75</v>
      </c>
      <c r="E2798" t="s">
        <v>9</v>
      </c>
      <c r="F2798">
        <v>52.875</v>
      </c>
      <c r="G2798">
        <v>12.875</v>
      </c>
      <c r="H2798">
        <v>48000</v>
      </c>
      <c r="I2798" t="s">
        <v>22</v>
      </c>
    </row>
    <row r="2799" spans="1:9" x14ac:dyDescent="0.25">
      <c r="A2799">
        <v>6</v>
      </c>
      <c r="B2799" t="s">
        <v>16</v>
      </c>
      <c r="C2799">
        <v>2022</v>
      </c>
      <c r="D2799">
        <v>52.875</v>
      </c>
      <c r="E2799">
        <v>80</v>
      </c>
      <c r="F2799">
        <v>94</v>
      </c>
      <c r="G2799">
        <v>38.875</v>
      </c>
      <c r="H2799">
        <v>48000</v>
      </c>
      <c r="I2799" t="s">
        <v>22</v>
      </c>
    </row>
    <row r="2800" spans="1:9" x14ac:dyDescent="0.25">
      <c r="A2800">
        <v>7</v>
      </c>
      <c r="B2800" t="s">
        <v>16</v>
      </c>
      <c r="C2800">
        <v>2022</v>
      </c>
      <c r="D2800">
        <v>94</v>
      </c>
      <c r="E2800" t="s">
        <v>9</v>
      </c>
      <c r="F2800">
        <v>63.5</v>
      </c>
      <c r="G2800">
        <v>30.5</v>
      </c>
      <c r="H2800">
        <v>48000</v>
      </c>
      <c r="I2800" t="s">
        <v>22</v>
      </c>
    </row>
    <row r="2801" spans="1:9" x14ac:dyDescent="0.25">
      <c r="A2801">
        <v>8</v>
      </c>
      <c r="B2801" t="s">
        <v>16</v>
      </c>
      <c r="C2801">
        <v>2022</v>
      </c>
      <c r="D2801">
        <v>63.5</v>
      </c>
      <c r="E2801" t="s">
        <v>9</v>
      </c>
      <c r="F2801">
        <v>36.875</v>
      </c>
      <c r="G2801">
        <v>26.625</v>
      </c>
      <c r="H2801">
        <v>48000</v>
      </c>
      <c r="I2801" t="s">
        <v>22</v>
      </c>
    </row>
    <row r="2802" spans="1:9" x14ac:dyDescent="0.25">
      <c r="A2802">
        <v>9</v>
      </c>
      <c r="B2802" t="s">
        <v>16</v>
      </c>
      <c r="C2802">
        <v>2022</v>
      </c>
      <c r="D2802">
        <v>36.875</v>
      </c>
      <c r="E2802">
        <v>90</v>
      </c>
      <c r="F2802">
        <v>79.5</v>
      </c>
      <c r="G2802">
        <v>47.375</v>
      </c>
      <c r="H2802">
        <v>48000</v>
      </c>
      <c r="I2802" t="s">
        <v>22</v>
      </c>
    </row>
    <row r="2803" spans="1:9" x14ac:dyDescent="0.25">
      <c r="A2803">
        <v>10</v>
      </c>
      <c r="B2803" t="s">
        <v>16</v>
      </c>
      <c r="C2803">
        <v>2022</v>
      </c>
      <c r="D2803">
        <v>79.5</v>
      </c>
      <c r="E2803" t="s">
        <v>9</v>
      </c>
      <c r="F2803">
        <v>32</v>
      </c>
      <c r="G2803">
        <v>47.5</v>
      </c>
      <c r="H2803">
        <v>48000</v>
      </c>
      <c r="I2803" t="s">
        <v>22</v>
      </c>
    </row>
    <row r="2804" spans="1:9" x14ac:dyDescent="0.25">
      <c r="A2804">
        <v>11</v>
      </c>
      <c r="B2804" t="s">
        <v>16</v>
      </c>
      <c r="C2804">
        <v>2022</v>
      </c>
      <c r="D2804">
        <v>32</v>
      </c>
      <c r="E2804">
        <v>80</v>
      </c>
      <c r="F2804">
        <v>98</v>
      </c>
      <c r="G2804">
        <v>14</v>
      </c>
      <c r="H2804">
        <v>48000</v>
      </c>
      <c r="I2804" t="s">
        <v>22</v>
      </c>
    </row>
    <row r="2805" spans="1:9" x14ac:dyDescent="0.25">
      <c r="A2805">
        <v>12</v>
      </c>
      <c r="B2805" t="s">
        <v>16</v>
      </c>
      <c r="C2805">
        <v>2022</v>
      </c>
      <c r="D2805">
        <v>98</v>
      </c>
      <c r="E2805" t="s">
        <v>9</v>
      </c>
      <c r="F2805">
        <v>76.25</v>
      </c>
      <c r="G2805">
        <v>21.75</v>
      </c>
      <c r="H2805">
        <v>48000</v>
      </c>
      <c r="I2805" t="s">
        <v>22</v>
      </c>
    </row>
    <row r="2806" spans="1:9" x14ac:dyDescent="0.25">
      <c r="A2806">
        <v>13</v>
      </c>
      <c r="B2806" t="s">
        <v>16</v>
      </c>
      <c r="C2806">
        <v>2022</v>
      </c>
      <c r="D2806">
        <v>76.25</v>
      </c>
      <c r="E2806">
        <v>80</v>
      </c>
      <c r="F2806">
        <v>121.5</v>
      </c>
      <c r="G2806">
        <v>34.75</v>
      </c>
      <c r="H2806">
        <v>48000</v>
      </c>
      <c r="I2806" t="s">
        <v>22</v>
      </c>
    </row>
    <row r="2807" spans="1:9" x14ac:dyDescent="0.25">
      <c r="A2807">
        <v>14</v>
      </c>
      <c r="B2807" t="s">
        <v>16</v>
      </c>
      <c r="C2807">
        <v>2022</v>
      </c>
      <c r="D2807">
        <v>121.5</v>
      </c>
      <c r="E2807" t="s">
        <v>9</v>
      </c>
      <c r="F2807">
        <v>104</v>
      </c>
      <c r="G2807">
        <v>17.5</v>
      </c>
      <c r="H2807">
        <v>48000</v>
      </c>
      <c r="I2807" t="s">
        <v>22</v>
      </c>
    </row>
    <row r="2808" spans="1:9" x14ac:dyDescent="0.25">
      <c r="A2808">
        <v>15</v>
      </c>
      <c r="B2808" t="s">
        <v>16</v>
      </c>
      <c r="C2808">
        <v>2022</v>
      </c>
      <c r="D2808">
        <v>104</v>
      </c>
      <c r="E2808" t="s">
        <v>9</v>
      </c>
      <c r="F2808">
        <v>70.75</v>
      </c>
      <c r="G2808">
        <v>33.25</v>
      </c>
      <c r="H2808">
        <v>48000</v>
      </c>
      <c r="I2808" t="s">
        <v>22</v>
      </c>
    </row>
    <row r="2809" spans="1:9" x14ac:dyDescent="0.25">
      <c r="A2809">
        <v>16</v>
      </c>
      <c r="B2809" t="s">
        <v>16</v>
      </c>
      <c r="C2809">
        <v>2022</v>
      </c>
      <c r="D2809">
        <v>70.75</v>
      </c>
      <c r="E2809" t="s">
        <v>9</v>
      </c>
      <c r="F2809">
        <v>36.25</v>
      </c>
      <c r="G2809">
        <v>34.5</v>
      </c>
      <c r="H2809">
        <v>48000</v>
      </c>
      <c r="I2809" t="s">
        <v>22</v>
      </c>
    </row>
    <row r="2810" spans="1:9" x14ac:dyDescent="0.25">
      <c r="A2810">
        <v>17</v>
      </c>
      <c r="B2810" t="s">
        <v>16</v>
      </c>
      <c r="C2810">
        <v>2022</v>
      </c>
      <c r="D2810">
        <v>36.25</v>
      </c>
      <c r="E2810">
        <v>100</v>
      </c>
      <c r="F2810">
        <v>89.625</v>
      </c>
      <c r="G2810">
        <v>46.625</v>
      </c>
      <c r="H2810">
        <v>48000</v>
      </c>
      <c r="I2810" t="s">
        <v>22</v>
      </c>
    </row>
    <row r="2811" spans="1:9" x14ac:dyDescent="0.25">
      <c r="A2811">
        <v>18</v>
      </c>
      <c r="B2811" t="s">
        <v>16</v>
      </c>
      <c r="C2811">
        <v>2022</v>
      </c>
      <c r="D2811">
        <v>89.625</v>
      </c>
      <c r="E2811" t="s">
        <v>9</v>
      </c>
      <c r="F2811">
        <v>74.625</v>
      </c>
      <c r="G2811">
        <v>15</v>
      </c>
      <c r="H2811">
        <v>48000</v>
      </c>
      <c r="I2811" t="s">
        <v>22</v>
      </c>
    </row>
    <row r="2812" spans="1:9" x14ac:dyDescent="0.25">
      <c r="A2812">
        <v>19</v>
      </c>
      <c r="B2812" t="s">
        <v>16</v>
      </c>
      <c r="C2812">
        <v>2022</v>
      </c>
      <c r="D2812">
        <v>74.625</v>
      </c>
      <c r="E2812" t="s">
        <v>9</v>
      </c>
      <c r="F2812">
        <v>51</v>
      </c>
      <c r="G2812">
        <v>23.625</v>
      </c>
      <c r="H2812">
        <v>48000</v>
      </c>
      <c r="I2812" t="s">
        <v>22</v>
      </c>
    </row>
    <row r="2813" spans="1:9" x14ac:dyDescent="0.25">
      <c r="A2813">
        <v>20</v>
      </c>
      <c r="B2813" t="s">
        <v>16</v>
      </c>
      <c r="C2813">
        <v>2022</v>
      </c>
      <c r="D2813">
        <v>51</v>
      </c>
      <c r="E2813">
        <v>100</v>
      </c>
      <c r="F2813">
        <v>111.5</v>
      </c>
      <c r="G2813">
        <v>39.5</v>
      </c>
      <c r="H2813">
        <v>48000</v>
      </c>
      <c r="I2813" t="s">
        <v>22</v>
      </c>
    </row>
    <row r="2814" spans="1:9" x14ac:dyDescent="0.25">
      <c r="A2814">
        <v>21</v>
      </c>
      <c r="B2814" t="s">
        <v>16</v>
      </c>
      <c r="C2814">
        <v>2022</v>
      </c>
      <c r="D2814">
        <v>111.5</v>
      </c>
      <c r="E2814" t="s">
        <v>9</v>
      </c>
      <c r="F2814">
        <v>99.625</v>
      </c>
      <c r="G2814">
        <v>11.875</v>
      </c>
      <c r="H2814">
        <v>48000</v>
      </c>
      <c r="I2814" t="s">
        <v>22</v>
      </c>
    </row>
    <row r="2815" spans="1:9" x14ac:dyDescent="0.25">
      <c r="A2815">
        <v>22</v>
      </c>
      <c r="B2815" t="s">
        <v>16</v>
      </c>
      <c r="C2815">
        <v>2022</v>
      </c>
      <c r="D2815">
        <v>99.625</v>
      </c>
      <c r="E2815" t="s">
        <v>9</v>
      </c>
      <c r="F2815">
        <v>61</v>
      </c>
      <c r="G2815">
        <v>38.625</v>
      </c>
      <c r="H2815">
        <v>48000</v>
      </c>
      <c r="I2815" t="s">
        <v>22</v>
      </c>
    </row>
    <row r="2816" spans="1:9" x14ac:dyDescent="0.25">
      <c r="A2816">
        <v>23</v>
      </c>
      <c r="B2816" t="s">
        <v>16</v>
      </c>
      <c r="C2816">
        <v>2022</v>
      </c>
      <c r="D2816">
        <v>61</v>
      </c>
      <c r="E2816">
        <v>30</v>
      </c>
      <c r="F2816">
        <v>54.75</v>
      </c>
      <c r="G2816">
        <v>36.25</v>
      </c>
      <c r="H2816">
        <v>48000</v>
      </c>
      <c r="I2816" t="s">
        <v>22</v>
      </c>
    </row>
    <row r="2817" spans="1:9" x14ac:dyDescent="0.25">
      <c r="A2817">
        <v>24</v>
      </c>
      <c r="B2817" t="s">
        <v>16</v>
      </c>
      <c r="C2817">
        <v>2022</v>
      </c>
      <c r="D2817">
        <v>54.75</v>
      </c>
      <c r="E2817" t="s">
        <v>9</v>
      </c>
      <c r="F2817">
        <v>14.375</v>
      </c>
      <c r="G2817">
        <v>40.375</v>
      </c>
      <c r="H2817">
        <v>48000</v>
      </c>
      <c r="I2817" t="s">
        <v>22</v>
      </c>
    </row>
    <row r="2818" spans="1:9" x14ac:dyDescent="0.25">
      <c r="A2818">
        <v>25</v>
      </c>
      <c r="B2818" t="s">
        <v>16</v>
      </c>
      <c r="C2818">
        <v>2022</v>
      </c>
      <c r="D2818">
        <v>14.375</v>
      </c>
      <c r="E2818">
        <v>70</v>
      </c>
      <c r="F2818">
        <v>67.75</v>
      </c>
      <c r="G2818">
        <v>16.625</v>
      </c>
      <c r="H2818">
        <v>48000</v>
      </c>
      <c r="I2818" t="s">
        <v>22</v>
      </c>
    </row>
    <row r="2819" spans="1:9" x14ac:dyDescent="0.25">
      <c r="A2819">
        <v>26</v>
      </c>
      <c r="B2819" t="s">
        <v>16</v>
      </c>
      <c r="C2819">
        <v>2022</v>
      </c>
      <c r="D2819">
        <v>67.75</v>
      </c>
      <c r="E2819" t="s">
        <v>9</v>
      </c>
      <c r="F2819">
        <v>50.625</v>
      </c>
      <c r="G2819">
        <v>17.125</v>
      </c>
      <c r="H2819">
        <v>48000</v>
      </c>
      <c r="I2819" t="s">
        <v>22</v>
      </c>
    </row>
    <row r="2820" spans="1:9" x14ac:dyDescent="0.25">
      <c r="A2820">
        <v>27</v>
      </c>
      <c r="B2820" t="s">
        <v>16</v>
      </c>
      <c r="C2820">
        <v>2022</v>
      </c>
      <c r="D2820">
        <v>50.625</v>
      </c>
      <c r="E2820">
        <v>80</v>
      </c>
      <c r="F2820">
        <v>105.875</v>
      </c>
      <c r="G2820">
        <v>24.75</v>
      </c>
      <c r="H2820">
        <v>48000</v>
      </c>
      <c r="I2820" t="s">
        <v>22</v>
      </c>
    </row>
    <row r="2821" spans="1:9" x14ac:dyDescent="0.25">
      <c r="A2821">
        <v>28</v>
      </c>
      <c r="B2821" t="s">
        <v>16</v>
      </c>
      <c r="C2821">
        <v>2022</v>
      </c>
      <c r="D2821">
        <v>105.875</v>
      </c>
      <c r="E2821" t="s">
        <v>9</v>
      </c>
      <c r="F2821">
        <v>89.625</v>
      </c>
      <c r="G2821">
        <v>16.25</v>
      </c>
      <c r="H2821">
        <v>48000</v>
      </c>
      <c r="I2821" t="s">
        <v>22</v>
      </c>
    </row>
    <row r="2822" spans="1:9" x14ac:dyDescent="0.25">
      <c r="A2822">
        <v>29</v>
      </c>
      <c r="B2822" t="s">
        <v>16</v>
      </c>
      <c r="C2822">
        <v>2022</v>
      </c>
      <c r="D2822">
        <v>89.625</v>
      </c>
      <c r="E2822" t="s">
        <v>9</v>
      </c>
      <c r="F2822">
        <v>60.625</v>
      </c>
      <c r="G2822">
        <v>29</v>
      </c>
      <c r="H2822">
        <v>48000</v>
      </c>
      <c r="I2822" t="s">
        <v>22</v>
      </c>
    </row>
    <row r="2823" spans="1:9" x14ac:dyDescent="0.25">
      <c r="A2823">
        <v>30</v>
      </c>
      <c r="B2823" t="s">
        <v>16</v>
      </c>
      <c r="C2823">
        <v>2022</v>
      </c>
      <c r="D2823">
        <v>60.625</v>
      </c>
      <c r="E2823">
        <v>80</v>
      </c>
      <c r="F2823">
        <v>110.375</v>
      </c>
      <c r="G2823">
        <v>30.25</v>
      </c>
      <c r="H2823">
        <v>48000</v>
      </c>
      <c r="I2823" t="s">
        <v>22</v>
      </c>
    </row>
    <row r="2824" spans="1:9" x14ac:dyDescent="0.25">
      <c r="A2824">
        <v>31</v>
      </c>
      <c r="B2824" t="s">
        <v>16</v>
      </c>
      <c r="C2824">
        <v>2022</v>
      </c>
      <c r="D2824">
        <v>110.375</v>
      </c>
      <c r="E2824" t="s">
        <v>9</v>
      </c>
      <c r="F2824">
        <v>63.125</v>
      </c>
      <c r="G2824">
        <v>47.25</v>
      </c>
      <c r="H2824">
        <v>48000</v>
      </c>
      <c r="I2824" t="s">
        <v>22</v>
      </c>
    </row>
    <row r="2825" spans="1:9" hidden="1" x14ac:dyDescent="0.25">
      <c r="A2825">
        <v>1</v>
      </c>
      <c r="B2825" t="s">
        <v>16</v>
      </c>
      <c r="C2825">
        <v>2022</v>
      </c>
      <c r="D2825">
        <v>23.5</v>
      </c>
      <c r="E2825" t="s">
        <v>9</v>
      </c>
      <c r="F2825">
        <v>9</v>
      </c>
      <c r="G2825">
        <v>14.5</v>
      </c>
      <c r="H2825">
        <v>48000</v>
      </c>
      <c r="I2825" t="s">
        <v>25</v>
      </c>
    </row>
    <row r="2826" spans="1:9" hidden="1" x14ac:dyDescent="0.25">
      <c r="A2826">
        <v>2</v>
      </c>
      <c r="B2826" t="s">
        <v>16</v>
      </c>
      <c r="C2826">
        <v>2022</v>
      </c>
      <c r="D2826">
        <v>9</v>
      </c>
      <c r="E2826">
        <v>60</v>
      </c>
      <c r="F2826">
        <v>57</v>
      </c>
      <c r="G2826">
        <v>12</v>
      </c>
      <c r="H2826">
        <v>48000</v>
      </c>
      <c r="I2826" t="s">
        <v>25</v>
      </c>
    </row>
    <row r="2827" spans="1:9" hidden="1" x14ac:dyDescent="0.25">
      <c r="A2827">
        <v>3</v>
      </c>
      <c r="B2827" t="s">
        <v>16</v>
      </c>
      <c r="C2827">
        <v>2022</v>
      </c>
      <c r="D2827">
        <v>57</v>
      </c>
      <c r="E2827" t="s">
        <v>9</v>
      </c>
      <c r="F2827">
        <v>40</v>
      </c>
      <c r="G2827">
        <v>17</v>
      </c>
      <c r="H2827">
        <v>48000</v>
      </c>
      <c r="I2827" t="s">
        <v>25</v>
      </c>
    </row>
    <row r="2828" spans="1:9" hidden="1" x14ac:dyDescent="0.25">
      <c r="A2828">
        <v>4</v>
      </c>
      <c r="B2828" t="s">
        <v>16</v>
      </c>
      <c r="C2828">
        <v>2022</v>
      </c>
      <c r="D2828">
        <v>40</v>
      </c>
      <c r="E2828" t="s">
        <v>9</v>
      </c>
      <c r="F2828">
        <v>26.75</v>
      </c>
      <c r="G2828">
        <v>13.25</v>
      </c>
      <c r="H2828">
        <v>48000</v>
      </c>
      <c r="I2828" t="s">
        <v>25</v>
      </c>
    </row>
    <row r="2829" spans="1:9" hidden="1" x14ac:dyDescent="0.25">
      <c r="A2829">
        <v>5</v>
      </c>
      <c r="B2829" t="s">
        <v>16</v>
      </c>
      <c r="C2829">
        <v>2022</v>
      </c>
      <c r="D2829">
        <v>26.75</v>
      </c>
      <c r="E2829" t="s">
        <v>9</v>
      </c>
      <c r="F2829">
        <v>16.625</v>
      </c>
      <c r="G2829">
        <v>10.125</v>
      </c>
      <c r="H2829">
        <v>48000</v>
      </c>
      <c r="I2829" t="s">
        <v>25</v>
      </c>
    </row>
    <row r="2830" spans="1:9" hidden="1" x14ac:dyDescent="0.25">
      <c r="A2830">
        <v>6</v>
      </c>
      <c r="B2830" t="s">
        <v>16</v>
      </c>
      <c r="C2830">
        <v>2022</v>
      </c>
      <c r="D2830">
        <v>16.625</v>
      </c>
      <c r="E2830">
        <v>50</v>
      </c>
      <c r="F2830">
        <v>56.5</v>
      </c>
      <c r="G2830">
        <v>10.125</v>
      </c>
      <c r="H2830">
        <v>48000</v>
      </c>
      <c r="I2830" t="s">
        <v>25</v>
      </c>
    </row>
    <row r="2831" spans="1:9" hidden="1" x14ac:dyDescent="0.25">
      <c r="A2831">
        <v>7</v>
      </c>
      <c r="B2831" t="s">
        <v>16</v>
      </c>
      <c r="C2831">
        <v>2022</v>
      </c>
      <c r="D2831">
        <v>56.5</v>
      </c>
      <c r="E2831" t="s">
        <v>9</v>
      </c>
      <c r="F2831">
        <v>48.125</v>
      </c>
      <c r="G2831">
        <v>8.375</v>
      </c>
      <c r="H2831">
        <v>48000</v>
      </c>
      <c r="I2831" t="s">
        <v>25</v>
      </c>
    </row>
    <row r="2832" spans="1:9" hidden="1" x14ac:dyDescent="0.25">
      <c r="A2832">
        <v>8</v>
      </c>
      <c r="B2832" t="s">
        <v>16</v>
      </c>
      <c r="C2832">
        <v>2022</v>
      </c>
      <c r="D2832">
        <v>48.125</v>
      </c>
      <c r="E2832" t="s">
        <v>9</v>
      </c>
      <c r="F2832">
        <v>38.875</v>
      </c>
      <c r="G2832">
        <v>9.25</v>
      </c>
      <c r="H2832">
        <v>48000</v>
      </c>
      <c r="I2832" t="s">
        <v>25</v>
      </c>
    </row>
    <row r="2833" spans="1:9" hidden="1" x14ac:dyDescent="0.25">
      <c r="A2833">
        <v>9</v>
      </c>
      <c r="B2833" t="s">
        <v>16</v>
      </c>
      <c r="C2833">
        <v>2022</v>
      </c>
      <c r="D2833">
        <v>38.875</v>
      </c>
      <c r="E2833" t="s">
        <v>9</v>
      </c>
      <c r="F2833">
        <v>27.125</v>
      </c>
      <c r="G2833">
        <v>11.75</v>
      </c>
      <c r="H2833">
        <v>48000</v>
      </c>
      <c r="I2833" t="s">
        <v>25</v>
      </c>
    </row>
    <row r="2834" spans="1:9" hidden="1" x14ac:dyDescent="0.25">
      <c r="A2834">
        <v>10</v>
      </c>
      <c r="B2834" t="s">
        <v>16</v>
      </c>
      <c r="C2834">
        <v>2022</v>
      </c>
      <c r="D2834">
        <v>27.125</v>
      </c>
      <c r="E2834" t="s">
        <v>9</v>
      </c>
      <c r="F2834">
        <v>10.375</v>
      </c>
      <c r="G2834">
        <v>16.75</v>
      </c>
      <c r="H2834">
        <v>48000</v>
      </c>
      <c r="I2834" t="s">
        <v>25</v>
      </c>
    </row>
    <row r="2835" spans="1:9" hidden="1" x14ac:dyDescent="0.25">
      <c r="A2835">
        <v>11</v>
      </c>
      <c r="B2835" t="s">
        <v>16</v>
      </c>
      <c r="C2835">
        <v>2022</v>
      </c>
      <c r="D2835">
        <v>10.375</v>
      </c>
      <c r="E2835">
        <v>50</v>
      </c>
      <c r="F2835">
        <v>54</v>
      </c>
      <c r="G2835">
        <v>6.375</v>
      </c>
      <c r="H2835">
        <v>48000</v>
      </c>
      <c r="I2835" t="s">
        <v>25</v>
      </c>
    </row>
    <row r="2836" spans="1:9" hidden="1" x14ac:dyDescent="0.25">
      <c r="A2836">
        <v>12</v>
      </c>
      <c r="B2836" t="s">
        <v>16</v>
      </c>
      <c r="C2836">
        <v>2022</v>
      </c>
      <c r="D2836">
        <v>54</v>
      </c>
      <c r="E2836" t="s">
        <v>9</v>
      </c>
      <c r="F2836">
        <v>47.75</v>
      </c>
      <c r="G2836">
        <v>6.25</v>
      </c>
      <c r="H2836">
        <v>48000</v>
      </c>
      <c r="I2836" t="s">
        <v>25</v>
      </c>
    </row>
    <row r="2837" spans="1:9" hidden="1" x14ac:dyDescent="0.25">
      <c r="A2837">
        <v>13</v>
      </c>
      <c r="B2837" t="s">
        <v>16</v>
      </c>
      <c r="C2837">
        <v>2022</v>
      </c>
      <c r="D2837">
        <v>47.75</v>
      </c>
      <c r="E2837" t="s">
        <v>9</v>
      </c>
      <c r="F2837">
        <v>38.75</v>
      </c>
      <c r="G2837">
        <v>9</v>
      </c>
      <c r="H2837">
        <v>48000</v>
      </c>
      <c r="I2837" t="s">
        <v>25</v>
      </c>
    </row>
    <row r="2838" spans="1:9" hidden="1" x14ac:dyDescent="0.25">
      <c r="A2838">
        <v>14</v>
      </c>
      <c r="B2838" t="s">
        <v>16</v>
      </c>
      <c r="C2838">
        <v>2022</v>
      </c>
      <c r="D2838">
        <v>38.75</v>
      </c>
      <c r="E2838" t="s">
        <v>9</v>
      </c>
      <c r="F2838">
        <v>32.75</v>
      </c>
      <c r="G2838">
        <v>6</v>
      </c>
      <c r="H2838">
        <v>48000</v>
      </c>
      <c r="I2838" t="s">
        <v>25</v>
      </c>
    </row>
    <row r="2839" spans="1:9" hidden="1" x14ac:dyDescent="0.25">
      <c r="A2839">
        <v>15</v>
      </c>
      <c r="B2839" t="s">
        <v>16</v>
      </c>
      <c r="C2839">
        <v>2022</v>
      </c>
      <c r="D2839">
        <v>32.75</v>
      </c>
      <c r="E2839" t="s">
        <v>9</v>
      </c>
      <c r="F2839">
        <v>21.25</v>
      </c>
      <c r="G2839">
        <v>11.5</v>
      </c>
      <c r="H2839">
        <v>48000</v>
      </c>
      <c r="I2839" t="s">
        <v>25</v>
      </c>
    </row>
    <row r="2840" spans="1:9" hidden="1" x14ac:dyDescent="0.25">
      <c r="A2840">
        <v>16</v>
      </c>
      <c r="B2840" t="s">
        <v>16</v>
      </c>
      <c r="C2840">
        <v>2022</v>
      </c>
      <c r="D2840">
        <v>21.25</v>
      </c>
      <c r="E2840" t="s">
        <v>9</v>
      </c>
      <c r="F2840">
        <v>6.5</v>
      </c>
      <c r="G2840">
        <v>14.75</v>
      </c>
      <c r="H2840">
        <v>48000</v>
      </c>
      <c r="I2840" t="s">
        <v>25</v>
      </c>
    </row>
    <row r="2841" spans="1:9" hidden="1" x14ac:dyDescent="0.25">
      <c r="A2841">
        <v>17</v>
      </c>
      <c r="B2841" t="s">
        <v>16</v>
      </c>
      <c r="C2841">
        <v>2022</v>
      </c>
      <c r="D2841">
        <v>6.5</v>
      </c>
      <c r="E2841">
        <v>60</v>
      </c>
      <c r="F2841">
        <v>49.25</v>
      </c>
      <c r="G2841">
        <v>17.25</v>
      </c>
      <c r="H2841">
        <v>48000</v>
      </c>
      <c r="I2841" t="s">
        <v>25</v>
      </c>
    </row>
    <row r="2842" spans="1:9" hidden="1" x14ac:dyDescent="0.25">
      <c r="A2842">
        <v>18</v>
      </c>
      <c r="B2842" t="s">
        <v>16</v>
      </c>
      <c r="C2842">
        <v>2022</v>
      </c>
      <c r="D2842">
        <v>49.25</v>
      </c>
      <c r="E2842" t="s">
        <v>9</v>
      </c>
      <c r="F2842">
        <v>42</v>
      </c>
      <c r="G2842">
        <v>7.25</v>
      </c>
      <c r="H2842">
        <v>48000</v>
      </c>
      <c r="I2842" t="s">
        <v>25</v>
      </c>
    </row>
    <row r="2843" spans="1:9" hidden="1" x14ac:dyDescent="0.25">
      <c r="A2843">
        <v>19</v>
      </c>
      <c r="B2843" t="s">
        <v>16</v>
      </c>
      <c r="C2843">
        <v>2022</v>
      </c>
      <c r="D2843">
        <v>42</v>
      </c>
      <c r="E2843" t="s">
        <v>9</v>
      </c>
      <c r="F2843">
        <v>36.125</v>
      </c>
      <c r="G2843">
        <v>5.875</v>
      </c>
      <c r="H2843">
        <v>48000</v>
      </c>
      <c r="I2843" t="s">
        <v>25</v>
      </c>
    </row>
    <row r="2844" spans="1:9" hidden="1" x14ac:dyDescent="0.25">
      <c r="A2844">
        <v>20</v>
      </c>
      <c r="B2844" t="s">
        <v>16</v>
      </c>
      <c r="C2844">
        <v>2022</v>
      </c>
      <c r="D2844">
        <v>36.125</v>
      </c>
      <c r="E2844" t="s">
        <v>9</v>
      </c>
      <c r="F2844">
        <v>27.75</v>
      </c>
      <c r="G2844">
        <v>8.375</v>
      </c>
      <c r="H2844">
        <v>48000</v>
      </c>
      <c r="I2844" t="s">
        <v>25</v>
      </c>
    </row>
    <row r="2845" spans="1:9" hidden="1" x14ac:dyDescent="0.25">
      <c r="A2845">
        <v>21</v>
      </c>
      <c r="B2845" t="s">
        <v>16</v>
      </c>
      <c r="C2845">
        <v>2022</v>
      </c>
      <c r="D2845">
        <v>27.75</v>
      </c>
      <c r="E2845" t="s">
        <v>9</v>
      </c>
      <c r="F2845">
        <v>21.25</v>
      </c>
      <c r="G2845">
        <v>6.5</v>
      </c>
      <c r="H2845">
        <v>48000</v>
      </c>
      <c r="I2845" t="s">
        <v>25</v>
      </c>
    </row>
    <row r="2846" spans="1:9" hidden="1" x14ac:dyDescent="0.25">
      <c r="A2846">
        <v>22</v>
      </c>
      <c r="B2846" t="s">
        <v>16</v>
      </c>
      <c r="C2846">
        <v>2022</v>
      </c>
      <c r="D2846">
        <v>21.25</v>
      </c>
      <c r="E2846">
        <v>30</v>
      </c>
      <c r="F2846">
        <v>37.875</v>
      </c>
      <c r="G2846">
        <v>13.375</v>
      </c>
      <c r="H2846">
        <v>48000</v>
      </c>
      <c r="I2846" t="s">
        <v>25</v>
      </c>
    </row>
    <row r="2847" spans="1:9" hidden="1" x14ac:dyDescent="0.25">
      <c r="A2847">
        <v>23</v>
      </c>
      <c r="B2847" t="s">
        <v>16</v>
      </c>
      <c r="C2847">
        <v>2022</v>
      </c>
      <c r="D2847">
        <v>37.875</v>
      </c>
      <c r="E2847" t="s">
        <v>9</v>
      </c>
      <c r="F2847">
        <v>20</v>
      </c>
      <c r="G2847">
        <v>17.875</v>
      </c>
      <c r="H2847">
        <v>48000</v>
      </c>
      <c r="I2847" t="s">
        <v>25</v>
      </c>
    </row>
    <row r="2848" spans="1:9" hidden="1" x14ac:dyDescent="0.25">
      <c r="A2848">
        <v>24</v>
      </c>
      <c r="B2848" t="s">
        <v>16</v>
      </c>
      <c r="C2848">
        <v>2022</v>
      </c>
      <c r="D2848">
        <v>20</v>
      </c>
      <c r="E2848">
        <v>20</v>
      </c>
      <c r="F2848">
        <v>24.25</v>
      </c>
      <c r="G2848">
        <v>15.75</v>
      </c>
      <c r="H2848">
        <v>48000</v>
      </c>
      <c r="I2848" t="s">
        <v>25</v>
      </c>
    </row>
    <row r="2849" spans="1:9" hidden="1" x14ac:dyDescent="0.25">
      <c r="A2849">
        <v>25</v>
      </c>
      <c r="B2849" t="s">
        <v>16</v>
      </c>
      <c r="C2849">
        <v>2022</v>
      </c>
      <c r="D2849">
        <v>24.25</v>
      </c>
      <c r="E2849" t="s">
        <v>9</v>
      </c>
      <c r="F2849">
        <v>15.125</v>
      </c>
      <c r="G2849">
        <v>9.125</v>
      </c>
      <c r="H2849">
        <v>48000</v>
      </c>
      <c r="I2849" t="s">
        <v>25</v>
      </c>
    </row>
    <row r="2850" spans="1:9" hidden="1" x14ac:dyDescent="0.25">
      <c r="A2850">
        <v>26</v>
      </c>
      <c r="B2850" t="s">
        <v>16</v>
      </c>
      <c r="C2850">
        <v>2022</v>
      </c>
      <c r="D2850">
        <v>15.125</v>
      </c>
      <c r="E2850">
        <v>20</v>
      </c>
      <c r="F2850">
        <v>25.5</v>
      </c>
      <c r="G2850">
        <v>9.625</v>
      </c>
      <c r="H2850">
        <v>48000</v>
      </c>
      <c r="I2850" t="s">
        <v>25</v>
      </c>
    </row>
    <row r="2851" spans="1:9" hidden="1" x14ac:dyDescent="0.25">
      <c r="A2851">
        <v>27</v>
      </c>
      <c r="B2851" t="s">
        <v>16</v>
      </c>
      <c r="C2851">
        <v>2022</v>
      </c>
      <c r="D2851">
        <v>25.5</v>
      </c>
      <c r="E2851" t="s">
        <v>9</v>
      </c>
      <c r="F2851">
        <v>16.375</v>
      </c>
      <c r="G2851">
        <v>9.125</v>
      </c>
      <c r="H2851">
        <v>48000</v>
      </c>
      <c r="I2851" t="s">
        <v>25</v>
      </c>
    </row>
    <row r="2852" spans="1:9" hidden="1" x14ac:dyDescent="0.25">
      <c r="A2852">
        <v>28</v>
      </c>
      <c r="B2852" t="s">
        <v>16</v>
      </c>
      <c r="C2852">
        <v>2022</v>
      </c>
      <c r="D2852">
        <v>16.375</v>
      </c>
      <c r="E2852" t="s">
        <v>9</v>
      </c>
      <c r="F2852">
        <v>5.5</v>
      </c>
      <c r="G2852">
        <v>10.875</v>
      </c>
      <c r="H2852">
        <v>48000</v>
      </c>
      <c r="I2852" t="s">
        <v>25</v>
      </c>
    </row>
    <row r="2853" spans="1:9" hidden="1" x14ac:dyDescent="0.25">
      <c r="A2853">
        <v>29</v>
      </c>
      <c r="B2853" t="s">
        <v>16</v>
      </c>
      <c r="C2853">
        <v>2022</v>
      </c>
      <c r="D2853">
        <v>5.5</v>
      </c>
      <c r="E2853">
        <v>60</v>
      </c>
      <c r="F2853">
        <v>55.875</v>
      </c>
      <c r="G2853">
        <v>9.625</v>
      </c>
      <c r="H2853">
        <v>48000</v>
      </c>
      <c r="I2853" t="s">
        <v>25</v>
      </c>
    </row>
    <row r="2854" spans="1:9" hidden="1" x14ac:dyDescent="0.25">
      <c r="A2854">
        <v>30</v>
      </c>
      <c r="B2854" t="s">
        <v>16</v>
      </c>
      <c r="C2854">
        <v>2022</v>
      </c>
      <c r="D2854">
        <v>55.875</v>
      </c>
      <c r="E2854" t="s">
        <v>9</v>
      </c>
      <c r="F2854">
        <v>38.5</v>
      </c>
      <c r="G2854">
        <v>17.375</v>
      </c>
      <c r="H2854">
        <v>48000</v>
      </c>
      <c r="I2854" t="s">
        <v>25</v>
      </c>
    </row>
    <row r="2855" spans="1:9" hidden="1" x14ac:dyDescent="0.25">
      <c r="A2855">
        <v>31</v>
      </c>
      <c r="B2855" t="s">
        <v>16</v>
      </c>
      <c r="C2855">
        <v>2022</v>
      </c>
      <c r="D2855">
        <v>38.5</v>
      </c>
      <c r="E2855" t="s">
        <v>9</v>
      </c>
      <c r="F2855">
        <v>22.5</v>
      </c>
      <c r="G2855">
        <v>16</v>
      </c>
      <c r="H2855">
        <v>48000</v>
      </c>
      <c r="I2855" t="s">
        <v>25</v>
      </c>
    </row>
    <row r="2856" spans="1:9" x14ac:dyDescent="0.25">
      <c r="A2856">
        <v>1</v>
      </c>
      <c r="B2856" t="s">
        <v>17</v>
      </c>
      <c r="C2856">
        <v>2022</v>
      </c>
      <c r="D2856">
        <v>63.125</v>
      </c>
      <c r="E2856">
        <v>50</v>
      </c>
      <c r="F2856">
        <v>91.375</v>
      </c>
      <c r="G2856">
        <v>21.75</v>
      </c>
      <c r="H2856">
        <v>48000</v>
      </c>
      <c r="I2856" t="s">
        <v>22</v>
      </c>
    </row>
    <row r="2857" spans="1:9" x14ac:dyDescent="0.25">
      <c r="A2857">
        <v>2</v>
      </c>
      <c r="B2857" t="s">
        <v>17</v>
      </c>
      <c r="C2857">
        <v>2022</v>
      </c>
      <c r="D2857">
        <v>91.375</v>
      </c>
      <c r="E2857" t="s">
        <v>9</v>
      </c>
      <c r="F2857">
        <v>76.125</v>
      </c>
      <c r="G2857">
        <v>15.25</v>
      </c>
      <c r="H2857">
        <v>48000</v>
      </c>
      <c r="I2857" t="s">
        <v>22</v>
      </c>
    </row>
    <row r="2858" spans="1:9" x14ac:dyDescent="0.25">
      <c r="A2858">
        <v>3</v>
      </c>
      <c r="B2858" t="s">
        <v>17</v>
      </c>
      <c r="C2858">
        <v>2022</v>
      </c>
      <c r="D2858">
        <v>76.125</v>
      </c>
      <c r="E2858">
        <v>80</v>
      </c>
      <c r="F2858">
        <v>129.5</v>
      </c>
      <c r="G2858">
        <v>26.625</v>
      </c>
      <c r="H2858">
        <v>48000</v>
      </c>
      <c r="I2858" t="s">
        <v>22</v>
      </c>
    </row>
    <row r="2859" spans="1:9" x14ac:dyDescent="0.25">
      <c r="A2859">
        <v>4</v>
      </c>
      <c r="B2859" t="s">
        <v>17</v>
      </c>
      <c r="C2859">
        <v>2022</v>
      </c>
      <c r="D2859">
        <v>129.5</v>
      </c>
      <c r="E2859" t="s">
        <v>9</v>
      </c>
      <c r="F2859">
        <v>113.375</v>
      </c>
      <c r="G2859">
        <v>16.125</v>
      </c>
      <c r="H2859">
        <v>48000</v>
      </c>
      <c r="I2859" t="s">
        <v>22</v>
      </c>
    </row>
    <row r="2860" spans="1:9" x14ac:dyDescent="0.25">
      <c r="A2860">
        <v>5</v>
      </c>
      <c r="B2860" t="s">
        <v>17</v>
      </c>
      <c r="C2860">
        <v>2022</v>
      </c>
      <c r="D2860">
        <v>113.375</v>
      </c>
      <c r="E2860" t="s">
        <v>9</v>
      </c>
      <c r="F2860">
        <v>91.625</v>
      </c>
      <c r="G2860">
        <v>21.75</v>
      </c>
      <c r="H2860">
        <v>48000</v>
      </c>
      <c r="I2860" t="s">
        <v>22</v>
      </c>
    </row>
    <row r="2861" spans="1:9" x14ac:dyDescent="0.25">
      <c r="A2861">
        <v>6</v>
      </c>
      <c r="B2861" t="s">
        <v>17</v>
      </c>
      <c r="C2861">
        <v>2022</v>
      </c>
      <c r="D2861">
        <v>91.625</v>
      </c>
      <c r="E2861">
        <v>70</v>
      </c>
      <c r="F2861">
        <v>124</v>
      </c>
      <c r="G2861">
        <v>37.625</v>
      </c>
      <c r="H2861">
        <v>48000</v>
      </c>
      <c r="I2861" t="s">
        <v>22</v>
      </c>
    </row>
    <row r="2862" spans="1:9" x14ac:dyDescent="0.25">
      <c r="A2862">
        <v>7</v>
      </c>
      <c r="B2862" t="s">
        <v>17</v>
      </c>
      <c r="C2862">
        <v>2022</v>
      </c>
      <c r="D2862">
        <v>124</v>
      </c>
      <c r="E2862" t="s">
        <v>9</v>
      </c>
      <c r="F2862">
        <v>85.75</v>
      </c>
      <c r="G2862">
        <v>38.25</v>
      </c>
      <c r="H2862">
        <v>48000</v>
      </c>
      <c r="I2862" t="s">
        <v>22</v>
      </c>
    </row>
    <row r="2863" spans="1:9" x14ac:dyDescent="0.25">
      <c r="A2863">
        <v>8</v>
      </c>
      <c r="B2863" t="s">
        <v>17</v>
      </c>
      <c r="C2863">
        <v>2022</v>
      </c>
      <c r="D2863">
        <v>85.75</v>
      </c>
      <c r="E2863">
        <v>20</v>
      </c>
      <c r="F2863">
        <v>89.875</v>
      </c>
      <c r="G2863">
        <v>15.875</v>
      </c>
      <c r="H2863">
        <v>48000</v>
      </c>
      <c r="I2863" t="s">
        <v>22</v>
      </c>
    </row>
    <row r="2864" spans="1:9" x14ac:dyDescent="0.25">
      <c r="A2864">
        <v>9</v>
      </c>
      <c r="B2864" t="s">
        <v>17</v>
      </c>
      <c r="C2864">
        <v>2022</v>
      </c>
      <c r="D2864">
        <v>89.875</v>
      </c>
      <c r="E2864" t="s">
        <v>9</v>
      </c>
      <c r="F2864">
        <v>69.75</v>
      </c>
      <c r="G2864">
        <v>20.125</v>
      </c>
      <c r="H2864">
        <v>48000</v>
      </c>
      <c r="I2864" t="s">
        <v>22</v>
      </c>
    </row>
    <row r="2865" spans="1:9" x14ac:dyDescent="0.25">
      <c r="A2865">
        <v>10</v>
      </c>
      <c r="B2865" t="s">
        <v>17</v>
      </c>
      <c r="C2865">
        <v>2022</v>
      </c>
      <c r="D2865">
        <v>69.75</v>
      </c>
      <c r="E2865">
        <v>70</v>
      </c>
      <c r="F2865">
        <v>116.125</v>
      </c>
      <c r="G2865">
        <v>23.625</v>
      </c>
      <c r="H2865">
        <v>48000</v>
      </c>
      <c r="I2865" t="s">
        <v>22</v>
      </c>
    </row>
    <row r="2866" spans="1:9" x14ac:dyDescent="0.25">
      <c r="A2866">
        <v>11</v>
      </c>
      <c r="B2866" t="s">
        <v>17</v>
      </c>
      <c r="C2866">
        <v>2022</v>
      </c>
      <c r="D2866">
        <v>116.125</v>
      </c>
      <c r="E2866" t="s">
        <v>9</v>
      </c>
      <c r="F2866">
        <v>98.625</v>
      </c>
      <c r="G2866">
        <v>17.5</v>
      </c>
      <c r="H2866">
        <v>48000</v>
      </c>
      <c r="I2866" t="s">
        <v>22</v>
      </c>
    </row>
    <row r="2867" spans="1:9" x14ac:dyDescent="0.25">
      <c r="A2867">
        <v>12</v>
      </c>
      <c r="B2867" t="s">
        <v>17</v>
      </c>
      <c r="C2867">
        <v>2022</v>
      </c>
      <c r="D2867">
        <v>98.625</v>
      </c>
      <c r="E2867" t="s">
        <v>9</v>
      </c>
      <c r="F2867">
        <v>68.125</v>
      </c>
      <c r="G2867">
        <v>30.5</v>
      </c>
      <c r="H2867">
        <v>48000</v>
      </c>
      <c r="I2867" t="s">
        <v>22</v>
      </c>
    </row>
    <row r="2868" spans="1:9" x14ac:dyDescent="0.25">
      <c r="A2868">
        <v>13</v>
      </c>
      <c r="B2868" t="s">
        <v>17</v>
      </c>
      <c r="C2868">
        <v>2022</v>
      </c>
      <c r="D2868">
        <v>68.125</v>
      </c>
      <c r="E2868">
        <v>70</v>
      </c>
      <c r="F2868">
        <v>106.625</v>
      </c>
      <c r="G2868">
        <v>31.5</v>
      </c>
      <c r="H2868">
        <v>48000</v>
      </c>
      <c r="I2868" t="s">
        <v>22</v>
      </c>
    </row>
    <row r="2869" spans="1:9" x14ac:dyDescent="0.25">
      <c r="A2869">
        <v>14</v>
      </c>
      <c r="B2869" t="s">
        <v>17</v>
      </c>
      <c r="C2869">
        <v>2022</v>
      </c>
      <c r="D2869">
        <v>106.625</v>
      </c>
      <c r="E2869" t="s">
        <v>9</v>
      </c>
      <c r="F2869">
        <v>66.875</v>
      </c>
      <c r="G2869">
        <v>39.75</v>
      </c>
      <c r="H2869">
        <v>48000</v>
      </c>
      <c r="I2869" t="s">
        <v>22</v>
      </c>
    </row>
    <row r="2870" spans="1:9" x14ac:dyDescent="0.25">
      <c r="A2870">
        <v>15</v>
      </c>
      <c r="B2870" t="s">
        <v>17</v>
      </c>
      <c r="C2870">
        <v>2022</v>
      </c>
      <c r="D2870">
        <v>66.875</v>
      </c>
      <c r="E2870">
        <v>80</v>
      </c>
      <c r="F2870">
        <v>107</v>
      </c>
      <c r="G2870">
        <v>39.875</v>
      </c>
      <c r="H2870">
        <v>48000</v>
      </c>
      <c r="I2870" t="s">
        <v>22</v>
      </c>
    </row>
    <row r="2871" spans="1:9" x14ac:dyDescent="0.25">
      <c r="A2871">
        <v>16</v>
      </c>
      <c r="B2871" t="s">
        <v>17</v>
      </c>
      <c r="C2871">
        <v>2022</v>
      </c>
      <c r="D2871">
        <v>107</v>
      </c>
      <c r="E2871" t="s">
        <v>9</v>
      </c>
      <c r="F2871">
        <v>93</v>
      </c>
      <c r="G2871">
        <v>14</v>
      </c>
      <c r="H2871">
        <v>48000</v>
      </c>
      <c r="I2871" t="s">
        <v>22</v>
      </c>
    </row>
    <row r="2872" spans="1:9" x14ac:dyDescent="0.25">
      <c r="A2872">
        <v>17</v>
      </c>
      <c r="B2872" t="s">
        <v>17</v>
      </c>
      <c r="C2872">
        <v>2022</v>
      </c>
      <c r="D2872">
        <v>93</v>
      </c>
      <c r="E2872" t="s">
        <v>9</v>
      </c>
      <c r="F2872">
        <v>72.375</v>
      </c>
      <c r="G2872">
        <v>20.625</v>
      </c>
      <c r="H2872">
        <v>48000</v>
      </c>
      <c r="I2872" t="s">
        <v>22</v>
      </c>
    </row>
    <row r="2873" spans="1:9" x14ac:dyDescent="0.25">
      <c r="A2873">
        <v>18</v>
      </c>
      <c r="B2873" t="s">
        <v>17</v>
      </c>
      <c r="C2873">
        <v>2022</v>
      </c>
      <c r="D2873">
        <v>72.375</v>
      </c>
      <c r="E2873">
        <v>40</v>
      </c>
      <c r="F2873">
        <v>90.5</v>
      </c>
      <c r="G2873">
        <v>21.875</v>
      </c>
      <c r="H2873">
        <v>48000</v>
      </c>
      <c r="I2873" t="s">
        <v>22</v>
      </c>
    </row>
    <row r="2874" spans="1:9" x14ac:dyDescent="0.25">
      <c r="A2874">
        <v>19</v>
      </c>
      <c r="B2874" t="s">
        <v>17</v>
      </c>
      <c r="C2874">
        <v>2022</v>
      </c>
      <c r="D2874">
        <v>90.5</v>
      </c>
      <c r="E2874" t="s">
        <v>9</v>
      </c>
      <c r="F2874">
        <v>57</v>
      </c>
      <c r="G2874">
        <v>33.5</v>
      </c>
      <c r="H2874">
        <v>48000</v>
      </c>
      <c r="I2874" t="s">
        <v>22</v>
      </c>
    </row>
    <row r="2875" spans="1:9" x14ac:dyDescent="0.25">
      <c r="A2875">
        <v>20</v>
      </c>
      <c r="B2875" t="s">
        <v>17</v>
      </c>
      <c r="C2875">
        <v>2022</v>
      </c>
      <c r="D2875">
        <v>57</v>
      </c>
      <c r="E2875">
        <v>60</v>
      </c>
      <c r="F2875">
        <v>70.875</v>
      </c>
      <c r="G2875">
        <v>46.125</v>
      </c>
      <c r="H2875">
        <v>48000</v>
      </c>
      <c r="I2875" t="s">
        <v>22</v>
      </c>
    </row>
    <row r="2876" spans="1:9" x14ac:dyDescent="0.25">
      <c r="A2876">
        <v>21</v>
      </c>
      <c r="B2876" t="s">
        <v>17</v>
      </c>
      <c r="C2876">
        <v>2022</v>
      </c>
      <c r="D2876">
        <v>70.875</v>
      </c>
      <c r="E2876" t="s">
        <v>9</v>
      </c>
      <c r="F2876">
        <v>33.125</v>
      </c>
      <c r="G2876">
        <v>37.75</v>
      </c>
      <c r="H2876">
        <v>48000</v>
      </c>
      <c r="I2876" t="s">
        <v>22</v>
      </c>
    </row>
    <row r="2877" spans="1:9" x14ac:dyDescent="0.25">
      <c r="A2877">
        <v>22</v>
      </c>
      <c r="B2877" t="s">
        <v>17</v>
      </c>
      <c r="C2877">
        <v>2022</v>
      </c>
      <c r="D2877">
        <v>33.125</v>
      </c>
      <c r="E2877">
        <v>90</v>
      </c>
      <c r="F2877">
        <v>109.75</v>
      </c>
      <c r="G2877">
        <v>13.375</v>
      </c>
      <c r="H2877">
        <v>48000</v>
      </c>
      <c r="I2877" t="s">
        <v>22</v>
      </c>
    </row>
    <row r="2878" spans="1:9" x14ac:dyDescent="0.25">
      <c r="A2878">
        <v>23</v>
      </c>
      <c r="B2878" t="s">
        <v>17</v>
      </c>
      <c r="C2878">
        <v>2022</v>
      </c>
      <c r="D2878">
        <v>109.75</v>
      </c>
      <c r="E2878" t="s">
        <v>9</v>
      </c>
      <c r="F2878">
        <v>94.25</v>
      </c>
      <c r="G2878">
        <v>15.5</v>
      </c>
      <c r="H2878">
        <v>48000</v>
      </c>
      <c r="I2878" t="s">
        <v>22</v>
      </c>
    </row>
    <row r="2879" spans="1:9" x14ac:dyDescent="0.25">
      <c r="A2879">
        <v>24</v>
      </c>
      <c r="B2879" t="s">
        <v>17</v>
      </c>
      <c r="C2879">
        <v>2022</v>
      </c>
      <c r="D2879">
        <v>94.25</v>
      </c>
      <c r="E2879">
        <v>40</v>
      </c>
      <c r="F2879">
        <v>117.125</v>
      </c>
      <c r="G2879">
        <v>17.125</v>
      </c>
      <c r="H2879">
        <v>48000</v>
      </c>
      <c r="I2879" t="s">
        <v>22</v>
      </c>
    </row>
    <row r="2880" spans="1:9" x14ac:dyDescent="0.25">
      <c r="A2880">
        <v>25</v>
      </c>
      <c r="B2880" t="s">
        <v>17</v>
      </c>
      <c r="C2880">
        <v>2022</v>
      </c>
      <c r="D2880">
        <v>117.125</v>
      </c>
      <c r="E2880" t="s">
        <v>9</v>
      </c>
      <c r="F2880">
        <v>96.625</v>
      </c>
      <c r="G2880">
        <v>20.5</v>
      </c>
      <c r="H2880">
        <v>48000</v>
      </c>
      <c r="I2880" t="s">
        <v>22</v>
      </c>
    </row>
    <row r="2881" spans="1:9" x14ac:dyDescent="0.25">
      <c r="A2881">
        <v>26</v>
      </c>
      <c r="B2881" t="s">
        <v>17</v>
      </c>
      <c r="C2881">
        <v>2022</v>
      </c>
      <c r="D2881">
        <v>96.625</v>
      </c>
      <c r="E2881" t="s">
        <v>9</v>
      </c>
      <c r="F2881">
        <v>57</v>
      </c>
      <c r="G2881">
        <v>39.625</v>
      </c>
      <c r="H2881">
        <v>48000</v>
      </c>
      <c r="I2881" t="s">
        <v>22</v>
      </c>
    </row>
    <row r="2882" spans="1:9" x14ac:dyDescent="0.25">
      <c r="A2882">
        <v>27</v>
      </c>
      <c r="B2882" t="s">
        <v>17</v>
      </c>
      <c r="C2882">
        <v>2022</v>
      </c>
      <c r="D2882">
        <v>57</v>
      </c>
      <c r="E2882">
        <v>70</v>
      </c>
      <c r="F2882">
        <v>85</v>
      </c>
      <c r="G2882">
        <v>42</v>
      </c>
      <c r="H2882">
        <v>48000</v>
      </c>
      <c r="I2882" t="s">
        <v>22</v>
      </c>
    </row>
    <row r="2883" spans="1:9" x14ac:dyDescent="0.25">
      <c r="A2883">
        <v>28</v>
      </c>
      <c r="B2883" t="s">
        <v>17</v>
      </c>
      <c r="C2883">
        <v>2022</v>
      </c>
      <c r="D2883">
        <v>85</v>
      </c>
      <c r="E2883" t="s">
        <v>9</v>
      </c>
      <c r="F2883">
        <v>48.125</v>
      </c>
      <c r="G2883">
        <v>36.875</v>
      </c>
      <c r="H2883">
        <v>48000</v>
      </c>
      <c r="I2883" t="s">
        <v>22</v>
      </c>
    </row>
    <row r="2884" spans="1:9" x14ac:dyDescent="0.25">
      <c r="A2884">
        <v>29</v>
      </c>
      <c r="B2884" t="s">
        <v>17</v>
      </c>
      <c r="C2884">
        <v>2022</v>
      </c>
      <c r="D2884">
        <v>48.125</v>
      </c>
      <c r="E2884">
        <v>90</v>
      </c>
      <c r="F2884">
        <v>124.5</v>
      </c>
      <c r="G2884">
        <v>13.625</v>
      </c>
      <c r="H2884">
        <v>48000</v>
      </c>
      <c r="I2884" t="s">
        <v>22</v>
      </c>
    </row>
    <row r="2885" spans="1:9" x14ac:dyDescent="0.25">
      <c r="A2885">
        <v>30</v>
      </c>
      <c r="B2885" t="s">
        <v>9</v>
      </c>
      <c r="C2885" t="s">
        <v>9</v>
      </c>
      <c r="D2885">
        <v>124.5</v>
      </c>
      <c r="E2885" t="s">
        <v>9</v>
      </c>
      <c r="F2885">
        <v>111.125</v>
      </c>
      <c r="G2885">
        <v>13.375</v>
      </c>
      <c r="H2885">
        <v>48000</v>
      </c>
      <c r="I2885" t="s">
        <v>22</v>
      </c>
    </row>
    <row r="2886" spans="1:9" x14ac:dyDescent="0.25">
      <c r="A2886">
        <v>31</v>
      </c>
      <c r="B2886" t="s">
        <v>9</v>
      </c>
      <c r="C2886" t="s">
        <v>9</v>
      </c>
      <c r="D2886">
        <v>111.125</v>
      </c>
      <c r="E2886" t="s">
        <v>9</v>
      </c>
      <c r="F2886">
        <v>87.5</v>
      </c>
      <c r="G2886">
        <v>23.625</v>
      </c>
      <c r="H2886">
        <v>48000</v>
      </c>
      <c r="I2886" t="s">
        <v>22</v>
      </c>
    </row>
    <row r="2887" spans="1:9" hidden="1" x14ac:dyDescent="0.25">
      <c r="A2887">
        <v>1</v>
      </c>
      <c r="B2887" t="s">
        <v>17</v>
      </c>
      <c r="C2887">
        <v>2022</v>
      </c>
      <c r="D2887">
        <v>56.125</v>
      </c>
      <c r="E2887">
        <v>100</v>
      </c>
      <c r="F2887">
        <v>128.125</v>
      </c>
      <c r="G2887">
        <v>28</v>
      </c>
      <c r="H2887">
        <v>48000</v>
      </c>
      <c r="I2887" t="s">
        <v>23</v>
      </c>
    </row>
    <row r="2888" spans="1:9" hidden="1" x14ac:dyDescent="0.25">
      <c r="A2888">
        <v>2</v>
      </c>
      <c r="B2888" t="s">
        <v>17</v>
      </c>
      <c r="C2888">
        <v>2022</v>
      </c>
      <c r="D2888">
        <v>128.125</v>
      </c>
      <c r="E2888" t="s">
        <v>9</v>
      </c>
      <c r="F2888">
        <v>97.25</v>
      </c>
      <c r="G2888">
        <v>30.875</v>
      </c>
      <c r="H2888">
        <v>48000</v>
      </c>
      <c r="I2888" t="s">
        <v>23</v>
      </c>
    </row>
    <row r="2889" spans="1:9" hidden="1" x14ac:dyDescent="0.25">
      <c r="A2889">
        <v>3</v>
      </c>
      <c r="B2889" t="s">
        <v>17</v>
      </c>
      <c r="C2889">
        <v>2022</v>
      </c>
      <c r="D2889">
        <v>97.25</v>
      </c>
      <c r="E2889">
        <v>140</v>
      </c>
      <c r="F2889">
        <v>197.625</v>
      </c>
      <c r="G2889">
        <v>39.625</v>
      </c>
      <c r="H2889">
        <v>48000</v>
      </c>
      <c r="I2889" t="s">
        <v>23</v>
      </c>
    </row>
    <row r="2890" spans="1:9" hidden="1" x14ac:dyDescent="0.25">
      <c r="A2890">
        <v>4</v>
      </c>
      <c r="B2890" t="s">
        <v>17</v>
      </c>
      <c r="C2890">
        <v>2022</v>
      </c>
      <c r="D2890">
        <v>197.625</v>
      </c>
      <c r="E2890" t="s">
        <v>9</v>
      </c>
      <c r="F2890">
        <v>168.75</v>
      </c>
      <c r="G2890">
        <v>28.875</v>
      </c>
      <c r="H2890">
        <v>48000</v>
      </c>
      <c r="I2890" t="s">
        <v>23</v>
      </c>
    </row>
    <row r="2891" spans="1:9" hidden="1" x14ac:dyDescent="0.25">
      <c r="A2891">
        <v>5</v>
      </c>
      <c r="B2891" t="s">
        <v>17</v>
      </c>
      <c r="C2891">
        <v>2022</v>
      </c>
      <c r="D2891">
        <v>168.75</v>
      </c>
      <c r="E2891" t="s">
        <v>9</v>
      </c>
      <c r="F2891">
        <v>114.75</v>
      </c>
      <c r="G2891">
        <v>54</v>
      </c>
      <c r="H2891">
        <v>48000</v>
      </c>
      <c r="I2891" t="s">
        <v>23</v>
      </c>
    </row>
    <row r="2892" spans="1:9" hidden="1" x14ac:dyDescent="0.25">
      <c r="A2892">
        <v>6</v>
      </c>
      <c r="B2892" t="s">
        <v>17</v>
      </c>
      <c r="C2892">
        <v>2022</v>
      </c>
      <c r="D2892">
        <v>114.75</v>
      </c>
      <c r="E2892">
        <v>104</v>
      </c>
      <c r="F2892">
        <v>154</v>
      </c>
      <c r="G2892">
        <v>64.75</v>
      </c>
      <c r="H2892">
        <v>48000</v>
      </c>
      <c r="I2892" t="s">
        <v>23</v>
      </c>
    </row>
    <row r="2893" spans="1:9" hidden="1" x14ac:dyDescent="0.25">
      <c r="A2893">
        <v>7</v>
      </c>
      <c r="B2893" t="s">
        <v>17</v>
      </c>
      <c r="C2893">
        <v>2022</v>
      </c>
      <c r="D2893">
        <v>154</v>
      </c>
      <c r="E2893" t="s">
        <v>9</v>
      </c>
      <c r="F2893">
        <v>96.625</v>
      </c>
      <c r="G2893">
        <v>57.375</v>
      </c>
      <c r="H2893">
        <v>48000</v>
      </c>
      <c r="I2893" t="s">
        <v>23</v>
      </c>
    </row>
    <row r="2894" spans="1:9" hidden="1" x14ac:dyDescent="0.25">
      <c r="A2894">
        <v>8</v>
      </c>
      <c r="B2894" t="s">
        <v>17</v>
      </c>
      <c r="C2894">
        <v>2022</v>
      </c>
      <c r="D2894">
        <v>96.625</v>
      </c>
      <c r="E2894">
        <v>80</v>
      </c>
      <c r="F2894">
        <v>154.75</v>
      </c>
      <c r="G2894">
        <v>21.875</v>
      </c>
      <c r="H2894">
        <v>48000</v>
      </c>
      <c r="I2894" t="s">
        <v>23</v>
      </c>
    </row>
    <row r="2895" spans="1:9" hidden="1" x14ac:dyDescent="0.25">
      <c r="A2895">
        <v>9</v>
      </c>
      <c r="B2895" t="s">
        <v>17</v>
      </c>
      <c r="C2895">
        <v>2022</v>
      </c>
      <c r="D2895">
        <v>154.75</v>
      </c>
      <c r="E2895" t="s">
        <v>9</v>
      </c>
      <c r="F2895">
        <v>125</v>
      </c>
      <c r="G2895">
        <v>29.75</v>
      </c>
      <c r="H2895">
        <v>48000</v>
      </c>
      <c r="I2895" t="s">
        <v>23</v>
      </c>
    </row>
    <row r="2896" spans="1:9" hidden="1" x14ac:dyDescent="0.25">
      <c r="A2896">
        <v>10</v>
      </c>
      <c r="B2896" t="s">
        <v>17</v>
      </c>
      <c r="C2896">
        <v>2022</v>
      </c>
      <c r="D2896">
        <v>125</v>
      </c>
      <c r="E2896">
        <v>100</v>
      </c>
      <c r="F2896">
        <v>195.125</v>
      </c>
      <c r="G2896">
        <v>29.875</v>
      </c>
      <c r="H2896">
        <v>48000</v>
      </c>
      <c r="I2896" t="s">
        <v>23</v>
      </c>
    </row>
    <row r="2897" spans="1:9" hidden="1" x14ac:dyDescent="0.25">
      <c r="A2897">
        <v>11</v>
      </c>
      <c r="B2897" t="s">
        <v>17</v>
      </c>
      <c r="C2897">
        <v>2022</v>
      </c>
      <c r="D2897">
        <v>195.125</v>
      </c>
      <c r="E2897" t="s">
        <v>9</v>
      </c>
      <c r="F2897">
        <v>171.625</v>
      </c>
      <c r="G2897">
        <v>23.5</v>
      </c>
      <c r="H2897">
        <v>48000</v>
      </c>
      <c r="I2897" t="s">
        <v>23</v>
      </c>
    </row>
    <row r="2898" spans="1:9" hidden="1" x14ac:dyDescent="0.25">
      <c r="A2898">
        <v>12</v>
      </c>
      <c r="B2898" t="s">
        <v>17</v>
      </c>
      <c r="C2898">
        <v>2022</v>
      </c>
      <c r="D2898">
        <v>171.625</v>
      </c>
      <c r="E2898" t="s">
        <v>9</v>
      </c>
      <c r="F2898">
        <v>140.125</v>
      </c>
      <c r="G2898">
        <v>31.5</v>
      </c>
      <c r="H2898">
        <v>48000</v>
      </c>
      <c r="I2898" t="s">
        <v>23</v>
      </c>
    </row>
    <row r="2899" spans="1:9" hidden="1" x14ac:dyDescent="0.25">
      <c r="A2899">
        <v>13</v>
      </c>
      <c r="B2899" t="s">
        <v>17</v>
      </c>
      <c r="C2899">
        <v>2022</v>
      </c>
      <c r="D2899">
        <v>140.125</v>
      </c>
      <c r="E2899">
        <v>60</v>
      </c>
      <c r="F2899">
        <v>143.75</v>
      </c>
      <c r="G2899">
        <v>56.375</v>
      </c>
      <c r="H2899">
        <v>48000</v>
      </c>
      <c r="I2899" t="s">
        <v>23</v>
      </c>
    </row>
    <row r="2900" spans="1:9" hidden="1" x14ac:dyDescent="0.25">
      <c r="A2900">
        <v>14</v>
      </c>
      <c r="B2900" t="s">
        <v>17</v>
      </c>
      <c r="C2900">
        <v>2022</v>
      </c>
      <c r="D2900">
        <v>143.75</v>
      </c>
      <c r="E2900" t="s">
        <v>9</v>
      </c>
      <c r="F2900">
        <v>92.625</v>
      </c>
      <c r="G2900">
        <v>51.125</v>
      </c>
      <c r="H2900">
        <v>48000</v>
      </c>
      <c r="I2900" t="s">
        <v>23</v>
      </c>
    </row>
    <row r="2901" spans="1:9" hidden="1" x14ac:dyDescent="0.25">
      <c r="A2901">
        <v>15</v>
      </c>
      <c r="B2901" t="s">
        <v>17</v>
      </c>
      <c r="C2901">
        <v>2022</v>
      </c>
      <c r="D2901">
        <v>92.625</v>
      </c>
      <c r="E2901">
        <v>100</v>
      </c>
      <c r="F2901">
        <v>143.5</v>
      </c>
      <c r="G2901">
        <v>49.125</v>
      </c>
      <c r="H2901">
        <v>48000</v>
      </c>
      <c r="I2901" t="s">
        <v>23</v>
      </c>
    </row>
    <row r="2902" spans="1:9" hidden="1" x14ac:dyDescent="0.25">
      <c r="A2902">
        <v>16</v>
      </c>
      <c r="B2902" t="s">
        <v>17</v>
      </c>
      <c r="C2902">
        <v>2022</v>
      </c>
      <c r="D2902">
        <v>143.5</v>
      </c>
      <c r="E2902" t="s">
        <v>9</v>
      </c>
      <c r="F2902">
        <v>115.875</v>
      </c>
      <c r="G2902">
        <v>27.625</v>
      </c>
      <c r="H2902">
        <v>48000</v>
      </c>
      <c r="I2902" t="s">
        <v>23</v>
      </c>
    </row>
    <row r="2903" spans="1:9" hidden="1" x14ac:dyDescent="0.25">
      <c r="A2903">
        <v>17</v>
      </c>
      <c r="B2903" t="s">
        <v>17</v>
      </c>
      <c r="C2903">
        <v>2022</v>
      </c>
      <c r="D2903">
        <v>115.875</v>
      </c>
      <c r="E2903" t="s">
        <v>9</v>
      </c>
      <c r="F2903">
        <v>88</v>
      </c>
      <c r="G2903">
        <v>27.875</v>
      </c>
      <c r="H2903">
        <v>48000</v>
      </c>
      <c r="I2903" t="s">
        <v>23</v>
      </c>
    </row>
    <row r="2904" spans="1:9" hidden="1" x14ac:dyDescent="0.25">
      <c r="A2904">
        <v>18</v>
      </c>
      <c r="B2904" t="s">
        <v>17</v>
      </c>
      <c r="C2904">
        <v>2022</v>
      </c>
      <c r="D2904">
        <v>88</v>
      </c>
      <c r="E2904">
        <v>80</v>
      </c>
      <c r="F2904">
        <v>131.5</v>
      </c>
      <c r="G2904">
        <v>36.5</v>
      </c>
      <c r="H2904">
        <v>48000</v>
      </c>
      <c r="I2904" t="s">
        <v>23</v>
      </c>
    </row>
    <row r="2905" spans="1:9" hidden="1" x14ac:dyDescent="0.25">
      <c r="A2905">
        <v>19</v>
      </c>
      <c r="B2905" t="s">
        <v>17</v>
      </c>
      <c r="C2905">
        <v>2022</v>
      </c>
      <c r="D2905">
        <v>131.5</v>
      </c>
      <c r="E2905" t="s">
        <v>9</v>
      </c>
      <c r="F2905">
        <v>97.125</v>
      </c>
      <c r="G2905">
        <v>34.375</v>
      </c>
      <c r="H2905">
        <v>48000</v>
      </c>
      <c r="I2905" t="s">
        <v>23</v>
      </c>
    </row>
    <row r="2906" spans="1:9" hidden="1" x14ac:dyDescent="0.25">
      <c r="A2906">
        <v>20</v>
      </c>
      <c r="B2906" t="s">
        <v>17</v>
      </c>
      <c r="C2906">
        <v>2022</v>
      </c>
      <c r="D2906">
        <v>97.125</v>
      </c>
      <c r="E2906">
        <v>100</v>
      </c>
      <c r="F2906">
        <v>153.375</v>
      </c>
      <c r="G2906">
        <v>43.75</v>
      </c>
      <c r="H2906">
        <v>48000</v>
      </c>
      <c r="I2906" t="s">
        <v>23</v>
      </c>
    </row>
    <row r="2907" spans="1:9" hidden="1" x14ac:dyDescent="0.25">
      <c r="A2907">
        <v>21</v>
      </c>
      <c r="B2907" t="s">
        <v>17</v>
      </c>
      <c r="C2907">
        <v>2022</v>
      </c>
      <c r="D2907">
        <v>153.375</v>
      </c>
      <c r="E2907" t="s">
        <v>9</v>
      </c>
      <c r="F2907">
        <v>101</v>
      </c>
      <c r="G2907">
        <v>52.375</v>
      </c>
      <c r="H2907">
        <v>48000</v>
      </c>
      <c r="I2907" t="s">
        <v>23</v>
      </c>
    </row>
    <row r="2908" spans="1:9" hidden="1" x14ac:dyDescent="0.25">
      <c r="A2908">
        <v>22</v>
      </c>
      <c r="B2908" t="s">
        <v>17</v>
      </c>
      <c r="C2908">
        <v>2022</v>
      </c>
      <c r="D2908">
        <v>101</v>
      </c>
      <c r="E2908">
        <v>100</v>
      </c>
      <c r="F2908">
        <v>173.5</v>
      </c>
      <c r="G2908">
        <v>27.5</v>
      </c>
      <c r="H2908">
        <v>48000</v>
      </c>
      <c r="I2908" t="s">
        <v>23</v>
      </c>
    </row>
    <row r="2909" spans="1:9" hidden="1" x14ac:dyDescent="0.25">
      <c r="A2909">
        <v>23</v>
      </c>
      <c r="B2909" t="s">
        <v>17</v>
      </c>
      <c r="C2909">
        <v>2022</v>
      </c>
      <c r="D2909">
        <v>173.5</v>
      </c>
      <c r="E2909" t="s">
        <v>9</v>
      </c>
      <c r="F2909">
        <v>147.75</v>
      </c>
      <c r="G2909">
        <v>25.75</v>
      </c>
      <c r="H2909">
        <v>48000</v>
      </c>
      <c r="I2909" t="s">
        <v>23</v>
      </c>
    </row>
    <row r="2910" spans="1:9" hidden="1" x14ac:dyDescent="0.25">
      <c r="A2910">
        <v>24</v>
      </c>
      <c r="B2910" t="s">
        <v>17</v>
      </c>
      <c r="C2910">
        <v>2022</v>
      </c>
      <c r="D2910">
        <v>147.75</v>
      </c>
      <c r="E2910">
        <v>50</v>
      </c>
      <c r="F2910">
        <v>168.75</v>
      </c>
      <c r="G2910">
        <v>29</v>
      </c>
      <c r="H2910">
        <v>48000</v>
      </c>
      <c r="I2910" t="s">
        <v>23</v>
      </c>
    </row>
    <row r="2911" spans="1:9" hidden="1" x14ac:dyDescent="0.25">
      <c r="A2911">
        <v>25</v>
      </c>
      <c r="B2911" t="s">
        <v>17</v>
      </c>
      <c r="C2911">
        <v>2022</v>
      </c>
      <c r="D2911">
        <v>168.75</v>
      </c>
      <c r="E2911" t="s">
        <v>9</v>
      </c>
      <c r="F2911">
        <v>138.5</v>
      </c>
      <c r="G2911">
        <v>30.25</v>
      </c>
      <c r="H2911">
        <v>48000</v>
      </c>
      <c r="I2911" t="s">
        <v>23</v>
      </c>
    </row>
    <row r="2912" spans="1:9" hidden="1" x14ac:dyDescent="0.25">
      <c r="A2912">
        <v>26</v>
      </c>
      <c r="B2912" t="s">
        <v>17</v>
      </c>
      <c r="C2912">
        <v>2022</v>
      </c>
      <c r="D2912">
        <v>138.5</v>
      </c>
      <c r="E2912" t="s">
        <v>9</v>
      </c>
      <c r="F2912">
        <v>93.25</v>
      </c>
      <c r="G2912">
        <v>45.25</v>
      </c>
      <c r="H2912">
        <v>48000</v>
      </c>
      <c r="I2912" t="s">
        <v>23</v>
      </c>
    </row>
    <row r="2913" spans="1:9" hidden="1" x14ac:dyDescent="0.25">
      <c r="A2913">
        <v>27</v>
      </c>
      <c r="B2913" t="s">
        <v>17</v>
      </c>
      <c r="C2913">
        <v>2022</v>
      </c>
      <c r="D2913">
        <v>93.25</v>
      </c>
      <c r="E2913">
        <v>150</v>
      </c>
      <c r="F2913">
        <v>187.25</v>
      </c>
      <c r="G2913">
        <v>56</v>
      </c>
      <c r="H2913">
        <v>48000</v>
      </c>
      <c r="I2913" t="s">
        <v>23</v>
      </c>
    </row>
    <row r="2914" spans="1:9" hidden="1" x14ac:dyDescent="0.25">
      <c r="A2914">
        <v>28</v>
      </c>
      <c r="B2914" t="s">
        <v>17</v>
      </c>
      <c r="C2914">
        <v>2022</v>
      </c>
      <c r="D2914">
        <v>187.25</v>
      </c>
      <c r="E2914" t="s">
        <v>9</v>
      </c>
      <c r="F2914">
        <v>146.5</v>
      </c>
      <c r="G2914">
        <v>40.75</v>
      </c>
      <c r="H2914">
        <v>48000</v>
      </c>
      <c r="I2914" t="s">
        <v>23</v>
      </c>
    </row>
    <row r="2915" spans="1:9" hidden="1" x14ac:dyDescent="0.25">
      <c r="A2915">
        <v>29</v>
      </c>
      <c r="B2915" t="s">
        <v>17</v>
      </c>
      <c r="C2915">
        <v>2022</v>
      </c>
      <c r="D2915">
        <v>146.5</v>
      </c>
      <c r="E2915">
        <v>100</v>
      </c>
      <c r="F2915">
        <v>210.625</v>
      </c>
      <c r="G2915">
        <v>35.875</v>
      </c>
      <c r="H2915">
        <v>48000</v>
      </c>
      <c r="I2915" t="s">
        <v>23</v>
      </c>
    </row>
    <row r="2916" spans="1:9" hidden="1" x14ac:dyDescent="0.25">
      <c r="A2916">
        <v>30</v>
      </c>
      <c r="B2916" t="s">
        <v>17</v>
      </c>
      <c r="C2916">
        <v>2022</v>
      </c>
      <c r="D2916">
        <v>210.625</v>
      </c>
      <c r="E2916" t="s">
        <v>9</v>
      </c>
      <c r="F2916">
        <v>185.5</v>
      </c>
      <c r="G2916">
        <v>25.125</v>
      </c>
      <c r="H2916">
        <v>48000</v>
      </c>
      <c r="I2916" t="s">
        <v>23</v>
      </c>
    </row>
    <row r="2917" spans="1:9" hidden="1" x14ac:dyDescent="0.25">
      <c r="A2917">
        <v>31</v>
      </c>
      <c r="B2917" t="s">
        <v>17</v>
      </c>
      <c r="C2917">
        <v>2022</v>
      </c>
      <c r="D2917">
        <v>185.5</v>
      </c>
      <c r="E2917" t="s">
        <v>9</v>
      </c>
      <c r="F2917">
        <v>154.25</v>
      </c>
      <c r="G2917">
        <v>31.25</v>
      </c>
      <c r="H2917">
        <v>48000</v>
      </c>
      <c r="I2917" t="s">
        <v>23</v>
      </c>
    </row>
    <row r="2918" spans="1:9" hidden="1" x14ac:dyDescent="0.25">
      <c r="A2918">
        <v>1</v>
      </c>
      <c r="B2918" t="s">
        <v>17</v>
      </c>
      <c r="C2918">
        <v>2022</v>
      </c>
      <c r="D2918">
        <v>22.5</v>
      </c>
      <c r="E2918">
        <v>50</v>
      </c>
      <c r="F2918">
        <v>66</v>
      </c>
      <c r="G2918">
        <v>6.5</v>
      </c>
      <c r="H2918">
        <v>48000</v>
      </c>
      <c r="I2918" t="s">
        <v>25</v>
      </c>
    </row>
    <row r="2919" spans="1:9" hidden="1" x14ac:dyDescent="0.25">
      <c r="A2919">
        <v>2</v>
      </c>
      <c r="B2919" t="s">
        <v>17</v>
      </c>
      <c r="C2919">
        <v>2022</v>
      </c>
      <c r="D2919">
        <v>66</v>
      </c>
      <c r="E2919" t="s">
        <v>9</v>
      </c>
      <c r="F2919">
        <v>56.75</v>
      </c>
      <c r="G2919">
        <v>9.25</v>
      </c>
      <c r="H2919">
        <v>48000</v>
      </c>
      <c r="I2919" t="s">
        <v>25</v>
      </c>
    </row>
    <row r="2920" spans="1:9" hidden="1" x14ac:dyDescent="0.25">
      <c r="A2920">
        <v>3</v>
      </c>
      <c r="B2920" t="s">
        <v>17</v>
      </c>
      <c r="C2920">
        <v>2022</v>
      </c>
      <c r="D2920">
        <v>56.75</v>
      </c>
      <c r="E2920" t="s">
        <v>9</v>
      </c>
      <c r="F2920">
        <v>47.5</v>
      </c>
      <c r="G2920">
        <v>9.25</v>
      </c>
      <c r="H2920">
        <v>48000</v>
      </c>
      <c r="I2920" t="s">
        <v>25</v>
      </c>
    </row>
    <row r="2921" spans="1:9" hidden="1" x14ac:dyDescent="0.25">
      <c r="A2921">
        <v>4</v>
      </c>
      <c r="B2921" t="s">
        <v>17</v>
      </c>
      <c r="C2921">
        <v>2022</v>
      </c>
      <c r="D2921">
        <v>47.5</v>
      </c>
      <c r="E2921" t="s">
        <v>9</v>
      </c>
      <c r="F2921">
        <v>39.375</v>
      </c>
      <c r="G2921">
        <v>8.125</v>
      </c>
      <c r="H2921">
        <v>48000</v>
      </c>
      <c r="I2921" t="s">
        <v>25</v>
      </c>
    </row>
    <row r="2922" spans="1:9" hidden="1" x14ac:dyDescent="0.25">
      <c r="A2922">
        <v>5</v>
      </c>
      <c r="B2922" t="s">
        <v>17</v>
      </c>
      <c r="C2922">
        <v>2022</v>
      </c>
      <c r="D2922">
        <v>39.375</v>
      </c>
      <c r="E2922" t="s">
        <v>9</v>
      </c>
      <c r="F2922">
        <v>30</v>
      </c>
      <c r="G2922">
        <v>9.375</v>
      </c>
      <c r="H2922">
        <v>48000</v>
      </c>
      <c r="I2922" t="s">
        <v>25</v>
      </c>
    </row>
    <row r="2923" spans="1:9" hidden="1" x14ac:dyDescent="0.25">
      <c r="A2923">
        <v>6</v>
      </c>
      <c r="B2923" t="s">
        <v>17</v>
      </c>
      <c r="C2923">
        <v>2022</v>
      </c>
      <c r="D2923">
        <v>30</v>
      </c>
      <c r="E2923">
        <v>50</v>
      </c>
      <c r="F2923">
        <v>60</v>
      </c>
      <c r="G2923">
        <v>20</v>
      </c>
      <c r="H2923">
        <v>48000</v>
      </c>
      <c r="I2923" t="s">
        <v>25</v>
      </c>
    </row>
    <row r="2924" spans="1:9" hidden="1" x14ac:dyDescent="0.25">
      <c r="A2924">
        <v>7</v>
      </c>
      <c r="B2924" t="s">
        <v>17</v>
      </c>
      <c r="C2924">
        <v>2022</v>
      </c>
      <c r="D2924">
        <v>60</v>
      </c>
      <c r="E2924" t="s">
        <v>9</v>
      </c>
      <c r="F2924">
        <v>42.75</v>
      </c>
      <c r="G2924">
        <v>17.25</v>
      </c>
      <c r="H2924">
        <v>48000</v>
      </c>
      <c r="I2924" t="s">
        <v>25</v>
      </c>
    </row>
    <row r="2925" spans="1:9" hidden="1" x14ac:dyDescent="0.25">
      <c r="A2925">
        <v>8</v>
      </c>
      <c r="B2925" t="s">
        <v>17</v>
      </c>
      <c r="C2925">
        <v>2022</v>
      </c>
      <c r="D2925">
        <v>42.75</v>
      </c>
      <c r="E2925" t="s">
        <v>9</v>
      </c>
      <c r="F2925">
        <v>39</v>
      </c>
      <c r="G2925">
        <v>3.75</v>
      </c>
      <c r="H2925">
        <v>48000</v>
      </c>
      <c r="I2925" t="s">
        <v>25</v>
      </c>
    </row>
    <row r="2926" spans="1:9" hidden="1" x14ac:dyDescent="0.25">
      <c r="A2926">
        <v>9</v>
      </c>
      <c r="B2926" t="s">
        <v>17</v>
      </c>
      <c r="C2926">
        <v>2022</v>
      </c>
      <c r="D2926">
        <v>39</v>
      </c>
      <c r="E2926" t="s">
        <v>9</v>
      </c>
      <c r="F2926">
        <v>26.625</v>
      </c>
      <c r="G2926">
        <v>12.375</v>
      </c>
      <c r="H2926">
        <v>48000</v>
      </c>
      <c r="I2926" t="s">
        <v>25</v>
      </c>
    </row>
    <row r="2927" spans="1:9" hidden="1" x14ac:dyDescent="0.25">
      <c r="A2927">
        <v>10</v>
      </c>
      <c r="B2927" t="s">
        <v>17</v>
      </c>
      <c r="C2927">
        <v>2022</v>
      </c>
      <c r="D2927">
        <v>26.625</v>
      </c>
      <c r="E2927">
        <v>40</v>
      </c>
      <c r="F2927">
        <v>59.5</v>
      </c>
      <c r="G2927">
        <v>7.125</v>
      </c>
      <c r="H2927">
        <v>48000</v>
      </c>
      <c r="I2927" t="s">
        <v>25</v>
      </c>
    </row>
    <row r="2928" spans="1:9" hidden="1" x14ac:dyDescent="0.25">
      <c r="A2928">
        <v>11</v>
      </c>
      <c r="B2928" t="s">
        <v>17</v>
      </c>
      <c r="C2928">
        <v>2022</v>
      </c>
      <c r="D2928">
        <v>59.5</v>
      </c>
      <c r="E2928" t="s">
        <v>9</v>
      </c>
      <c r="F2928">
        <v>52</v>
      </c>
      <c r="G2928">
        <v>7.5</v>
      </c>
      <c r="H2928">
        <v>48000</v>
      </c>
      <c r="I2928" t="s">
        <v>25</v>
      </c>
    </row>
    <row r="2929" spans="1:9" hidden="1" x14ac:dyDescent="0.25">
      <c r="A2929">
        <v>12</v>
      </c>
      <c r="B2929" t="s">
        <v>17</v>
      </c>
      <c r="C2929">
        <v>2022</v>
      </c>
      <c r="D2929">
        <v>52</v>
      </c>
      <c r="E2929" t="s">
        <v>9</v>
      </c>
      <c r="F2929">
        <v>40.125</v>
      </c>
      <c r="G2929">
        <v>11.875</v>
      </c>
      <c r="H2929">
        <v>48000</v>
      </c>
      <c r="I2929" t="s">
        <v>25</v>
      </c>
    </row>
    <row r="2930" spans="1:9" hidden="1" x14ac:dyDescent="0.25">
      <c r="A2930">
        <v>13</v>
      </c>
      <c r="B2930" t="s">
        <v>17</v>
      </c>
      <c r="C2930">
        <v>2022</v>
      </c>
      <c r="D2930">
        <v>40.125</v>
      </c>
      <c r="E2930" t="s">
        <v>9</v>
      </c>
      <c r="F2930">
        <v>28.5</v>
      </c>
      <c r="G2930">
        <v>11.625</v>
      </c>
      <c r="H2930">
        <v>48000</v>
      </c>
      <c r="I2930" t="s">
        <v>25</v>
      </c>
    </row>
    <row r="2931" spans="1:9" hidden="1" x14ac:dyDescent="0.25">
      <c r="A2931">
        <v>14</v>
      </c>
      <c r="B2931" t="s">
        <v>17</v>
      </c>
      <c r="C2931">
        <v>2022</v>
      </c>
      <c r="D2931">
        <v>28.5</v>
      </c>
      <c r="E2931" t="s">
        <v>9</v>
      </c>
      <c r="F2931">
        <v>6.625</v>
      </c>
      <c r="G2931">
        <v>21.875</v>
      </c>
      <c r="H2931">
        <v>48000</v>
      </c>
      <c r="I2931" t="s">
        <v>25</v>
      </c>
    </row>
    <row r="2932" spans="1:9" hidden="1" x14ac:dyDescent="0.25">
      <c r="A2932">
        <v>15</v>
      </c>
      <c r="B2932" t="s">
        <v>17</v>
      </c>
      <c r="C2932">
        <v>2022</v>
      </c>
      <c r="D2932">
        <v>6.625</v>
      </c>
      <c r="E2932">
        <v>30</v>
      </c>
      <c r="F2932">
        <v>22.625</v>
      </c>
      <c r="G2932">
        <v>14</v>
      </c>
      <c r="H2932">
        <v>48000</v>
      </c>
      <c r="I2932" t="s">
        <v>25</v>
      </c>
    </row>
    <row r="2933" spans="1:9" hidden="1" x14ac:dyDescent="0.25">
      <c r="A2933">
        <v>16</v>
      </c>
      <c r="B2933" t="s">
        <v>17</v>
      </c>
      <c r="C2933">
        <v>2022</v>
      </c>
      <c r="D2933">
        <v>22.625</v>
      </c>
      <c r="E2933">
        <v>20</v>
      </c>
      <c r="F2933">
        <v>33.875</v>
      </c>
      <c r="G2933">
        <v>8.75</v>
      </c>
      <c r="H2933">
        <v>48000</v>
      </c>
      <c r="I2933" t="s">
        <v>25</v>
      </c>
    </row>
    <row r="2934" spans="1:9" hidden="1" x14ac:dyDescent="0.25">
      <c r="A2934">
        <v>17</v>
      </c>
      <c r="B2934" t="s">
        <v>17</v>
      </c>
      <c r="C2934">
        <v>2022</v>
      </c>
      <c r="D2934">
        <v>33.875</v>
      </c>
      <c r="E2934" t="s">
        <v>9</v>
      </c>
      <c r="F2934">
        <v>30.875</v>
      </c>
      <c r="G2934">
        <v>3</v>
      </c>
      <c r="H2934">
        <v>48000</v>
      </c>
      <c r="I2934" t="s">
        <v>25</v>
      </c>
    </row>
    <row r="2935" spans="1:9" hidden="1" x14ac:dyDescent="0.25">
      <c r="A2935">
        <v>18</v>
      </c>
      <c r="B2935" t="s">
        <v>17</v>
      </c>
      <c r="C2935">
        <v>2022</v>
      </c>
      <c r="D2935">
        <v>30.875</v>
      </c>
      <c r="E2935" t="s">
        <v>9</v>
      </c>
      <c r="F2935">
        <v>24.5</v>
      </c>
      <c r="G2935">
        <v>6.375</v>
      </c>
      <c r="H2935">
        <v>48000</v>
      </c>
      <c r="I2935" t="s">
        <v>25</v>
      </c>
    </row>
    <row r="2936" spans="1:9" hidden="1" x14ac:dyDescent="0.25">
      <c r="A2936">
        <v>19</v>
      </c>
      <c r="B2936" t="s">
        <v>17</v>
      </c>
      <c r="C2936">
        <v>2022</v>
      </c>
      <c r="D2936">
        <v>24.5</v>
      </c>
      <c r="E2936">
        <v>20</v>
      </c>
      <c r="F2936">
        <v>35.875</v>
      </c>
      <c r="G2936">
        <v>8.625</v>
      </c>
      <c r="H2936">
        <v>48000</v>
      </c>
      <c r="I2936" t="s">
        <v>25</v>
      </c>
    </row>
    <row r="2937" spans="1:9" hidden="1" x14ac:dyDescent="0.25">
      <c r="A2937">
        <v>20</v>
      </c>
      <c r="B2937" t="s">
        <v>17</v>
      </c>
      <c r="C2937">
        <v>2022</v>
      </c>
      <c r="D2937">
        <v>35.875</v>
      </c>
      <c r="E2937" t="s">
        <v>9</v>
      </c>
      <c r="F2937">
        <v>17</v>
      </c>
      <c r="G2937">
        <v>18.875</v>
      </c>
      <c r="H2937">
        <v>48000</v>
      </c>
      <c r="I2937" t="s">
        <v>25</v>
      </c>
    </row>
    <row r="2938" spans="1:9" hidden="1" x14ac:dyDescent="0.25">
      <c r="A2938">
        <v>21</v>
      </c>
      <c r="B2938" t="s">
        <v>17</v>
      </c>
      <c r="C2938">
        <v>2022</v>
      </c>
      <c r="D2938">
        <v>17</v>
      </c>
      <c r="E2938">
        <v>50</v>
      </c>
      <c r="F2938">
        <v>55</v>
      </c>
      <c r="G2938">
        <v>12</v>
      </c>
      <c r="H2938">
        <v>48000</v>
      </c>
      <c r="I2938" t="s">
        <v>25</v>
      </c>
    </row>
    <row r="2939" spans="1:9" hidden="1" x14ac:dyDescent="0.25">
      <c r="A2939">
        <v>22</v>
      </c>
      <c r="B2939" t="s">
        <v>17</v>
      </c>
      <c r="C2939">
        <v>2022</v>
      </c>
      <c r="D2939">
        <v>55</v>
      </c>
      <c r="E2939" t="s">
        <v>9</v>
      </c>
      <c r="F2939">
        <v>47.125</v>
      </c>
      <c r="G2939">
        <v>7.875</v>
      </c>
      <c r="H2939">
        <v>48000</v>
      </c>
      <c r="I2939" t="s">
        <v>25</v>
      </c>
    </row>
    <row r="2940" spans="1:9" hidden="1" x14ac:dyDescent="0.25">
      <c r="A2940">
        <v>23</v>
      </c>
      <c r="B2940" t="s">
        <v>17</v>
      </c>
      <c r="C2940">
        <v>2022</v>
      </c>
      <c r="D2940">
        <v>47.125</v>
      </c>
      <c r="E2940" t="s">
        <v>9</v>
      </c>
      <c r="F2940">
        <v>40</v>
      </c>
      <c r="G2940">
        <v>7.125</v>
      </c>
      <c r="H2940">
        <v>48000</v>
      </c>
      <c r="I2940" t="s">
        <v>25</v>
      </c>
    </row>
    <row r="2941" spans="1:9" hidden="1" x14ac:dyDescent="0.25">
      <c r="A2941">
        <v>24</v>
      </c>
      <c r="B2941" t="s">
        <v>17</v>
      </c>
      <c r="C2941">
        <v>2022</v>
      </c>
      <c r="D2941">
        <v>40</v>
      </c>
      <c r="E2941" t="s">
        <v>9</v>
      </c>
      <c r="F2941">
        <v>35.75</v>
      </c>
      <c r="G2941">
        <v>4.25</v>
      </c>
      <c r="H2941">
        <v>48000</v>
      </c>
      <c r="I2941" t="s">
        <v>25</v>
      </c>
    </row>
    <row r="2942" spans="1:9" hidden="1" x14ac:dyDescent="0.25">
      <c r="A2942">
        <v>25</v>
      </c>
      <c r="B2942" t="s">
        <v>17</v>
      </c>
      <c r="C2942">
        <v>2022</v>
      </c>
      <c r="D2942">
        <v>35.75</v>
      </c>
      <c r="E2942" t="s">
        <v>9</v>
      </c>
      <c r="F2942">
        <v>28.625</v>
      </c>
      <c r="G2942">
        <v>7.125</v>
      </c>
      <c r="H2942">
        <v>48000</v>
      </c>
      <c r="I2942" t="s">
        <v>25</v>
      </c>
    </row>
    <row r="2943" spans="1:9" hidden="1" x14ac:dyDescent="0.25">
      <c r="A2943">
        <v>26</v>
      </c>
      <c r="B2943" t="s">
        <v>17</v>
      </c>
      <c r="C2943">
        <v>2022</v>
      </c>
      <c r="D2943">
        <v>28.625</v>
      </c>
      <c r="E2943" t="s">
        <v>9</v>
      </c>
      <c r="F2943">
        <v>22.5</v>
      </c>
      <c r="G2943">
        <v>6.125</v>
      </c>
      <c r="H2943">
        <v>48000</v>
      </c>
      <c r="I2943" t="s">
        <v>25</v>
      </c>
    </row>
    <row r="2944" spans="1:9" hidden="1" x14ac:dyDescent="0.25">
      <c r="A2944">
        <v>27</v>
      </c>
      <c r="B2944" t="s">
        <v>17</v>
      </c>
      <c r="C2944">
        <v>2022</v>
      </c>
      <c r="D2944">
        <v>22.5</v>
      </c>
      <c r="E2944">
        <v>50</v>
      </c>
      <c r="F2944">
        <v>60.5</v>
      </c>
      <c r="G2944">
        <v>12</v>
      </c>
      <c r="H2944">
        <v>48000</v>
      </c>
      <c r="I2944" t="s">
        <v>25</v>
      </c>
    </row>
    <row r="2945" spans="1:9" hidden="1" x14ac:dyDescent="0.25">
      <c r="A2945">
        <v>28</v>
      </c>
      <c r="B2945" t="s">
        <v>17</v>
      </c>
      <c r="C2945">
        <v>2022</v>
      </c>
      <c r="D2945">
        <v>60.5</v>
      </c>
      <c r="E2945" t="s">
        <v>9</v>
      </c>
      <c r="F2945">
        <v>50.375</v>
      </c>
      <c r="G2945">
        <v>10.125</v>
      </c>
      <c r="H2945">
        <v>48000</v>
      </c>
      <c r="I2945" t="s">
        <v>25</v>
      </c>
    </row>
    <row r="2946" spans="1:9" hidden="1" x14ac:dyDescent="0.25">
      <c r="A2946">
        <v>29</v>
      </c>
      <c r="B2946" t="s">
        <v>17</v>
      </c>
      <c r="C2946">
        <v>2022</v>
      </c>
      <c r="D2946">
        <v>50.375</v>
      </c>
      <c r="E2946" t="s">
        <v>9</v>
      </c>
      <c r="F2946">
        <v>44.375</v>
      </c>
      <c r="G2946">
        <v>6</v>
      </c>
      <c r="H2946">
        <v>48000</v>
      </c>
      <c r="I2946" t="s">
        <v>25</v>
      </c>
    </row>
    <row r="2947" spans="1:9" hidden="1" x14ac:dyDescent="0.25">
      <c r="A2947">
        <v>30</v>
      </c>
      <c r="B2947" t="s">
        <v>9</v>
      </c>
      <c r="C2947" t="s">
        <v>9</v>
      </c>
      <c r="D2947" t="s">
        <v>9</v>
      </c>
      <c r="E2947" t="s">
        <v>9</v>
      </c>
      <c r="F2947" t="s">
        <v>9</v>
      </c>
      <c r="G2947" t="s">
        <v>9</v>
      </c>
      <c r="H2947" t="s">
        <v>9</v>
      </c>
      <c r="I2947" t="s">
        <v>25</v>
      </c>
    </row>
    <row r="2948" spans="1:9" hidden="1" x14ac:dyDescent="0.25">
      <c r="A2948">
        <v>31</v>
      </c>
      <c r="B2948" t="s">
        <v>9</v>
      </c>
      <c r="C2948" t="s">
        <v>9</v>
      </c>
      <c r="D2948">
        <v>38.75</v>
      </c>
      <c r="E2948" t="s">
        <v>9</v>
      </c>
      <c r="F2948">
        <v>25.375</v>
      </c>
      <c r="G2948">
        <v>13.375</v>
      </c>
      <c r="H2948">
        <v>48000</v>
      </c>
      <c r="I2948" t="s">
        <v>25</v>
      </c>
    </row>
    <row r="2949" spans="1:9" x14ac:dyDescent="0.25">
      <c r="A2949">
        <v>1</v>
      </c>
      <c r="B2949" t="s">
        <v>10</v>
      </c>
      <c r="C2949">
        <v>2022</v>
      </c>
      <c r="D2949">
        <v>87.5</v>
      </c>
      <c r="E2949">
        <v>90</v>
      </c>
      <c r="F2949">
        <v>155.625</v>
      </c>
      <c r="G2949">
        <v>21.875</v>
      </c>
      <c r="H2949">
        <v>48000</v>
      </c>
      <c r="I2949" t="s">
        <v>22</v>
      </c>
    </row>
    <row r="2950" spans="1:9" x14ac:dyDescent="0.25">
      <c r="A2950">
        <v>2</v>
      </c>
      <c r="B2950" t="s">
        <v>10</v>
      </c>
      <c r="C2950">
        <v>2022</v>
      </c>
      <c r="D2950">
        <v>155.625</v>
      </c>
      <c r="E2950" t="s">
        <v>9</v>
      </c>
      <c r="F2950">
        <v>137.75</v>
      </c>
      <c r="G2950">
        <v>17.875</v>
      </c>
      <c r="H2950">
        <v>48000</v>
      </c>
      <c r="I2950" t="s">
        <v>22</v>
      </c>
    </row>
    <row r="2951" spans="1:9" x14ac:dyDescent="0.25">
      <c r="A2951">
        <v>3</v>
      </c>
      <c r="B2951" t="s">
        <v>10</v>
      </c>
      <c r="C2951">
        <v>2022</v>
      </c>
      <c r="D2951">
        <v>137.75</v>
      </c>
      <c r="E2951" t="s">
        <v>9</v>
      </c>
      <c r="F2951">
        <v>95.25</v>
      </c>
      <c r="G2951">
        <v>42.5</v>
      </c>
      <c r="H2951">
        <v>48000</v>
      </c>
      <c r="I2951" t="s">
        <v>22</v>
      </c>
    </row>
    <row r="2952" spans="1:9" x14ac:dyDescent="0.25">
      <c r="A2952">
        <v>4</v>
      </c>
      <c r="B2952" t="s">
        <v>10</v>
      </c>
      <c r="C2952">
        <v>2022</v>
      </c>
      <c r="D2952">
        <v>95.25</v>
      </c>
      <c r="E2952" t="s">
        <v>9</v>
      </c>
      <c r="F2952">
        <v>63.375</v>
      </c>
      <c r="G2952">
        <v>31.875</v>
      </c>
      <c r="H2952">
        <v>48000</v>
      </c>
      <c r="I2952" t="s">
        <v>22</v>
      </c>
    </row>
    <row r="2953" spans="1:9" x14ac:dyDescent="0.25">
      <c r="A2953">
        <v>5</v>
      </c>
      <c r="B2953" t="s">
        <v>10</v>
      </c>
      <c r="C2953">
        <v>2022</v>
      </c>
      <c r="D2953">
        <v>63.375</v>
      </c>
      <c r="E2953">
        <v>100</v>
      </c>
      <c r="F2953">
        <v>152.875</v>
      </c>
      <c r="G2953">
        <v>10.5</v>
      </c>
      <c r="H2953">
        <v>48000</v>
      </c>
      <c r="I2953" t="s">
        <v>22</v>
      </c>
    </row>
    <row r="2954" spans="1:9" x14ac:dyDescent="0.25">
      <c r="A2954">
        <v>6</v>
      </c>
      <c r="B2954" t="s">
        <v>10</v>
      </c>
      <c r="C2954">
        <v>2022</v>
      </c>
      <c r="D2954">
        <v>152.875</v>
      </c>
      <c r="E2954" t="s">
        <v>9</v>
      </c>
      <c r="F2954">
        <v>141.875</v>
      </c>
      <c r="G2954">
        <v>11</v>
      </c>
      <c r="H2954">
        <v>52000</v>
      </c>
      <c r="I2954" t="s">
        <v>22</v>
      </c>
    </row>
    <row r="2955" spans="1:9" x14ac:dyDescent="0.25">
      <c r="A2955">
        <v>7</v>
      </c>
      <c r="B2955" t="s">
        <v>10</v>
      </c>
      <c r="C2955">
        <v>2022</v>
      </c>
      <c r="D2955">
        <v>141.875</v>
      </c>
      <c r="E2955" t="s">
        <v>9</v>
      </c>
      <c r="F2955">
        <v>119.375</v>
      </c>
      <c r="G2955">
        <v>22.5</v>
      </c>
      <c r="H2955">
        <v>52000</v>
      </c>
      <c r="I2955" t="s">
        <v>22</v>
      </c>
    </row>
    <row r="2956" spans="1:9" x14ac:dyDescent="0.25">
      <c r="A2956">
        <v>8</v>
      </c>
      <c r="B2956" t="s">
        <v>10</v>
      </c>
      <c r="C2956">
        <v>2022</v>
      </c>
      <c r="D2956">
        <v>119.375</v>
      </c>
      <c r="E2956" t="s">
        <v>9</v>
      </c>
      <c r="F2956">
        <v>100.75</v>
      </c>
      <c r="G2956">
        <v>18.625</v>
      </c>
      <c r="H2956">
        <v>52000</v>
      </c>
      <c r="I2956" t="s">
        <v>22</v>
      </c>
    </row>
    <row r="2957" spans="1:9" x14ac:dyDescent="0.25">
      <c r="A2957">
        <v>9</v>
      </c>
      <c r="B2957" t="s">
        <v>10</v>
      </c>
      <c r="C2957">
        <v>2022</v>
      </c>
      <c r="D2957">
        <v>100.75</v>
      </c>
      <c r="E2957" t="s">
        <v>9</v>
      </c>
      <c r="F2957">
        <v>77.375</v>
      </c>
      <c r="G2957">
        <v>23.375</v>
      </c>
      <c r="H2957">
        <v>52000</v>
      </c>
      <c r="I2957" t="s">
        <v>22</v>
      </c>
    </row>
    <row r="2958" spans="1:9" x14ac:dyDescent="0.25">
      <c r="A2958">
        <v>10</v>
      </c>
      <c r="B2958" t="s">
        <v>10</v>
      </c>
      <c r="C2958">
        <v>2022</v>
      </c>
      <c r="D2958">
        <v>77.375</v>
      </c>
      <c r="E2958">
        <v>90</v>
      </c>
      <c r="F2958">
        <v>122.75</v>
      </c>
      <c r="G2958">
        <v>44.625</v>
      </c>
      <c r="H2958">
        <v>52000</v>
      </c>
      <c r="I2958" t="s">
        <v>22</v>
      </c>
    </row>
    <row r="2959" spans="1:9" x14ac:dyDescent="0.25">
      <c r="A2959">
        <v>11</v>
      </c>
      <c r="B2959" t="s">
        <v>10</v>
      </c>
      <c r="C2959">
        <v>2022</v>
      </c>
      <c r="D2959">
        <v>122.75</v>
      </c>
      <c r="E2959" t="s">
        <v>9</v>
      </c>
      <c r="F2959">
        <v>74.75</v>
      </c>
      <c r="G2959">
        <v>48</v>
      </c>
      <c r="H2959">
        <v>52000</v>
      </c>
      <c r="I2959" t="s">
        <v>22</v>
      </c>
    </row>
    <row r="2960" spans="1:9" x14ac:dyDescent="0.25">
      <c r="A2960">
        <v>12</v>
      </c>
      <c r="B2960" t="s">
        <v>10</v>
      </c>
      <c r="C2960">
        <v>2022</v>
      </c>
      <c r="D2960">
        <v>74.75</v>
      </c>
      <c r="E2960">
        <v>60</v>
      </c>
      <c r="F2960">
        <v>128.375</v>
      </c>
      <c r="G2960">
        <v>6.375</v>
      </c>
      <c r="H2960">
        <v>52000</v>
      </c>
      <c r="I2960" t="s">
        <v>22</v>
      </c>
    </row>
    <row r="2961" spans="1:9" x14ac:dyDescent="0.25">
      <c r="A2961">
        <v>13</v>
      </c>
      <c r="B2961" t="s">
        <v>10</v>
      </c>
      <c r="C2961">
        <v>2022</v>
      </c>
      <c r="D2961">
        <v>128.375</v>
      </c>
      <c r="E2961" t="s">
        <v>9</v>
      </c>
      <c r="F2961">
        <v>97.25</v>
      </c>
      <c r="G2961">
        <v>31.125</v>
      </c>
      <c r="H2961">
        <v>52000</v>
      </c>
      <c r="I2961" t="s">
        <v>22</v>
      </c>
    </row>
    <row r="2962" spans="1:9" x14ac:dyDescent="0.25">
      <c r="A2962">
        <v>14</v>
      </c>
      <c r="B2962" t="s">
        <v>10</v>
      </c>
      <c r="C2962">
        <v>2022</v>
      </c>
      <c r="D2962">
        <v>97.25</v>
      </c>
      <c r="E2962" t="s">
        <v>9</v>
      </c>
      <c r="F2962">
        <v>72.75</v>
      </c>
      <c r="G2962">
        <v>24.5</v>
      </c>
      <c r="H2962">
        <v>52000</v>
      </c>
      <c r="I2962" t="s">
        <v>22</v>
      </c>
    </row>
    <row r="2963" spans="1:9" x14ac:dyDescent="0.25">
      <c r="A2963">
        <v>15</v>
      </c>
      <c r="B2963" t="s">
        <v>10</v>
      </c>
      <c r="C2963">
        <v>2022</v>
      </c>
      <c r="D2963">
        <v>72.75</v>
      </c>
      <c r="E2963">
        <v>100</v>
      </c>
      <c r="F2963">
        <v>157.25</v>
      </c>
      <c r="G2963">
        <v>15.5</v>
      </c>
      <c r="H2963">
        <v>52000</v>
      </c>
      <c r="I2963" t="s">
        <v>22</v>
      </c>
    </row>
    <row r="2964" spans="1:9" x14ac:dyDescent="0.25">
      <c r="A2964">
        <v>16</v>
      </c>
      <c r="B2964" t="s">
        <v>10</v>
      </c>
      <c r="C2964">
        <v>2022</v>
      </c>
      <c r="D2964">
        <v>157.25</v>
      </c>
      <c r="E2964" t="s">
        <v>9</v>
      </c>
      <c r="F2964">
        <v>133.5</v>
      </c>
      <c r="G2964">
        <v>23.75</v>
      </c>
      <c r="H2964">
        <v>52000</v>
      </c>
      <c r="I2964" t="s">
        <v>22</v>
      </c>
    </row>
    <row r="2965" spans="1:9" x14ac:dyDescent="0.25">
      <c r="A2965">
        <v>17</v>
      </c>
      <c r="B2965" t="s">
        <v>10</v>
      </c>
      <c r="C2965">
        <v>2022</v>
      </c>
      <c r="D2965">
        <v>133.5</v>
      </c>
      <c r="E2965" t="s">
        <v>9</v>
      </c>
      <c r="F2965">
        <v>84.875</v>
      </c>
      <c r="G2965">
        <v>48.625</v>
      </c>
      <c r="H2965">
        <v>52000</v>
      </c>
      <c r="I2965" t="s">
        <v>22</v>
      </c>
    </row>
    <row r="2966" spans="1:9" x14ac:dyDescent="0.25">
      <c r="A2966">
        <v>18</v>
      </c>
      <c r="B2966" t="s">
        <v>10</v>
      </c>
      <c r="C2966">
        <v>2022</v>
      </c>
      <c r="D2966">
        <v>84.875</v>
      </c>
      <c r="E2966" t="s">
        <v>9</v>
      </c>
      <c r="F2966">
        <v>28.125</v>
      </c>
      <c r="G2966">
        <v>56.75</v>
      </c>
      <c r="H2966">
        <v>52000</v>
      </c>
      <c r="I2966" t="s">
        <v>22</v>
      </c>
    </row>
    <row r="2967" spans="1:9" x14ac:dyDescent="0.25">
      <c r="A2967">
        <v>19</v>
      </c>
      <c r="B2967" t="s">
        <v>10</v>
      </c>
      <c r="C2967">
        <v>2022</v>
      </c>
      <c r="D2967">
        <v>28.125</v>
      </c>
      <c r="E2967">
        <v>100</v>
      </c>
      <c r="F2967">
        <v>117</v>
      </c>
      <c r="G2967">
        <v>11.125</v>
      </c>
      <c r="H2967">
        <v>52000</v>
      </c>
      <c r="I2967" t="s">
        <v>22</v>
      </c>
    </row>
    <row r="2968" spans="1:9" x14ac:dyDescent="0.25">
      <c r="A2968">
        <v>20</v>
      </c>
      <c r="B2968" t="s">
        <v>10</v>
      </c>
      <c r="C2968">
        <v>2022</v>
      </c>
      <c r="D2968">
        <v>117</v>
      </c>
      <c r="E2968" t="s">
        <v>9</v>
      </c>
      <c r="F2968">
        <v>107.625</v>
      </c>
      <c r="G2968">
        <v>9.375</v>
      </c>
      <c r="H2968">
        <v>52000</v>
      </c>
      <c r="I2968" t="s">
        <v>22</v>
      </c>
    </row>
    <row r="2969" spans="1:9" x14ac:dyDescent="0.25">
      <c r="A2969">
        <v>21</v>
      </c>
      <c r="B2969" t="s">
        <v>10</v>
      </c>
      <c r="C2969">
        <v>2022</v>
      </c>
      <c r="D2969">
        <v>107.625</v>
      </c>
      <c r="E2969">
        <v>50</v>
      </c>
      <c r="F2969">
        <v>145</v>
      </c>
      <c r="G2969">
        <v>12.625</v>
      </c>
      <c r="H2969">
        <v>52000</v>
      </c>
      <c r="I2969" t="s">
        <v>22</v>
      </c>
    </row>
    <row r="2970" spans="1:9" x14ac:dyDescent="0.25">
      <c r="A2970">
        <v>22</v>
      </c>
      <c r="B2970" t="s">
        <v>10</v>
      </c>
      <c r="C2970">
        <v>2022</v>
      </c>
      <c r="D2970">
        <v>145</v>
      </c>
      <c r="E2970" t="s">
        <v>9</v>
      </c>
      <c r="F2970">
        <v>126.625</v>
      </c>
      <c r="G2970">
        <v>18.375</v>
      </c>
      <c r="H2970">
        <v>52000</v>
      </c>
      <c r="I2970" t="s">
        <v>22</v>
      </c>
    </row>
    <row r="2971" spans="1:9" x14ac:dyDescent="0.25">
      <c r="A2971">
        <v>23</v>
      </c>
      <c r="B2971" t="s">
        <v>10</v>
      </c>
      <c r="C2971">
        <v>2022</v>
      </c>
      <c r="D2971">
        <v>126.625</v>
      </c>
      <c r="E2971" t="s">
        <v>9</v>
      </c>
      <c r="F2971">
        <v>98.5</v>
      </c>
      <c r="G2971">
        <v>28.125</v>
      </c>
      <c r="H2971">
        <v>52000</v>
      </c>
      <c r="I2971" t="s">
        <v>22</v>
      </c>
    </row>
    <row r="2972" spans="1:9" x14ac:dyDescent="0.25">
      <c r="A2972">
        <v>24</v>
      </c>
      <c r="B2972" t="s">
        <v>10</v>
      </c>
      <c r="C2972">
        <v>2022</v>
      </c>
      <c r="D2972">
        <v>98.5</v>
      </c>
      <c r="E2972">
        <v>70</v>
      </c>
      <c r="F2972">
        <v>123.375</v>
      </c>
      <c r="G2972">
        <v>45.125</v>
      </c>
      <c r="H2972">
        <v>52000</v>
      </c>
      <c r="I2972" t="s">
        <v>22</v>
      </c>
    </row>
    <row r="2973" spans="1:9" x14ac:dyDescent="0.25">
      <c r="A2973">
        <v>25</v>
      </c>
      <c r="B2973" t="s">
        <v>10</v>
      </c>
      <c r="C2973">
        <v>2022</v>
      </c>
      <c r="D2973">
        <v>123.375</v>
      </c>
      <c r="E2973" t="s">
        <v>9</v>
      </c>
      <c r="F2973">
        <v>83.75</v>
      </c>
      <c r="G2973">
        <v>39.625</v>
      </c>
      <c r="H2973">
        <v>52000</v>
      </c>
      <c r="I2973" t="s">
        <v>22</v>
      </c>
    </row>
    <row r="2974" spans="1:9" x14ac:dyDescent="0.25">
      <c r="A2974">
        <v>26</v>
      </c>
      <c r="B2974" t="s">
        <v>10</v>
      </c>
      <c r="C2974">
        <v>2022</v>
      </c>
      <c r="D2974">
        <v>83.75</v>
      </c>
      <c r="E2974">
        <v>70</v>
      </c>
      <c r="F2974">
        <v>141.75</v>
      </c>
      <c r="G2974">
        <v>12</v>
      </c>
      <c r="H2974">
        <v>52000</v>
      </c>
      <c r="I2974" t="s">
        <v>22</v>
      </c>
    </row>
    <row r="2975" spans="1:9" x14ac:dyDescent="0.25">
      <c r="A2975">
        <v>27</v>
      </c>
      <c r="B2975" t="s">
        <v>10</v>
      </c>
      <c r="C2975">
        <v>2022</v>
      </c>
      <c r="D2975">
        <v>141.75</v>
      </c>
      <c r="E2975" t="s">
        <v>9</v>
      </c>
      <c r="F2975">
        <v>120.75</v>
      </c>
      <c r="G2975">
        <v>21</v>
      </c>
      <c r="H2975">
        <v>52000</v>
      </c>
      <c r="I2975" t="s">
        <v>22</v>
      </c>
    </row>
    <row r="2976" spans="1:9" x14ac:dyDescent="0.25">
      <c r="A2976">
        <v>28</v>
      </c>
      <c r="B2976" t="s">
        <v>10</v>
      </c>
      <c r="C2976">
        <v>2022</v>
      </c>
      <c r="D2976">
        <v>120.75</v>
      </c>
      <c r="E2976" t="s">
        <v>9</v>
      </c>
      <c r="F2976">
        <v>100.375</v>
      </c>
      <c r="G2976">
        <v>20.375</v>
      </c>
      <c r="H2976">
        <v>52000</v>
      </c>
      <c r="I2976" t="s">
        <v>22</v>
      </c>
    </row>
    <row r="2977" spans="1:9" x14ac:dyDescent="0.25">
      <c r="A2977">
        <v>29</v>
      </c>
      <c r="B2977" t="s">
        <v>10</v>
      </c>
      <c r="C2977">
        <v>2022</v>
      </c>
      <c r="D2977">
        <v>100.375</v>
      </c>
      <c r="E2977" t="s">
        <v>9</v>
      </c>
      <c r="F2977">
        <v>84.375</v>
      </c>
      <c r="G2977">
        <v>16</v>
      </c>
      <c r="H2977">
        <v>52000</v>
      </c>
      <c r="I2977" t="s">
        <v>22</v>
      </c>
    </row>
    <row r="2978" spans="1:9" x14ac:dyDescent="0.25">
      <c r="A2978">
        <v>30</v>
      </c>
      <c r="B2978" t="s">
        <v>10</v>
      </c>
      <c r="C2978">
        <v>2022</v>
      </c>
      <c r="D2978">
        <v>84.375</v>
      </c>
      <c r="E2978" t="s">
        <v>9</v>
      </c>
      <c r="F2978">
        <v>56</v>
      </c>
      <c r="G2978">
        <v>28.375</v>
      </c>
      <c r="H2978">
        <v>52000</v>
      </c>
      <c r="I2978" t="s">
        <v>22</v>
      </c>
    </row>
    <row r="2979" spans="1:9" hidden="1" x14ac:dyDescent="0.25">
      <c r="A2979">
        <v>1</v>
      </c>
      <c r="B2979" t="s">
        <v>10</v>
      </c>
      <c r="C2979">
        <v>2022</v>
      </c>
      <c r="D2979">
        <v>154.25</v>
      </c>
      <c r="E2979">
        <v>100</v>
      </c>
      <c r="F2979">
        <v>233.125</v>
      </c>
      <c r="G2979">
        <v>21.125</v>
      </c>
      <c r="H2979">
        <v>48000</v>
      </c>
      <c r="I2979" t="s">
        <v>23</v>
      </c>
    </row>
    <row r="2980" spans="1:9" hidden="1" x14ac:dyDescent="0.25">
      <c r="A2980">
        <v>2</v>
      </c>
      <c r="B2980" t="s">
        <v>10</v>
      </c>
      <c r="C2980">
        <v>2022</v>
      </c>
      <c r="D2980">
        <v>233.125</v>
      </c>
      <c r="E2980" t="s">
        <v>9</v>
      </c>
      <c r="F2980">
        <v>210.75</v>
      </c>
      <c r="G2980">
        <v>22.375</v>
      </c>
      <c r="H2980">
        <v>48000</v>
      </c>
      <c r="I2980" t="s">
        <v>23</v>
      </c>
    </row>
    <row r="2981" spans="1:9" hidden="1" x14ac:dyDescent="0.25">
      <c r="A2981">
        <v>3</v>
      </c>
      <c r="B2981" t="s">
        <v>10</v>
      </c>
      <c r="C2981">
        <v>2022</v>
      </c>
      <c r="D2981">
        <v>210.75</v>
      </c>
      <c r="E2981" t="s">
        <v>9</v>
      </c>
      <c r="F2981">
        <v>172.875</v>
      </c>
      <c r="G2981">
        <v>37.875</v>
      </c>
      <c r="H2981">
        <v>48000</v>
      </c>
      <c r="I2981" t="s">
        <v>23</v>
      </c>
    </row>
    <row r="2982" spans="1:9" hidden="1" x14ac:dyDescent="0.25">
      <c r="A2982">
        <v>4</v>
      </c>
      <c r="B2982" t="s">
        <v>10</v>
      </c>
      <c r="C2982">
        <v>2022</v>
      </c>
      <c r="D2982">
        <v>172.875</v>
      </c>
      <c r="E2982" t="s">
        <v>9</v>
      </c>
      <c r="F2982">
        <v>143.5</v>
      </c>
      <c r="G2982">
        <v>29.375</v>
      </c>
      <c r="H2982">
        <v>48000</v>
      </c>
      <c r="I2982" t="s">
        <v>23</v>
      </c>
    </row>
    <row r="2983" spans="1:9" hidden="1" x14ac:dyDescent="0.25">
      <c r="A2983">
        <v>5</v>
      </c>
      <c r="B2983" t="s">
        <v>10</v>
      </c>
      <c r="C2983">
        <v>2022</v>
      </c>
      <c r="D2983">
        <v>143.5</v>
      </c>
      <c r="E2983" t="s">
        <v>9</v>
      </c>
      <c r="F2983">
        <v>125</v>
      </c>
      <c r="G2983">
        <v>18.5</v>
      </c>
      <c r="H2983">
        <v>48000</v>
      </c>
      <c r="I2983" t="s">
        <v>23</v>
      </c>
    </row>
    <row r="2984" spans="1:9" hidden="1" x14ac:dyDescent="0.25">
      <c r="A2984">
        <v>6</v>
      </c>
      <c r="B2984" t="s">
        <v>10</v>
      </c>
      <c r="C2984">
        <v>2022</v>
      </c>
      <c r="D2984">
        <v>125</v>
      </c>
      <c r="E2984" t="s">
        <v>9</v>
      </c>
      <c r="F2984">
        <v>90.5</v>
      </c>
      <c r="G2984">
        <v>34.5</v>
      </c>
      <c r="H2984">
        <v>52000</v>
      </c>
      <c r="I2984" t="s">
        <v>23</v>
      </c>
    </row>
    <row r="2985" spans="1:9" hidden="1" x14ac:dyDescent="0.25">
      <c r="A2985">
        <v>7</v>
      </c>
      <c r="B2985" t="s">
        <v>10</v>
      </c>
      <c r="C2985">
        <v>2022</v>
      </c>
      <c r="D2985">
        <v>90.5</v>
      </c>
      <c r="E2985" t="s">
        <v>9</v>
      </c>
      <c r="F2985">
        <v>74.5</v>
      </c>
      <c r="G2985">
        <v>16</v>
      </c>
      <c r="H2985">
        <v>52000</v>
      </c>
      <c r="I2985" t="s">
        <v>23</v>
      </c>
    </row>
    <row r="2986" spans="1:9" hidden="1" x14ac:dyDescent="0.25">
      <c r="A2986">
        <v>8</v>
      </c>
      <c r="B2986" t="s">
        <v>10</v>
      </c>
      <c r="C2986">
        <v>2022</v>
      </c>
      <c r="D2986">
        <v>74.5</v>
      </c>
      <c r="E2986" t="s">
        <v>9</v>
      </c>
      <c r="F2986">
        <v>52</v>
      </c>
      <c r="G2986">
        <v>22.5</v>
      </c>
      <c r="H2986">
        <v>52000</v>
      </c>
      <c r="I2986" t="s">
        <v>23</v>
      </c>
    </row>
    <row r="2987" spans="1:9" hidden="1" x14ac:dyDescent="0.25">
      <c r="A2987">
        <v>9</v>
      </c>
      <c r="B2987" t="s">
        <v>10</v>
      </c>
      <c r="C2987">
        <v>2022</v>
      </c>
      <c r="D2987">
        <v>52</v>
      </c>
      <c r="E2987">
        <v>20</v>
      </c>
      <c r="F2987">
        <v>37.625</v>
      </c>
      <c r="G2987">
        <v>34.375</v>
      </c>
      <c r="H2987">
        <v>52000</v>
      </c>
      <c r="I2987" t="s">
        <v>23</v>
      </c>
    </row>
    <row r="2988" spans="1:9" hidden="1" x14ac:dyDescent="0.25">
      <c r="A2988">
        <v>10</v>
      </c>
      <c r="B2988" t="s">
        <v>10</v>
      </c>
      <c r="C2988">
        <v>2022</v>
      </c>
      <c r="D2988">
        <v>37.625</v>
      </c>
      <c r="E2988">
        <v>100</v>
      </c>
      <c r="F2988">
        <v>91.75</v>
      </c>
      <c r="G2988">
        <v>45.875</v>
      </c>
      <c r="H2988">
        <v>52000</v>
      </c>
      <c r="I2988" t="s">
        <v>23</v>
      </c>
    </row>
    <row r="2989" spans="1:9" hidden="1" x14ac:dyDescent="0.25">
      <c r="A2989">
        <v>11</v>
      </c>
      <c r="B2989" t="s">
        <v>10</v>
      </c>
      <c r="C2989">
        <v>2022</v>
      </c>
      <c r="D2989">
        <v>91.75</v>
      </c>
      <c r="E2989" t="s">
        <v>9</v>
      </c>
      <c r="F2989">
        <v>41.375</v>
      </c>
      <c r="G2989">
        <v>50.375</v>
      </c>
      <c r="H2989">
        <v>52000</v>
      </c>
      <c r="I2989" t="s">
        <v>23</v>
      </c>
    </row>
    <row r="2990" spans="1:9" hidden="1" x14ac:dyDescent="0.25">
      <c r="A2990">
        <v>12</v>
      </c>
      <c r="B2990" t="s">
        <v>10</v>
      </c>
      <c r="C2990">
        <v>2022</v>
      </c>
      <c r="D2990">
        <v>41.375</v>
      </c>
      <c r="E2990">
        <v>80</v>
      </c>
      <c r="F2990">
        <v>100.75</v>
      </c>
      <c r="G2990">
        <v>20.625</v>
      </c>
      <c r="H2990">
        <v>52000</v>
      </c>
      <c r="I2990" t="s">
        <v>23</v>
      </c>
    </row>
    <row r="2991" spans="1:9" hidden="1" x14ac:dyDescent="0.25">
      <c r="A2991">
        <v>13</v>
      </c>
      <c r="B2991" t="s">
        <v>10</v>
      </c>
      <c r="C2991">
        <v>2022</v>
      </c>
      <c r="D2991">
        <v>100.75</v>
      </c>
      <c r="E2991" t="s">
        <v>9</v>
      </c>
      <c r="F2991">
        <v>100.75</v>
      </c>
      <c r="G2991">
        <v>0</v>
      </c>
      <c r="H2991">
        <v>52000</v>
      </c>
      <c r="I2991" t="s">
        <v>23</v>
      </c>
    </row>
    <row r="2992" spans="1:9" hidden="1" x14ac:dyDescent="0.25">
      <c r="A2992">
        <v>14</v>
      </c>
      <c r="B2992" t="s">
        <v>10</v>
      </c>
      <c r="C2992">
        <v>2022</v>
      </c>
      <c r="D2992">
        <v>100.75</v>
      </c>
      <c r="E2992" t="s">
        <v>9</v>
      </c>
      <c r="F2992">
        <v>100.75</v>
      </c>
      <c r="G2992">
        <v>0</v>
      </c>
      <c r="H2992">
        <v>52000</v>
      </c>
      <c r="I2992" t="s">
        <v>23</v>
      </c>
    </row>
    <row r="2993" spans="1:9" hidden="1" x14ac:dyDescent="0.25">
      <c r="A2993">
        <v>15</v>
      </c>
      <c r="B2993" t="s">
        <v>10</v>
      </c>
      <c r="C2993">
        <v>2022</v>
      </c>
      <c r="D2993">
        <v>100.75</v>
      </c>
      <c r="E2993">
        <v>122</v>
      </c>
      <c r="F2993">
        <v>205.25</v>
      </c>
      <c r="G2993">
        <v>17.5</v>
      </c>
      <c r="H2993">
        <v>52000</v>
      </c>
      <c r="I2993" t="s">
        <v>23</v>
      </c>
    </row>
    <row r="2994" spans="1:9" hidden="1" x14ac:dyDescent="0.25">
      <c r="A2994">
        <v>16</v>
      </c>
      <c r="B2994" t="s">
        <v>10</v>
      </c>
      <c r="C2994">
        <v>2022</v>
      </c>
      <c r="D2994">
        <v>205.25</v>
      </c>
      <c r="E2994" t="s">
        <v>9</v>
      </c>
      <c r="F2994">
        <v>166.25</v>
      </c>
      <c r="G2994">
        <v>39</v>
      </c>
      <c r="H2994">
        <v>52000</v>
      </c>
      <c r="I2994" t="s">
        <v>23</v>
      </c>
    </row>
    <row r="2995" spans="1:9" hidden="1" x14ac:dyDescent="0.25">
      <c r="A2995">
        <v>17</v>
      </c>
      <c r="B2995" t="s">
        <v>10</v>
      </c>
      <c r="C2995">
        <v>2022</v>
      </c>
      <c r="D2995">
        <v>166.25</v>
      </c>
      <c r="E2995" t="s">
        <v>9</v>
      </c>
      <c r="F2995">
        <v>122.625</v>
      </c>
      <c r="G2995">
        <v>43.625</v>
      </c>
      <c r="H2995">
        <v>52000</v>
      </c>
      <c r="I2995" t="s">
        <v>23</v>
      </c>
    </row>
    <row r="2996" spans="1:9" hidden="1" x14ac:dyDescent="0.25">
      <c r="A2996">
        <v>18</v>
      </c>
      <c r="B2996" t="s">
        <v>10</v>
      </c>
      <c r="C2996">
        <v>2022</v>
      </c>
      <c r="D2996">
        <v>122.625</v>
      </c>
      <c r="E2996" t="s">
        <v>9</v>
      </c>
      <c r="F2996">
        <v>83.625</v>
      </c>
      <c r="G2996">
        <v>39</v>
      </c>
      <c r="H2996">
        <v>52000</v>
      </c>
      <c r="I2996" t="s">
        <v>23</v>
      </c>
    </row>
    <row r="2997" spans="1:9" hidden="1" x14ac:dyDescent="0.25">
      <c r="A2997">
        <v>19</v>
      </c>
      <c r="B2997" t="s">
        <v>10</v>
      </c>
      <c r="C2997">
        <v>2022</v>
      </c>
      <c r="D2997">
        <v>83.625</v>
      </c>
      <c r="E2997" t="s">
        <v>9</v>
      </c>
      <c r="F2997">
        <v>76.875</v>
      </c>
      <c r="G2997">
        <v>6.75</v>
      </c>
      <c r="H2997">
        <v>52000</v>
      </c>
      <c r="I2997" t="s">
        <v>23</v>
      </c>
    </row>
    <row r="2998" spans="1:9" hidden="1" x14ac:dyDescent="0.25">
      <c r="A2998">
        <v>20</v>
      </c>
      <c r="B2998" t="s">
        <v>10</v>
      </c>
      <c r="C2998">
        <v>2022</v>
      </c>
      <c r="D2998">
        <v>76.875</v>
      </c>
      <c r="E2998" t="s">
        <v>9</v>
      </c>
      <c r="F2998">
        <v>60.75</v>
      </c>
      <c r="G2998">
        <v>16.125</v>
      </c>
      <c r="H2998">
        <v>52000</v>
      </c>
      <c r="I2998" t="s">
        <v>23</v>
      </c>
    </row>
    <row r="2999" spans="1:9" hidden="1" x14ac:dyDescent="0.25">
      <c r="A2999">
        <v>21</v>
      </c>
      <c r="B2999" t="s">
        <v>10</v>
      </c>
      <c r="C2999">
        <v>2022</v>
      </c>
      <c r="D2999">
        <v>60.75</v>
      </c>
      <c r="E2999">
        <v>100</v>
      </c>
      <c r="F2999">
        <v>138.5</v>
      </c>
      <c r="G2999">
        <v>22.25</v>
      </c>
      <c r="H2999">
        <v>52000</v>
      </c>
      <c r="I2999" t="s">
        <v>23</v>
      </c>
    </row>
    <row r="3000" spans="1:9" hidden="1" x14ac:dyDescent="0.25">
      <c r="A3000">
        <v>22</v>
      </c>
      <c r="B3000" t="s">
        <v>10</v>
      </c>
      <c r="C3000">
        <v>2022</v>
      </c>
      <c r="D3000">
        <v>138.5</v>
      </c>
      <c r="E3000" t="s">
        <v>9</v>
      </c>
      <c r="F3000">
        <v>119.375</v>
      </c>
      <c r="G3000">
        <v>19.125</v>
      </c>
      <c r="H3000">
        <v>52000</v>
      </c>
      <c r="I3000" t="s">
        <v>23</v>
      </c>
    </row>
    <row r="3001" spans="1:9" hidden="1" x14ac:dyDescent="0.25">
      <c r="A3001">
        <v>23</v>
      </c>
      <c r="B3001" t="s">
        <v>10</v>
      </c>
      <c r="C3001">
        <v>2022</v>
      </c>
      <c r="D3001">
        <v>119.375</v>
      </c>
      <c r="E3001" t="s">
        <v>9</v>
      </c>
      <c r="F3001">
        <v>93.25</v>
      </c>
      <c r="G3001">
        <v>26.125</v>
      </c>
      <c r="H3001">
        <v>52000</v>
      </c>
      <c r="I3001" t="s">
        <v>23</v>
      </c>
    </row>
    <row r="3002" spans="1:9" hidden="1" x14ac:dyDescent="0.25">
      <c r="A3002">
        <v>24</v>
      </c>
      <c r="B3002" t="s">
        <v>10</v>
      </c>
      <c r="C3002">
        <v>2022</v>
      </c>
      <c r="D3002">
        <v>93.25</v>
      </c>
      <c r="E3002">
        <v>70</v>
      </c>
      <c r="F3002">
        <v>116.75</v>
      </c>
      <c r="G3002">
        <v>46.5</v>
      </c>
      <c r="H3002">
        <v>52000</v>
      </c>
      <c r="I3002" t="s">
        <v>23</v>
      </c>
    </row>
    <row r="3003" spans="1:9" hidden="1" x14ac:dyDescent="0.25">
      <c r="A3003">
        <v>25</v>
      </c>
      <c r="B3003" t="s">
        <v>10</v>
      </c>
      <c r="C3003">
        <v>2022</v>
      </c>
      <c r="D3003">
        <v>116.75</v>
      </c>
      <c r="E3003" t="s">
        <v>9</v>
      </c>
      <c r="F3003">
        <v>75.125</v>
      </c>
      <c r="G3003">
        <v>41.625</v>
      </c>
      <c r="H3003">
        <v>52000</v>
      </c>
      <c r="I3003" t="s">
        <v>23</v>
      </c>
    </row>
    <row r="3004" spans="1:9" hidden="1" x14ac:dyDescent="0.25">
      <c r="A3004">
        <v>26</v>
      </c>
      <c r="B3004" t="s">
        <v>10</v>
      </c>
      <c r="C3004">
        <v>2022</v>
      </c>
      <c r="D3004">
        <v>75.125</v>
      </c>
      <c r="E3004">
        <v>60</v>
      </c>
      <c r="F3004">
        <v>118.5</v>
      </c>
      <c r="G3004">
        <v>16.625</v>
      </c>
      <c r="H3004">
        <v>52000</v>
      </c>
      <c r="I3004" t="s">
        <v>23</v>
      </c>
    </row>
    <row r="3005" spans="1:9" hidden="1" x14ac:dyDescent="0.25">
      <c r="A3005">
        <v>27</v>
      </c>
      <c r="B3005" t="s">
        <v>10</v>
      </c>
      <c r="C3005">
        <v>2022</v>
      </c>
      <c r="D3005">
        <v>118.5</v>
      </c>
      <c r="E3005" t="s">
        <v>9</v>
      </c>
      <c r="F3005">
        <v>102</v>
      </c>
      <c r="G3005">
        <v>16.5</v>
      </c>
      <c r="H3005">
        <v>52000</v>
      </c>
      <c r="I3005" t="s">
        <v>23</v>
      </c>
    </row>
    <row r="3006" spans="1:9" hidden="1" x14ac:dyDescent="0.25">
      <c r="A3006">
        <v>28</v>
      </c>
      <c r="B3006" t="s">
        <v>10</v>
      </c>
      <c r="C3006">
        <v>2022</v>
      </c>
      <c r="D3006">
        <v>102</v>
      </c>
      <c r="E3006">
        <v>70</v>
      </c>
      <c r="F3006">
        <v>159.375</v>
      </c>
      <c r="G3006">
        <v>12.625</v>
      </c>
      <c r="H3006">
        <v>52000</v>
      </c>
      <c r="I3006" t="s">
        <v>23</v>
      </c>
    </row>
    <row r="3007" spans="1:9" hidden="1" x14ac:dyDescent="0.25">
      <c r="A3007">
        <v>29</v>
      </c>
      <c r="B3007" t="s">
        <v>10</v>
      </c>
      <c r="C3007">
        <v>2022</v>
      </c>
      <c r="D3007">
        <v>159.375</v>
      </c>
      <c r="E3007" t="s">
        <v>9</v>
      </c>
      <c r="F3007">
        <v>134.125</v>
      </c>
      <c r="G3007">
        <v>25.25</v>
      </c>
      <c r="H3007">
        <v>52000</v>
      </c>
      <c r="I3007" t="s">
        <v>23</v>
      </c>
    </row>
    <row r="3008" spans="1:9" hidden="1" x14ac:dyDescent="0.25">
      <c r="A3008">
        <v>30</v>
      </c>
      <c r="B3008" t="s">
        <v>9</v>
      </c>
      <c r="C3008" t="s">
        <v>9</v>
      </c>
      <c r="D3008">
        <v>134.125</v>
      </c>
      <c r="E3008" t="s">
        <v>9</v>
      </c>
      <c r="F3008">
        <v>101.625</v>
      </c>
      <c r="G3008">
        <v>32.5</v>
      </c>
      <c r="H3008">
        <v>52000</v>
      </c>
      <c r="I3008" t="s">
        <v>23</v>
      </c>
    </row>
    <row r="3009" spans="1:9" hidden="1" x14ac:dyDescent="0.25">
      <c r="A3009">
        <v>1</v>
      </c>
      <c r="B3009" t="s">
        <v>10</v>
      </c>
      <c r="C3009">
        <v>2022</v>
      </c>
      <c r="D3009">
        <v>25.375</v>
      </c>
      <c r="E3009" t="s">
        <v>9</v>
      </c>
      <c r="F3009">
        <v>18.5</v>
      </c>
      <c r="G3009">
        <v>6.875</v>
      </c>
      <c r="H3009">
        <v>48000</v>
      </c>
      <c r="I3009" t="s">
        <v>25</v>
      </c>
    </row>
    <row r="3010" spans="1:9" hidden="1" x14ac:dyDescent="0.25">
      <c r="A3010">
        <v>2</v>
      </c>
      <c r="B3010" t="s">
        <v>10</v>
      </c>
      <c r="C3010">
        <v>2022</v>
      </c>
      <c r="D3010">
        <v>18.5</v>
      </c>
      <c r="E3010">
        <v>50</v>
      </c>
      <c r="F3010">
        <v>55.625</v>
      </c>
      <c r="G3010">
        <v>12.875</v>
      </c>
      <c r="H3010">
        <v>48000</v>
      </c>
      <c r="I3010" t="s">
        <v>25</v>
      </c>
    </row>
    <row r="3011" spans="1:9" hidden="1" x14ac:dyDescent="0.25">
      <c r="A3011">
        <v>3</v>
      </c>
      <c r="B3011" t="s">
        <v>10</v>
      </c>
      <c r="C3011">
        <v>2022</v>
      </c>
      <c r="D3011">
        <v>55.625</v>
      </c>
      <c r="E3011" t="s">
        <v>9</v>
      </c>
      <c r="F3011">
        <v>41.5</v>
      </c>
      <c r="G3011">
        <v>14.125</v>
      </c>
      <c r="H3011">
        <v>48000</v>
      </c>
      <c r="I3011" t="s">
        <v>25</v>
      </c>
    </row>
    <row r="3012" spans="1:9" hidden="1" x14ac:dyDescent="0.25">
      <c r="A3012">
        <v>4</v>
      </c>
      <c r="B3012" t="s">
        <v>10</v>
      </c>
      <c r="C3012">
        <v>2022</v>
      </c>
      <c r="D3012">
        <v>41.5</v>
      </c>
      <c r="E3012">
        <v>20</v>
      </c>
      <c r="F3012">
        <v>42.5</v>
      </c>
      <c r="G3012">
        <v>19</v>
      </c>
      <c r="H3012">
        <v>48000</v>
      </c>
      <c r="I3012" t="s">
        <v>25</v>
      </c>
    </row>
    <row r="3013" spans="1:9" hidden="1" x14ac:dyDescent="0.25">
      <c r="A3013">
        <v>5</v>
      </c>
      <c r="B3013" t="s">
        <v>10</v>
      </c>
      <c r="C3013">
        <v>2022</v>
      </c>
      <c r="D3013">
        <v>42.5</v>
      </c>
      <c r="E3013" t="s">
        <v>9</v>
      </c>
      <c r="F3013">
        <v>37.625</v>
      </c>
      <c r="G3013">
        <v>4.875</v>
      </c>
      <c r="H3013">
        <v>48000</v>
      </c>
      <c r="I3013" t="s">
        <v>25</v>
      </c>
    </row>
    <row r="3014" spans="1:9" hidden="1" x14ac:dyDescent="0.25">
      <c r="A3014">
        <v>6</v>
      </c>
      <c r="B3014" t="s">
        <v>10</v>
      </c>
      <c r="C3014">
        <v>2022</v>
      </c>
      <c r="D3014">
        <v>37.625</v>
      </c>
      <c r="E3014" t="s">
        <v>9</v>
      </c>
      <c r="F3014">
        <v>28.5</v>
      </c>
      <c r="G3014">
        <v>9.125</v>
      </c>
      <c r="H3014">
        <v>52000</v>
      </c>
      <c r="I3014" t="s">
        <v>25</v>
      </c>
    </row>
    <row r="3015" spans="1:9" hidden="1" x14ac:dyDescent="0.25">
      <c r="A3015">
        <v>7</v>
      </c>
      <c r="B3015" t="s">
        <v>10</v>
      </c>
      <c r="C3015">
        <v>2022</v>
      </c>
      <c r="D3015">
        <v>28.5</v>
      </c>
      <c r="E3015" t="s">
        <v>9</v>
      </c>
      <c r="F3015">
        <v>21.125</v>
      </c>
      <c r="G3015">
        <v>7.375</v>
      </c>
      <c r="H3015">
        <v>52000</v>
      </c>
      <c r="I3015" t="s">
        <v>25</v>
      </c>
    </row>
    <row r="3016" spans="1:9" hidden="1" x14ac:dyDescent="0.25">
      <c r="A3016">
        <v>8</v>
      </c>
      <c r="B3016" t="s">
        <v>10</v>
      </c>
      <c r="C3016">
        <v>2022</v>
      </c>
      <c r="D3016">
        <v>21.125</v>
      </c>
      <c r="E3016" t="s">
        <v>9</v>
      </c>
      <c r="F3016">
        <v>13</v>
      </c>
      <c r="G3016">
        <v>8.125</v>
      </c>
      <c r="H3016">
        <v>52000</v>
      </c>
      <c r="I3016" t="s">
        <v>25</v>
      </c>
    </row>
    <row r="3017" spans="1:9" hidden="1" x14ac:dyDescent="0.25">
      <c r="A3017">
        <v>9</v>
      </c>
      <c r="B3017" t="s">
        <v>10</v>
      </c>
      <c r="C3017">
        <v>2022</v>
      </c>
      <c r="D3017">
        <v>13</v>
      </c>
      <c r="E3017">
        <v>50</v>
      </c>
      <c r="F3017">
        <v>52.125</v>
      </c>
      <c r="G3017">
        <v>10.875</v>
      </c>
      <c r="H3017">
        <v>52000</v>
      </c>
      <c r="I3017" t="s">
        <v>25</v>
      </c>
    </row>
    <row r="3018" spans="1:9" hidden="1" x14ac:dyDescent="0.25">
      <c r="A3018">
        <v>10</v>
      </c>
      <c r="B3018" t="s">
        <v>10</v>
      </c>
      <c r="C3018">
        <v>2022</v>
      </c>
      <c r="D3018">
        <v>52.125</v>
      </c>
      <c r="E3018" t="s">
        <v>9</v>
      </c>
      <c r="F3018">
        <v>40.25</v>
      </c>
      <c r="G3018">
        <v>11.875</v>
      </c>
      <c r="H3018">
        <v>52000</v>
      </c>
      <c r="I3018" t="s">
        <v>25</v>
      </c>
    </row>
    <row r="3019" spans="1:9" hidden="1" x14ac:dyDescent="0.25">
      <c r="A3019">
        <v>11</v>
      </c>
      <c r="B3019" t="s">
        <v>10</v>
      </c>
      <c r="C3019">
        <v>2022</v>
      </c>
      <c r="D3019">
        <v>40.25</v>
      </c>
      <c r="E3019" t="s">
        <v>9</v>
      </c>
      <c r="F3019">
        <v>26.5</v>
      </c>
      <c r="G3019">
        <v>13.75</v>
      </c>
      <c r="H3019">
        <v>52000</v>
      </c>
      <c r="I3019" t="s">
        <v>25</v>
      </c>
    </row>
    <row r="3020" spans="1:9" hidden="1" x14ac:dyDescent="0.25">
      <c r="A3020">
        <v>12</v>
      </c>
      <c r="B3020" t="s">
        <v>10</v>
      </c>
      <c r="C3020">
        <v>2022</v>
      </c>
      <c r="D3020">
        <v>26.5</v>
      </c>
      <c r="E3020">
        <v>40</v>
      </c>
      <c r="F3020">
        <v>60.5</v>
      </c>
      <c r="G3020">
        <v>6</v>
      </c>
      <c r="H3020">
        <v>52000</v>
      </c>
      <c r="I3020" t="s">
        <v>25</v>
      </c>
    </row>
    <row r="3021" spans="1:9" hidden="1" x14ac:dyDescent="0.25">
      <c r="A3021">
        <v>13</v>
      </c>
      <c r="B3021" t="s">
        <v>10</v>
      </c>
      <c r="C3021">
        <v>2022</v>
      </c>
      <c r="D3021">
        <v>60.5</v>
      </c>
      <c r="E3021" t="s">
        <v>9</v>
      </c>
      <c r="F3021">
        <v>49.625</v>
      </c>
      <c r="G3021">
        <v>10.875</v>
      </c>
      <c r="H3021">
        <v>52000</v>
      </c>
      <c r="I3021" t="s">
        <v>25</v>
      </c>
    </row>
    <row r="3022" spans="1:9" hidden="1" x14ac:dyDescent="0.25">
      <c r="A3022">
        <v>14</v>
      </c>
      <c r="B3022" t="s">
        <v>10</v>
      </c>
      <c r="C3022">
        <v>2022</v>
      </c>
      <c r="D3022">
        <v>49.625</v>
      </c>
      <c r="E3022" t="s">
        <v>9</v>
      </c>
      <c r="F3022">
        <v>43.625</v>
      </c>
      <c r="G3022">
        <v>6</v>
      </c>
      <c r="H3022">
        <v>52000</v>
      </c>
      <c r="I3022" t="s">
        <v>25</v>
      </c>
    </row>
    <row r="3023" spans="1:9" hidden="1" x14ac:dyDescent="0.25">
      <c r="A3023">
        <v>15</v>
      </c>
      <c r="B3023" t="s">
        <v>10</v>
      </c>
      <c r="C3023">
        <v>2022</v>
      </c>
      <c r="D3023">
        <v>43.625</v>
      </c>
      <c r="E3023">
        <v>61.375</v>
      </c>
      <c r="F3023">
        <v>98.75</v>
      </c>
      <c r="G3023">
        <v>6.25</v>
      </c>
      <c r="H3023">
        <v>52000</v>
      </c>
      <c r="I3023" t="s">
        <v>25</v>
      </c>
    </row>
    <row r="3024" spans="1:9" hidden="1" x14ac:dyDescent="0.25">
      <c r="A3024">
        <v>16</v>
      </c>
      <c r="B3024" t="s">
        <v>10</v>
      </c>
      <c r="C3024">
        <v>2022</v>
      </c>
      <c r="D3024">
        <v>98.75</v>
      </c>
      <c r="E3024" t="s">
        <v>9</v>
      </c>
      <c r="F3024">
        <v>92.125</v>
      </c>
      <c r="G3024">
        <v>6.625</v>
      </c>
      <c r="H3024">
        <v>52000</v>
      </c>
      <c r="I3024" t="s">
        <v>25</v>
      </c>
    </row>
    <row r="3025" spans="1:9" hidden="1" x14ac:dyDescent="0.25">
      <c r="A3025">
        <v>17</v>
      </c>
      <c r="B3025" t="s">
        <v>10</v>
      </c>
      <c r="C3025">
        <v>2022</v>
      </c>
      <c r="D3025">
        <v>92.125</v>
      </c>
      <c r="E3025" t="s">
        <v>9</v>
      </c>
      <c r="F3025">
        <v>70.125</v>
      </c>
      <c r="G3025">
        <v>22</v>
      </c>
      <c r="H3025">
        <v>52000</v>
      </c>
      <c r="I3025" t="s">
        <v>25</v>
      </c>
    </row>
    <row r="3026" spans="1:9" hidden="1" x14ac:dyDescent="0.25">
      <c r="A3026">
        <v>18</v>
      </c>
      <c r="B3026" t="s">
        <v>10</v>
      </c>
      <c r="C3026">
        <v>2022</v>
      </c>
      <c r="D3026">
        <v>70.125</v>
      </c>
      <c r="E3026" t="s">
        <v>9</v>
      </c>
      <c r="F3026">
        <v>55.375</v>
      </c>
      <c r="G3026">
        <v>14.75</v>
      </c>
      <c r="H3026">
        <v>52000</v>
      </c>
      <c r="I3026" t="s">
        <v>25</v>
      </c>
    </row>
    <row r="3027" spans="1:9" hidden="1" x14ac:dyDescent="0.25">
      <c r="A3027">
        <v>19</v>
      </c>
      <c r="B3027" t="s">
        <v>10</v>
      </c>
      <c r="C3027">
        <v>2022</v>
      </c>
      <c r="D3027">
        <v>55.375</v>
      </c>
      <c r="E3027" t="s">
        <v>9</v>
      </c>
      <c r="F3027">
        <v>50.875</v>
      </c>
      <c r="G3027">
        <v>4.5</v>
      </c>
      <c r="H3027">
        <v>52000</v>
      </c>
      <c r="I3027" t="s">
        <v>25</v>
      </c>
    </row>
    <row r="3028" spans="1:9" hidden="1" x14ac:dyDescent="0.25">
      <c r="A3028">
        <v>20</v>
      </c>
      <c r="B3028" t="s">
        <v>10</v>
      </c>
      <c r="C3028">
        <v>2022</v>
      </c>
      <c r="D3028">
        <v>50.875</v>
      </c>
      <c r="E3028" t="s">
        <v>9</v>
      </c>
      <c r="F3028">
        <v>43.25</v>
      </c>
      <c r="G3028">
        <v>7.625</v>
      </c>
      <c r="H3028">
        <v>52000</v>
      </c>
      <c r="I3028" t="s">
        <v>25</v>
      </c>
    </row>
    <row r="3029" spans="1:9" hidden="1" x14ac:dyDescent="0.25">
      <c r="A3029">
        <v>21</v>
      </c>
      <c r="B3029" t="s">
        <v>10</v>
      </c>
      <c r="C3029">
        <v>2022</v>
      </c>
      <c r="D3029">
        <v>43.25</v>
      </c>
      <c r="E3029" t="s">
        <v>9</v>
      </c>
      <c r="F3029">
        <v>34.75</v>
      </c>
      <c r="G3029">
        <v>8.5</v>
      </c>
      <c r="H3029">
        <v>52000</v>
      </c>
      <c r="I3029" t="s">
        <v>25</v>
      </c>
    </row>
    <row r="3030" spans="1:9" hidden="1" x14ac:dyDescent="0.25">
      <c r="A3030">
        <v>22</v>
      </c>
      <c r="B3030" t="s">
        <v>10</v>
      </c>
      <c r="C3030">
        <v>2022</v>
      </c>
      <c r="D3030">
        <v>34.75</v>
      </c>
      <c r="E3030">
        <v>30</v>
      </c>
      <c r="F3030">
        <v>60.375</v>
      </c>
      <c r="G3030">
        <v>4.375</v>
      </c>
      <c r="H3030">
        <v>52000</v>
      </c>
      <c r="I3030" t="s">
        <v>25</v>
      </c>
    </row>
    <row r="3031" spans="1:9" hidden="1" x14ac:dyDescent="0.25">
      <c r="A3031">
        <v>23</v>
      </c>
      <c r="B3031" t="s">
        <v>10</v>
      </c>
      <c r="C3031">
        <v>2022</v>
      </c>
      <c r="D3031">
        <v>60.375</v>
      </c>
      <c r="E3031" t="s">
        <v>9</v>
      </c>
      <c r="F3031">
        <v>52.25</v>
      </c>
      <c r="G3031">
        <v>8.125</v>
      </c>
      <c r="H3031">
        <v>52000</v>
      </c>
      <c r="I3031" t="s">
        <v>25</v>
      </c>
    </row>
    <row r="3032" spans="1:9" hidden="1" x14ac:dyDescent="0.25">
      <c r="A3032">
        <v>24</v>
      </c>
      <c r="B3032" t="s">
        <v>10</v>
      </c>
      <c r="C3032">
        <v>2022</v>
      </c>
      <c r="D3032">
        <v>52.25</v>
      </c>
      <c r="E3032" t="s">
        <v>9</v>
      </c>
      <c r="F3032">
        <v>39.75</v>
      </c>
      <c r="G3032">
        <v>12.5</v>
      </c>
      <c r="H3032">
        <v>52000</v>
      </c>
      <c r="I3032" t="s">
        <v>25</v>
      </c>
    </row>
    <row r="3033" spans="1:9" hidden="1" x14ac:dyDescent="0.25">
      <c r="A3033">
        <v>25</v>
      </c>
      <c r="B3033" t="s">
        <v>10</v>
      </c>
      <c r="C3033">
        <v>2022</v>
      </c>
      <c r="D3033">
        <v>39.75</v>
      </c>
      <c r="E3033" t="s">
        <v>9</v>
      </c>
      <c r="F3033">
        <v>28</v>
      </c>
      <c r="G3033">
        <v>11.75</v>
      </c>
      <c r="H3033">
        <v>52000</v>
      </c>
      <c r="I3033" t="s">
        <v>25</v>
      </c>
    </row>
    <row r="3034" spans="1:9" hidden="1" x14ac:dyDescent="0.25">
      <c r="A3034">
        <v>26</v>
      </c>
      <c r="B3034" t="s">
        <v>10</v>
      </c>
      <c r="C3034">
        <v>2022</v>
      </c>
      <c r="D3034">
        <v>28</v>
      </c>
      <c r="E3034" t="s">
        <v>9</v>
      </c>
      <c r="F3034">
        <v>20</v>
      </c>
      <c r="G3034">
        <v>8</v>
      </c>
      <c r="H3034">
        <v>52000</v>
      </c>
      <c r="I3034" t="s">
        <v>25</v>
      </c>
    </row>
    <row r="3035" spans="1:9" hidden="1" x14ac:dyDescent="0.25">
      <c r="A3035">
        <v>27</v>
      </c>
      <c r="B3035" t="s">
        <v>10</v>
      </c>
      <c r="C3035">
        <v>2022</v>
      </c>
      <c r="D3035">
        <v>20</v>
      </c>
      <c r="E3035" t="s">
        <v>9</v>
      </c>
      <c r="F3035">
        <v>12.125</v>
      </c>
      <c r="G3035">
        <v>7.875</v>
      </c>
      <c r="H3035">
        <v>52000</v>
      </c>
      <c r="I3035" t="s">
        <v>25</v>
      </c>
    </row>
    <row r="3036" spans="1:9" hidden="1" x14ac:dyDescent="0.25">
      <c r="A3036">
        <v>28</v>
      </c>
      <c r="B3036" t="s">
        <v>10</v>
      </c>
      <c r="C3036">
        <v>2022</v>
      </c>
      <c r="D3036">
        <v>12.125</v>
      </c>
      <c r="E3036">
        <v>50</v>
      </c>
      <c r="F3036">
        <v>57.625</v>
      </c>
      <c r="G3036">
        <v>4.5</v>
      </c>
      <c r="H3036">
        <v>52000</v>
      </c>
      <c r="I3036" t="s">
        <v>25</v>
      </c>
    </row>
    <row r="3037" spans="1:9" hidden="1" x14ac:dyDescent="0.25">
      <c r="A3037">
        <v>29</v>
      </c>
      <c r="B3037" t="s">
        <v>10</v>
      </c>
      <c r="C3037">
        <v>2022</v>
      </c>
      <c r="D3037">
        <v>57.625</v>
      </c>
      <c r="E3037" t="s">
        <v>9</v>
      </c>
      <c r="F3037">
        <v>51.5</v>
      </c>
      <c r="G3037">
        <v>6.125</v>
      </c>
      <c r="H3037">
        <v>52000</v>
      </c>
      <c r="I3037" t="s">
        <v>25</v>
      </c>
    </row>
    <row r="3038" spans="1:9" hidden="1" x14ac:dyDescent="0.25">
      <c r="A3038">
        <v>30</v>
      </c>
      <c r="B3038" t="s">
        <v>9</v>
      </c>
      <c r="C3038" t="s">
        <v>9</v>
      </c>
      <c r="D3038">
        <v>51.5</v>
      </c>
      <c r="E3038" t="s">
        <v>9</v>
      </c>
      <c r="F3038">
        <v>43.75</v>
      </c>
      <c r="G3038">
        <v>7.75</v>
      </c>
      <c r="H3038">
        <v>52000</v>
      </c>
      <c r="I3038" t="s">
        <v>25</v>
      </c>
    </row>
    <row r="3039" spans="1:9" x14ac:dyDescent="0.25">
      <c r="A3039">
        <v>1</v>
      </c>
      <c r="B3039" t="s">
        <v>19</v>
      </c>
      <c r="C3039">
        <v>2022</v>
      </c>
      <c r="D3039">
        <v>104</v>
      </c>
      <c r="E3039" t="s">
        <v>9</v>
      </c>
      <c r="F3039">
        <v>91.5</v>
      </c>
      <c r="G3039">
        <v>12.5</v>
      </c>
      <c r="H3039">
        <v>52000</v>
      </c>
      <c r="I3039" t="s">
        <v>22</v>
      </c>
    </row>
    <row r="3040" spans="1:9" x14ac:dyDescent="0.25">
      <c r="A3040">
        <v>2</v>
      </c>
      <c r="B3040" t="s">
        <v>19</v>
      </c>
      <c r="C3040">
        <v>2022</v>
      </c>
      <c r="D3040">
        <v>91.5</v>
      </c>
      <c r="E3040">
        <v>50</v>
      </c>
      <c r="F3040">
        <v>124.25</v>
      </c>
      <c r="G3040">
        <v>17.25</v>
      </c>
      <c r="H3040">
        <v>52000</v>
      </c>
      <c r="I3040" t="s">
        <v>22</v>
      </c>
    </row>
    <row r="3041" spans="1:9" x14ac:dyDescent="0.25">
      <c r="A3041">
        <v>3</v>
      </c>
      <c r="B3041" t="s">
        <v>19</v>
      </c>
      <c r="C3041">
        <v>2022</v>
      </c>
      <c r="D3041">
        <v>124.25</v>
      </c>
      <c r="E3041" t="s">
        <v>9</v>
      </c>
      <c r="F3041">
        <v>107.125</v>
      </c>
      <c r="G3041">
        <v>17.125</v>
      </c>
      <c r="H3041">
        <v>52000</v>
      </c>
      <c r="I3041" t="s">
        <v>22</v>
      </c>
    </row>
    <row r="3042" spans="1:9" x14ac:dyDescent="0.25">
      <c r="A3042">
        <v>4</v>
      </c>
      <c r="B3042" t="s">
        <v>19</v>
      </c>
      <c r="C3042">
        <v>2022</v>
      </c>
      <c r="D3042">
        <v>107.125</v>
      </c>
      <c r="E3042" t="s">
        <v>9</v>
      </c>
      <c r="F3042">
        <v>80.875</v>
      </c>
      <c r="G3042">
        <v>26.25</v>
      </c>
      <c r="H3042">
        <v>52000</v>
      </c>
      <c r="I3042" t="s">
        <v>22</v>
      </c>
    </row>
    <row r="3043" spans="1:9" x14ac:dyDescent="0.25">
      <c r="A3043">
        <v>5</v>
      </c>
      <c r="B3043" t="s">
        <v>19</v>
      </c>
      <c r="C3043">
        <v>2022</v>
      </c>
      <c r="D3043">
        <v>80.875</v>
      </c>
      <c r="E3043">
        <v>60</v>
      </c>
      <c r="F3043">
        <v>97</v>
      </c>
      <c r="G3043">
        <v>43.875</v>
      </c>
      <c r="H3043">
        <v>52000</v>
      </c>
      <c r="I3043" t="s">
        <v>22</v>
      </c>
    </row>
    <row r="3044" spans="1:9" x14ac:dyDescent="0.25">
      <c r="A3044">
        <v>6</v>
      </c>
      <c r="B3044" t="s">
        <v>19</v>
      </c>
      <c r="C3044">
        <v>2022</v>
      </c>
      <c r="D3044">
        <v>97</v>
      </c>
      <c r="E3044" t="s">
        <v>9</v>
      </c>
      <c r="F3044">
        <v>55.5</v>
      </c>
      <c r="G3044">
        <v>41.5</v>
      </c>
      <c r="H3044">
        <v>52000</v>
      </c>
      <c r="I3044" t="s">
        <v>22</v>
      </c>
    </row>
    <row r="3045" spans="1:9" x14ac:dyDescent="0.25">
      <c r="A3045">
        <v>7</v>
      </c>
      <c r="B3045" t="s">
        <v>19</v>
      </c>
      <c r="C3045">
        <v>2022</v>
      </c>
      <c r="D3045">
        <v>55.5</v>
      </c>
      <c r="E3045">
        <v>90</v>
      </c>
      <c r="F3045">
        <v>109.125</v>
      </c>
      <c r="G3045">
        <v>36.375</v>
      </c>
      <c r="H3045">
        <v>52000</v>
      </c>
      <c r="I3045" t="s">
        <v>22</v>
      </c>
    </row>
    <row r="3046" spans="1:9" x14ac:dyDescent="0.25">
      <c r="A3046">
        <v>8</v>
      </c>
      <c r="B3046" t="s">
        <v>19</v>
      </c>
      <c r="C3046">
        <v>2022</v>
      </c>
      <c r="D3046">
        <v>109.125</v>
      </c>
      <c r="E3046" t="s">
        <v>9</v>
      </c>
      <c r="F3046">
        <v>99</v>
      </c>
      <c r="G3046">
        <v>10.125</v>
      </c>
      <c r="H3046">
        <v>52000</v>
      </c>
      <c r="I3046" t="s">
        <v>22</v>
      </c>
    </row>
    <row r="3047" spans="1:9" x14ac:dyDescent="0.25">
      <c r="A3047">
        <v>9</v>
      </c>
      <c r="B3047" t="s">
        <v>19</v>
      </c>
      <c r="C3047">
        <v>2022</v>
      </c>
      <c r="D3047">
        <v>99</v>
      </c>
      <c r="E3047">
        <v>60</v>
      </c>
      <c r="F3047">
        <v>140.125</v>
      </c>
      <c r="G3047">
        <v>18.875</v>
      </c>
      <c r="H3047">
        <v>52000</v>
      </c>
      <c r="I3047" t="s">
        <v>22</v>
      </c>
    </row>
    <row r="3048" spans="1:9" x14ac:dyDescent="0.25">
      <c r="A3048">
        <v>10</v>
      </c>
      <c r="B3048" t="s">
        <v>19</v>
      </c>
      <c r="C3048">
        <v>2022</v>
      </c>
      <c r="D3048">
        <v>140.125</v>
      </c>
      <c r="E3048" t="s">
        <v>9</v>
      </c>
      <c r="F3048">
        <v>122.875</v>
      </c>
      <c r="G3048">
        <v>17.25</v>
      </c>
      <c r="H3048">
        <v>52000</v>
      </c>
      <c r="I3048" t="s">
        <v>22</v>
      </c>
    </row>
    <row r="3049" spans="1:9" x14ac:dyDescent="0.25">
      <c r="A3049">
        <v>11</v>
      </c>
      <c r="B3049" t="s">
        <v>19</v>
      </c>
      <c r="C3049">
        <v>2022</v>
      </c>
      <c r="D3049">
        <v>122.875</v>
      </c>
      <c r="E3049" t="s">
        <v>9</v>
      </c>
      <c r="F3049">
        <v>99.25</v>
      </c>
      <c r="G3049">
        <v>23.625</v>
      </c>
      <c r="H3049">
        <v>52000</v>
      </c>
      <c r="I3049" t="s">
        <v>22</v>
      </c>
    </row>
    <row r="3050" spans="1:9" x14ac:dyDescent="0.25">
      <c r="A3050">
        <v>12</v>
      </c>
      <c r="B3050" t="s">
        <v>19</v>
      </c>
      <c r="C3050">
        <v>2022</v>
      </c>
      <c r="D3050">
        <v>99.25</v>
      </c>
      <c r="E3050">
        <v>60</v>
      </c>
      <c r="F3050">
        <v>112.5</v>
      </c>
      <c r="G3050">
        <v>46.75</v>
      </c>
      <c r="H3050">
        <v>52000</v>
      </c>
      <c r="I3050" t="s">
        <v>22</v>
      </c>
    </row>
    <row r="3051" spans="1:9" x14ac:dyDescent="0.25">
      <c r="A3051">
        <v>13</v>
      </c>
      <c r="B3051" t="s">
        <v>19</v>
      </c>
      <c r="C3051">
        <v>2022</v>
      </c>
      <c r="D3051">
        <v>112.5</v>
      </c>
      <c r="E3051" t="s">
        <v>9</v>
      </c>
      <c r="F3051">
        <v>63</v>
      </c>
      <c r="G3051">
        <v>49.5</v>
      </c>
      <c r="H3051">
        <v>52000</v>
      </c>
      <c r="I3051" t="s">
        <v>22</v>
      </c>
    </row>
    <row r="3052" spans="1:9" x14ac:dyDescent="0.25">
      <c r="A3052">
        <v>14</v>
      </c>
      <c r="B3052" t="s">
        <v>19</v>
      </c>
      <c r="C3052">
        <v>2022</v>
      </c>
      <c r="D3052">
        <v>63</v>
      </c>
      <c r="E3052">
        <v>80</v>
      </c>
      <c r="F3052">
        <v>97.875</v>
      </c>
      <c r="G3052">
        <v>45.125</v>
      </c>
      <c r="H3052">
        <v>52000</v>
      </c>
      <c r="I3052" t="s">
        <v>22</v>
      </c>
    </row>
    <row r="3053" spans="1:9" x14ac:dyDescent="0.25">
      <c r="A3053">
        <v>15</v>
      </c>
      <c r="B3053" t="s">
        <v>19</v>
      </c>
      <c r="C3053">
        <v>2022</v>
      </c>
      <c r="D3053">
        <v>97.875</v>
      </c>
      <c r="E3053" t="s">
        <v>9</v>
      </c>
      <c r="F3053">
        <v>83.75</v>
      </c>
      <c r="G3053">
        <v>14.125</v>
      </c>
      <c r="H3053">
        <v>52000</v>
      </c>
      <c r="I3053" t="s">
        <v>22</v>
      </c>
    </row>
    <row r="3054" spans="1:9" x14ac:dyDescent="0.25">
      <c r="A3054">
        <v>16</v>
      </c>
      <c r="B3054" t="s">
        <v>19</v>
      </c>
      <c r="C3054">
        <v>2022</v>
      </c>
      <c r="D3054">
        <v>83.75</v>
      </c>
      <c r="E3054">
        <v>70</v>
      </c>
      <c r="F3054">
        <v>132</v>
      </c>
      <c r="G3054">
        <v>21.75</v>
      </c>
      <c r="H3054">
        <v>52000</v>
      </c>
      <c r="I3054" t="s">
        <v>22</v>
      </c>
    </row>
    <row r="3055" spans="1:9" x14ac:dyDescent="0.25">
      <c r="A3055">
        <v>17</v>
      </c>
      <c r="B3055" t="s">
        <v>19</v>
      </c>
      <c r="C3055">
        <v>2022</v>
      </c>
      <c r="D3055">
        <v>132</v>
      </c>
      <c r="E3055" t="s">
        <v>9</v>
      </c>
      <c r="F3055">
        <v>113.875</v>
      </c>
      <c r="G3055">
        <v>18.125</v>
      </c>
      <c r="H3055">
        <v>52000</v>
      </c>
      <c r="I3055" t="s">
        <v>22</v>
      </c>
    </row>
    <row r="3056" spans="1:9" x14ac:dyDescent="0.25">
      <c r="A3056">
        <v>18</v>
      </c>
      <c r="B3056" t="s">
        <v>19</v>
      </c>
      <c r="C3056">
        <v>2022</v>
      </c>
      <c r="D3056">
        <v>113.875</v>
      </c>
      <c r="E3056" t="s">
        <v>9</v>
      </c>
      <c r="F3056">
        <v>86.375</v>
      </c>
      <c r="G3056">
        <v>27.5</v>
      </c>
      <c r="H3056">
        <v>52000</v>
      </c>
      <c r="I3056" t="s">
        <v>22</v>
      </c>
    </row>
    <row r="3057" spans="1:9" x14ac:dyDescent="0.25">
      <c r="A3057">
        <v>19</v>
      </c>
      <c r="B3057" t="s">
        <v>19</v>
      </c>
      <c r="C3057">
        <v>2022</v>
      </c>
      <c r="D3057">
        <v>86.375</v>
      </c>
      <c r="E3057">
        <v>70</v>
      </c>
      <c r="F3057">
        <v>113.125</v>
      </c>
      <c r="G3057">
        <v>43.25</v>
      </c>
      <c r="H3057">
        <v>52000</v>
      </c>
      <c r="I3057" t="s">
        <v>22</v>
      </c>
    </row>
    <row r="3058" spans="1:9" x14ac:dyDescent="0.25">
      <c r="A3058">
        <v>20</v>
      </c>
      <c r="B3058" t="s">
        <v>19</v>
      </c>
      <c r="C3058">
        <v>2022</v>
      </c>
      <c r="D3058">
        <v>113.125</v>
      </c>
      <c r="E3058" t="s">
        <v>9</v>
      </c>
      <c r="F3058">
        <v>61.25</v>
      </c>
      <c r="G3058">
        <v>51.875</v>
      </c>
      <c r="H3058">
        <v>52000</v>
      </c>
      <c r="I3058" t="s">
        <v>22</v>
      </c>
    </row>
    <row r="3059" spans="1:9" x14ac:dyDescent="0.25">
      <c r="A3059">
        <v>21</v>
      </c>
      <c r="B3059" t="s">
        <v>19</v>
      </c>
      <c r="C3059">
        <v>2022</v>
      </c>
      <c r="D3059">
        <v>61.25</v>
      </c>
      <c r="E3059">
        <v>70</v>
      </c>
      <c r="F3059">
        <v>121</v>
      </c>
      <c r="G3059">
        <v>10.25</v>
      </c>
      <c r="H3059">
        <v>52000</v>
      </c>
      <c r="I3059" t="s">
        <v>22</v>
      </c>
    </row>
    <row r="3060" spans="1:9" x14ac:dyDescent="0.25">
      <c r="A3060">
        <v>22</v>
      </c>
      <c r="B3060" t="s">
        <v>19</v>
      </c>
      <c r="C3060">
        <v>2022</v>
      </c>
      <c r="D3060">
        <v>121</v>
      </c>
      <c r="E3060" t="s">
        <v>9</v>
      </c>
      <c r="F3060">
        <v>106.125</v>
      </c>
      <c r="G3060">
        <v>14.875</v>
      </c>
      <c r="H3060">
        <v>52000</v>
      </c>
      <c r="I3060" t="s">
        <v>22</v>
      </c>
    </row>
    <row r="3061" spans="1:9" x14ac:dyDescent="0.25">
      <c r="A3061">
        <v>23</v>
      </c>
      <c r="B3061" t="s">
        <v>19</v>
      </c>
      <c r="C3061">
        <v>2022</v>
      </c>
      <c r="D3061">
        <v>106.125</v>
      </c>
      <c r="E3061">
        <v>100</v>
      </c>
      <c r="F3061">
        <v>190.25</v>
      </c>
      <c r="G3061">
        <v>15.875</v>
      </c>
      <c r="H3061">
        <v>52000</v>
      </c>
      <c r="I3061" t="s">
        <v>22</v>
      </c>
    </row>
    <row r="3062" spans="1:9" x14ac:dyDescent="0.25">
      <c r="A3062">
        <v>24</v>
      </c>
      <c r="B3062" t="s">
        <v>19</v>
      </c>
      <c r="C3062">
        <v>2022</v>
      </c>
      <c r="D3062">
        <v>190.25</v>
      </c>
      <c r="E3062" t="s">
        <v>9</v>
      </c>
      <c r="F3062">
        <v>176.375</v>
      </c>
      <c r="G3062">
        <v>13.875</v>
      </c>
      <c r="H3062">
        <v>52000</v>
      </c>
      <c r="I3062" t="s">
        <v>22</v>
      </c>
    </row>
    <row r="3063" spans="1:9" x14ac:dyDescent="0.25">
      <c r="A3063">
        <v>25</v>
      </c>
      <c r="B3063" t="s">
        <v>19</v>
      </c>
      <c r="C3063">
        <v>2022</v>
      </c>
      <c r="D3063">
        <v>176.375</v>
      </c>
      <c r="E3063" t="s">
        <v>9</v>
      </c>
      <c r="F3063">
        <v>135.75</v>
      </c>
      <c r="G3063">
        <v>40.625</v>
      </c>
      <c r="H3063">
        <v>52000</v>
      </c>
      <c r="I3063" t="s">
        <v>22</v>
      </c>
    </row>
    <row r="3064" spans="1:9" x14ac:dyDescent="0.25">
      <c r="A3064">
        <v>26</v>
      </c>
      <c r="B3064" t="s">
        <v>19</v>
      </c>
      <c r="C3064">
        <v>2022</v>
      </c>
      <c r="D3064">
        <v>135.75</v>
      </c>
      <c r="E3064" t="s">
        <v>9</v>
      </c>
      <c r="F3064">
        <v>95.625</v>
      </c>
      <c r="G3064">
        <v>40.125</v>
      </c>
      <c r="H3064">
        <v>52000</v>
      </c>
      <c r="I3064" t="s">
        <v>22</v>
      </c>
    </row>
    <row r="3065" spans="1:9" x14ac:dyDescent="0.25">
      <c r="A3065">
        <v>27</v>
      </c>
      <c r="B3065" t="s">
        <v>19</v>
      </c>
      <c r="C3065">
        <v>2022</v>
      </c>
      <c r="D3065">
        <v>95.625</v>
      </c>
      <c r="E3065" t="s">
        <v>9</v>
      </c>
      <c r="F3065">
        <v>57.75</v>
      </c>
      <c r="G3065">
        <v>37.875</v>
      </c>
      <c r="H3065">
        <v>52000</v>
      </c>
      <c r="I3065" t="s">
        <v>22</v>
      </c>
    </row>
    <row r="3066" spans="1:9" x14ac:dyDescent="0.25">
      <c r="A3066">
        <v>28</v>
      </c>
      <c r="B3066" t="s">
        <v>19</v>
      </c>
      <c r="C3066">
        <v>2022</v>
      </c>
      <c r="D3066">
        <v>57.75</v>
      </c>
      <c r="E3066">
        <v>70</v>
      </c>
      <c r="F3066">
        <v>121</v>
      </c>
      <c r="G3066">
        <v>6.75</v>
      </c>
      <c r="H3066">
        <v>52000</v>
      </c>
      <c r="I3066" t="s">
        <v>22</v>
      </c>
    </row>
    <row r="3067" spans="1:9" x14ac:dyDescent="0.25">
      <c r="A3067">
        <v>29</v>
      </c>
      <c r="B3067" t="s">
        <v>19</v>
      </c>
      <c r="C3067">
        <v>2022</v>
      </c>
      <c r="D3067">
        <v>121</v>
      </c>
      <c r="E3067" t="s">
        <v>9</v>
      </c>
      <c r="F3067">
        <v>106.875</v>
      </c>
      <c r="G3067">
        <v>14.125</v>
      </c>
      <c r="H3067">
        <v>52000</v>
      </c>
      <c r="I3067" t="s">
        <v>22</v>
      </c>
    </row>
    <row r="3068" spans="1:9" x14ac:dyDescent="0.25">
      <c r="A3068">
        <v>30</v>
      </c>
      <c r="B3068" t="s">
        <v>19</v>
      </c>
      <c r="C3068">
        <v>2022</v>
      </c>
      <c r="D3068">
        <v>106.875</v>
      </c>
      <c r="E3068">
        <v>30</v>
      </c>
      <c r="F3068">
        <v>118.75</v>
      </c>
      <c r="G3068">
        <v>18.125</v>
      </c>
      <c r="H3068">
        <v>52000</v>
      </c>
      <c r="I3068" t="s">
        <v>22</v>
      </c>
    </row>
    <row r="3069" spans="1:9" hidden="1" x14ac:dyDescent="0.25">
      <c r="A3069">
        <v>1</v>
      </c>
      <c r="B3069" t="s">
        <v>19</v>
      </c>
      <c r="C3069">
        <v>2022</v>
      </c>
      <c r="D3069">
        <v>60.375</v>
      </c>
      <c r="E3069" t="s">
        <v>9</v>
      </c>
      <c r="F3069">
        <v>54.125</v>
      </c>
      <c r="G3069">
        <v>6.25</v>
      </c>
      <c r="H3069">
        <v>52000</v>
      </c>
      <c r="I3069" t="s">
        <v>25</v>
      </c>
    </row>
    <row r="3070" spans="1:9" hidden="1" x14ac:dyDescent="0.25">
      <c r="A3070">
        <v>2</v>
      </c>
      <c r="B3070" t="s">
        <v>19</v>
      </c>
      <c r="C3070">
        <v>2022</v>
      </c>
      <c r="D3070">
        <v>54.125</v>
      </c>
      <c r="E3070" t="s">
        <v>9</v>
      </c>
      <c r="F3070">
        <v>46.375</v>
      </c>
      <c r="G3070">
        <v>7.75</v>
      </c>
      <c r="H3070">
        <v>52000</v>
      </c>
      <c r="I3070" t="s">
        <v>25</v>
      </c>
    </row>
    <row r="3071" spans="1:9" hidden="1" x14ac:dyDescent="0.25">
      <c r="A3071">
        <v>3</v>
      </c>
      <c r="B3071" t="s">
        <v>19</v>
      </c>
      <c r="C3071">
        <v>2022</v>
      </c>
      <c r="D3071">
        <v>46.375</v>
      </c>
      <c r="E3071" t="s">
        <v>9</v>
      </c>
      <c r="F3071">
        <v>39.75</v>
      </c>
      <c r="G3071">
        <v>6.625</v>
      </c>
      <c r="H3071">
        <v>52000</v>
      </c>
      <c r="I3071" t="s">
        <v>25</v>
      </c>
    </row>
    <row r="3072" spans="1:9" hidden="1" x14ac:dyDescent="0.25">
      <c r="A3072">
        <v>4</v>
      </c>
      <c r="B3072" t="s">
        <v>19</v>
      </c>
      <c r="C3072">
        <v>2022</v>
      </c>
      <c r="D3072">
        <v>39.75</v>
      </c>
      <c r="E3072" t="s">
        <v>9</v>
      </c>
      <c r="F3072">
        <v>29.75</v>
      </c>
      <c r="G3072">
        <v>10</v>
      </c>
      <c r="H3072">
        <v>52000</v>
      </c>
      <c r="I3072" t="s">
        <v>25</v>
      </c>
    </row>
    <row r="3073" spans="1:9" hidden="1" x14ac:dyDescent="0.25">
      <c r="A3073">
        <v>5</v>
      </c>
      <c r="B3073" t="s">
        <v>19</v>
      </c>
      <c r="C3073">
        <v>2022</v>
      </c>
      <c r="D3073">
        <v>29.75</v>
      </c>
      <c r="E3073">
        <v>40</v>
      </c>
      <c r="F3073">
        <v>54.375</v>
      </c>
      <c r="G3073">
        <v>15.375</v>
      </c>
      <c r="H3073">
        <v>52000</v>
      </c>
      <c r="I3073" t="s">
        <v>25</v>
      </c>
    </row>
    <row r="3074" spans="1:9" hidden="1" x14ac:dyDescent="0.25">
      <c r="A3074">
        <v>6</v>
      </c>
      <c r="B3074" t="s">
        <v>19</v>
      </c>
      <c r="C3074">
        <v>2022</v>
      </c>
      <c r="D3074">
        <v>54.375</v>
      </c>
      <c r="E3074" t="s">
        <v>9</v>
      </c>
      <c r="F3074">
        <v>42.25</v>
      </c>
      <c r="G3074">
        <v>12.125</v>
      </c>
      <c r="H3074">
        <v>52000</v>
      </c>
      <c r="I3074" t="s">
        <v>25</v>
      </c>
    </row>
    <row r="3075" spans="1:9" hidden="1" x14ac:dyDescent="0.25">
      <c r="A3075">
        <v>7</v>
      </c>
      <c r="B3075" t="s">
        <v>19</v>
      </c>
      <c r="C3075">
        <v>2022</v>
      </c>
      <c r="D3075">
        <v>42.25</v>
      </c>
      <c r="E3075" t="s">
        <v>9</v>
      </c>
      <c r="F3075">
        <v>27.5</v>
      </c>
      <c r="G3075">
        <v>14.75</v>
      </c>
      <c r="H3075">
        <v>52000</v>
      </c>
      <c r="I3075" t="s">
        <v>25</v>
      </c>
    </row>
    <row r="3076" spans="1:9" hidden="1" x14ac:dyDescent="0.25">
      <c r="A3076">
        <v>8</v>
      </c>
      <c r="B3076" t="s">
        <v>19</v>
      </c>
      <c r="C3076">
        <v>2022</v>
      </c>
      <c r="D3076">
        <v>27.5</v>
      </c>
      <c r="E3076" t="s">
        <v>9</v>
      </c>
      <c r="F3076">
        <v>15.375</v>
      </c>
      <c r="G3076">
        <v>12.125</v>
      </c>
      <c r="H3076">
        <v>52000</v>
      </c>
      <c r="I3076" t="s">
        <v>25</v>
      </c>
    </row>
    <row r="3077" spans="1:9" hidden="1" x14ac:dyDescent="0.25">
      <c r="A3077">
        <v>9</v>
      </c>
      <c r="B3077" t="s">
        <v>19</v>
      </c>
      <c r="C3077">
        <v>2022</v>
      </c>
      <c r="D3077">
        <v>15.375</v>
      </c>
      <c r="E3077">
        <v>30</v>
      </c>
      <c r="F3077">
        <v>41</v>
      </c>
      <c r="G3077">
        <v>4.375</v>
      </c>
      <c r="H3077">
        <v>52000</v>
      </c>
      <c r="I3077" t="s">
        <v>25</v>
      </c>
    </row>
    <row r="3078" spans="1:9" hidden="1" x14ac:dyDescent="0.25">
      <c r="A3078">
        <v>10</v>
      </c>
      <c r="B3078" t="s">
        <v>19</v>
      </c>
      <c r="C3078">
        <v>2022</v>
      </c>
      <c r="D3078">
        <v>41</v>
      </c>
      <c r="E3078" t="s">
        <v>9</v>
      </c>
      <c r="F3078">
        <v>34.125</v>
      </c>
      <c r="G3078">
        <v>6.875</v>
      </c>
      <c r="H3078">
        <v>52000</v>
      </c>
      <c r="I3078" t="s">
        <v>25</v>
      </c>
    </row>
    <row r="3079" spans="1:9" hidden="1" x14ac:dyDescent="0.25">
      <c r="A3079">
        <v>11</v>
      </c>
      <c r="B3079" t="s">
        <v>19</v>
      </c>
      <c r="C3079">
        <v>2022</v>
      </c>
      <c r="D3079">
        <v>34.125</v>
      </c>
      <c r="E3079" t="s">
        <v>9</v>
      </c>
      <c r="F3079">
        <v>25.875</v>
      </c>
      <c r="G3079">
        <v>8.25</v>
      </c>
      <c r="H3079">
        <v>52000</v>
      </c>
      <c r="I3079" t="s">
        <v>25</v>
      </c>
    </row>
    <row r="3080" spans="1:9" hidden="1" x14ac:dyDescent="0.25">
      <c r="A3080">
        <v>12</v>
      </c>
      <c r="B3080" t="s">
        <v>19</v>
      </c>
      <c r="C3080">
        <v>2022</v>
      </c>
      <c r="D3080">
        <v>25.875</v>
      </c>
      <c r="E3080" t="s">
        <v>9</v>
      </c>
      <c r="F3080">
        <v>15.75</v>
      </c>
      <c r="G3080">
        <v>10.125</v>
      </c>
      <c r="H3080">
        <v>52000</v>
      </c>
      <c r="I3080" t="s">
        <v>25</v>
      </c>
    </row>
    <row r="3081" spans="1:9" hidden="1" x14ac:dyDescent="0.25">
      <c r="A3081">
        <v>13</v>
      </c>
      <c r="B3081" t="s">
        <v>19</v>
      </c>
      <c r="C3081">
        <v>2022</v>
      </c>
      <c r="D3081">
        <v>15.75</v>
      </c>
      <c r="E3081">
        <v>30</v>
      </c>
      <c r="F3081">
        <v>35.5</v>
      </c>
      <c r="G3081">
        <v>10.25</v>
      </c>
      <c r="H3081">
        <v>52000</v>
      </c>
      <c r="I3081" t="s">
        <v>25</v>
      </c>
    </row>
    <row r="3082" spans="1:9" hidden="1" x14ac:dyDescent="0.25">
      <c r="A3082">
        <v>14</v>
      </c>
      <c r="B3082" t="s">
        <v>19</v>
      </c>
      <c r="C3082">
        <v>2022</v>
      </c>
      <c r="D3082">
        <v>35.5</v>
      </c>
      <c r="E3082" t="s">
        <v>9</v>
      </c>
      <c r="F3082">
        <v>25.25</v>
      </c>
      <c r="G3082">
        <v>10.25</v>
      </c>
      <c r="H3082">
        <v>52000</v>
      </c>
      <c r="I3082" t="s">
        <v>25</v>
      </c>
    </row>
    <row r="3083" spans="1:9" hidden="1" x14ac:dyDescent="0.25">
      <c r="A3083">
        <v>15</v>
      </c>
      <c r="B3083" t="s">
        <v>19</v>
      </c>
      <c r="C3083">
        <v>2022</v>
      </c>
      <c r="D3083">
        <v>25.25</v>
      </c>
      <c r="E3083" t="s">
        <v>9</v>
      </c>
      <c r="F3083">
        <v>18.875</v>
      </c>
      <c r="G3083">
        <v>6.375</v>
      </c>
      <c r="H3083">
        <v>52000</v>
      </c>
      <c r="I3083" t="s">
        <v>25</v>
      </c>
    </row>
    <row r="3084" spans="1:9" hidden="1" x14ac:dyDescent="0.25">
      <c r="A3084">
        <v>16</v>
      </c>
      <c r="B3084" t="s">
        <v>19</v>
      </c>
      <c r="C3084">
        <v>2022</v>
      </c>
      <c r="D3084">
        <v>18.875</v>
      </c>
      <c r="E3084">
        <v>30</v>
      </c>
      <c r="F3084">
        <v>45.875</v>
      </c>
      <c r="G3084">
        <v>3</v>
      </c>
      <c r="H3084">
        <v>52000</v>
      </c>
      <c r="I3084" t="s">
        <v>25</v>
      </c>
    </row>
    <row r="3085" spans="1:9" hidden="1" x14ac:dyDescent="0.25">
      <c r="A3085">
        <v>17</v>
      </c>
      <c r="B3085" t="s">
        <v>19</v>
      </c>
      <c r="C3085">
        <v>2022</v>
      </c>
      <c r="D3085">
        <v>45.875</v>
      </c>
      <c r="E3085" t="s">
        <v>9</v>
      </c>
      <c r="F3085">
        <v>40.125</v>
      </c>
      <c r="G3085">
        <v>5.75</v>
      </c>
      <c r="H3085">
        <v>52000</v>
      </c>
      <c r="I3085" t="s">
        <v>25</v>
      </c>
    </row>
    <row r="3086" spans="1:9" hidden="1" x14ac:dyDescent="0.25">
      <c r="A3086">
        <v>18</v>
      </c>
      <c r="B3086" t="s">
        <v>19</v>
      </c>
      <c r="C3086">
        <v>2022</v>
      </c>
      <c r="D3086">
        <v>40.125</v>
      </c>
      <c r="E3086" t="s">
        <v>9</v>
      </c>
      <c r="F3086">
        <v>29.625</v>
      </c>
      <c r="G3086">
        <v>10.5</v>
      </c>
      <c r="H3086">
        <v>52000</v>
      </c>
      <c r="I3086" t="s">
        <v>25</v>
      </c>
    </row>
    <row r="3087" spans="1:9" hidden="1" x14ac:dyDescent="0.25">
      <c r="A3087">
        <v>19</v>
      </c>
      <c r="B3087" t="s">
        <v>19</v>
      </c>
      <c r="C3087">
        <v>2022</v>
      </c>
      <c r="D3087">
        <v>29.625</v>
      </c>
      <c r="E3087" t="s">
        <v>9</v>
      </c>
      <c r="F3087">
        <v>15.5</v>
      </c>
      <c r="G3087">
        <v>14.125</v>
      </c>
      <c r="H3087">
        <v>52000</v>
      </c>
      <c r="I3087" t="s">
        <v>25</v>
      </c>
    </row>
    <row r="3088" spans="1:9" hidden="1" x14ac:dyDescent="0.25">
      <c r="A3088">
        <v>20</v>
      </c>
      <c r="B3088" t="s">
        <v>19</v>
      </c>
      <c r="C3088">
        <v>2022</v>
      </c>
      <c r="D3088">
        <v>15.5</v>
      </c>
      <c r="E3088">
        <v>20</v>
      </c>
      <c r="F3088">
        <v>22.125</v>
      </c>
      <c r="G3088">
        <v>13.375</v>
      </c>
      <c r="H3088">
        <v>52000</v>
      </c>
      <c r="I3088" t="s">
        <v>25</v>
      </c>
    </row>
    <row r="3089" spans="1:9" hidden="1" x14ac:dyDescent="0.25">
      <c r="A3089">
        <v>21</v>
      </c>
      <c r="B3089" t="s">
        <v>19</v>
      </c>
      <c r="C3089">
        <v>2022</v>
      </c>
      <c r="D3089">
        <v>22.125</v>
      </c>
      <c r="E3089" t="s">
        <v>9</v>
      </c>
      <c r="F3089">
        <v>18.375</v>
      </c>
      <c r="G3089">
        <v>3.75</v>
      </c>
      <c r="H3089">
        <v>52000</v>
      </c>
      <c r="I3089" t="s">
        <v>25</v>
      </c>
    </row>
    <row r="3090" spans="1:9" hidden="1" x14ac:dyDescent="0.25">
      <c r="A3090">
        <v>22</v>
      </c>
      <c r="B3090" t="s">
        <v>19</v>
      </c>
      <c r="C3090">
        <v>2022</v>
      </c>
      <c r="D3090">
        <v>18.375</v>
      </c>
      <c r="E3090" t="s">
        <v>9</v>
      </c>
      <c r="F3090">
        <v>13.875</v>
      </c>
      <c r="G3090">
        <v>4.5</v>
      </c>
      <c r="H3090">
        <v>52000</v>
      </c>
      <c r="I3090" t="s">
        <v>25</v>
      </c>
    </row>
    <row r="3091" spans="1:9" hidden="1" x14ac:dyDescent="0.25">
      <c r="A3091">
        <v>23</v>
      </c>
      <c r="B3091" t="s">
        <v>19</v>
      </c>
      <c r="C3091">
        <v>2022</v>
      </c>
      <c r="D3091">
        <v>13.875</v>
      </c>
      <c r="E3091">
        <v>20</v>
      </c>
      <c r="F3091">
        <v>27.625</v>
      </c>
      <c r="G3091">
        <v>6.25</v>
      </c>
      <c r="H3091">
        <v>52000</v>
      </c>
      <c r="I3091" t="s">
        <v>25</v>
      </c>
    </row>
    <row r="3092" spans="1:9" hidden="1" x14ac:dyDescent="0.25">
      <c r="A3092">
        <v>24</v>
      </c>
      <c r="B3092" t="s">
        <v>19</v>
      </c>
      <c r="C3092">
        <v>2022</v>
      </c>
      <c r="D3092">
        <v>27.625</v>
      </c>
      <c r="E3092" t="s">
        <v>9</v>
      </c>
      <c r="F3092">
        <v>19.375</v>
      </c>
      <c r="G3092">
        <v>8.25</v>
      </c>
      <c r="H3092">
        <v>52000</v>
      </c>
      <c r="I3092" t="s">
        <v>25</v>
      </c>
    </row>
    <row r="3093" spans="1:9" hidden="1" x14ac:dyDescent="0.25">
      <c r="A3093">
        <v>25</v>
      </c>
      <c r="B3093" t="s">
        <v>19</v>
      </c>
      <c r="C3093">
        <v>2022</v>
      </c>
      <c r="D3093">
        <v>19.375</v>
      </c>
      <c r="E3093" t="s">
        <v>9</v>
      </c>
      <c r="F3093">
        <v>11.125</v>
      </c>
      <c r="G3093">
        <v>8.25</v>
      </c>
      <c r="H3093">
        <v>52000</v>
      </c>
      <c r="I3093" t="s">
        <v>25</v>
      </c>
    </row>
    <row r="3094" spans="1:9" hidden="1" x14ac:dyDescent="0.25">
      <c r="A3094">
        <v>26</v>
      </c>
      <c r="B3094" t="s">
        <v>19</v>
      </c>
      <c r="C3094">
        <v>2022</v>
      </c>
      <c r="D3094">
        <v>11.125</v>
      </c>
      <c r="E3094">
        <v>30</v>
      </c>
      <c r="F3094">
        <v>28.75</v>
      </c>
      <c r="G3094">
        <v>12.375</v>
      </c>
      <c r="H3094">
        <v>52000</v>
      </c>
      <c r="I3094" t="s">
        <v>25</v>
      </c>
    </row>
    <row r="3095" spans="1:9" hidden="1" x14ac:dyDescent="0.25">
      <c r="A3095">
        <v>27</v>
      </c>
      <c r="B3095" t="s">
        <v>19</v>
      </c>
      <c r="C3095">
        <v>2022</v>
      </c>
      <c r="D3095">
        <v>28.75</v>
      </c>
      <c r="E3095" t="s">
        <v>9</v>
      </c>
      <c r="F3095">
        <v>15.625</v>
      </c>
      <c r="G3095">
        <v>13.125</v>
      </c>
      <c r="H3095">
        <v>52000</v>
      </c>
      <c r="I3095" t="s">
        <v>25</v>
      </c>
    </row>
    <row r="3096" spans="1:9" hidden="1" x14ac:dyDescent="0.25">
      <c r="A3096">
        <v>28</v>
      </c>
      <c r="B3096" t="s">
        <v>19</v>
      </c>
      <c r="C3096">
        <v>2022</v>
      </c>
      <c r="D3096">
        <v>15.625</v>
      </c>
      <c r="E3096">
        <v>20</v>
      </c>
      <c r="F3096">
        <v>29.625</v>
      </c>
      <c r="G3096">
        <v>6</v>
      </c>
      <c r="H3096">
        <v>52000</v>
      </c>
      <c r="I3096" t="s">
        <v>25</v>
      </c>
    </row>
    <row r="3097" spans="1:9" hidden="1" x14ac:dyDescent="0.25">
      <c r="A3097">
        <v>29</v>
      </c>
      <c r="B3097" t="s">
        <v>19</v>
      </c>
      <c r="C3097">
        <v>2022</v>
      </c>
      <c r="D3097">
        <v>29.625</v>
      </c>
      <c r="E3097" t="s">
        <v>9</v>
      </c>
      <c r="F3097">
        <v>26</v>
      </c>
      <c r="G3097">
        <v>3.625</v>
      </c>
      <c r="H3097">
        <v>52000</v>
      </c>
      <c r="I3097" t="s">
        <v>25</v>
      </c>
    </row>
    <row r="3098" spans="1:9" hidden="1" x14ac:dyDescent="0.25">
      <c r="A3098">
        <v>30</v>
      </c>
      <c r="B3098" t="s">
        <v>9</v>
      </c>
      <c r="C3098" t="s">
        <v>9</v>
      </c>
      <c r="D3098" t="s">
        <v>9</v>
      </c>
      <c r="E3098" t="s">
        <v>9</v>
      </c>
      <c r="F3098" t="s">
        <v>9</v>
      </c>
      <c r="G3098" t="s">
        <v>9</v>
      </c>
      <c r="H3098" t="s">
        <v>9</v>
      </c>
      <c r="I3098" t="s">
        <v>25</v>
      </c>
    </row>
    <row r="3099" spans="1:9" hidden="1" x14ac:dyDescent="0.25">
      <c r="A3099">
        <v>31</v>
      </c>
      <c r="B3099" t="s">
        <v>9</v>
      </c>
      <c r="C3099" t="s">
        <v>9</v>
      </c>
      <c r="D3099" t="s">
        <v>9</v>
      </c>
      <c r="E3099" t="s">
        <v>9</v>
      </c>
      <c r="F3099" t="s">
        <v>9</v>
      </c>
      <c r="G3099" t="s">
        <v>9</v>
      </c>
      <c r="H3099" t="s">
        <v>9</v>
      </c>
      <c r="I3099" t="s">
        <v>25</v>
      </c>
    </row>
    <row r="3100" spans="1:9" x14ac:dyDescent="0.25">
      <c r="A3100">
        <v>1</v>
      </c>
      <c r="B3100" t="s">
        <v>20</v>
      </c>
      <c r="C3100">
        <v>2022</v>
      </c>
      <c r="D3100">
        <v>118.75</v>
      </c>
      <c r="E3100" t="s">
        <v>9</v>
      </c>
      <c r="F3100">
        <v>102.25</v>
      </c>
      <c r="G3100">
        <v>16.5</v>
      </c>
      <c r="H3100">
        <v>52000</v>
      </c>
      <c r="I3100" t="s">
        <v>22</v>
      </c>
    </row>
    <row r="3101" spans="1:9" x14ac:dyDescent="0.25">
      <c r="A3101">
        <v>2</v>
      </c>
      <c r="B3101" t="s">
        <v>20</v>
      </c>
      <c r="C3101">
        <v>2022</v>
      </c>
      <c r="D3101">
        <v>102.25</v>
      </c>
      <c r="E3101" t="s">
        <v>9</v>
      </c>
      <c r="F3101">
        <v>83.75</v>
      </c>
      <c r="G3101">
        <v>18.5</v>
      </c>
      <c r="H3101">
        <v>52000</v>
      </c>
      <c r="I3101" t="s">
        <v>22</v>
      </c>
    </row>
    <row r="3102" spans="1:9" x14ac:dyDescent="0.25">
      <c r="A3102">
        <v>3</v>
      </c>
      <c r="B3102" t="s">
        <v>20</v>
      </c>
      <c r="C3102">
        <v>2022</v>
      </c>
      <c r="D3102">
        <v>83.75</v>
      </c>
      <c r="E3102">
        <v>60</v>
      </c>
      <c r="F3102">
        <v>116</v>
      </c>
      <c r="G3102">
        <v>27.75</v>
      </c>
      <c r="H3102">
        <v>52000</v>
      </c>
      <c r="I3102" t="s">
        <v>22</v>
      </c>
    </row>
    <row r="3103" spans="1:9" x14ac:dyDescent="0.25">
      <c r="A3103">
        <v>4</v>
      </c>
      <c r="B3103" t="s">
        <v>20</v>
      </c>
      <c r="C3103">
        <v>2022</v>
      </c>
      <c r="D3103">
        <v>116</v>
      </c>
      <c r="E3103" t="s">
        <v>9</v>
      </c>
      <c r="F3103">
        <v>90.5</v>
      </c>
      <c r="G3103">
        <v>25.5</v>
      </c>
      <c r="H3103">
        <v>52000</v>
      </c>
      <c r="I3103" t="s">
        <v>22</v>
      </c>
    </row>
    <row r="3104" spans="1:9" x14ac:dyDescent="0.25">
      <c r="A3104">
        <v>5</v>
      </c>
      <c r="B3104" t="s">
        <v>20</v>
      </c>
      <c r="C3104">
        <v>2022</v>
      </c>
      <c r="D3104">
        <v>90.5</v>
      </c>
      <c r="E3104">
        <v>50</v>
      </c>
      <c r="F3104">
        <v>127.125</v>
      </c>
      <c r="G3104">
        <v>13.375</v>
      </c>
      <c r="H3104">
        <v>52000</v>
      </c>
      <c r="I3104" t="s">
        <v>22</v>
      </c>
    </row>
    <row r="3105" spans="1:9" x14ac:dyDescent="0.25">
      <c r="A3105">
        <v>6</v>
      </c>
      <c r="B3105" t="s">
        <v>20</v>
      </c>
      <c r="C3105">
        <v>2022</v>
      </c>
      <c r="D3105">
        <v>127.125</v>
      </c>
      <c r="E3105" t="s">
        <v>9</v>
      </c>
      <c r="F3105">
        <v>111.5</v>
      </c>
      <c r="G3105">
        <v>15.625</v>
      </c>
      <c r="H3105">
        <v>52000</v>
      </c>
      <c r="I3105" t="s">
        <v>22</v>
      </c>
    </row>
    <row r="3106" spans="1:9" x14ac:dyDescent="0.25">
      <c r="A3106">
        <v>7</v>
      </c>
      <c r="B3106" t="s">
        <v>20</v>
      </c>
      <c r="C3106">
        <v>2022</v>
      </c>
      <c r="D3106">
        <v>111.5</v>
      </c>
      <c r="E3106">
        <v>50</v>
      </c>
      <c r="F3106">
        <v>123.875</v>
      </c>
      <c r="G3106">
        <v>37.625</v>
      </c>
      <c r="H3106">
        <v>52000</v>
      </c>
      <c r="I3106" t="s">
        <v>22</v>
      </c>
    </row>
    <row r="3107" spans="1:9" x14ac:dyDescent="0.25">
      <c r="A3107">
        <v>8</v>
      </c>
      <c r="B3107" t="s">
        <v>20</v>
      </c>
      <c r="C3107">
        <v>2022</v>
      </c>
      <c r="D3107">
        <v>123.875</v>
      </c>
      <c r="E3107" t="s">
        <v>9</v>
      </c>
      <c r="F3107">
        <v>75.75</v>
      </c>
      <c r="G3107">
        <v>48.125</v>
      </c>
      <c r="H3107">
        <v>52000</v>
      </c>
      <c r="I3107" t="s">
        <v>22</v>
      </c>
    </row>
    <row r="3108" spans="1:9" x14ac:dyDescent="0.25">
      <c r="A3108">
        <v>9</v>
      </c>
      <c r="B3108" t="s">
        <v>20</v>
      </c>
      <c r="C3108">
        <v>2022</v>
      </c>
      <c r="D3108">
        <v>75.75</v>
      </c>
      <c r="E3108" t="s">
        <v>9</v>
      </c>
      <c r="F3108">
        <v>48.625</v>
      </c>
      <c r="G3108">
        <v>27.125</v>
      </c>
      <c r="H3108">
        <v>52000</v>
      </c>
      <c r="I3108" t="s">
        <v>22</v>
      </c>
    </row>
    <row r="3109" spans="1:9" x14ac:dyDescent="0.25">
      <c r="A3109">
        <v>10</v>
      </c>
      <c r="B3109" t="s">
        <v>20</v>
      </c>
      <c r="C3109">
        <v>2022</v>
      </c>
      <c r="D3109">
        <v>48.625</v>
      </c>
      <c r="E3109">
        <v>80</v>
      </c>
      <c r="F3109">
        <v>63.5</v>
      </c>
      <c r="G3109">
        <v>65.125</v>
      </c>
      <c r="H3109">
        <v>52000</v>
      </c>
      <c r="I3109" t="s">
        <v>22</v>
      </c>
    </row>
    <row r="3110" spans="1:9" x14ac:dyDescent="0.25">
      <c r="A3110">
        <v>11</v>
      </c>
      <c r="B3110" t="s">
        <v>20</v>
      </c>
      <c r="C3110">
        <v>2022</v>
      </c>
      <c r="D3110">
        <v>63.5</v>
      </c>
      <c r="E3110">
        <v>30</v>
      </c>
      <c r="F3110">
        <v>38.375</v>
      </c>
      <c r="G3110">
        <v>55.125</v>
      </c>
      <c r="H3110">
        <v>52000</v>
      </c>
      <c r="I3110" t="s">
        <v>22</v>
      </c>
    </row>
    <row r="3111" spans="1:9" x14ac:dyDescent="0.25">
      <c r="A3111">
        <v>12</v>
      </c>
      <c r="B3111" t="s">
        <v>20</v>
      </c>
      <c r="C3111">
        <v>2022</v>
      </c>
      <c r="D3111">
        <v>38.375</v>
      </c>
      <c r="E3111">
        <v>90</v>
      </c>
      <c r="F3111">
        <v>114.75</v>
      </c>
      <c r="G3111">
        <v>13.625</v>
      </c>
      <c r="H3111">
        <v>52000</v>
      </c>
      <c r="I3111" t="s">
        <v>22</v>
      </c>
    </row>
    <row r="3112" spans="1:9" x14ac:dyDescent="0.25">
      <c r="A3112">
        <v>13</v>
      </c>
      <c r="B3112" t="s">
        <v>20</v>
      </c>
      <c r="C3112">
        <v>2022</v>
      </c>
      <c r="D3112">
        <v>114.75</v>
      </c>
      <c r="E3112" t="s">
        <v>9</v>
      </c>
      <c r="F3112">
        <v>85.75</v>
      </c>
      <c r="G3112">
        <v>29</v>
      </c>
      <c r="H3112">
        <v>52000</v>
      </c>
      <c r="I3112" t="s">
        <v>22</v>
      </c>
    </row>
    <row r="3113" spans="1:9" x14ac:dyDescent="0.25">
      <c r="A3113">
        <v>14</v>
      </c>
      <c r="B3113" t="s">
        <v>20</v>
      </c>
      <c r="C3113">
        <v>2022</v>
      </c>
      <c r="D3113">
        <v>85.75</v>
      </c>
      <c r="E3113">
        <v>80</v>
      </c>
      <c r="F3113">
        <v>139</v>
      </c>
      <c r="G3113">
        <v>26.75</v>
      </c>
      <c r="H3113">
        <v>52000</v>
      </c>
      <c r="I3113" t="s">
        <v>22</v>
      </c>
    </row>
    <row r="3114" spans="1:9" x14ac:dyDescent="0.25">
      <c r="A3114">
        <v>15</v>
      </c>
      <c r="B3114" t="s">
        <v>20</v>
      </c>
      <c r="C3114">
        <v>2022</v>
      </c>
      <c r="D3114">
        <v>139</v>
      </c>
      <c r="E3114" t="s">
        <v>9</v>
      </c>
      <c r="F3114">
        <v>100.125</v>
      </c>
      <c r="G3114">
        <v>38.875</v>
      </c>
      <c r="H3114">
        <v>52000</v>
      </c>
      <c r="I3114" t="s">
        <v>22</v>
      </c>
    </row>
    <row r="3115" spans="1:9" x14ac:dyDescent="0.25">
      <c r="A3115">
        <v>16</v>
      </c>
      <c r="B3115" t="s">
        <v>20</v>
      </c>
      <c r="C3115">
        <v>2022</v>
      </c>
      <c r="D3115">
        <v>100.125</v>
      </c>
      <c r="E3115" t="s">
        <v>9</v>
      </c>
      <c r="F3115">
        <v>66.75</v>
      </c>
      <c r="G3115">
        <v>33.375</v>
      </c>
      <c r="H3115">
        <v>52000</v>
      </c>
      <c r="I3115" t="s">
        <v>22</v>
      </c>
    </row>
    <row r="3116" spans="1:9" x14ac:dyDescent="0.25">
      <c r="A3116">
        <v>17</v>
      </c>
      <c r="B3116" t="s">
        <v>20</v>
      </c>
      <c r="C3116">
        <v>2022</v>
      </c>
      <c r="D3116">
        <v>66.75</v>
      </c>
      <c r="E3116">
        <v>100</v>
      </c>
      <c r="F3116">
        <v>122.875</v>
      </c>
      <c r="G3116">
        <v>43.875</v>
      </c>
      <c r="H3116">
        <v>52000</v>
      </c>
      <c r="I3116" t="s">
        <v>22</v>
      </c>
    </row>
    <row r="3117" spans="1:9" x14ac:dyDescent="0.25">
      <c r="A3117">
        <v>18</v>
      </c>
      <c r="B3117" t="s">
        <v>20</v>
      </c>
      <c r="C3117">
        <v>2022</v>
      </c>
      <c r="D3117">
        <v>122.875</v>
      </c>
      <c r="E3117" t="s">
        <v>9</v>
      </c>
      <c r="F3117">
        <v>60.125</v>
      </c>
      <c r="G3117">
        <v>62.75</v>
      </c>
      <c r="H3117">
        <v>52000</v>
      </c>
      <c r="I3117" t="s">
        <v>22</v>
      </c>
    </row>
    <row r="3118" spans="1:9" x14ac:dyDescent="0.25">
      <c r="A3118">
        <v>19</v>
      </c>
      <c r="B3118" t="s">
        <v>20</v>
      </c>
      <c r="C3118">
        <v>2022</v>
      </c>
      <c r="D3118">
        <v>60.125</v>
      </c>
      <c r="E3118">
        <v>90</v>
      </c>
      <c r="F3118">
        <v>124.625</v>
      </c>
      <c r="G3118">
        <v>25.5</v>
      </c>
      <c r="H3118">
        <v>52000</v>
      </c>
      <c r="I3118" t="s">
        <v>22</v>
      </c>
    </row>
    <row r="3119" spans="1:9" x14ac:dyDescent="0.25">
      <c r="A3119">
        <v>20</v>
      </c>
      <c r="B3119" t="s">
        <v>20</v>
      </c>
      <c r="C3119">
        <v>2022</v>
      </c>
      <c r="D3119">
        <v>124.625</v>
      </c>
      <c r="E3119" t="s">
        <v>9</v>
      </c>
      <c r="F3119">
        <v>87.625</v>
      </c>
      <c r="G3119">
        <v>37</v>
      </c>
      <c r="H3119">
        <v>52000</v>
      </c>
      <c r="I3119" t="s">
        <v>22</v>
      </c>
    </row>
    <row r="3120" spans="1:9" x14ac:dyDescent="0.25">
      <c r="A3120">
        <v>21</v>
      </c>
      <c r="B3120" t="s">
        <v>20</v>
      </c>
      <c r="C3120">
        <v>2022</v>
      </c>
      <c r="D3120">
        <v>87.625</v>
      </c>
      <c r="E3120">
        <v>70</v>
      </c>
      <c r="F3120">
        <v>112.125</v>
      </c>
      <c r="G3120">
        <v>45.5</v>
      </c>
      <c r="H3120">
        <v>52000</v>
      </c>
      <c r="I3120" t="s">
        <v>22</v>
      </c>
    </row>
    <row r="3121" spans="1:9" x14ac:dyDescent="0.25">
      <c r="A3121">
        <v>22</v>
      </c>
      <c r="B3121" t="s">
        <v>20</v>
      </c>
      <c r="C3121">
        <v>2022</v>
      </c>
      <c r="D3121">
        <v>112.125</v>
      </c>
      <c r="E3121" t="s">
        <v>9</v>
      </c>
      <c r="F3121">
        <v>64.5</v>
      </c>
      <c r="G3121">
        <v>47.625</v>
      </c>
      <c r="H3121">
        <v>52000</v>
      </c>
      <c r="I3121" t="s">
        <v>22</v>
      </c>
    </row>
    <row r="3122" spans="1:9" x14ac:dyDescent="0.25">
      <c r="A3122">
        <v>23</v>
      </c>
      <c r="B3122" t="s">
        <v>20</v>
      </c>
      <c r="C3122">
        <v>2022</v>
      </c>
      <c r="D3122">
        <v>64.5</v>
      </c>
      <c r="E3122">
        <v>100</v>
      </c>
      <c r="F3122">
        <v>121.625</v>
      </c>
      <c r="G3122">
        <v>42.875</v>
      </c>
      <c r="H3122">
        <v>52000</v>
      </c>
      <c r="I3122" t="s">
        <v>22</v>
      </c>
    </row>
    <row r="3123" spans="1:9" x14ac:dyDescent="0.25">
      <c r="A3123">
        <v>24</v>
      </c>
      <c r="B3123" t="s">
        <v>20</v>
      </c>
      <c r="C3123">
        <v>2022</v>
      </c>
      <c r="D3123">
        <v>121.625</v>
      </c>
      <c r="E3123" t="s">
        <v>9</v>
      </c>
      <c r="F3123">
        <v>103.875</v>
      </c>
      <c r="G3123">
        <v>17.75</v>
      </c>
      <c r="H3123">
        <v>52000</v>
      </c>
      <c r="I3123" t="s">
        <v>22</v>
      </c>
    </row>
    <row r="3124" spans="1:9" x14ac:dyDescent="0.25">
      <c r="A3124">
        <v>25</v>
      </c>
      <c r="B3124" t="s">
        <v>20</v>
      </c>
      <c r="C3124">
        <v>2022</v>
      </c>
      <c r="D3124">
        <v>103.875</v>
      </c>
      <c r="E3124" t="s">
        <v>9</v>
      </c>
      <c r="F3124">
        <v>42.75</v>
      </c>
      <c r="G3124">
        <v>61.125</v>
      </c>
      <c r="H3124">
        <v>52000</v>
      </c>
      <c r="I3124" t="s">
        <v>22</v>
      </c>
    </row>
    <row r="3125" spans="1:9" x14ac:dyDescent="0.25">
      <c r="A3125">
        <v>26</v>
      </c>
      <c r="B3125" t="s">
        <v>20</v>
      </c>
      <c r="C3125">
        <v>2022</v>
      </c>
      <c r="D3125">
        <v>42.75</v>
      </c>
      <c r="E3125">
        <v>90</v>
      </c>
      <c r="F3125">
        <v>81</v>
      </c>
      <c r="G3125">
        <v>51.75</v>
      </c>
      <c r="H3125">
        <v>52000</v>
      </c>
      <c r="I3125" t="s">
        <v>22</v>
      </c>
    </row>
    <row r="3126" spans="1:9" x14ac:dyDescent="0.25">
      <c r="A3126">
        <v>27</v>
      </c>
      <c r="B3126" t="s">
        <v>20</v>
      </c>
      <c r="C3126">
        <v>2022</v>
      </c>
      <c r="D3126">
        <v>81</v>
      </c>
      <c r="E3126" t="s">
        <v>9</v>
      </c>
      <c r="F3126">
        <v>44.75</v>
      </c>
      <c r="G3126">
        <v>36.25</v>
      </c>
      <c r="H3126">
        <v>52000</v>
      </c>
      <c r="I3126" t="s">
        <v>22</v>
      </c>
    </row>
    <row r="3127" spans="1:9" x14ac:dyDescent="0.25">
      <c r="A3127">
        <v>28</v>
      </c>
      <c r="B3127" t="s">
        <v>20</v>
      </c>
      <c r="C3127">
        <v>2022</v>
      </c>
      <c r="D3127">
        <v>44.75</v>
      </c>
      <c r="E3127">
        <v>120</v>
      </c>
      <c r="F3127">
        <v>102.25</v>
      </c>
      <c r="G3127">
        <v>62.5</v>
      </c>
      <c r="H3127">
        <v>52000</v>
      </c>
      <c r="I3127" t="s">
        <v>22</v>
      </c>
    </row>
    <row r="3128" spans="1:9" x14ac:dyDescent="0.25">
      <c r="A3128">
        <v>29</v>
      </c>
      <c r="B3128" t="s">
        <v>20</v>
      </c>
      <c r="C3128">
        <v>2022</v>
      </c>
      <c r="D3128">
        <v>102.25</v>
      </c>
      <c r="E3128" t="s">
        <v>9</v>
      </c>
      <c r="F3128">
        <v>64.375</v>
      </c>
      <c r="G3128">
        <v>37.875</v>
      </c>
      <c r="H3128">
        <v>52000</v>
      </c>
      <c r="I3128" t="s">
        <v>22</v>
      </c>
    </row>
    <row r="3129" spans="1:9" x14ac:dyDescent="0.25">
      <c r="A3129">
        <v>30</v>
      </c>
      <c r="B3129" t="s">
        <v>20</v>
      </c>
      <c r="C3129">
        <v>2022</v>
      </c>
      <c r="D3129">
        <v>64.375</v>
      </c>
      <c r="E3129" t="s">
        <v>9</v>
      </c>
      <c r="F3129">
        <v>24.625</v>
      </c>
      <c r="G3129">
        <v>39.75</v>
      </c>
      <c r="H3129">
        <v>52000</v>
      </c>
      <c r="I3129" t="s">
        <v>22</v>
      </c>
    </row>
    <row r="3130" spans="1:9" x14ac:dyDescent="0.25">
      <c r="A3130">
        <v>31</v>
      </c>
      <c r="B3130" t="s">
        <v>20</v>
      </c>
      <c r="C3130">
        <v>2022</v>
      </c>
      <c r="D3130">
        <v>24.625</v>
      </c>
      <c r="E3130">
        <v>120</v>
      </c>
      <c r="F3130">
        <v>115.875</v>
      </c>
      <c r="G3130">
        <v>28.75</v>
      </c>
      <c r="H3130">
        <v>52000</v>
      </c>
      <c r="I3130" t="s">
        <v>22</v>
      </c>
    </row>
    <row r="3131" spans="1:9" hidden="1" x14ac:dyDescent="0.25">
      <c r="A3131">
        <v>1</v>
      </c>
      <c r="B3131" t="s">
        <v>20</v>
      </c>
      <c r="C3131">
        <v>2022</v>
      </c>
      <c r="D3131">
        <v>117.875</v>
      </c>
      <c r="E3131" t="s">
        <v>9</v>
      </c>
      <c r="F3131">
        <v>90.125</v>
      </c>
      <c r="G3131">
        <v>27.75</v>
      </c>
      <c r="H3131">
        <v>52000</v>
      </c>
      <c r="I3131" t="s">
        <v>23</v>
      </c>
    </row>
    <row r="3132" spans="1:9" hidden="1" x14ac:dyDescent="0.25">
      <c r="A3132">
        <v>2</v>
      </c>
      <c r="B3132" t="s">
        <v>20</v>
      </c>
      <c r="C3132">
        <v>2022</v>
      </c>
      <c r="D3132">
        <v>90.125</v>
      </c>
      <c r="E3132" t="s">
        <v>9</v>
      </c>
      <c r="F3132">
        <v>64.25</v>
      </c>
      <c r="G3132">
        <v>25.875</v>
      </c>
      <c r="H3132">
        <v>52000</v>
      </c>
      <c r="I3132" t="s">
        <v>23</v>
      </c>
    </row>
    <row r="3133" spans="1:9" hidden="1" x14ac:dyDescent="0.25">
      <c r="A3133">
        <v>3</v>
      </c>
      <c r="B3133" t="s">
        <v>20</v>
      </c>
      <c r="C3133">
        <v>2022</v>
      </c>
      <c r="D3133">
        <v>64.25</v>
      </c>
      <c r="E3133">
        <v>70</v>
      </c>
      <c r="F3133">
        <v>88.25</v>
      </c>
      <c r="G3133">
        <v>46</v>
      </c>
      <c r="H3133">
        <v>52000</v>
      </c>
      <c r="I3133" t="s">
        <v>23</v>
      </c>
    </row>
    <row r="3134" spans="1:9" hidden="1" x14ac:dyDescent="0.25">
      <c r="A3134">
        <v>4</v>
      </c>
      <c r="B3134" t="s">
        <v>20</v>
      </c>
      <c r="C3134">
        <v>2022</v>
      </c>
      <c r="D3134">
        <v>88.25</v>
      </c>
      <c r="E3134" t="s">
        <v>9</v>
      </c>
      <c r="F3134">
        <v>43.5</v>
      </c>
      <c r="G3134">
        <v>44.75</v>
      </c>
      <c r="H3134">
        <v>52000</v>
      </c>
      <c r="I3134" t="s">
        <v>23</v>
      </c>
    </row>
    <row r="3135" spans="1:9" hidden="1" x14ac:dyDescent="0.25">
      <c r="A3135">
        <v>5</v>
      </c>
      <c r="B3135" t="s">
        <v>20</v>
      </c>
      <c r="C3135">
        <v>2022</v>
      </c>
      <c r="D3135">
        <v>43.5</v>
      </c>
      <c r="E3135">
        <v>90</v>
      </c>
      <c r="F3135">
        <v>109.5</v>
      </c>
      <c r="G3135">
        <v>24</v>
      </c>
      <c r="H3135">
        <v>52000</v>
      </c>
      <c r="I3135" t="s">
        <v>23</v>
      </c>
    </row>
    <row r="3136" spans="1:9" hidden="1" x14ac:dyDescent="0.25">
      <c r="A3136">
        <v>6</v>
      </c>
      <c r="B3136" t="s">
        <v>20</v>
      </c>
      <c r="C3136">
        <v>2022</v>
      </c>
      <c r="D3136">
        <v>109.5</v>
      </c>
      <c r="E3136" t="s">
        <v>9</v>
      </c>
      <c r="F3136">
        <v>85.125</v>
      </c>
      <c r="G3136">
        <v>24.375</v>
      </c>
      <c r="H3136">
        <v>52000</v>
      </c>
      <c r="I3136" t="s">
        <v>23</v>
      </c>
    </row>
    <row r="3137" spans="1:9" hidden="1" x14ac:dyDescent="0.25">
      <c r="A3137">
        <v>7</v>
      </c>
      <c r="B3137" t="s">
        <v>20</v>
      </c>
      <c r="C3137">
        <v>2022</v>
      </c>
      <c r="D3137">
        <v>85.125</v>
      </c>
      <c r="E3137">
        <v>70</v>
      </c>
      <c r="F3137">
        <v>98.125</v>
      </c>
      <c r="G3137">
        <v>57</v>
      </c>
      <c r="H3137">
        <v>52000</v>
      </c>
      <c r="I3137" t="s">
        <v>23</v>
      </c>
    </row>
    <row r="3138" spans="1:9" hidden="1" x14ac:dyDescent="0.25">
      <c r="A3138">
        <v>8</v>
      </c>
      <c r="B3138" t="s">
        <v>20</v>
      </c>
      <c r="C3138">
        <v>2022</v>
      </c>
      <c r="D3138">
        <v>98.125</v>
      </c>
      <c r="E3138" t="s">
        <v>9</v>
      </c>
      <c r="F3138">
        <v>59.75</v>
      </c>
      <c r="G3138">
        <v>38.375</v>
      </c>
      <c r="H3138">
        <v>52000</v>
      </c>
      <c r="I3138" t="s">
        <v>23</v>
      </c>
    </row>
    <row r="3139" spans="1:9" hidden="1" x14ac:dyDescent="0.25">
      <c r="A3139">
        <v>9</v>
      </c>
      <c r="B3139" t="s">
        <v>20</v>
      </c>
      <c r="C3139">
        <v>2022</v>
      </c>
      <c r="D3139">
        <v>59.75</v>
      </c>
      <c r="E3139">
        <v>20</v>
      </c>
      <c r="F3139">
        <v>41.5</v>
      </c>
      <c r="G3139">
        <v>38.25</v>
      </c>
      <c r="H3139">
        <v>52000</v>
      </c>
      <c r="I3139" t="s">
        <v>23</v>
      </c>
    </row>
    <row r="3140" spans="1:9" hidden="1" x14ac:dyDescent="0.25">
      <c r="A3140">
        <v>10</v>
      </c>
      <c r="B3140" t="s">
        <v>20</v>
      </c>
      <c r="C3140">
        <v>2022</v>
      </c>
      <c r="D3140">
        <v>41.5</v>
      </c>
      <c r="E3140">
        <v>80</v>
      </c>
      <c r="F3140">
        <v>80.125</v>
      </c>
      <c r="G3140">
        <v>41.375</v>
      </c>
      <c r="H3140">
        <v>52000</v>
      </c>
      <c r="I3140" t="s">
        <v>23</v>
      </c>
    </row>
    <row r="3141" spans="1:9" hidden="1" x14ac:dyDescent="0.25">
      <c r="A3141">
        <v>11</v>
      </c>
      <c r="B3141" t="s">
        <v>20</v>
      </c>
      <c r="C3141">
        <v>2022</v>
      </c>
      <c r="D3141">
        <v>80.125</v>
      </c>
      <c r="E3141" t="s">
        <v>9</v>
      </c>
      <c r="F3141">
        <v>26.5</v>
      </c>
      <c r="G3141">
        <v>53.625</v>
      </c>
      <c r="H3141">
        <v>52000</v>
      </c>
      <c r="I3141" t="s">
        <v>23</v>
      </c>
    </row>
    <row r="3142" spans="1:9" hidden="1" x14ac:dyDescent="0.25">
      <c r="A3142">
        <v>12</v>
      </c>
      <c r="B3142" t="s">
        <v>20</v>
      </c>
      <c r="C3142">
        <v>2022</v>
      </c>
      <c r="D3142">
        <v>26.5</v>
      </c>
      <c r="E3142">
        <v>91</v>
      </c>
      <c r="F3142">
        <v>102.875</v>
      </c>
      <c r="G3142">
        <v>14.625</v>
      </c>
      <c r="H3142">
        <v>52000</v>
      </c>
      <c r="I3142" t="s">
        <v>23</v>
      </c>
    </row>
    <row r="3143" spans="1:9" hidden="1" x14ac:dyDescent="0.25">
      <c r="A3143">
        <v>13</v>
      </c>
      <c r="B3143" t="s">
        <v>20</v>
      </c>
      <c r="C3143">
        <v>2022</v>
      </c>
      <c r="D3143">
        <v>102.875</v>
      </c>
      <c r="E3143" t="s">
        <v>9</v>
      </c>
      <c r="F3143">
        <v>76.75</v>
      </c>
      <c r="G3143">
        <v>26.125</v>
      </c>
      <c r="H3143">
        <v>52000</v>
      </c>
      <c r="I3143" t="s">
        <v>23</v>
      </c>
    </row>
    <row r="3144" spans="1:9" hidden="1" x14ac:dyDescent="0.25">
      <c r="A3144">
        <v>14</v>
      </c>
      <c r="B3144" t="s">
        <v>20</v>
      </c>
      <c r="C3144">
        <v>2022</v>
      </c>
      <c r="D3144">
        <v>76.75</v>
      </c>
      <c r="E3144">
        <v>80</v>
      </c>
      <c r="F3144">
        <v>111.375</v>
      </c>
      <c r="G3144">
        <v>45.375</v>
      </c>
      <c r="H3144">
        <v>52000</v>
      </c>
      <c r="I3144" t="s">
        <v>23</v>
      </c>
    </row>
    <row r="3145" spans="1:9" hidden="1" x14ac:dyDescent="0.25">
      <c r="A3145">
        <v>15</v>
      </c>
      <c r="B3145" t="s">
        <v>20</v>
      </c>
      <c r="C3145">
        <v>2022</v>
      </c>
      <c r="D3145">
        <v>111.375</v>
      </c>
      <c r="E3145" t="s">
        <v>9</v>
      </c>
      <c r="F3145">
        <v>69.875</v>
      </c>
      <c r="G3145">
        <v>41.5</v>
      </c>
      <c r="H3145">
        <v>52000</v>
      </c>
      <c r="I3145" t="s">
        <v>23</v>
      </c>
    </row>
    <row r="3146" spans="1:9" hidden="1" x14ac:dyDescent="0.25">
      <c r="A3146">
        <v>16</v>
      </c>
      <c r="B3146" t="s">
        <v>20</v>
      </c>
      <c r="C3146">
        <v>2022</v>
      </c>
      <c r="D3146">
        <v>69.875</v>
      </c>
      <c r="E3146" t="s">
        <v>9</v>
      </c>
      <c r="F3146">
        <v>28.625</v>
      </c>
      <c r="G3146">
        <v>41.25</v>
      </c>
      <c r="H3146">
        <v>52000</v>
      </c>
      <c r="I3146" t="s">
        <v>23</v>
      </c>
    </row>
    <row r="3147" spans="1:9" hidden="1" x14ac:dyDescent="0.25">
      <c r="A3147">
        <v>17</v>
      </c>
      <c r="B3147" t="s">
        <v>20</v>
      </c>
      <c r="C3147">
        <v>2022</v>
      </c>
      <c r="D3147">
        <v>28.625</v>
      </c>
      <c r="E3147">
        <v>120</v>
      </c>
      <c r="F3147">
        <v>103.375</v>
      </c>
      <c r="G3147">
        <v>45.25</v>
      </c>
      <c r="H3147">
        <v>52000</v>
      </c>
      <c r="I3147" t="s">
        <v>23</v>
      </c>
    </row>
    <row r="3148" spans="1:9" hidden="1" x14ac:dyDescent="0.25">
      <c r="A3148">
        <v>18</v>
      </c>
      <c r="B3148" t="s">
        <v>20</v>
      </c>
      <c r="C3148">
        <v>2022</v>
      </c>
      <c r="D3148">
        <v>103.375</v>
      </c>
      <c r="E3148" t="s">
        <v>9</v>
      </c>
      <c r="F3148">
        <v>45.125</v>
      </c>
      <c r="G3148">
        <v>58.25</v>
      </c>
      <c r="H3148">
        <v>52000</v>
      </c>
      <c r="I3148" t="s">
        <v>23</v>
      </c>
    </row>
    <row r="3149" spans="1:9" hidden="1" x14ac:dyDescent="0.25">
      <c r="A3149">
        <v>19</v>
      </c>
      <c r="B3149" t="s">
        <v>20</v>
      </c>
      <c r="C3149">
        <v>2022</v>
      </c>
      <c r="D3149">
        <v>45.125</v>
      </c>
      <c r="E3149">
        <v>100</v>
      </c>
      <c r="F3149">
        <v>108.625</v>
      </c>
      <c r="G3149">
        <v>36.5</v>
      </c>
      <c r="H3149">
        <v>52000</v>
      </c>
      <c r="I3149" t="s">
        <v>23</v>
      </c>
    </row>
    <row r="3150" spans="1:9" hidden="1" x14ac:dyDescent="0.25">
      <c r="A3150">
        <v>20</v>
      </c>
      <c r="B3150" t="s">
        <v>20</v>
      </c>
      <c r="C3150">
        <v>2022</v>
      </c>
      <c r="D3150">
        <v>108.625</v>
      </c>
      <c r="E3150" t="s">
        <v>9</v>
      </c>
      <c r="F3150">
        <v>69</v>
      </c>
      <c r="G3150">
        <v>39.625</v>
      </c>
      <c r="H3150">
        <v>52000</v>
      </c>
      <c r="I3150" t="s">
        <v>23</v>
      </c>
    </row>
    <row r="3151" spans="1:9" hidden="1" x14ac:dyDescent="0.25">
      <c r="A3151">
        <v>21</v>
      </c>
      <c r="B3151" t="s">
        <v>20</v>
      </c>
      <c r="C3151">
        <v>2022</v>
      </c>
      <c r="D3151">
        <v>69</v>
      </c>
      <c r="E3151">
        <v>90</v>
      </c>
      <c r="F3151">
        <v>129.25</v>
      </c>
      <c r="G3151">
        <v>29.75</v>
      </c>
      <c r="H3151">
        <v>52000</v>
      </c>
      <c r="I3151" t="s">
        <v>23</v>
      </c>
    </row>
    <row r="3152" spans="1:9" hidden="1" x14ac:dyDescent="0.25">
      <c r="A3152">
        <v>22</v>
      </c>
      <c r="B3152" t="s">
        <v>20</v>
      </c>
      <c r="C3152">
        <v>2022</v>
      </c>
      <c r="D3152">
        <v>129.25</v>
      </c>
      <c r="E3152" t="s">
        <v>9</v>
      </c>
      <c r="F3152">
        <v>93.75</v>
      </c>
      <c r="G3152">
        <v>35.5</v>
      </c>
      <c r="H3152">
        <v>52000</v>
      </c>
      <c r="I3152" t="s">
        <v>23</v>
      </c>
    </row>
    <row r="3153" spans="1:9" hidden="1" x14ac:dyDescent="0.25">
      <c r="A3153">
        <v>23</v>
      </c>
      <c r="B3153" t="s">
        <v>20</v>
      </c>
      <c r="C3153">
        <v>2022</v>
      </c>
      <c r="D3153">
        <v>93.75</v>
      </c>
      <c r="E3153" t="s">
        <v>9</v>
      </c>
      <c r="F3153">
        <v>45.125</v>
      </c>
      <c r="G3153">
        <v>48.625</v>
      </c>
      <c r="H3153">
        <v>52000</v>
      </c>
      <c r="I3153" t="s">
        <v>23</v>
      </c>
    </row>
    <row r="3154" spans="1:9" hidden="1" x14ac:dyDescent="0.25">
      <c r="A3154">
        <v>24</v>
      </c>
      <c r="B3154" t="s">
        <v>20</v>
      </c>
      <c r="C3154">
        <v>2022</v>
      </c>
      <c r="D3154">
        <v>45.125</v>
      </c>
      <c r="E3154">
        <v>120</v>
      </c>
      <c r="F3154">
        <v>133.875</v>
      </c>
      <c r="G3154">
        <v>31.25</v>
      </c>
      <c r="H3154">
        <v>52000</v>
      </c>
      <c r="I3154" t="s">
        <v>23</v>
      </c>
    </row>
    <row r="3155" spans="1:9" hidden="1" x14ac:dyDescent="0.25">
      <c r="A3155">
        <v>25</v>
      </c>
      <c r="B3155" t="s">
        <v>20</v>
      </c>
      <c r="C3155">
        <v>2022</v>
      </c>
      <c r="D3155">
        <v>133.875</v>
      </c>
      <c r="E3155" t="s">
        <v>9</v>
      </c>
      <c r="F3155">
        <v>68.75</v>
      </c>
      <c r="G3155">
        <v>65.125</v>
      </c>
      <c r="H3155">
        <v>52000</v>
      </c>
      <c r="I3155" t="s">
        <v>23</v>
      </c>
    </row>
    <row r="3156" spans="1:9" hidden="1" x14ac:dyDescent="0.25">
      <c r="A3156">
        <v>26</v>
      </c>
      <c r="B3156" t="s">
        <v>20</v>
      </c>
      <c r="C3156">
        <v>2022</v>
      </c>
      <c r="D3156">
        <v>68.75</v>
      </c>
      <c r="E3156">
        <v>80</v>
      </c>
      <c r="F3156">
        <v>105</v>
      </c>
      <c r="G3156">
        <v>43.75</v>
      </c>
      <c r="H3156">
        <v>52000</v>
      </c>
      <c r="I3156" t="s">
        <v>23</v>
      </c>
    </row>
    <row r="3157" spans="1:9" hidden="1" x14ac:dyDescent="0.25">
      <c r="A3157">
        <v>27</v>
      </c>
      <c r="B3157" t="s">
        <v>20</v>
      </c>
      <c r="C3157">
        <v>2022</v>
      </c>
      <c r="D3157">
        <v>105</v>
      </c>
      <c r="E3157" t="s">
        <v>9</v>
      </c>
      <c r="F3157">
        <v>58.25</v>
      </c>
      <c r="G3157">
        <v>46.75</v>
      </c>
      <c r="H3157">
        <v>52000</v>
      </c>
      <c r="I3157" t="s">
        <v>23</v>
      </c>
    </row>
    <row r="3158" spans="1:9" hidden="1" x14ac:dyDescent="0.25">
      <c r="A3158">
        <v>28</v>
      </c>
      <c r="B3158" t="s">
        <v>20</v>
      </c>
      <c r="C3158">
        <v>2022</v>
      </c>
      <c r="D3158">
        <v>58.25</v>
      </c>
      <c r="E3158">
        <v>120</v>
      </c>
      <c r="F3158">
        <v>139.5</v>
      </c>
      <c r="G3158">
        <v>38.75</v>
      </c>
      <c r="H3158">
        <v>52000</v>
      </c>
      <c r="I3158" t="s">
        <v>23</v>
      </c>
    </row>
    <row r="3159" spans="1:9" hidden="1" x14ac:dyDescent="0.25">
      <c r="A3159">
        <v>29</v>
      </c>
      <c r="B3159" t="s">
        <v>20</v>
      </c>
      <c r="C3159">
        <v>2022</v>
      </c>
      <c r="D3159">
        <v>139.5</v>
      </c>
      <c r="E3159" t="s">
        <v>9</v>
      </c>
      <c r="F3159">
        <v>102.5</v>
      </c>
      <c r="G3159">
        <v>37</v>
      </c>
      <c r="H3159">
        <v>52000</v>
      </c>
      <c r="I3159" t="s">
        <v>23</v>
      </c>
    </row>
    <row r="3160" spans="1:9" hidden="1" x14ac:dyDescent="0.25">
      <c r="A3160">
        <v>30</v>
      </c>
      <c r="B3160" t="s">
        <v>20</v>
      </c>
      <c r="C3160">
        <v>2022</v>
      </c>
      <c r="D3160">
        <v>102.5</v>
      </c>
      <c r="E3160" t="s">
        <v>9</v>
      </c>
      <c r="F3160">
        <v>49.375</v>
      </c>
      <c r="G3160">
        <v>53.125</v>
      </c>
      <c r="H3160">
        <v>52000</v>
      </c>
      <c r="I3160" t="s">
        <v>23</v>
      </c>
    </row>
    <row r="3161" spans="1:9" hidden="1" x14ac:dyDescent="0.25">
      <c r="A3161">
        <v>31</v>
      </c>
      <c r="B3161" t="s">
        <v>20</v>
      </c>
      <c r="C3161">
        <v>2022</v>
      </c>
      <c r="D3161">
        <v>49.375</v>
      </c>
      <c r="E3161">
        <v>120</v>
      </c>
      <c r="F3161">
        <v>130.125</v>
      </c>
      <c r="G3161">
        <v>39.25</v>
      </c>
      <c r="H3161">
        <v>52000</v>
      </c>
      <c r="I3161" t="s">
        <v>23</v>
      </c>
    </row>
    <row r="3162" spans="1:9" hidden="1" x14ac:dyDescent="0.25">
      <c r="A3162">
        <v>1</v>
      </c>
      <c r="B3162" t="s">
        <v>20</v>
      </c>
      <c r="C3162">
        <v>2022</v>
      </c>
      <c r="D3162">
        <v>16.75</v>
      </c>
      <c r="E3162" t="s">
        <v>9</v>
      </c>
      <c r="F3162">
        <v>6.5</v>
      </c>
      <c r="G3162">
        <v>10.25</v>
      </c>
      <c r="H3162">
        <v>52000</v>
      </c>
      <c r="I3162" t="s">
        <v>25</v>
      </c>
    </row>
    <row r="3163" spans="1:9" hidden="1" x14ac:dyDescent="0.25">
      <c r="A3163">
        <v>2</v>
      </c>
      <c r="B3163" t="s">
        <v>20</v>
      </c>
      <c r="C3163">
        <v>2022</v>
      </c>
      <c r="D3163">
        <v>6.5</v>
      </c>
      <c r="E3163">
        <v>70</v>
      </c>
      <c r="F3163">
        <v>45.625</v>
      </c>
      <c r="G3163">
        <v>30.875</v>
      </c>
      <c r="H3163">
        <v>52000</v>
      </c>
      <c r="I3163" t="s">
        <v>25</v>
      </c>
    </row>
    <row r="3164" spans="1:9" hidden="1" x14ac:dyDescent="0.25">
      <c r="A3164">
        <v>3</v>
      </c>
      <c r="B3164" t="s">
        <v>20</v>
      </c>
      <c r="C3164">
        <v>2022</v>
      </c>
      <c r="D3164">
        <v>45.625</v>
      </c>
      <c r="E3164" t="s">
        <v>9</v>
      </c>
      <c r="F3164">
        <v>35.125</v>
      </c>
      <c r="G3164">
        <v>10.5</v>
      </c>
      <c r="H3164">
        <v>52000</v>
      </c>
      <c r="I3164" t="s">
        <v>25</v>
      </c>
    </row>
    <row r="3165" spans="1:9" hidden="1" x14ac:dyDescent="0.25">
      <c r="A3165">
        <v>4</v>
      </c>
      <c r="B3165" t="s">
        <v>20</v>
      </c>
      <c r="C3165">
        <v>2022</v>
      </c>
      <c r="D3165">
        <v>35.125</v>
      </c>
      <c r="E3165" t="s">
        <v>9</v>
      </c>
      <c r="F3165">
        <v>24.25</v>
      </c>
      <c r="G3165">
        <v>10.875</v>
      </c>
      <c r="H3165">
        <v>52000</v>
      </c>
      <c r="I3165" t="s">
        <v>25</v>
      </c>
    </row>
    <row r="3166" spans="1:9" hidden="1" x14ac:dyDescent="0.25">
      <c r="A3166">
        <v>5</v>
      </c>
      <c r="B3166" t="s">
        <v>20</v>
      </c>
      <c r="C3166">
        <v>2022</v>
      </c>
      <c r="D3166">
        <v>24.25</v>
      </c>
      <c r="E3166" t="s">
        <v>9</v>
      </c>
      <c r="F3166">
        <v>17.875</v>
      </c>
      <c r="G3166">
        <v>6.375</v>
      </c>
      <c r="H3166">
        <v>52000</v>
      </c>
      <c r="I3166" t="s">
        <v>25</v>
      </c>
    </row>
    <row r="3167" spans="1:9" hidden="1" x14ac:dyDescent="0.25">
      <c r="A3167">
        <v>6</v>
      </c>
      <c r="B3167" t="s">
        <v>20</v>
      </c>
      <c r="C3167">
        <v>2022</v>
      </c>
      <c r="D3167">
        <v>17.875</v>
      </c>
      <c r="E3167" t="s">
        <v>9</v>
      </c>
      <c r="F3167">
        <v>10</v>
      </c>
      <c r="G3167">
        <v>7.875</v>
      </c>
      <c r="H3167">
        <v>52000</v>
      </c>
      <c r="I3167" t="s">
        <v>25</v>
      </c>
    </row>
    <row r="3168" spans="1:9" hidden="1" x14ac:dyDescent="0.25">
      <c r="A3168">
        <v>7</v>
      </c>
      <c r="B3168" t="s">
        <v>20</v>
      </c>
      <c r="C3168">
        <v>2022</v>
      </c>
      <c r="D3168">
        <v>10</v>
      </c>
      <c r="E3168">
        <v>40</v>
      </c>
      <c r="F3168">
        <v>30.625</v>
      </c>
      <c r="G3168">
        <v>19.375</v>
      </c>
      <c r="H3168">
        <v>52000</v>
      </c>
      <c r="I3168" t="s">
        <v>25</v>
      </c>
    </row>
    <row r="3169" spans="1:9" hidden="1" x14ac:dyDescent="0.25">
      <c r="A3169">
        <v>8</v>
      </c>
      <c r="B3169" t="s">
        <v>20</v>
      </c>
      <c r="C3169">
        <v>2022</v>
      </c>
      <c r="D3169">
        <v>30.625</v>
      </c>
      <c r="E3169" t="s">
        <v>9</v>
      </c>
      <c r="F3169">
        <v>18.375</v>
      </c>
      <c r="G3169">
        <v>12.25</v>
      </c>
      <c r="H3169">
        <v>52000</v>
      </c>
      <c r="I3169" t="s">
        <v>25</v>
      </c>
    </row>
    <row r="3170" spans="1:9" hidden="1" x14ac:dyDescent="0.25">
      <c r="A3170">
        <v>9</v>
      </c>
      <c r="B3170" t="s">
        <v>20</v>
      </c>
      <c r="C3170">
        <v>2022</v>
      </c>
      <c r="D3170">
        <v>18.375</v>
      </c>
      <c r="E3170">
        <v>50</v>
      </c>
      <c r="F3170">
        <v>58</v>
      </c>
      <c r="G3170">
        <v>10.375</v>
      </c>
      <c r="H3170">
        <v>52000</v>
      </c>
      <c r="I3170" t="s">
        <v>25</v>
      </c>
    </row>
    <row r="3171" spans="1:9" hidden="1" x14ac:dyDescent="0.25">
      <c r="A3171">
        <v>10</v>
      </c>
      <c r="B3171" t="s">
        <v>20</v>
      </c>
      <c r="C3171">
        <v>2022</v>
      </c>
      <c r="D3171">
        <v>58</v>
      </c>
      <c r="E3171" t="s">
        <v>9</v>
      </c>
      <c r="F3171">
        <v>47.875</v>
      </c>
      <c r="G3171">
        <v>10.125</v>
      </c>
      <c r="H3171">
        <v>52000</v>
      </c>
      <c r="I3171" t="s">
        <v>25</v>
      </c>
    </row>
    <row r="3172" spans="1:9" hidden="1" x14ac:dyDescent="0.25">
      <c r="A3172">
        <v>11</v>
      </c>
      <c r="B3172" t="s">
        <v>20</v>
      </c>
      <c r="C3172">
        <v>2022</v>
      </c>
      <c r="D3172">
        <v>47.875</v>
      </c>
      <c r="E3172" t="s">
        <v>9</v>
      </c>
      <c r="F3172">
        <v>40.25</v>
      </c>
      <c r="G3172">
        <v>7.625</v>
      </c>
      <c r="H3172">
        <v>52000</v>
      </c>
      <c r="I3172" t="s">
        <v>25</v>
      </c>
    </row>
    <row r="3173" spans="1:9" hidden="1" x14ac:dyDescent="0.25">
      <c r="A3173">
        <v>12</v>
      </c>
      <c r="B3173" t="s">
        <v>20</v>
      </c>
      <c r="C3173">
        <v>2022</v>
      </c>
      <c r="D3173">
        <v>40.25</v>
      </c>
      <c r="E3173" t="s">
        <v>9</v>
      </c>
      <c r="F3173">
        <v>33.25</v>
      </c>
      <c r="G3173">
        <v>7</v>
      </c>
      <c r="H3173">
        <v>52000</v>
      </c>
      <c r="I3173" t="s">
        <v>25</v>
      </c>
    </row>
    <row r="3174" spans="1:9" hidden="1" x14ac:dyDescent="0.25">
      <c r="A3174">
        <v>13</v>
      </c>
      <c r="B3174" t="s">
        <v>20</v>
      </c>
      <c r="C3174">
        <v>2022</v>
      </c>
      <c r="D3174">
        <v>33.25</v>
      </c>
      <c r="E3174" t="s">
        <v>9</v>
      </c>
      <c r="F3174">
        <v>23.875</v>
      </c>
      <c r="G3174">
        <v>9.375</v>
      </c>
      <c r="H3174">
        <v>52000</v>
      </c>
      <c r="I3174" t="s">
        <v>25</v>
      </c>
    </row>
    <row r="3175" spans="1:9" hidden="1" x14ac:dyDescent="0.25">
      <c r="A3175">
        <v>14</v>
      </c>
      <c r="B3175" t="s">
        <v>20</v>
      </c>
      <c r="C3175">
        <v>2022</v>
      </c>
      <c r="D3175">
        <v>23.875</v>
      </c>
      <c r="E3175">
        <v>50</v>
      </c>
      <c r="F3175">
        <v>67.375</v>
      </c>
      <c r="G3175">
        <v>6.5</v>
      </c>
      <c r="H3175">
        <v>52000</v>
      </c>
      <c r="I3175" t="s">
        <v>25</v>
      </c>
    </row>
    <row r="3176" spans="1:9" hidden="1" x14ac:dyDescent="0.25">
      <c r="A3176">
        <v>15</v>
      </c>
      <c r="B3176" t="s">
        <v>20</v>
      </c>
      <c r="C3176">
        <v>2022</v>
      </c>
      <c r="D3176">
        <v>67.375</v>
      </c>
      <c r="E3176" t="s">
        <v>9</v>
      </c>
      <c r="F3176">
        <v>59.875</v>
      </c>
      <c r="G3176">
        <v>7.5</v>
      </c>
      <c r="H3176">
        <v>52000</v>
      </c>
      <c r="I3176" t="s">
        <v>25</v>
      </c>
    </row>
    <row r="3177" spans="1:9" hidden="1" x14ac:dyDescent="0.25">
      <c r="A3177">
        <v>16</v>
      </c>
      <c r="B3177" t="s">
        <v>20</v>
      </c>
      <c r="C3177">
        <v>2022</v>
      </c>
      <c r="D3177">
        <v>59.875</v>
      </c>
      <c r="E3177" t="s">
        <v>9</v>
      </c>
      <c r="F3177">
        <v>46.5</v>
      </c>
      <c r="G3177">
        <v>13.375</v>
      </c>
      <c r="H3177">
        <v>52000</v>
      </c>
      <c r="I3177" t="s">
        <v>25</v>
      </c>
    </row>
    <row r="3178" spans="1:9" hidden="1" x14ac:dyDescent="0.25">
      <c r="A3178">
        <v>17</v>
      </c>
      <c r="B3178" t="s">
        <v>20</v>
      </c>
      <c r="C3178">
        <v>2022</v>
      </c>
      <c r="D3178">
        <v>46.5</v>
      </c>
      <c r="E3178" t="s">
        <v>9</v>
      </c>
      <c r="F3178">
        <v>37.25</v>
      </c>
      <c r="G3178">
        <v>9.25</v>
      </c>
      <c r="H3178">
        <v>52000</v>
      </c>
      <c r="I3178" t="s">
        <v>25</v>
      </c>
    </row>
    <row r="3179" spans="1:9" hidden="1" x14ac:dyDescent="0.25">
      <c r="A3179">
        <v>18</v>
      </c>
      <c r="B3179" t="s">
        <v>20</v>
      </c>
      <c r="C3179">
        <v>2022</v>
      </c>
      <c r="D3179">
        <v>37.25</v>
      </c>
      <c r="E3179" t="s">
        <v>9</v>
      </c>
      <c r="F3179">
        <v>27.625</v>
      </c>
      <c r="G3179">
        <v>9.625</v>
      </c>
      <c r="H3179">
        <v>52000</v>
      </c>
      <c r="I3179" t="s">
        <v>25</v>
      </c>
    </row>
    <row r="3180" spans="1:9" hidden="1" x14ac:dyDescent="0.25">
      <c r="A3180">
        <v>19</v>
      </c>
      <c r="B3180" t="s">
        <v>20</v>
      </c>
      <c r="C3180">
        <v>2022</v>
      </c>
      <c r="D3180">
        <v>27.625</v>
      </c>
      <c r="E3180" t="s">
        <v>9</v>
      </c>
      <c r="F3180">
        <v>22</v>
      </c>
      <c r="G3180">
        <v>5.625</v>
      </c>
      <c r="H3180">
        <v>52000</v>
      </c>
      <c r="I3180" t="s">
        <v>25</v>
      </c>
    </row>
    <row r="3181" spans="1:9" hidden="1" x14ac:dyDescent="0.25">
      <c r="A3181">
        <v>20</v>
      </c>
      <c r="B3181" t="s">
        <v>20</v>
      </c>
      <c r="C3181">
        <v>2022</v>
      </c>
      <c r="D3181">
        <v>22</v>
      </c>
      <c r="E3181" t="s">
        <v>9</v>
      </c>
      <c r="F3181">
        <v>16.125</v>
      </c>
      <c r="G3181">
        <v>5.875</v>
      </c>
      <c r="H3181">
        <v>52000</v>
      </c>
      <c r="I3181" t="s">
        <v>25</v>
      </c>
    </row>
    <row r="3182" spans="1:9" hidden="1" x14ac:dyDescent="0.25">
      <c r="A3182">
        <v>21</v>
      </c>
      <c r="B3182" t="s">
        <v>20</v>
      </c>
      <c r="C3182">
        <v>2022</v>
      </c>
      <c r="D3182">
        <v>16.125</v>
      </c>
      <c r="E3182">
        <v>50</v>
      </c>
      <c r="F3182">
        <v>57.5</v>
      </c>
      <c r="G3182">
        <v>8.625</v>
      </c>
      <c r="H3182">
        <v>52000</v>
      </c>
      <c r="I3182" t="s">
        <v>25</v>
      </c>
    </row>
    <row r="3183" spans="1:9" hidden="1" x14ac:dyDescent="0.25">
      <c r="A3183">
        <v>22</v>
      </c>
      <c r="B3183" t="s">
        <v>20</v>
      </c>
      <c r="C3183">
        <v>2022</v>
      </c>
      <c r="D3183">
        <v>57.5</v>
      </c>
      <c r="E3183" t="s">
        <v>9</v>
      </c>
      <c r="F3183">
        <v>45.625</v>
      </c>
      <c r="G3183">
        <v>11.875</v>
      </c>
      <c r="H3183">
        <v>52000</v>
      </c>
      <c r="I3183" t="s">
        <v>25</v>
      </c>
    </row>
    <row r="3184" spans="1:9" hidden="1" x14ac:dyDescent="0.25">
      <c r="A3184">
        <v>23</v>
      </c>
      <c r="B3184" t="s">
        <v>20</v>
      </c>
      <c r="C3184">
        <v>2022</v>
      </c>
      <c r="D3184">
        <v>45.625</v>
      </c>
      <c r="E3184" t="s">
        <v>9</v>
      </c>
      <c r="F3184">
        <v>34.625</v>
      </c>
      <c r="G3184">
        <v>11</v>
      </c>
      <c r="H3184">
        <v>52000</v>
      </c>
      <c r="I3184" t="s">
        <v>25</v>
      </c>
    </row>
    <row r="3185" spans="1:9" hidden="1" x14ac:dyDescent="0.25">
      <c r="A3185">
        <v>24</v>
      </c>
      <c r="B3185" t="s">
        <v>20</v>
      </c>
      <c r="C3185">
        <v>2022</v>
      </c>
      <c r="D3185">
        <v>34.625</v>
      </c>
      <c r="E3185" t="s">
        <v>9</v>
      </c>
      <c r="F3185">
        <v>21.625</v>
      </c>
      <c r="G3185">
        <v>13</v>
      </c>
      <c r="H3185">
        <v>52000</v>
      </c>
      <c r="I3185" t="s">
        <v>25</v>
      </c>
    </row>
    <row r="3186" spans="1:9" hidden="1" x14ac:dyDescent="0.25">
      <c r="A3186">
        <v>25</v>
      </c>
      <c r="B3186" t="s">
        <v>20</v>
      </c>
      <c r="C3186">
        <v>2022</v>
      </c>
      <c r="D3186">
        <v>21.625</v>
      </c>
      <c r="E3186" t="s">
        <v>9</v>
      </c>
      <c r="F3186">
        <v>1.625</v>
      </c>
      <c r="G3186">
        <v>20</v>
      </c>
      <c r="H3186">
        <v>52000</v>
      </c>
      <c r="I3186" t="s">
        <v>25</v>
      </c>
    </row>
    <row r="3187" spans="1:9" hidden="1" x14ac:dyDescent="0.25">
      <c r="A3187">
        <v>26</v>
      </c>
      <c r="B3187" t="s">
        <v>20</v>
      </c>
      <c r="C3187">
        <v>2022</v>
      </c>
      <c r="D3187">
        <v>1.625</v>
      </c>
      <c r="E3187">
        <v>40</v>
      </c>
      <c r="F3187">
        <v>34.875</v>
      </c>
      <c r="G3187">
        <v>6.75</v>
      </c>
      <c r="H3187">
        <v>52000</v>
      </c>
      <c r="I3187" t="s">
        <v>25</v>
      </c>
    </row>
    <row r="3188" spans="1:9" hidden="1" x14ac:dyDescent="0.25">
      <c r="A3188">
        <v>27</v>
      </c>
      <c r="B3188" t="s">
        <v>20</v>
      </c>
      <c r="C3188">
        <v>2022</v>
      </c>
      <c r="D3188">
        <v>34.875</v>
      </c>
      <c r="E3188" t="s">
        <v>9</v>
      </c>
      <c r="F3188">
        <v>27.125</v>
      </c>
      <c r="G3188">
        <v>7.75</v>
      </c>
      <c r="H3188">
        <v>52000</v>
      </c>
      <c r="I3188" t="s">
        <v>25</v>
      </c>
    </row>
    <row r="3189" spans="1:9" hidden="1" x14ac:dyDescent="0.25">
      <c r="A3189">
        <v>28</v>
      </c>
      <c r="B3189" t="s">
        <v>20</v>
      </c>
      <c r="C3189">
        <v>2022</v>
      </c>
      <c r="D3189">
        <v>27.125</v>
      </c>
      <c r="E3189" t="s">
        <v>9</v>
      </c>
      <c r="F3189">
        <v>16.125</v>
      </c>
      <c r="G3189">
        <v>11</v>
      </c>
      <c r="H3189">
        <v>52000</v>
      </c>
      <c r="I3189" t="s">
        <v>25</v>
      </c>
    </row>
    <row r="3190" spans="1:9" hidden="1" x14ac:dyDescent="0.25">
      <c r="A3190">
        <v>29</v>
      </c>
      <c r="B3190" t="s">
        <v>20</v>
      </c>
      <c r="C3190">
        <v>2022</v>
      </c>
      <c r="D3190">
        <v>16.125</v>
      </c>
      <c r="E3190" t="s">
        <v>9</v>
      </c>
      <c r="F3190">
        <v>5.5</v>
      </c>
      <c r="G3190">
        <v>10.625</v>
      </c>
      <c r="H3190">
        <v>52000</v>
      </c>
      <c r="I3190" t="s">
        <v>25</v>
      </c>
    </row>
    <row r="3191" spans="1:9" hidden="1" x14ac:dyDescent="0.25">
      <c r="A3191">
        <v>30</v>
      </c>
      <c r="B3191" t="s">
        <v>20</v>
      </c>
      <c r="C3191">
        <v>2022</v>
      </c>
      <c r="D3191">
        <v>5.5</v>
      </c>
      <c r="E3191">
        <v>50</v>
      </c>
      <c r="F3191">
        <v>42.375</v>
      </c>
      <c r="G3191">
        <v>13.125</v>
      </c>
      <c r="H3191">
        <v>52000</v>
      </c>
      <c r="I3191" t="s">
        <v>25</v>
      </c>
    </row>
    <row r="3192" spans="1:9" hidden="1" x14ac:dyDescent="0.25">
      <c r="A3192">
        <v>31</v>
      </c>
      <c r="B3192" t="s">
        <v>20</v>
      </c>
      <c r="C3192">
        <v>2022</v>
      </c>
      <c r="D3192">
        <v>42.375</v>
      </c>
      <c r="E3192" t="s">
        <v>9</v>
      </c>
      <c r="F3192">
        <v>25</v>
      </c>
      <c r="G3192">
        <v>17.375</v>
      </c>
      <c r="H3192">
        <v>52000</v>
      </c>
      <c r="I3192" t="s">
        <v>25</v>
      </c>
    </row>
    <row r="3193" spans="1:9" x14ac:dyDescent="0.25">
      <c r="A3193">
        <v>1</v>
      </c>
      <c r="B3193" t="s">
        <v>26</v>
      </c>
      <c r="C3193">
        <v>2023</v>
      </c>
      <c r="D3193">
        <v>115.875</v>
      </c>
      <c r="E3193" t="s">
        <v>9</v>
      </c>
      <c r="F3193">
        <v>50.25</v>
      </c>
      <c r="G3193">
        <v>65.625</v>
      </c>
      <c r="H3193">
        <v>56000</v>
      </c>
      <c r="I3193" t="s">
        <v>22</v>
      </c>
    </row>
    <row r="3194" spans="1:9" x14ac:dyDescent="0.25">
      <c r="A3194">
        <v>2</v>
      </c>
      <c r="B3194" t="s">
        <v>26</v>
      </c>
      <c r="C3194">
        <v>2023</v>
      </c>
      <c r="D3194">
        <v>50.25</v>
      </c>
      <c r="E3194">
        <v>70</v>
      </c>
      <c r="F3194">
        <v>73.5</v>
      </c>
      <c r="G3194">
        <v>46.75</v>
      </c>
      <c r="H3194">
        <v>56000</v>
      </c>
      <c r="I3194" t="s">
        <v>22</v>
      </c>
    </row>
    <row r="3195" spans="1:9" x14ac:dyDescent="0.25">
      <c r="A3195">
        <v>3</v>
      </c>
      <c r="B3195" t="s">
        <v>26</v>
      </c>
      <c r="C3195">
        <v>2023</v>
      </c>
      <c r="D3195">
        <v>73.5</v>
      </c>
      <c r="E3195" t="s">
        <v>9</v>
      </c>
      <c r="F3195">
        <v>24.875</v>
      </c>
      <c r="G3195">
        <v>48.625</v>
      </c>
      <c r="H3195">
        <v>56000</v>
      </c>
      <c r="I3195" t="s">
        <v>22</v>
      </c>
    </row>
    <row r="3196" spans="1:9" x14ac:dyDescent="0.25">
      <c r="A3196">
        <v>4</v>
      </c>
      <c r="B3196" t="s">
        <v>26</v>
      </c>
      <c r="C3196">
        <v>2023</v>
      </c>
      <c r="D3196">
        <v>24.875</v>
      </c>
      <c r="E3196">
        <v>100</v>
      </c>
      <c r="F3196">
        <v>71.375</v>
      </c>
      <c r="G3196">
        <v>53.5</v>
      </c>
      <c r="H3196">
        <v>56000</v>
      </c>
      <c r="I3196" t="s">
        <v>22</v>
      </c>
    </row>
    <row r="3197" spans="1:9" x14ac:dyDescent="0.25">
      <c r="A3197">
        <v>5</v>
      </c>
      <c r="B3197" t="s">
        <v>26</v>
      </c>
      <c r="C3197">
        <v>2023</v>
      </c>
      <c r="D3197">
        <v>71.375</v>
      </c>
      <c r="E3197" t="s">
        <v>9</v>
      </c>
      <c r="F3197">
        <v>30</v>
      </c>
      <c r="G3197">
        <v>41.375</v>
      </c>
      <c r="H3197">
        <v>56000</v>
      </c>
      <c r="I3197" t="s">
        <v>22</v>
      </c>
    </row>
    <row r="3198" spans="1:9" x14ac:dyDescent="0.25">
      <c r="A3198">
        <v>6</v>
      </c>
      <c r="B3198" t="s">
        <v>26</v>
      </c>
      <c r="C3198">
        <v>2023</v>
      </c>
      <c r="D3198">
        <v>30</v>
      </c>
      <c r="E3198">
        <v>40</v>
      </c>
      <c r="F3198">
        <v>36.125</v>
      </c>
      <c r="G3198">
        <v>33.875</v>
      </c>
      <c r="H3198">
        <v>56000</v>
      </c>
      <c r="I3198" t="s">
        <v>22</v>
      </c>
    </row>
    <row r="3199" spans="1:9" x14ac:dyDescent="0.25">
      <c r="A3199">
        <v>7</v>
      </c>
      <c r="B3199" t="s">
        <v>26</v>
      </c>
      <c r="C3199">
        <v>2023</v>
      </c>
      <c r="D3199">
        <v>36.125</v>
      </c>
      <c r="E3199">
        <v>100</v>
      </c>
      <c r="F3199">
        <v>92</v>
      </c>
      <c r="G3199">
        <v>44.125</v>
      </c>
      <c r="H3199">
        <v>56000</v>
      </c>
      <c r="I3199" t="s">
        <v>22</v>
      </c>
    </row>
    <row r="3200" spans="1:9" x14ac:dyDescent="0.25">
      <c r="A3200">
        <v>8</v>
      </c>
      <c r="B3200" t="s">
        <v>26</v>
      </c>
      <c r="C3200">
        <v>2023</v>
      </c>
      <c r="D3200">
        <v>92</v>
      </c>
      <c r="E3200" t="s">
        <v>9</v>
      </c>
      <c r="F3200">
        <v>39.25</v>
      </c>
      <c r="G3200">
        <v>52.75</v>
      </c>
      <c r="H3200">
        <v>56000</v>
      </c>
      <c r="I3200" t="s">
        <v>22</v>
      </c>
    </row>
    <row r="3201" spans="1:9" x14ac:dyDescent="0.25">
      <c r="A3201">
        <v>9</v>
      </c>
      <c r="B3201" t="s">
        <v>26</v>
      </c>
      <c r="C3201">
        <v>2023</v>
      </c>
      <c r="D3201">
        <v>39.25</v>
      </c>
      <c r="E3201">
        <v>60</v>
      </c>
      <c r="F3201">
        <v>61.125</v>
      </c>
      <c r="G3201">
        <v>38.125</v>
      </c>
      <c r="H3201">
        <v>56000</v>
      </c>
      <c r="I3201" t="s">
        <v>22</v>
      </c>
    </row>
    <row r="3202" spans="1:9" x14ac:dyDescent="0.25">
      <c r="A3202">
        <v>10</v>
      </c>
      <c r="B3202" t="s">
        <v>26</v>
      </c>
      <c r="C3202">
        <v>2023</v>
      </c>
      <c r="D3202">
        <v>61.125</v>
      </c>
      <c r="E3202" t="s">
        <v>9</v>
      </c>
      <c r="F3202">
        <v>30.5</v>
      </c>
      <c r="G3202">
        <v>30.625</v>
      </c>
      <c r="H3202">
        <v>56000</v>
      </c>
      <c r="I3202" t="s">
        <v>22</v>
      </c>
    </row>
    <row r="3203" spans="1:9" x14ac:dyDescent="0.25">
      <c r="A3203">
        <v>11</v>
      </c>
      <c r="B3203" t="s">
        <v>26</v>
      </c>
      <c r="C3203">
        <v>2023</v>
      </c>
      <c r="D3203">
        <v>30.5</v>
      </c>
      <c r="E3203">
        <v>110</v>
      </c>
      <c r="F3203">
        <v>98.75</v>
      </c>
      <c r="G3203">
        <v>41.75</v>
      </c>
      <c r="H3203">
        <v>56000</v>
      </c>
      <c r="I3203" t="s">
        <v>22</v>
      </c>
    </row>
    <row r="3204" spans="1:9" x14ac:dyDescent="0.25">
      <c r="A3204">
        <v>12</v>
      </c>
      <c r="B3204" t="s">
        <v>26</v>
      </c>
      <c r="C3204">
        <v>2023</v>
      </c>
      <c r="D3204">
        <v>98.75</v>
      </c>
      <c r="E3204" t="s">
        <v>9</v>
      </c>
      <c r="F3204">
        <v>76</v>
      </c>
      <c r="G3204">
        <v>22.75</v>
      </c>
      <c r="H3204">
        <v>56000</v>
      </c>
      <c r="I3204" t="s">
        <v>22</v>
      </c>
    </row>
    <row r="3205" spans="1:9" x14ac:dyDescent="0.25">
      <c r="A3205">
        <v>13</v>
      </c>
      <c r="B3205" t="s">
        <v>26</v>
      </c>
      <c r="C3205">
        <v>2023</v>
      </c>
      <c r="D3205">
        <v>76</v>
      </c>
      <c r="E3205" t="s">
        <v>9</v>
      </c>
      <c r="F3205">
        <v>46.375</v>
      </c>
      <c r="G3205">
        <v>29.625</v>
      </c>
      <c r="H3205">
        <v>56000</v>
      </c>
      <c r="I3205" t="s">
        <v>22</v>
      </c>
    </row>
    <row r="3206" spans="1:9" x14ac:dyDescent="0.25">
      <c r="A3206">
        <v>14</v>
      </c>
      <c r="B3206" t="s">
        <v>26</v>
      </c>
      <c r="C3206">
        <v>2023</v>
      </c>
      <c r="D3206">
        <v>46.375</v>
      </c>
      <c r="E3206">
        <v>120</v>
      </c>
      <c r="F3206">
        <v>113.125</v>
      </c>
      <c r="G3206">
        <v>53.25</v>
      </c>
      <c r="H3206">
        <v>56000</v>
      </c>
      <c r="I3206" t="s">
        <v>22</v>
      </c>
    </row>
    <row r="3207" spans="1:9" x14ac:dyDescent="0.25">
      <c r="A3207">
        <v>15</v>
      </c>
      <c r="B3207" t="s">
        <v>26</v>
      </c>
      <c r="C3207">
        <v>2023</v>
      </c>
      <c r="D3207">
        <v>113.125</v>
      </c>
      <c r="E3207" t="s">
        <v>9</v>
      </c>
      <c r="F3207">
        <v>71.5</v>
      </c>
      <c r="G3207">
        <v>41.625</v>
      </c>
      <c r="H3207">
        <v>56000</v>
      </c>
      <c r="I3207" t="s">
        <v>22</v>
      </c>
    </row>
    <row r="3208" spans="1:9" x14ac:dyDescent="0.25">
      <c r="A3208">
        <v>16</v>
      </c>
      <c r="B3208" t="s">
        <v>26</v>
      </c>
      <c r="C3208">
        <v>2023</v>
      </c>
      <c r="D3208">
        <v>71.5</v>
      </c>
      <c r="E3208" t="s">
        <v>9</v>
      </c>
      <c r="F3208">
        <v>48.75</v>
      </c>
      <c r="G3208">
        <v>22.75</v>
      </c>
      <c r="H3208">
        <v>56000</v>
      </c>
      <c r="I3208" t="s">
        <v>22</v>
      </c>
    </row>
    <row r="3209" spans="1:9" x14ac:dyDescent="0.25">
      <c r="A3209">
        <v>17</v>
      </c>
      <c r="B3209" t="s">
        <v>26</v>
      </c>
      <c r="C3209">
        <v>2023</v>
      </c>
      <c r="D3209">
        <v>48.75</v>
      </c>
      <c r="E3209">
        <v>110</v>
      </c>
      <c r="F3209">
        <v>128.125</v>
      </c>
      <c r="G3209">
        <v>30.625</v>
      </c>
      <c r="H3209">
        <v>56000</v>
      </c>
      <c r="I3209" t="s">
        <v>22</v>
      </c>
    </row>
    <row r="3210" spans="1:9" x14ac:dyDescent="0.25">
      <c r="A3210">
        <v>18</v>
      </c>
      <c r="B3210" t="s">
        <v>26</v>
      </c>
      <c r="C3210">
        <v>2023</v>
      </c>
      <c r="D3210">
        <v>128.125</v>
      </c>
      <c r="E3210" t="s">
        <v>9</v>
      </c>
      <c r="F3210">
        <v>95.25</v>
      </c>
      <c r="G3210">
        <v>32.875</v>
      </c>
      <c r="H3210">
        <v>56000</v>
      </c>
      <c r="I3210" t="s">
        <v>22</v>
      </c>
    </row>
    <row r="3211" spans="1:9" x14ac:dyDescent="0.25">
      <c r="A3211">
        <v>19</v>
      </c>
      <c r="B3211" t="s">
        <v>26</v>
      </c>
      <c r="C3211">
        <v>2023</v>
      </c>
      <c r="D3211">
        <v>95.25</v>
      </c>
      <c r="E3211">
        <v>80</v>
      </c>
      <c r="F3211">
        <v>154</v>
      </c>
      <c r="G3211">
        <v>21.25</v>
      </c>
      <c r="H3211">
        <v>56000</v>
      </c>
      <c r="I3211" t="s">
        <v>22</v>
      </c>
    </row>
    <row r="3212" spans="1:9" x14ac:dyDescent="0.25">
      <c r="A3212">
        <v>20</v>
      </c>
      <c r="B3212" t="s">
        <v>26</v>
      </c>
      <c r="C3212">
        <v>2023</v>
      </c>
      <c r="D3212">
        <v>154</v>
      </c>
      <c r="E3212" t="s">
        <v>9</v>
      </c>
      <c r="F3212">
        <v>124</v>
      </c>
      <c r="G3212">
        <v>30</v>
      </c>
      <c r="H3212">
        <v>56000</v>
      </c>
      <c r="I3212" t="s">
        <v>22</v>
      </c>
    </row>
    <row r="3213" spans="1:9" x14ac:dyDescent="0.25">
      <c r="A3213">
        <v>21</v>
      </c>
      <c r="B3213" t="s">
        <v>26</v>
      </c>
      <c r="C3213">
        <v>2023</v>
      </c>
      <c r="D3213">
        <v>124</v>
      </c>
      <c r="E3213">
        <v>60</v>
      </c>
      <c r="F3213">
        <v>130.875</v>
      </c>
      <c r="G3213">
        <v>53.125</v>
      </c>
      <c r="H3213">
        <v>56000</v>
      </c>
      <c r="I3213" t="s">
        <v>22</v>
      </c>
    </row>
    <row r="3214" spans="1:9" x14ac:dyDescent="0.25">
      <c r="A3214">
        <v>22</v>
      </c>
      <c r="B3214" t="s">
        <v>26</v>
      </c>
      <c r="C3214">
        <v>2023</v>
      </c>
      <c r="D3214">
        <v>130.875</v>
      </c>
      <c r="E3214" t="s">
        <v>9</v>
      </c>
      <c r="F3214">
        <v>82.75</v>
      </c>
      <c r="G3214">
        <v>48.125</v>
      </c>
      <c r="H3214">
        <v>56000</v>
      </c>
      <c r="I3214" t="s">
        <v>22</v>
      </c>
    </row>
    <row r="3215" spans="1:9" x14ac:dyDescent="0.25">
      <c r="A3215">
        <v>23</v>
      </c>
      <c r="B3215" t="s">
        <v>26</v>
      </c>
      <c r="C3215">
        <v>2023</v>
      </c>
      <c r="D3215">
        <v>82.75</v>
      </c>
      <c r="E3215" t="s">
        <v>9</v>
      </c>
      <c r="F3215">
        <v>70.125</v>
      </c>
      <c r="G3215">
        <v>12.625</v>
      </c>
      <c r="H3215">
        <v>56000</v>
      </c>
      <c r="I3215" t="s">
        <v>22</v>
      </c>
    </row>
    <row r="3216" spans="1:9" x14ac:dyDescent="0.25">
      <c r="A3216">
        <v>24</v>
      </c>
      <c r="B3216" t="s">
        <v>26</v>
      </c>
      <c r="C3216">
        <v>2023</v>
      </c>
      <c r="D3216">
        <v>70.125</v>
      </c>
      <c r="E3216">
        <v>80</v>
      </c>
      <c r="F3216">
        <v>137.375</v>
      </c>
      <c r="G3216">
        <v>12.75</v>
      </c>
      <c r="H3216">
        <v>56000</v>
      </c>
      <c r="I3216" t="s">
        <v>22</v>
      </c>
    </row>
    <row r="3217" spans="1:9" x14ac:dyDescent="0.25">
      <c r="A3217">
        <v>25</v>
      </c>
      <c r="B3217" t="s">
        <v>26</v>
      </c>
      <c r="C3217">
        <v>2023</v>
      </c>
      <c r="D3217">
        <v>137.375</v>
      </c>
      <c r="E3217" t="s">
        <v>9</v>
      </c>
      <c r="F3217">
        <v>118.75</v>
      </c>
      <c r="G3217">
        <v>18.625</v>
      </c>
      <c r="H3217">
        <v>56000</v>
      </c>
      <c r="I3217" t="s">
        <v>22</v>
      </c>
    </row>
    <row r="3218" spans="1:9" x14ac:dyDescent="0.25">
      <c r="A3218">
        <v>26</v>
      </c>
      <c r="B3218" t="s">
        <v>26</v>
      </c>
      <c r="C3218">
        <v>2023</v>
      </c>
      <c r="D3218">
        <v>118.75</v>
      </c>
      <c r="E3218" t="s">
        <v>9</v>
      </c>
      <c r="F3218">
        <v>99.5</v>
      </c>
      <c r="G3218">
        <v>19.25</v>
      </c>
      <c r="H3218">
        <v>56000</v>
      </c>
      <c r="I3218" t="s">
        <v>22</v>
      </c>
    </row>
    <row r="3219" spans="1:9" x14ac:dyDescent="0.25">
      <c r="A3219">
        <v>27</v>
      </c>
      <c r="B3219" t="s">
        <v>26</v>
      </c>
      <c r="C3219">
        <v>2023</v>
      </c>
      <c r="D3219">
        <v>99.5</v>
      </c>
      <c r="E3219" t="s">
        <v>9</v>
      </c>
      <c r="F3219">
        <v>72.125</v>
      </c>
      <c r="G3219">
        <v>27.375</v>
      </c>
      <c r="H3219">
        <v>56000</v>
      </c>
      <c r="I3219" t="s">
        <v>22</v>
      </c>
    </row>
    <row r="3220" spans="1:9" x14ac:dyDescent="0.25">
      <c r="A3220">
        <v>28</v>
      </c>
      <c r="B3220" t="s">
        <v>26</v>
      </c>
      <c r="C3220">
        <v>2023</v>
      </c>
      <c r="D3220">
        <v>72.125</v>
      </c>
      <c r="E3220">
        <v>80</v>
      </c>
      <c r="F3220">
        <v>111.5</v>
      </c>
      <c r="G3220">
        <v>40.625</v>
      </c>
      <c r="H3220">
        <v>56000</v>
      </c>
      <c r="I3220" t="s">
        <v>22</v>
      </c>
    </row>
    <row r="3221" spans="1:9" x14ac:dyDescent="0.25">
      <c r="A3221">
        <v>29</v>
      </c>
      <c r="B3221" t="s">
        <v>26</v>
      </c>
      <c r="C3221">
        <v>2023</v>
      </c>
      <c r="D3221">
        <v>111.5</v>
      </c>
      <c r="E3221" t="s">
        <v>9</v>
      </c>
      <c r="F3221">
        <v>65.625</v>
      </c>
      <c r="G3221">
        <v>45.875</v>
      </c>
      <c r="H3221">
        <v>56000</v>
      </c>
      <c r="I3221" t="s">
        <v>22</v>
      </c>
    </row>
    <row r="3222" spans="1:9" x14ac:dyDescent="0.25">
      <c r="A3222">
        <v>30</v>
      </c>
      <c r="B3222" t="s">
        <v>26</v>
      </c>
      <c r="C3222">
        <v>2023</v>
      </c>
      <c r="D3222">
        <v>65.625</v>
      </c>
      <c r="E3222" t="s">
        <v>9</v>
      </c>
      <c r="F3222">
        <v>50.875</v>
      </c>
      <c r="G3222">
        <v>14.75</v>
      </c>
      <c r="H3222">
        <v>56000</v>
      </c>
      <c r="I3222" t="s">
        <v>22</v>
      </c>
    </row>
    <row r="3223" spans="1:9" x14ac:dyDescent="0.25">
      <c r="A3223">
        <v>31</v>
      </c>
      <c r="B3223" t="s">
        <v>26</v>
      </c>
      <c r="C3223">
        <v>2023</v>
      </c>
      <c r="D3223">
        <v>50.875</v>
      </c>
      <c r="E3223">
        <v>100</v>
      </c>
      <c r="F3223">
        <v>134.75</v>
      </c>
      <c r="G3223">
        <v>16.125</v>
      </c>
      <c r="H3223">
        <v>56000</v>
      </c>
      <c r="I3223" t="s">
        <v>22</v>
      </c>
    </row>
    <row r="3224" spans="1:9" hidden="1" x14ac:dyDescent="0.25">
      <c r="A3224">
        <v>1</v>
      </c>
      <c r="B3224" t="s">
        <v>26</v>
      </c>
      <c r="C3224">
        <v>2023</v>
      </c>
      <c r="D3224">
        <v>130.125</v>
      </c>
      <c r="E3224" t="s">
        <v>9</v>
      </c>
      <c r="F3224">
        <v>71.125</v>
      </c>
      <c r="G3224">
        <v>59</v>
      </c>
      <c r="H3224">
        <v>56000</v>
      </c>
      <c r="I3224" t="s">
        <v>23</v>
      </c>
    </row>
    <row r="3225" spans="1:9" hidden="1" x14ac:dyDescent="0.25">
      <c r="A3225">
        <v>2</v>
      </c>
      <c r="B3225" t="s">
        <v>26</v>
      </c>
      <c r="C3225">
        <v>2023</v>
      </c>
      <c r="D3225">
        <v>71.125</v>
      </c>
      <c r="E3225">
        <v>70</v>
      </c>
      <c r="F3225">
        <v>107</v>
      </c>
      <c r="G3225">
        <v>34.125</v>
      </c>
      <c r="H3225">
        <v>56000</v>
      </c>
      <c r="I3225" t="s">
        <v>23</v>
      </c>
    </row>
    <row r="3226" spans="1:9" hidden="1" x14ac:dyDescent="0.25">
      <c r="A3226">
        <v>3</v>
      </c>
      <c r="B3226" t="s">
        <v>26</v>
      </c>
      <c r="C3226">
        <v>2023</v>
      </c>
      <c r="D3226">
        <v>107</v>
      </c>
      <c r="E3226" t="s">
        <v>9</v>
      </c>
      <c r="F3226">
        <v>74</v>
      </c>
      <c r="G3226">
        <v>33</v>
      </c>
      <c r="H3226">
        <v>56000</v>
      </c>
      <c r="I3226" t="s">
        <v>23</v>
      </c>
    </row>
    <row r="3227" spans="1:9" hidden="1" x14ac:dyDescent="0.25">
      <c r="A3227">
        <v>4</v>
      </c>
      <c r="B3227" t="s">
        <v>26</v>
      </c>
      <c r="C3227">
        <v>2023</v>
      </c>
      <c r="D3227">
        <v>74</v>
      </c>
      <c r="E3227">
        <v>70</v>
      </c>
      <c r="F3227">
        <v>102.25</v>
      </c>
      <c r="G3227">
        <v>41.75</v>
      </c>
      <c r="H3227">
        <v>56000</v>
      </c>
      <c r="I3227" t="s">
        <v>23</v>
      </c>
    </row>
    <row r="3228" spans="1:9" hidden="1" x14ac:dyDescent="0.25">
      <c r="A3228">
        <v>5</v>
      </c>
      <c r="B3228" t="s">
        <v>26</v>
      </c>
      <c r="C3228">
        <v>2023</v>
      </c>
      <c r="D3228">
        <v>102.25</v>
      </c>
      <c r="E3228" t="s">
        <v>9</v>
      </c>
      <c r="F3228">
        <v>76.375</v>
      </c>
      <c r="G3228">
        <v>25.875</v>
      </c>
      <c r="H3228">
        <v>56000</v>
      </c>
      <c r="I3228" t="s">
        <v>23</v>
      </c>
    </row>
    <row r="3229" spans="1:9" hidden="1" x14ac:dyDescent="0.25">
      <c r="A3229">
        <v>6</v>
      </c>
      <c r="B3229" t="s">
        <v>26</v>
      </c>
      <c r="C3229">
        <v>2023</v>
      </c>
      <c r="D3229">
        <v>76.375</v>
      </c>
      <c r="E3229" t="s">
        <v>9</v>
      </c>
      <c r="F3229">
        <v>50</v>
      </c>
      <c r="G3229">
        <v>26.375</v>
      </c>
      <c r="H3229">
        <v>56000</v>
      </c>
      <c r="I3229" t="s">
        <v>23</v>
      </c>
    </row>
    <row r="3230" spans="1:9" hidden="1" x14ac:dyDescent="0.25">
      <c r="A3230">
        <v>7</v>
      </c>
      <c r="B3230" t="s">
        <v>26</v>
      </c>
      <c r="C3230">
        <v>2023</v>
      </c>
      <c r="D3230">
        <v>50</v>
      </c>
      <c r="E3230">
        <v>50</v>
      </c>
      <c r="F3230">
        <v>48</v>
      </c>
      <c r="G3230">
        <v>52</v>
      </c>
      <c r="H3230">
        <v>56000</v>
      </c>
      <c r="I3230" t="s">
        <v>23</v>
      </c>
    </row>
    <row r="3231" spans="1:9" hidden="1" x14ac:dyDescent="0.25">
      <c r="A3231">
        <v>8</v>
      </c>
      <c r="B3231" t="s">
        <v>26</v>
      </c>
      <c r="C3231">
        <v>2023</v>
      </c>
      <c r="D3231">
        <v>48</v>
      </c>
      <c r="E3231">
        <v>30</v>
      </c>
      <c r="F3231">
        <v>27.375</v>
      </c>
      <c r="G3231">
        <v>50.625</v>
      </c>
      <c r="H3231">
        <v>56000</v>
      </c>
      <c r="I3231" t="s">
        <v>23</v>
      </c>
    </row>
    <row r="3232" spans="1:9" hidden="1" x14ac:dyDescent="0.25">
      <c r="A3232">
        <v>9</v>
      </c>
      <c r="B3232" t="s">
        <v>26</v>
      </c>
      <c r="C3232">
        <v>2023</v>
      </c>
      <c r="D3232">
        <v>27.375</v>
      </c>
      <c r="E3232">
        <v>60</v>
      </c>
      <c r="F3232">
        <v>41</v>
      </c>
      <c r="G3232">
        <v>46.375</v>
      </c>
      <c r="H3232">
        <v>56000</v>
      </c>
      <c r="I3232" t="s">
        <v>23</v>
      </c>
    </row>
    <row r="3233" spans="1:9" hidden="1" x14ac:dyDescent="0.25">
      <c r="A3233">
        <v>10</v>
      </c>
      <c r="B3233" t="s">
        <v>26</v>
      </c>
      <c r="C3233">
        <v>2023</v>
      </c>
      <c r="D3233">
        <v>41</v>
      </c>
      <c r="E3233" t="s">
        <v>9</v>
      </c>
      <c r="F3233">
        <v>22.125</v>
      </c>
      <c r="G3233">
        <v>18.875</v>
      </c>
      <c r="H3233">
        <v>56000</v>
      </c>
      <c r="I3233" t="s">
        <v>23</v>
      </c>
    </row>
    <row r="3234" spans="1:9" hidden="1" x14ac:dyDescent="0.25">
      <c r="A3234">
        <v>11</v>
      </c>
      <c r="B3234" t="s">
        <v>26</v>
      </c>
      <c r="C3234">
        <v>2023</v>
      </c>
      <c r="D3234">
        <v>22.125</v>
      </c>
      <c r="E3234">
        <v>108</v>
      </c>
      <c r="F3234">
        <v>101.5</v>
      </c>
      <c r="G3234">
        <v>28.625</v>
      </c>
      <c r="H3234">
        <v>56000</v>
      </c>
      <c r="I3234" t="s">
        <v>23</v>
      </c>
    </row>
    <row r="3235" spans="1:9" hidden="1" x14ac:dyDescent="0.25">
      <c r="A3235">
        <v>12</v>
      </c>
      <c r="B3235" t="s">
        <v>26</v>
      </c>
      <c r="C3235">
        <v>2023</v>
      </c>
      <c r="D3235">
        <v>101.5</v>
      </c>
      <c r="E3235" t="s">
        <v>9</v>
      </c>
      <c r="F3235">
        <v>78</v>
      </c>
      <c r="G3235">
        <v>23.5</v>
      </c>
      <c r="H3235">
        <v>56000</v>
      </c>
      <c r="I3235" t="s">
        <v>23</v>
      </c>
    </row>
    <row r="3236" spans="1:9" hidden="1" x14ac:dyDescent="0.25">
      <c r="A3236">
        <v>13</v>
      </c>
      <c r="B3236" t="s">
        <v>26</v>
      </c>
      <c r="C3236">
        <v>2023</v>
      </c>
      <c r="D3236">
        <v>78</v>
      </c>
      <c r="E3236" t="s">
        <v>9</v>
      </c>
      <c r="F3236">
        <v>45.375</v>
      </c>
      <c r="G3236">
        <v>32.625</v>
      </c>
      <c r="H3236">
        <v>56000</v>
      </c>
      <c r="I3236" t="s">
        <v>23</v>
      </c>
    </row>
    <row r="3237" spans="1:9" hidden="1" x14ac:dyDescent="0.25">
      <c r="A3237">
        <v>14</v>
      </c>
      <c r="B3237" t="s">
        <v>26</v>
      </c>
      <c r="C3237">
        <v>2023</v>
      </c>
      <c r="D3237">
        <v>45.375</v>
      </c>
      <c r="E3237">
        <v>110</v>
      </c>
      <c r="F3237">
        <v>109.375</v>
      </c>
      <c r="G3237">
        <v>46</v>
      </c>
      <c r="H3237">
        <v>56000</v>
      </c>
      <c r="I3237" t="s">
        <v>23</v>
      </c>
    </row>
    <row r="3238" spans="1:9" hidden="1" x14ac:dyDescent="0.25">
      <c r="A3238">
        <v>15</v>
      </c>
      <c r="B3238" t="s">
        <v>26</v>
      </c>
      <c r="C3238">
        <v>2023</v>
      </c>
      <c r="D3238">
        <v>109.375</v>
      </c>
      <c r="E3238" t="s">
        <v>9</v>
      </c>
      <c r="F3238">
        <v>70.875</v>
      </c>
      <c r="G3238">
        <v>38.5</v>
      </c>
      <c r="H3238">
        <v>56000</v>
      </c>
      <c r="I3238" t="s">
        <v>23</v>
      </c>
    </row>
    <row r="3239" spans="1:9" hidden="1" x14ac:dyDescent="0.25">
      <c r="A3239">
        <v>16</v>
      </c>
      <c r="B3239" t="s">
        <v>26</v>
      </c>
      <c r="C3239">
        <v>2023</v>
      </c>
      <c r="D3239">
        <v>70.875</v>
      </c>
      <c r="E3239" t="s">
        <v>9</v>
      </c>
      <c r="F3239">
        <v>45.625</v>
      </c>
      <c r="G3239">
        <v>25.25</v>
      </c>
      <c r="H3239">
        <v>56000</v>
      </c>
      <c r="I3239" t="s">
        <v>23</v>
      </c>
    </row>
    <row r="3240" spans="1:9" hidden="1" x14ac:dyDescent="0.25">
      <c r="A3240">
        <v>17</v>
      </c>
      <c r="B3240" t="s">
        <v>26</v>
      </c>
      <c r="C3240">
        <v>2023</v>
      </c>
      <c r="D3240">
        <v>45.625</v>
      </c>
      <c r="E3240">
        <v>110</v>
      </c>
      <c r="F3240">
        <v>133.625</v>
      </c>
      <c r="G3240">
        <v>22</v>
      </c>
      <c r="H3240">
        <v>56000</v>
      </c>
      <c r="I3240" t="s">
        <v>23</v>
      </c>
    </row>
    <row r="3241" spans="1:9" hidden="1" x14ac:dyDescent="0.25">
      <c r="A3241">
        <v>18</v>
      </c>
      <c r="B3241" t="s">
        <v>26</v>
      </c>
      <c r="C3241">
        <v>2023</v>
      </c>
      <c r="D3241">
        <v>133.625</v>
      </c>
      <c r="E3241" t="s">
        <v>9</v>
      </c>
      <c r="F3241">
        <v>110.25</v>
      </c>
      <c r="G3241">
        <v>23.375</v>
      </c>
      <c r="H3241">
        <v>56000</v>
      </c>
      <c r="I3241" t="s">
        <v>23</v>
      </c>
    </row>
    <row r="3242" spans="1:9" hidden="1" x14ac:dyDescent="0.25">
      <c r="A3242">
        <v>19</v>
      </c>
      <c r="B3242" t="s">
        <v>26</v>
      </c>
      <c r="C3242">
        <v>2023</v>
      </c>
      <c r="D3242">
        <v>110.25</v>
      </c>
      <c r="E3242">
        <v>70</v>
      </c>
      <c r="F3242">
        <v>153.75</v>
      </c>
      <c r="G3242">
        <v>26.5</v>
      </c>
      <c r="H3242">
        <v>56000</v>
      </c>
      <c r="I3242" t="s">
        <v>23</v>
      </c>
    </row>
    <row r="3243" spans="1:9" hidden="1" x14ac:dyDescent="0.25">
      <c r="A3243">
        <v>20</v>
      </c>
      <c r="B3243" t="s">
        <v>26</v>
      </c>
      <c r="C3243">
        <v>2023</v>
      </c>
      <c r="D3243">
        <v>153.75</v>
      </c>
      <c r="E3243" t="s">
        <v>9</v>
      </c>
      <c r="F3243">
        <v>128.625</v>
      </c>
      <c r="G3243">
        <v>25.125</v>
      </c>
      <c r="H3243">
        <v>56000</v>
      </c>
      <c r="I3243" t="s">
        <v>23</v>
      </c>
    </row>
    <row r="3244" spans="1:9" hidden="1" x14ac:dyDescent="0.25">
      <c r="A3244">
        <v>21</v>
      </c>
      <c r="B3244" t="s">
        <v>26</v>
      </c>
      <c r="C3244">
        <v>2023</v>
      </c>
      <c r="D3244">
        <v>128.625</v>
      </c>
      <c r="E3244">
        <v>60</v>
      </c>
      <c r="F3244">
        <v>153.875</v>
      </c>
      <c r="G3244">
        <v>34.75</v>
      </c>
      <c r="H3244">
        <v>56000</v>
      </c>
      <c r="I3244" t="s">
        <v>23</v>
      </c>
    </row>
    <row r="3245" spans="1:9" hidden="1" x14ac:dyDescent="0.25">
      <c r="A3245">
        <v>22</v>
      </c>
      <c r="B3245" t="s">
        <v>26</v>
      </c>
      <c r="C3245">
        <v>2023</v>
      </c>
      <c r="D3245">
        <v>153.875</v>
      </c>
      <c r="E3245" t="s">
        <v>9</v>
      </c>
      <c r="F3245">
        <v>114.25</v>
      </c>
      <c r="G3245">
        <v>39.625</v>
      </c>
      <c r="H3245">
        <v>56000</v>
      </c>
      <c r="I3245" t="s">
        <v>23</v>
      </c>
    </row>
    <row r="3246" spans="1:9" hidden="1" x14ac:dyDescent="0.25">
      <c r="A3246">
        <v>23</v>
      </c>
      <c r="B3246" t="s">
        <v>26</v>
      </c>
      <c r="C3246">
        <v>2023</v>
      </c>
      <c r="D3246">
        <v>114.25</v>
      </c>
      <c r="E3246" t="s">
        <v>9</v>
      </c>
      <c r="F3246">
        <v>98.125</v>
      </c>
      <c r="G3246">
        <v>16.125</v>
      </c>
      <c r="H3246">
        <v>56000</v>
      </c>
      <c r="I3246" t="s">
        <v>23</v>
      </c>
    </row>
    <row r="3247" spans="1:9" hidden="1" x14ac:dyDescent="0.25">
      <c r="A3247">
        <v>24</v>
      </c>
      <c r="B3247" t="s">
        <v>26</v>
      </c>
      <c r="C3247">
        <v>2023</v>
      </c>
      <c r="D3247">
        <v>98.125</v>
      </c>
      <c r="E3247">
        <v>60</v>
      </c>
      <c r="F3247">
        <v>134</v>
      </c>
      <c r="G3247">
        <v>24.125</v>
      </c>
      <c r="H3247">
        <v>56000</v>
      </c>
      <c r="I3247" t="s">
        <v>23</v>
      </c>
    </row>
    <row r="3248" spans="1:9" hidden="1" x14ac:dyDescent="0.25">
      <c r="A3248">
        <v>25</v>
      </c>
      <c r="B3248" t="s">
        <v>26</v>
      </c>
      <c r="C3248">
        <v>2023</v>
      </c>
      <c r="D3248">
        <v>134</v>
      </c>
      <c r="E3248" t="s">
        <v>9</v>
      </c>
      <c r="F3248">
        <v>119.75</v>
      </c>
      <c r="G3248">
        <v>14.25</v>
      </c>
      <c r="H3248">
        <v>56000</v>
      </c>
      <c r="I3248" t="s">
        <v>23</v>
      </c>
    </row>
    <row r="3249" spans="1:9" hidden="1" x14ac:dyDescent="0.25">
      <c r="A3249">
        <v>26</v>
      </c>
      <c r="B3249" t="s">
        <v>26</v>
      </c>
      <c r="C3249">
        <v>2023</v>
      </c>
      <c r="D3249">
        <v>119.75</v>
      </c>
      <c r="E3249" t="s">
        <v>9</v>
      </c>
      <c r="F3249">
        <v>93.75</v>
      </c>
      <c r="G3249">
        <v>26</v>
      </c>
      <c r="H3249">
        <v>56000</v>
      </c>
      <c r="I3249" t="s">
        <v>23</v>
      </c>
    </row>
    <row r="3250" spans="1:9" hidden="1" x14ac:dyDescent="0.25">
      <c r="A3250">
        <v>27</v>
      </c>
      <c r="B3250" t="s">
        <v>26</v>
      </c>
      <c r="C3250">
        <v>2023</v>
      </c>
      <c r="D3250">
        <v>93.75</v>
      </c>
      <c r="E3250" t="s">
        <v>9</v>
      </c>
      <c r="F3250">
        <v>62.25</v>
      </c>
      <c r="G3250">
        <v>31.5</v>
      </c>
      <c r="H3250">
        <v>56000</v>
      </c>
      <c r="I3250" t="s">
        <v>23</v>
      </c>
    </row>
    <row r="3251" spans="1:9" hidden="1" x14ac:dyDescent="0.25">
      <c r="A3251">
        <v>28</v>
      </c>
      <c r="B3251" t="s">
        <v>26</v>
      </c>
      <c r="C3251">
        <v>2023</v>
      </c>
      <c r="D3251">
        <v>62.25</v>
      </c>
      <c r="E3251">
        <v>90</v>
      </c>
      <c r="F3251">
        <v>111.5</v>
      </c>
      <c r="G3251">
        <v>40.75</v>
      </c>
      <c r="H3251">
        <v>56000</v>
      </c>
      <c r="I3251" t="s">
        <v>23</v>
      </c>
    </row>
    <row r="3252" spans="1:9" hidden="1" x14ac:dyDescent="0.25">
      <c r="A3252">
        <v>29</v>
      </c>
      <c r="B3252" t="s">
        <v>26</v>
      </c>
      <c r="C3252">
        <v>2023</v>
      </c>
      <c r="D3252">
        <v>111.5</v>
      </c>
      <c r="E3252" t="s">
        <v>9</v>
      </c>
      <c r="F3252">
        <v>83.125</v>
      </c>
      <c r="G3252">
        <v>28.375</v>
      </c>
      <c r="H3252">
        <v>56000</v>
      </c>
      <c r="I3252" t="s">
        <v>23</v>
      </c>
    </row>
    <row r="3253" spans="1:9" hidden="1" x14ac:dyDescent="0.25">
      <c r="A3253">
        <v>30</v>
      </c>
      <c r="B3253" t="s">
        <v>26</v>
      </c>
      <c r="C3253">
        <v>2023</v>
      </c>
      <c r="D3253">
        <v>83.125</v>
      </c>
      <c r="E3253" t="s">
        <v>9</v>
      </c>
      <c r="F3253">
        <v>62.75</v>
      </c>
      <c r="G3253">
        <v>20.375</v>
      </c>
      <c r="H3253">
        <v>56000</v>
      </c>
      <c r="I3253" t="s">
        <v>23</v>
      </c>
    </row>
    <row r="3254" spans="1:9" hidden="1" x14ac:dyDescent="0.25">
      <c r="A3254">
        <v>31</v>
      </c>
      <c r="B3254" t="s">
        <v>26</v>
      </c>
      <c r="C3254">
        <v>2023</v>
      </c>
      <c r="D3254">
        <v>62.75</v>
      </c>
      <c r="E3254">
        <v>90</v>
      </c>
      <c r="F3254">
        <v>135.5</v>
      </c>
      <c r="G3254">
        <v>17.25</v>
      </c>
      <c r="H3254">
        <v>56000</v>
      </c>
      <c r="I3254" t="s">
        <v>23</v>
      </c>
    </row>
    <row r="3255" spans="1:9" hidden="1" x14ac:dyDescent="0.25">
      <c r="A3255">
        <v>1</v>
      </c>
      <c r="B3255" t="s">
        <v>26</v>
      </c>
      <c r="C3255">
        <v>2023</v>
      </c>
      <c r="D3255">
        <v>25</v>
      </c>
      <c r="E3255" t="s">
        <v>9</v>
      </c>
      <c r="F3255">
        <v>4</v>
      </c>
      <c r="G3255">
        <v>21</v>
      </c>
      <c r="H3255">
        <v>56000</v>
      </c>
      <c r="I3255" t="s">
        <v>25</v>
      </c>
    </row>
    <row r="3256" spans="1:9" hidden="1" x14ac:dyDescent="0.25">
      <c r="A3256">
        <v>2</v>
      </c>
      <c r="B3256" t="s">
        <v>26</v>
      </c>
      <c r="C3256">
        <v>2023</v>
      </c>
      <c r="D3256">
        <v>4</v>
      </c>
      <c r="E3256">
        <v>40</v>
      </c>
      <c r="F3256">
        <v>35.125</v>
      </c>
      <c r="G3256">
        <v>8.875</v>
      </c>
      <c r="H3256">
        <v>56000</v>
      </c>
      <c r="I3256" t="s">
        <v>25</v>
      </c>
    </row>
    <row r="3257" spans="1:9" hidden="1" x14ac:dyDescent="0.25">
      <c r="A3257">
        <v>3</v>
      </c>
      <c r="B3257" t="s">
        <v>26</v>
      </c>
      <c r="C3257">
        <v>2023</v>
      </c>
      <c r="D3257">
        <v>35.125</v>
      </c>
      <c r="E3257" t="s">
        <v>9</v>
      </c>
      <c r="F3257">
        <v>22.625</v>
      </c>
      <c r="G3257">
        <v>12.5</v>
      </c>
      <c r="H3257">
        <v>56000</v>
      </c>
      <c r="I3257" t="s">
        <v>25</v>
      </c>
    </row>
    <row r="3258" spans="1:9" hidden="1" x14ac:dyDescent="0.25">
      <c r="A3258">
        <v>4</v>
      </c>
      <c r="B3258" t="s">
        <v>26</v>
      </c>
      <c r="C3258">
        <v>2023</v>
      </c>
      <c r="D3258">
        <v>22.625</v>
      </c>
      <c r="E3258" t="s">
        <v>9</v>
      </c>
      <c r="F3258">
        <v>8.125</v>
      </c>
      <c r="G3258">
        <v>14.5</v>
      </c>
      <c r="H3258">
        <v>56000</v>
      </c>
      <c r="I3258" t="s">
        <v>25</v>
      </c>
    </row>
    <row r="3259" spans="1:9" hidden="1" x14ac:dyDescent="0.25">
      <c r="A3259">
        <v>5</v>
      </c>
      <c r="B3259" t="s">
        <v>26</v>
      </c>
      <c r="C3259">
        <v>2023</v>
      </c>
      <c r="D3259">
        <v>8.125</v>
      </c>
      <c r="E3259">
        <v>20</v>
      </c>
      <c r="F3259">
        <v>15.75</v>
      </c>
      <c r="G3259">
        <v>12.375</v>
      </c>
      <c r="H3259">
        <v>56000</v>
      </c>
      <c r="I3259" t="s">
        <v>25</v>
      </c>
    </row>
    <row r="3260" spans="1:9" hidden="1" x14ac:dyDescent="0.25">
      <c r="A3260">
        <v>6</v>
      </c>
      <c r="B3260" t="s">
        <v>26</v>
      </c>
      <c r="C3260">
        <v>2023</v>
      </c>
      <c r="D3260">
        <v>15.75</v>
      </c>
      <c r="E3260">
        <v>30</v>
      </c>
      <c r="F3260">
        <v>32.375</v>
      </c>
      <c r="G3260">
        <v>13.375</v>
      </c>
      <c r="H3260">
        <v>56000</v>
      </c>
      <c r="I3260" t="s">
        <v>25</v>
      </c>
    </row>
    <row r="3261" spans="1:9" hidden="1" x14ac:dyDescent="0.25">
      <c r="A3261">
        <v>7</v>
      </c>
      <c r="B3261" t="s">
        <v>26</v>
      </c>
      <c r="C3261">
        <v>2023</v>
      </c>
      <c r="D3261">
        <v>32.375</v>
      </c>
      <c r="E3261" t="s">
        <v>9</v>
      </c>
      <c r="F3261">
        <v>10.125</v>
      </c>
      <c r="G3261">
        <v>22.25</v>
      </c>
      <c r="H3261">
        <v>56000</v>
      </c>
      <c r="I3261" t="s">
        <v>25</v>
      </c>
    </row>
    <row r="3262" spans="1:9" hidden="1" x14ac:dyDescent="0.25">
      <c r="A3262">
        <v>8</v>
      </c>
      <c r="B3262" t="s">
        <v>26</v>
      </c>
      <c r="C3262">
        <v>2023</v>
      </c>
      <c r="D3262">
        <v>10.125</v>
      </c>
      <c r="E3262">
        <v>30</v>
      </c>
      <c r="F3262">
        <v>24.375</v>
      </c>
      <c r="G3262">
        <v>15.75</v>
      </c>
      <c r="H3262">
        <v>56000</v>
      </c>
      <c r="I3262" t="s">
        <v>25</v>
      </c>
    </row>
    <row r="3263" spans="1:9" hidden="1" x14ac:dyDescent="0.25">
      <c r="A3263">
        <v>9</v>
      </c>
      <c r="B3263" t="s">
        <v>26</v>
      </c>
      <c r="C3263">
        <v>2023</v>
      </c>
      <c r="D3263">
        <v>24.375</v>
      </c>
      <c r="E3263">
        <v>10</v>
      </c>
      <c r="F3263">
        <v>15.5</v>
      </c>
      <c r="G3263">
        <v>18.875</v>
      </c>
      <c r="H3263">
        <v>56000</v>
      </c>
      <c r="I3263" t="s">
        <v>25</v>
      </c>
    </row>
    <row r="3264" spans="1:9" hidden="1" x14ac:dyDescent="0.25">
      <c r="A3264">
        <v>10</v>
      </c>
      <c r="B3264" t="s">
        <v>26</v>
      </c>
      <c r="C3264">
        <v>2023</v>
      </c>
      <c r="D3264">
        <v>15.5</v>
      </c>
      <c r="E3264" t="s">
        <v>9</v>
      </c>
      <c r="F3264">
        <v>9.5</v>
      </c>
      <c r="G3264">
        <v>6</v>
      </c>
      <c r="H3264">
        <v>56000</v>
      </c>
      <c r="I3264" t="s">
        <v>25</v>
      </c>
    </row>
    <row r="3265" spans="1:9" hidden="1" x14ac:dyDescent="0.25">
      <c r="A3265">
        <v>11</v>
      </c>
      <c r="B3265" t="s">
        <v>26</v>
      </c>
      <c r="C3265">
        <v>2023</v>
      </c>
      <c r="D3265">
        <v>9.5</v>
      </c>
      <c r="E3265">
        <v>30</v>
      </c>
      <c r="F3265">
        <v>25.25</v>
      </c>
      <c r="G3265">
        <v>14.25</v>
      </c>
      <c r="H3265">
        <v>56000</v>
      </c>
      <c r="I3265" t="s">
        <v>25</v>
      </c>
    </row>
    <row r="3266" spans="1:9" hidden="1" x14ac:dyDescent="0.25">
      <c r="A3266">
        <v>12</v>
      </c>
      <c r="B3266" t="s">
        <v>26</v>
      </c>
      <c r="C3266">
        <v>2023</v>
      </c>
      <c r="D3266">
        <v>25.25</v>
      </c>
      <c r="E3266" t="s">
        <v>9</v>
      </c>
      <c r="F3266">
        <v>16.625</v>
      </c>
      <c r="G3266">
        <v>8.625</v>
      </c>
      <c r="H3266">
        <v>56000</v>
      </c>
      <c r="I3266" t="s">
        <v>25</v>
      </c>
    </row>
    <row r="3267" spans="1:9" hidden="1" x14ac:dyDescent="0.25">
      <c r="A3267">
        <v>13</v>
      </c>
      <c r="B3267" t="s">
        <v>26</v>
      </c>
      <c r="C3267">
        <v>2023</v>
      </c>
      <c r="D3267">
        <v>16.625</v>
      </c>
      <c r="E3267" t="s">
        <v>9</v>
      </c>
      <c r="F3267">
        <v>6.375</v>
      </c>
      <c r="G3267">
        <v>10.25</v>
      </c>
      <c r="H3267">
        <v>56000</v>
      </c>
      <c r="I3267" t="s">
        <v>25</v>
      </c>
    </row>
    <row r="3268" spans="1:9" hidden="1" x14ac:dyDescent="0.25">
      <c r="A3268">
        <v>14</v>
      </c>
      <c r="B3268" t="s">
        <v>26</v>
      </c>
      <c r="C3268">
        <v>2023</v>
      </c>
      <c r="D3268">
        <v>6.375</v>
      </c>
      <c r="E3268">
        <v>20</v>
      </c>
      <c r="F3268">
        <v>17.625</v>
      </c>
      <c r="G3268">
        <v>8.75</v>
      </c>
      <c r="H3268">
        <v>56000</v>
      </c>
      <c r="I3268" t="s">
        <v>25</v>
      </c>
    </row>
    <row r="3269" spans="1:9" hidden="1" x14ac:dyDescent="0.25">
      <c r="A3269">
        <v>15</v>
      </c>
      <c r="B3269" t="s">
        <v>26</v>
      </c>
      <c r="C3269">
        <v>2023</v>
      </c>
      <c r="D3269">
        <v>17.625</v>
      </c>
      <c r="E3269" t="s">
        <v>9</v>
      </c>
      <c r="F3269">
        <v>0.75</v>
      </c>
      <c r="G3269">
        <v>16.875</v>
      </c>
      <c r="H3269">
        <v>56000</v>
      </c>
      <c r="I3269" t="s">
        <v>25</v>
      </c>
    </row>
    <row r="3270" spans="1:9" hidden="1" x14ac:dyDescent="0.25">
      <c r="A3270">
        <v>16</v>
      </c>
      <c r="B3270" t="s">
        <v>26</v>
      </c>
      <c r="C3270">
        <v>2023</v>
      </c>
      <c r="D3270">
        <v>0.75</v>
      </c>
      <c r="E3270">
        <v>30</v>
      </c>
      <c r="F3270">
        <v>25</v>
      </c>
      <c r="G3270">
        <v>5.75</v>
      </c>
      <c r="H3270">
        <v>56000</v>
      </c>
      <c r="I3270" t="s">
        <v>25</v>
      </c>
    </row>
    <row r="3271" spans="1:9" hidden="1" x14ac:dyDescent="0.25">
      <c r="A3271">
        <v>17</v>
      </c>
      <c r="B3271" t="s">
        <v>26</v>
      </c>
      <c r="C3271">
        <v>2023</v>
      </c>
      <c r="D3271">
        <v>25</v>
      </c>
      <c r="E3271" t="s">
        <v>9</v>
      </c>
      <c r="F3271">
        <v>14.375</v>
      </c>
      <c r="G3271">
        <v>10.625</v>
      </c>
      <c r="H3271">
        <v>56000</v>
      </c>
      <c r="I3271" t="s">
        <v>25</v>
      </c>
    </row>
    <row r="3272" spans="1:9" hidden="1" x14ac:dyDescent="0.25">
      <c r="A3272">
        <v>18</v>
      </c>
      <c r="B3272" t="s">
        <v>26</v>
      </c>
      <c r="C3272">
        <v>2023</v>
      </c>
      <c r="D3272">
        <v>14.375</v>
      </c>
      <c r="E3272">
        <v>20</v>
      </c>
      <c r="F3272">
        <v>25</v>
      </c>
      <c r="G3272">
        <v>9.375</v>
      </c>
      <c r="H3272">
        <v>56000</v>
      </c>
      <c r="I3272" t="s">
        <v>25</v>
      </c>
    </row>
    <row r="3273" spans="1:9" hidden="1" x14ac:dyDescent="0.25">
      <c r="A3273">
        <v>19</v>
      </c>
      <c r="B3273" t="s">
        <v>26</v>
      </c>
      <c r="C3273">
        <v>2023</v>
      </c>
      <c r="D3273">
        <v>25</v>
      </c>
      <c r="E3273">
        <v>20</v>
      </c>
      <c r="F3273">
        <v>36.25</v>
      </c>
      <c r="G3273">
        <v>8.75</v>
      </c>
      <c r="H3273">
        <v>56000</v>
      </c>
      <c r="I3273" t="s">
        <v>25</v>
      </c>
    </row>
    <row r="3274" spans="1:9" hidden="1" x14ac:dyDescent="0.25">
      <c r="A3274">
        <v>20</v>
      </c>
      <c r="B3274" t="s">
        <v>26</v>
      </c>
      <c r="C3274">
        <v>2023</v>
      </c>
      <c r="D3274">
        <v>36.25</v>
      </c>
      <c r="E3274" t="s">
        <v>9</v>
      </c>
      <c r="F3274">
        <v>28</v>
      </c>
      <c r="G3274">
        <v>8.25</v>
      </c>
      <c r="H3274">
        <v>56000</v>
      </c>
      <c r="I3274" t="s">
        <v>25</v>
      </c>
    </row>
    <row r="3275" spans="1:9" hidden="1" x14ac:dyDescent="0.25">
      <c r="A3275">
        <v>21</v>
      </c>
      <c r="B3275" t="s">
        <v>26</v>
      </c>
      <c r="C3275">
        <v>2023</v>
      </c>
      <c r="D3275">
        <v>28</v>
      </c>
      <c r="E3275" t="s">
        <v>9</v>
      </c>
      <c r="F3275">
        <v>16.5</v>
      </c>
      <c r="G3275">
        <v>11.5</v>
      </c>
      <c r="H3275">
        <v>56000</v>
      </c>
      <c r="I3275" t="s">
        <v>25</v>
      </c>
    </row>
    <row r="3276" spans="1:9" hidden="1" x14ac:dyDescent="0.25">
      <c r="A3276">
        <v>22</v>
      </c>
      <c r="B3276" t="s">
        <v>26</v>
      </c>
      <c r="C3276">
        <v>2023</v>
      </c>
      <c r="D3276">
        <v>16.5</v>
      </c>
      <c r="E3276">
        <v>30</v>
      </c>
      <c r="F3276">
        <v>30.625</v>
      </c>
      <c r="G3276">
        <v>15.875</v>
      </c>
      <c r="H3276">
        <v>56000</v>
      </c>
      <c r="I3276" t="s">
        <v>25</v>
      </c>
    </row>
    <row r="3277" spans="1:9" hidden="1" x14ac:dyDescent="0.25">
      <c r="A3277">
        <v>23</v>
      </c>
      <c r="B3277" t="s">
        <v>26</v>
      </c>
      <c r="C3277">
        <v>2023</v>
      </c>
      <c r="D3277">
        <v>30.625</v>
      </c>
      <c r="E3277" t="s">
        <v>9</v>
      </c>
      <c r="F3277">
        <v>27.5</v>
      </c>
      <c r="G3277">
        <v>3.125</v>
      </c>
      <c r="H3277">
        <v>56000</v>
      </c>
      <c r="I3277" t="s">
        <v>25</v>
      </c>
    </row>
    <row r="3278" spans="1:9" hidden="1" x14ac:dyDescent="0.25">
      <c r="A3278">
        <v>24</v>
      </c>
      <c r="B3278" t="s">
        <v>26</v>
      </c>
      <c r="C3278">
        <v>2023</v>
      </c>
      <c r="D3278">
        <v>27.5</v>
      </c>
      <c r="E3278" t="s">
        <v>9</v>
      </c>
      <c r="F3278">
        <v>19.625</v>
      </c>
      <c r="G3278">
        <v>7.875</v>
      </c>
      <c r="H3278">
        <v>56000</v>
      </c>
      <c r="I3278" t="s">
        <v>25</v>
      </c>
    </row>
    <row r="3279" spans="1:9" hidden="1" x14ac:dyDescent="0.25">
      <c r="A3279">
        <v>25</v>
      </c>
      <c r="B3279" t="s">
        <v>26</v>
      </c>
      <c r="C3279">
        <v>2023</v>
      </c>
      <c r="D3279">
        <v>19.625</v>
      </c>
      <c r="E3279" t="s">
        <v>9</v>
      </c>
      <c r="F3279">
        <v>14.375</v>
      </c>
      <c r="G3279">
        <v>5.25</v>
      </c>
      <c r="H3279">
        <v>56000</v>
      </c>
      <c r="I3279" t="s">
        <v>25</v>
      </c>
    </row>
    <row r="3280" spans="1:9" hidden="1" x14ac:dyDescent="0.25">
      <c r="A3280">
        <v>26</v>
      </c>
      <c r="B3280" t="s">
        <v>26</v>
      </c>
      <c r="C3280">
        <v>2023</v>
      </c>
      <c r="D3280">
        <v>14.375</v>
      </c>
      <c r="E3280">
        <v>50</v>
      </c>
      <c r="F3280">
        <v>58</v>
      </c>
      <c r="G3280">
        <v>6.375</v>
      </c>
      <c r="H3280">
        <v>56000</v>
      </c>
      <c r="I3280" t="s">
        <v>25</v>
      </c>
    </row>
    <row r="3281" spans="1:9" hidden="1" x14ac:dyDescent="0.25">
      <c r="A3281">
        <v>27</v>
      </c>
      <c r="B3281" t="s">
        <v>26</v>
      </c>
      <c r="C3281">
        <v>2023</v>
      </c>
      <c r="D3281">
        <v>58</v>
      </c>
      <c r="E3281" t="s">
        <v>9</v>
      </c>
      <c r="F3281">
        <v>49.375</v>
      </c>
      <c r="G3281">
        <v>8.625</v>
      </c>
      <c r="H3281">
        <v>56000</v>
      </c>
      <c r="I3281" t="s">
        <v>25</v>
      </c>
    </row>
    <row r="3282" spans="1:9" hidden="1" x14ac:dyDescent="0.25">
      <c r="A3282">
        <v>28</v>
      </c>
      <c r="B3282" t="s">
        <v>26</v>
      </c>
      <c r="C3282">
        <v>2023</v>
      </c>
      <c r="D3282">
        <v>49.375</v>
      </c>
      <c r="E3282" t="s">
        <v>9</v>
      </c>
      <c r="F3282">
        <v>37.25</v>
      </c>
      <c r="G3282">
        <v>12.125</v>
      </c>
      <c r="H3282">
        <v>56000</v>
      </c>
      <c r="I3282" t="s">
        <v>25</v>
      </c>
    </row>
    <row r="3283" spans="1:9" hidden="1" x14ac:dyDescent="0.25">
      <c r="A3283">
        <v>29</v>
      </c>
      <c r="B3283" t="s">
        <v>26</v>
      </c>
      <c r="C3283">
        <v>2023</v>
      </c>
      <c r="D3283">
        <v>37.25</v>
      </c>
      <c r="E3283">
        <v>20</v>
      </c>
      <c r="F3283">
        <v>48.375</v>
      </c>
      <c r="G3283">
        <v>8.875</v>
      </c>
      <c r="H3283">
        <v>56000</v>
      </c>
      <c r="I3283" t="s">
        <v>25</v>
      </c>
    </row>
    <row r="3284" spans="1:9" hidden="1" x14ac:dyDescent="0.25">
      <c r="A3284">
        <v>30</v>
      </c>
      <c r="B3284" t="s">
        <v>26</v>
      </c>
      <c r="C3284">
        <v>2023</v>
      </c>
      <c r="D3284">
        <v>48.375</v>
      </c>
      <c r="E3284" t="s">
        <v>9</v>
      </c>
      <c r="F3284">
        <v>39.625</v>
      </c>
      <c r="G3284">
        <v>8.75</v>
      </c>
      <c r="H3284">
        <v>56000</v>
      </c>
      <c r="I3284" t="s">
        <v>25</v>
      </c>
    </row>
    <row r="3285" spans="1:9" hidden="1" x14ac:dyDescent="0.25">
      <c r="A3285">
        <v>31</v>
      </c>
      <c r="B3285" t="s">
        <v>26</v>
      </c>
      <c r="C3285">
        <v>2023</v>
      </c>
      <c r="D3285">
        <v>39.625</v>
      </c>
      <c r="E3285" t="s">
        <v>9</v>
      </c>
      <c r="F3285">
        <v>31.125</v>
      </c>
      <c r="G3285">
        <v>8.5</v>
      </c>
      <c r="H3285">
        <v>56000</v>
      </c>
      <c r="I3285" t="s">
        <v>25</v>
      </c>
    </row>
    <row r="3286" spans="1:9" x14ac:dyDescent="0.25">
      <c r="A3286">
        <v>1</v>
      </c>
      <c r="B3286" t="s">
        <v>27</v>
      </c>
      <c r="C3286">
        <v>2023</v>
      </c>
      <c r="D3286">
        <v>134.75</v>
      </c>
      <c r="E3286" t="s">
        <v>9</v>
      </c>
      <c r="F3286">
        <v>113.875</v>
      </c>
      <c r="G3286">
        <v>20.875</v>
      </c>
      <c r="H3286">
        <v>56000</v>
      </c>
      <c r="I3286" t="s">
        <v>22</v>
      </c>
    </row>
    <row r="3287" spans="1:9" x14ac:dyDescent="0.25">
      <c r="A3287">
        <v>2</v>
      </c>
      <c r="B3287" t="s">
        <v>27</v>
      </c>
      <c r="C3287">
        <v>2023</v>
      </c>
      <c r="D3287">
        <v>113.875</v>
      </c>
      <c r="E3287" t="s">
        <v>9</v>
      </c>
      <c r="F3287">
        <v>98</v>
      </c>
      <c r="G3287">
        <v>15.875</v>
      </c>
      <c r="H3287">
        <v>56000</v>
      </c>
      <c r="I3287" t="s">
        <v>22</v>
      </c>
    </row>
    <row r="3288" spans="1:9" x14ac:dyDescent="0.25">
      <c r="A3288">
        <v>3</v>
      </c>
      <c r="B3288" t="s">
        <v>27</v>
      </c>
      <c r="C3288">
        <v>2023</v>
      </c>
      <c r="D3288">
        <v>98</v>
      </c>
      <c r="E3288">
        <v>110</v>
      </c>
      <c r="F3288">
        <v>175</v>
      </c>
      <c r="G3288">
        <v>33</v>
      </c>
      <c r="H3288">
        <v>56000</v>
      </c>
      <c r="I3288" t="s">
        <v>22</v>
      </c>
    </row>
    <row r="3289" spans="1:9" x14ac:dyDescent="0.25">
      <c r="A3289">
        <v>4</v>
      </c>
      <c r="B3289" t="s">
        <v>27</v>
      </c>
      <c r="C3289">
        <v>2023</v>
      </c>
      <c r="D3289">
        <v>175</v>
      </c>
      <c r="E3289" t="s">
        <v>9</v>
      </c>
      <c r="F3289">
        <v>135.125</v>
      </c>
      <c r="G3289">
        <v>39.875</v>
      </c>
      <c r="H3289">
        <v>56000</v>
      </c>
      <c r="I3289" t="s">
        <v>22</v>
      </c>
    </row>
    <row r="3290" spans="1:9" x14ac:dyDescent="0.25">
      <c r="A3290">
        <v>5</v>
      </c>
      <c r="B3290" t="s">
        <v>27</v>
      </c>
      <c r="C3290">
        <v>2023</v>
      </c>
      <c r="D3290">
        <v>135.125</v>
      </c>
      <c r="E3290" t="s">
        <v>9</v>
      </c>
      <c r="F3290">
        <v>97.625</v>
      </c>
      <c r="G3290">
        <v>37.5</v>
      </c>
      <c r="H3290">
        <v>56000</v>
      </c>
      <c r="I3290" t="s">
        <v>22</v>
      </c>
    </row>
    <row r="3291" spans="1:9" x14ac:dyDescent="0.25">
      <c r="A3291">
        <v>6</v>
      </c>
      <c r="B3291" t="s">
        <v>27</v>
      </c>
      <c r="C3291">
        <v>2023</v>
      </c>
      <c r="D3291">
        <v>97.625</v>
      </c>
      <c r="E3291" t="s">
        <v>9</v>
      </c>
      <c r="F3291">
        <v>86.625</v>
      </c>
      <c r="G3291">
        <v>11</v>
      </c>
      <c r="H3291">
        <v>56000</v>
      </c>
      <c r="I3291" t="s">
        <v>22</v>
      </c>
    </row>
    <row r="3292" spans="1:9" x14ac:dyDescent="0.25">
      <c r="A3292">
        <v>7</v>
      </c>
      <c r="B3292" t="s">
        <v>27</v>
      </c>
      <c r="C3292">
        <v>2023</v>
      </c>
      <c r="D3292">
        <v>86.625</v>
      </c>
      <c r="E3292">
        <v>90</v>
      </c>
      <c r="F3292">
        <v>169</v>
      </c>
      <c r="G3292">
        <v>7.625</v>
      </c>
      <c r="H3292">
        <v>56000</v>
      </c>
      <c r="I3292" t="s">
        <v>22</v>
      </c>
    </row>
    <row r="3293" spans="1:9" x14ac:dyDescent="0.25">
      <c r="A3293">
        <v>8</v>
      </c>
      <c r="B3293" t="s">
        <v>27</v>
      </c>
      <c r="C3293">
        <v>2023</v>
      </c>
      <c r="D3293">
        <v>169</v>
      </c>
      <c r="E3293" t="s">
        <v>9</v>
      </c>
      <c r="F3293">
        <v>149.625</v>
      </c>
      <c r="G3293">
        <v>19.375</v>
      </c>
      <c r="H3293">
        <v>56000</v>
      </c>
      <c r="I3293" t="s">
        <v>22</v>
      </c>
    </row>
    <row r="3294" spans="1:9" x14ac:dyDescent="0.25">
      <c r="A3294">
        <v>9</v>
      </c>
      <c r="B3294" t="s">
        <v>27</v>
      </c>
      <c r="C3294">
        <v>2023</v>
      </c>
      <c r="D3294">
        <v>149.625</v>
      </c>
      <c r="E3294" t="s">
        <v>9</v>
      </c>
      <c r="F3294">
        <v>131.375</v>
      </c>
      <c r="G3294">
        <v>18.25</v>
      </c>
      <c r="H3294">
        <v>56000</v>
      </c>
      <c r="I3294" t="s">
        <v>22</v>
      </c>
    </row>
    <row r="3295" spans="1:9" x14ac:dyDescent="0.25">
      <c r="A3295">
        <v>10</v>
      </c>
      <c r="B3295" t="s">
        <v>27</v>
      </c>
      <c r="C3295">
        <v>2023</v>
      </c>
      <c r="D3295">
        <v>131.375</v>
      </c>
      <c r="E3295" t="s">
        <v>9</v>
      </c>
      <c r="F3295">
        <v>105.5</v>
      </c>
      <c r="G3295">
        <v>25.875</v>
      </c>
      <c r="H3295">
        <v>56000</v>
      </c>
      <c r="I3295" t="s">
        <v>22</v>
      </c>
    </row>
    <row r="3296" spans="1:9" x14ac:dyDescent="0.25">
      <c r="A3296">
        <v>11</v>
      </c>
      <c r="B3296" t="s">
        <v>27</v>
      </c>
      <c r="C3296">
        <v>2023</v>
      </c>
      <c r="D3296">
        <v>105.5</v>
      </c>
      <c r="E3296">
        <v>70</v>
      </c>
      <c r="F3296">
        <v>134.25</v>
      </c>
      <c r="G3296">
        <v>41.25</v>
      </c>
      <c r="H3296">
        <v>56000</v>
      </c>
      <c r="I3296" t="s">
        <v>22</v>
      </c>
    </row>
    <row r="3297" spans="1:9" x14ac:dyDescent="0.25">
      <c r="A3297">
        <v>12</v>
      </c>
      <c r="B3297" t="s">
        <v>27</v>
      </c>
      <c r="C3297">
        <v>2023</v>
      </c>
      <c r="D3297">
        <v>134.25</v>
      </c>
      <c r="E3297" t="s">
        <v>9</v>
      </c>
      <c r="F3297">
        <v>106.125</v>
      </c>
      <c r="G3297">
        <v>28.125</v>
      </c>
      <c r="H3297">
        <v>56000</v>
      </c>
      <c r="I3297" t="s">
        <v>22</v>
      </c>
    </row>
    <row r="3298" spans="1:9" x14ac:dyDescent="0.25">
      <c r="A3298">
        <v>13</v>
      </c>
      <c r="B3298" t="s">
        <v>27</v>
      </c>
      <c r="C3298">
        <v>2023</v>
      </c>
      <c r="D3298">
        <v>106.125</v>
      </c>
      <c r="E3298" t="s">
        <v>9</v>
      </c>
      <c r="F3298">
        <v>72.25</v>
      </c>
      <c r="G3298">
        <v>33.875</v>
      </c>
      <c r="H3298">
        <v>56000</v>
      </c>
      <c r="I3298" t="s">
        <v>22</v>
      </c>
    </row>
    <row r="3299" spans="1:9" x14ac:dyDescent="0.25">
      <c r="A3299">
        <v>14</v>
      </c>
      <c r="B3299" t="s">
        <v>27</v>
      </c>
      <c r="C3299">
        <v>2023</v>
      </c>
      <c r="D3299">
        <v>72.25</v>
      </c>
      <c r="E3299">
        <v>90</v>
      </c>
      <c r="F3299">
        <v>147.375</v>
      </c>
      <c r="G3299">
        <v>14.875</v>
      </c>
      <c r="H3299">
        <v>56000</v>
      </c>
      <c r="I3299" t="s">
        <v>22</v>
      </c>
    </row>
    <row r="3300" spans="1:9" x14ac:dyDescent="0.25">
      <c r="A3300">
        <v>15</v>
      </c>
      <c r="B3300" t="s">
        <v>27</v>
      </c>
      <c r="C3300">
        <v>2023</v>
      </c>
      <c r="D3300">
        <v>147.375</v>
      </c>
      <c r="E3300" t="s">
        <v>9</v>
      </c>
      <c r="F3300">
        <v>126</v>
      </c>
      <c r="G3300">
        <v>21.375</v>
      </c>
      <c r="H3300">
        <v>56000</v>
      </c>
      <c r="I3300" t="s">
        <v>22</v>
      </c>
    </row>
    <row r="3301" spans="1:9" x14ac:dyDescent="0.25">
      <c r="A3301">
        <v>16</v>
      </c>
      <c r="B3301" t="s">
        <v>27</v>
      </c>
      <c r="C3301">
        <v>2023</v>
      </c>
      <c r="D3301">
        <v>126</v>
      </c>
      <c r="E3301" t="s">
        <v>9</v>
      </c>
      <c r="F3301">
        <v>106.25</v>
      </c>
      <c r="G3301">
        <v>19.75</v>
      </c>
      <c r="H3301">
        <v>56000</v>
      </c>
      <c r="I3301" t="s">
        <v>22</v>
      </c>
    </row>
    <row r="3302" spans="1:9" x14ac:dyDescent="0.25">
      <c r="A3302">
        <v>17</v>
      </c>
      <c r="B3302" t="s">
        <v>27</v>
      </c>
      <c r="C3302">
        <v>2023</v>
      </c>
      <c r="D3302">
        <v>106.25</v>
      </c>
      <c r="E3302" t="s">
        <v>9</v>
      </c>
      <c r="F3302">
        <v>83.125</v>
      </c>
      <c r="G3302">
        <v>23.125</v>
      </c>
      <c r="H3302">
        <v>56000</v>
      </c>
      <c r="I3302" t="s">
        <v>22</v>
      </c>
    </row>
    <row r="3303" spans="1:9" x14ac:dyDescent="0.25">
      <c r="A3303">
        <v>18</v>
      </c>
      <c r="B3303" t="s">
        <v>27</v>
      </c>
      <c r="C3303">
        <v>2023</v>
      </c>
      <c r="D3303">
        <v>83.125</v>
      </c>
      <c r="E3303">
        <v>70</v>
      </c>
      <c r="F3303">
        <v>118.25</v>
      </c>
      <c r="G3303">
        <v>34.875</v>
      </c>
      <c r="H3303">
        <v>56000</v>
      </c>
      <c r="I3303" t="s">
        <v>22</v>
      </c>
    </row>
    <row r="3304" spans="1:9" x14ac:dyDescent="0.25">
      <c r="A3304">
        <v>19</v>
      </c>
      <c r="B3304" t="s">
        <v>27</v>
      </c>
      <c r="C3304">
        <v>2023</v>
      </c>
      <c r="D3304">
        <v>118.25</v>
      </c>
      <c r="E3304" t="s">
        <v>9</v>
      </c>
      <c r="F3304">
        <v>73.25</v>
      </c>
      <c r="G3304">
        <v>45</v>
      </c>
      <c r="H3304">
        <v>56000</v>
      </c>
      <c r="I3304" t="s">
        <v>22</v>
      </c>
    </row>
    <row r="3305" spans="1:9" x14ac:dyDescent="0.25">
      <c r="A3305">
        <v>20</v>
      </c>
      <c r="B3305" t="s">
        <v>27</v>
      </c>
      <c r="C3305">
        <v>2023</v>
      </c>
      <c r="D3305">
        <v>73.25</v>
      </c>
      <c r="E3305" t="s">
        <v>9</v>
      </c>
      <c r="F3305">
        <v>61.375</v>
      </c>
      <c r="G3305">
        <v>11.875</v>
      </c>
      <c r="H3305">
        <v>56000</v>
      </c>
      <c r="I3305" t="s">
        <v>22</v>
      </c>
    </row>
    <row r="3306" spans="1:9" x14ac:dyDescent="0.25">
      <c r="A3306">
        <v>21</v>
      </c>
      <c r="B3306" t="s">
        <v>27</v>
      </c>
      <c r="C3306">
        <v>2023</v>
      </c>
      <c r="D3306">
        <v>61.375</v>
      </c>
      <c r="E3306">
        <v>100</v>
      </c>
      <c r="F3306">
        <v>144</v>
      </c>
      <c r="G3306">
        <v>17.375</v>
      </c>
      <c r="H3306">
        <v>56000</v>
      </c>
      <c r="I3306" t="s">
        <v>22</v>
      </c>
    </row>
    <row r="3307" spans="1:9" x14ac:dyDescent="0.25">
      <c r="A3307">
        <v>22</v>
      </c>
      <c r="B3307" t="s">
        <v>27</v>
      </c>
      <c r="C3307">
        <v>2023</v>
      </c>
      <c r="D3307">
        <v>144</v>
      </c>
      <c r="E3307" t="s">
        <v>9</v>
      </c>
      <c r="F3307">
        <v>121</v>
      </c>
      <c r="G3307">
        <v>23</v>
      </c>
      <c r="H3307">
        <v>56000</v>
      </c>
      <c r="I3307" t="s">
        <v>22</v>
      </c>
    </row>
    <row r="3308" spans="1:9" x14ac:dyDescent="0.25">
      <c r="A3308">
        <v>23</v>
      </c>
      <c r="B3308" t="s">
        <v>27</v>
      </c>
      <c r="C3308">
        <v>2023</v>
      </c>
      <c r="D3308">
        <v>121</v>
      </c>
      <c r="E3308" t="s">
        <v>9</v>
      </c>
      <c r="F3308">
        <v>106</v>
      </c>
      <c r="G3308">
        <v>15</v>
      </c>
      <c r="H3308">
        <v>56000</v>
      </c>
      <c r="I3308" t="s">
        <v>22</v>
      </c>
    </row>
    <row r="3309" spans="1:9" x14ac:dyDescent="0.25">
      <c r="A3309">
        <v>24</v>
      </c>
      <c r="B3309" t="s">
        <v>27</v>
      </c>
      <c r="C3309">
        <v>2023</v>
      </c>
      <c r="D3309">
        <v>106</v>
      </c>
      <c r="E3309">
        <v>90</v>
      </c>
      <c r="F3309">
        <v>175.125</v>
      </c>
      <c r="G3309">
        <v>20.875</v>
      </c>
      <c r="H3309">
        <v>56000</v>
      </c>
      <c r="I3309" t="s">
        <v>22</v>
      </c>
    </row>
    <row r="3310" spans="1:9" x14ac:dyDescent="0.25">
      <c r="A3310">
        <v>25</v>
      </c>
      <c r="B3310" t="s">
        <v>27</v>
      </c>
      <c r="C3310">
        <v>2023</v>
      </c>
      <c r="D3310">
        <v>175.125</v>
      </c>
      <c r="E3310" t="s">
        <v>9</v>
      </c>
      <c r="F3310">
        <v>141.375</v>
      </c>
      <c r="G3310">
        <v>33.75</v>
      </c>
      <c r="H3310">
        <v>56000</v>
      </c>
      <c r="I3310" t="s">
        <v>22</v>
      </c>
    </row>
    <row r="3311" spans="1:9" x14ac:dyDescent="0.25">
      <c r="A3311">
        <v>26</v>
      </c>
      <c r="B3311" t="s">
        <v>27</v>
      </c>
      <c r="C3311">
        <v>2023</v>
      </c>
      <c r="D3311">
        <v>141.375</v>
      </c>
      <c r="E3311" t="s">
        <v>9</v>
      </c>
      <c r="F3311">
        <v>103.375</v>
      </c>
      <c r="G3311">
        <v>38</v>
      </c>
      <c r="H3311">
        <v>56000</v>
      </c>
      <c r="I3311" t="s">
        <v>22</v>
      </c>
    </row>
    <row r="3312" spans="1:9" x14ac:dyDescent="0.25">
      <c r="A3312">
        <v>27</v>
      </c>
      <c r="B3312" t="s">
        <v>27</v>
      </c>
      <c r="C3312">
        <v>2023</v>
      </c>
      <c r="D3312">
        <v>103.375</v>
      </c>
      <c r="E3312" t="s">
        <v>9</v>
      </c>
      <c r="F3312">
        <v>91.75</v>
      </c>
      <c r="G3312">
        <v>11.625</v>
      </c>
      <c r="H3312">
        <v>56000</v>
      </c>
      <c r="I3312" t="s">
        <v>22</v>
      </c>
    </row>
    <row r="3313" spans="1:9" x14ac:dyDescent="0.25">
      <c r="A3313">
        <v>28</v>
      </c>
      <c r="B3313" t="s">
        <v>27</v>
      </c>
      <c r="C3313">
        <v>2023</v>
      </c>
      <c r="D3313">
        <v>91.75</v>
      </c>
      <c r="E3313">
        <v>60</v>
      </c>
      <c r="F3313">
        <v>141.375</v>
      </c>
      <c r="G3313">
        <v>10.375</v>
      </c>
      <c r="H3313">
        <v>56000</v>
      </c>
      <c r="I3313" t="s">
        <v>22</v>
      </c>
    </row>
    <row r="3314" spans="1:9" hidden="1" x14ac:dyDescent="0.25">
      <c r="A3314">
        <v>1</v>
      </c>
      <c r="B3314" t="s">
        <v>27</v>
      </c>
      <c r="C3314">
        <v>2023</v>
      </c>
      <c r="D3314">
        <v>135.5</v>
      </c>
      <c r="E3314" t="s">
        <v>9</v>
      </c>
      <c r="F3314">
        <v>106.5</v>
      </c>
      <c r="G3314">
        <v>29</v>
      </c>
      <c r="H3314">
        <v>56000</v>
      </c>
      <c r="I3314" t="s">
        <v>23</v>
      </c>
    </row>
    <row r="3315" spans="1:9" hidden="1" x14ac:dyDescent="0.25">
      <c r="A3315">
        <v>2</v>
      </c>
      <c r="B3315" t="s">
        <v>27</v>
      </c>
      <c r="C3315">
        <v>2023</v>
      </c>
      <c r="D3315">
        <v>106.5</v>
      </c>
      <c r="E3315" t="s">
        <v>9</v>
      </c>
      <c r="F3315">
        <v>84.5</v>
      </c>
      <c r="G3315">
        <v>22</v>
      </c>
      <c r="H3315">
        <v>56000</v>
      </c>
      <c r="I3315" t="s">
        <v>23</v>
      </c>
    </row>
    <row r="3316" spans="1:9" hidden="1" x14ac:dyDescent="0.25">
      <c r="A3316">
        <v>3</v>
      </c>
      <c r="B3316" t="s">
        <v>27</v>
      </c>
      <c r="C3316">
        <v>2023</v>
      </c>
      <c r="D3316">
        <v>84.5</v>
      </c>
      <c r="E3316">
        <v>90</v>
      </c>
      <c r="F3316">
        <v>148</v>
      </c>
      <c r="G3316">
        <v>26.5</v>
      </c>
      <c r="H3316">
        <v>56000</v>
      </c>
      <c r="I3316" t="s">
        <v>23</v>
      </c>
    </row>
    <row r="3317" spans="1:9" hidden="1" x14ac:dyDescent="0.25">
      <c r="A3317">
        <v>4</v>
      </c>
      <c r="B3317" t="s">
        <v>27</v>
      </c>
      <c r="C3317">
        <v>2023</v>
      </c>
      <c r="D3317">
        <v>148</v>
      </c>
      <c r="E3317" t="s">
        <v>9</v>
      </c>
      <c r="F3317">
        <v>99.875</v>
      </c>
      <c r="G3317">
        <v>48.125</v>
      </c>
      <c r="H3317">
        <v>56000</v>
      </c>
      <c r="I3317" t="s">
        <v>23</v>
      </c>
    </row>
    <row r="3318" spans="1:9" hidden="1" x14ac:dyDescent="0.25">
      <c r="A3318">
        <v>5</v>
      </c>
      <c r="B3318" t="s">
        <v>27</v>
      </c>
      <c r="C3318">
        <v>2023</v>
      </c>
      <c r="D3318">
        <v>99.875</v>
      </c>
      <c r="E3318" t="s">
        <v>9</v>
      </c>
      <c r="F3318">
        <v>68.375</v>
      </c>
      <c r="G3318">
        <v>31.5</v>
      </c>
      <c r="H3318">
        <v>56000</v>
      </c>
      <c r="I3318" t="s">
        <v>23</v>
      </c>
    </row>
    <row r="3319" spans="1:9" hidden="1" x14ac:dyDescent="0.25">
      <c r="A3319">
        <v>6</v>
      </c>
      <c r="B3319" t="s">
        <v>27</v>
      </c>
      <c r="C3319">
        <v>2023</v>
      </c>
      <c r="D3319">
        <v>68.375</v>
      </c>
      <c r="E3319" t="s">
        <v>9</v>
      </c>
      <c r="F3319">
        <v>49</v>
      </c>
      <c r="G3319">
        <v>19.375</v>
      </c>
      <c r="H3319">
        <v>56000</v>
      </c>
      <c r="I3319" t="s">
        <v>23</v>
      </c>
    </row>
    <row r="3320" spans="1:9" hidden="1" x14ac:dyDescent="0.25">
      <c r="A3320">
        <v>7</v>
      </c>
      <c r="B3320" t="s">
        <v>27</v>
      </c>
      <c r="C3320">
        <v>2023</v>
      </c>
      <c r="D3320">
        <v>49</v>
      </c>
      <c r="E3320">
        <v>120</v>
      </c>
      <c r="F3320">
        <v>158.625</v>
      </c>
      <c r="G3320">
        <v>10.375</v>
      </c>
      <c r="H3320">
        <v>56000</v>
      </c>
      <c r="I3320" t="s">
        <v>23</v>
      </c>
    </row>
    <row r="3321" spans="1:9" hidden="1" x14ac:dyDescent="0.25">
      <c r="A3321">
        <v>8</v>
      </c>
      <c r="B3321" t="s">
        <v>27</v>
      </c>
      <c r="C3321">
        <v>2023</v>
      </c>
      <c r="D3321">
        <v>158.625</v>
      </c>
      <c r="E3321" t="s">
        <v>9</v>
      </c>
      <c r="F3321">
        <v>140.875</v>
      </c>
      <c r="G3321">
        <v>17.75</v>
      </c>
      <c r="H3321">
        <v>56000</v>
      </c>
      <c r="I3321" t="s">
        <v>23</v>
      </c>
    </row>
    <row r="3322" spans="1:9" hidden="1" x14ac:dyDescent="0.25">
      <c r="A3322">
        <v>9</v>
      </c>
      <c r="B3322" t="s">
        <v>27</v>
      </c>
      <c r="C3322">
        <v>2023</v>
      </c>
      <c r="D3322">
        <v>140.875</v>
      </c>
      <c r="E3322" t="s">
        <v>9</v>
      </c>
      <c r="F3322">
        <v>124</v>
      </c>
      <c r="G3322">
        <v>16.875</v>
      </c>
      <c r="H3322">
        <v>56000</v>
      </c>
      <c r="I3322" t="s">
        <v>23</v>
      </c>
    </row>
    <row r="3323" spans="1:9" hidden="1" x14ac:dyDescent="0.25">
      <c r="A3323">
        <v>10</v>
      </c>
      <c r="B3323" t="s">
        <v>27</v>
      </c>
      <c r="C3323">
        <v>2023</v>
      </c>
      <c r="D3323">
        <v>124</v>
      </c>
      <c r="E3323" t="s">
        <v>9</v>
      </c>
      <c r="F3323">
        <v>87</v>
      </c>
      <c r="G3323">
        <v>37</v>
      </c>
      <c r="H3323">
        <v>56000</v>
      </c>
      <c r="I3323" t="s">
        <v>23</v>
      </c>
    </row>
    <row r="3324" spans="1:9" hidden="1" x14ac:dyDescent="0.25">
      <c r="A3324">
        <v>11</v>
      </c>
      <c r="B3324" t="s">
        <v>27</v>
      </c>
      <c r="C3324">
        <v>2023</v>
      </c>
      <c r="D3324">
        <v>87</v>
      </c>
      <c r="E3324">
        <v>70</v>
      </c>
      <c r="F3324">
        <v>127.375</v>
      </c>
      <c r="G3324">
        <v>29.625</v>
      </c>
      <c r="H3324">
        <v>56000</v>
      </c>
      <c r="I3324" t="s">
        <v>23</v>
      </c>
    </row>
    <row r="3325" spans="1:9" hidden="1" x14ac:dyDescent="0.25">
      <c r="A3325">
        <v>12</v>
      </c>
      <c r="B3325" t="s">
        <v>27</v>
      </c>
      <c r="C3325">
        <v>2023</v>
      </c>
      <c r="D3325">
        <v>127.375</v>
      </c>
      <c r="E3325" t="s">
        <v>9</v>
      </c>
      <c r="F3325">
        <v>96.25</v>
      </c>
      <c r="G3325">
        <v>31.125</v>
      </c>
      <c r="H3325">
        <v>56000</v>
      </c>
      <c r="I3325" t="s">
        <v>23</v>
      </c>
    </row>
    <row r="3326" spans="1:9" hidden="1" x14ac:dyDescent="0.25">
      <c r="A3326">
        <v>13</v>
      </c>
      <c r="B3326" t="s">
        <v>27</v>
      </c>
      <c r="C3326">
        <v>2023</v>
      </c>
      <c r="D3326">
        <v>96.25</v>
      </c>
      <c r="E3326" t="s">
        <v>9</v>
      </c>
      <c r="F3326">
        <v>76.125</v>
      </c>
      <c r="G3326">
        <v>20.125</v>
      </c>
      <c r="H3326">
        <v>56000</v>
      </c>
      <c r="I3326" t="s">
        <v>23</v>
      </c>
    </row>
    <row r="3327" spans="1:9" hidden="1" x14ac:dyDescent="0.25">
      <c r="A3327">
        <v>14</v>
      </c>
      <c r="B3327" t="s">
        <v>27</v>
      </c>
      <c r="C3327">
        <v>2023</v>
      </c>
      <c r="D3327">
        <v>76.125</v>
      </c>
      <c r="E3327">
        <v>90</v>
      </c>
      <c r="F3327">
        <v>145.125</v>
      </c>
      <c r="G3327">
        <v>21</v>
      </c>
      <c r="H3327">
        <v>56000</v>
      </c>
      <c r="I3327" t="s">
        <v>23</v>
      </c>
    </row>
    <row r="3328" spans="1:9" hidden="1" x14ac:dyDescent="0.25">
      <c r="A3328">
        <v>15</v>
      </c>
      <c r="B3328" t="s">
        <v>27</v>
      </c>
      <c r="C3328">
        <v>2023</v>
      </c>
      <c r="D3328">
        <v>145.125</v>
      </c>
      <c r="E3328" t="s">
        <v>9</v>
      </c>
      <c r="F3328">
        <v>130</v>
      </c>
      <c r="G3328">
        <v>15.125</v>
      </c>
      <c r="H3328">
        <v>56000</v>
      </c>
      <c r="I3328" t="s">
        <v>23</v>
      </c>
    </row>
    <row r="3329" spans="1:9" hidden="1" x14ac:dyDescent="0.25">
      <c r="A3329">
        <v>16</v>
      </c>
      <c r="B3329" t="s">
        <v>27</v>
      </c>
      <c r="C3329">
        <v>2023</v>
      </c>
      <c r="D3329">
        <v>130</v>
      </c>
      <c r="E3329" t="s">
        <v>9</v>
      </c>
      <c r="F3329">
        <v>112.75</v>
      </c>
      <c r="G3329">
        <v>17.25</v>
      </c>
      <c r="H3329">
        <v>56000</v>
      </c>
      <c r="I3329" t="s">
        <v>23</v>
      </c>
    </row>
    <row r="3330" spans="1:9" hidden="1" x14ac:dyDescent="0.25">
      <c r="A3330">
        <v>17</v>
      </c>
      <c r="B3330" t="s">
        <v>27</v>
      </c>
      <c r="C3330">
        <v>2023</v>
      </c>
      <c r="D3330">
        <v>112.75</v>
      </c>
      <c r="E3330" t="s">
        <v>9</v>
      </c>
      <c r="F3330">
        <v>85</v>
      </c>
      <c r="G3330">
        <v>27.75</v>
      </c>
      <c r="H3330">
        <v>56000</v>
      </c>
      <c r="I3330" t="s">
        <v>23</v>
      </c>
    </row>
    <row r="3331" spans="1:9" hidden="1" x14ac:dyDescent="0.25">
      <c r="A3331">
        <v>18</v>
      </c>
      <c r="B3331" t="s">
        <v>27</v>
      </c>
      <c r="C3331">
        <v>2023</v>
      </c>
      <c r="D3331">
        <v>85</v>
      </c>
      <c r="E3331">
        <v>70</v>
      </c>
      <c r="F3331">
        <v>114.25</v>
      </c>
      <c r="G3331">
        <v>40.75</v>
      </c>
      <c r="H3331">
        <v>56000</v>
      </c>
      <c r="I3331" t="s">
        <v>23</v>
      </c>
    </row>
    <row r="3332" spans="1:9" hidden="1" x14ac:dyDescent="0.25">
      <c r="A3332">
        <v>19</v>
      </c>
      <c r="B3332" t="s">
        <v>27</v>
      </c>
      <c r="C3332">
        <v>2023</v>
      </c>
      <c r="D3332">
        <v>114.25</v>
      </c>
      <c r="E3332" t="s">
        <v>9</v>
      </c>
      <c r="F3332">
        <v>87.25</v>
      </c>
      <c r="G3332">
        <v>27</v>
      </c>
      <c r="H3332">
        <v>56000</v>
      </c>
      <c r="I3332" t="s">
        <v>23</v>
      </c>
    </row>
    <row r="3333" spans="1:9" hidden="1" x14ac:dyDescent="0.25">
      <c r="A3333">
        <v>20</v>
      </c>
      <c r="B3333" t="s">
        <v>27</v>
      </c>
      <c r="C3333">
        <v>2023</v>
      </c>
      <c r="D3333">
        <v>87.25</v>
      </c>
      <c r="E3333" t="s">
        <v>9</v>
      </c>
      <c r="F3333">
        <v>74.125</v>
      </c>
      <c r="G3333">
        <v>13.125</v>
      </c>
      <c r="H3333">
        <v>56000</v>
      </c>
      <c r="I3333" t="s">
        <v>23</v>
      </c>
    </row>
    <row r="3334" spans="1:9" hidden="1" x14ac:dyDescent="0.25">
      <c r="A3334">
        <v>21</v>
      </c>
      <c r="B3334" t="s">
        <v>27</v>
      </c>
      <c r="C3334">
        <v>2023</v>
      </c>
      <c r="D3334">
        <v>74.125</v>
      </c>
      <c r="E3334">
        <v>80</v>
      </c>
      <c r="F3334">
        <v>141.625</v>
      </c>
      <c r="G3334">
        <v>12.5</v>
      </c>
      <c r="H3334">
        <v>56000</v>
      </c>
      <c r="I3334" t="s">
        <v>23</v>
      </c>
    </row>
    <row r="3335" spans="1:9" hidden="1" x14ac:dyDescent="0.25">
      <c r="A3335">
        <v>22</v>
      </c>
      <c r="B3335" t="s">
        <v>27</v>
      </c>
      <c r="C3335">
        <v>2023</v>
      </c>
      <c r="D3335">
        <v>141.625</v>
      </c>
      <c r="E3335" t="s">
        <v>9</v>
      </c>
      <c r="F3335">
        <v>130.5</v>
      </c>
      <c r="G3335">
        <v>11.125</v>
      </c>
      <c r="H3335">
        <v>56000</v>
      </c>
      <c r="I3335" t="s">
        <v>23</v>
      </c>
    </row>
    <row r="3336" spans="1:9" hidden="1" x14ac:dyDescent="0.25">
      <c r="A3336">
        <v>23</v>
      </c>
      <c r="B3336" t="s">
        <v>27</v>
      </c>
      <c r="C3336">
        <v>2023</v>
      </c>
      <c r="D3336">
        <v>130.5</v>
      </c>
      <c r="E3336" t="s">
        <v>9</v>
      </c>
      <c r="F3336">
        <v>112.125</v>
      </c>
      <c r="G3336">
        <v>18.375</v>
      </c>
      <c r="H3336">
        <v>56000</v>
      </c>
      <c r="I3336" t="s">
        <v>23</v>
      </c>
    </row>
    <row r="3337" spans="1:9" hidden="1" x14ac:dyDescent="0.25">
      <c r="A3337">
        <v>24</v>
      </c>
      <c r="B3337" t="s">
        <v>27</v>
      </c>
      <c r="C3337">
        <v>2023</v>
      </c>
      <c r="D3337">
        <v>112.125</v>
      </c>
      <c r="E3337">
        <v>80</v>
      </c>
      <c r="F3337">
        <v>166.5</v>
      </c>
      <c r="G3337">
        <v>25.625</v>
      </c>
      <c r="H3337">
        <v>56000</v>
      </c>
      <c r="I3337" t="s">
        <v>23</v>
      </c>
    </row>
    <row r="3338" spans="1:9" hidden="1" x14ac:dyDescent="0.25">
      <c r="A3338">
        <v>25</v>
      </c>
      <c r="B3338" t="s">
        <v>27</v>
      </c>
      <c r="C3338">
        <v>2023</v>
      </c>
      <c r="D3338">
        <v>166.5</v>
      </c>
      <c r="E3338" t="s">
        <v>9</v>
      </c>
      <c r="F3338">
        <v>131.25</v>
      </c>
      <c r="G3338">
        <v>35.25</v>
      </c>
      <c r="H3338">
        <v>56000</v>
      </c>
      <c r="I3338" t="s">
        <v>23</v>
      </c>
    </row>
    <row r="3339" spans="1:9" hidden="1" x14ac:dyDescent="0.25">
      <c r="A3339">
        <v>26</v>
      </c>
      <c r="B3339" t="s">
        <v>27</v>
      </c>
      <c r="C3339">
        <v>2023</v>
      </c>
      <c r="D3339">
        <v>131.25</v>
      </c>
      <c r="E3339" t="s">
        <v>9</v>
      </c>
      <c r="F3339">
        <v>105.375</v>
      </c>
      <c r="G3339">
        <v>25.875</v>
      </c>
      <c r="H3339">
        <v>56000</v>
      </c>
      <c r="I3339" t="s">
        <v>23</v>
      </c>
    </row>
    <row r="3340" spans="1:9" hidden="1" x14ac:dyDescent="0.25">
      <c r="A3340">
        <v>27</v>
      </c>
      <c r="B3340" t="s">
        <v>27</v>
      </c>
      <c r="C3340">
        <v>2023</v>
      </c>
      <c r="D3340">
        <v>105.375</v>
      </c>
      <c r="E3340" t="s">
        <v>9</v>
      </c>
      <c r="F3340">
        <v>91.625</v>
      </c>
      <c r="G3340">
        <v>13.75</v>
      </c>
      <c r="H3340">
        <v>56000</v>
      </c>
      <c r="I3340" t="s">
        <v>23</v>
      </c>
    </row>
    <row r="3341" spans="1:9" hidden="1" x14ac:dyDescent="0.25">
      <c r="A3341">
        <v>28</v>
      </c>
      <c r="B3341" t="s">
        <v>27</v>
      </c>
      <c r="C3341">
        <v>2023</v>
      </c>
      <c r="D3341">
        <v>91.625</v>
      </c>
      <c r="E3341">
        <v>60</v>
      </c>
      <c r="F3341">
        <v>129</v>
      </c>
      <c r="G3341">
        <v>22.625</v>
      </c>
      <c r="H3341">
        <v>56000</v>
      </c>
      <c r="I3341" t="s">
        <v>23</v>
      </c>
    </row>
    <row r="3342" spans="1:9" hidden="1" x14ac:dyDescent="0.25">
      <c r="A3342">
        <v>1</v>
      </c>
      <c r="B3342" t="s">
        <v>27</v>
      </c>
      <c r="C3342">
        <v>2023</v>
      </c>
      <c r="D3342">
        <v>31.125</v>
      </c>
      <c r="E3342" t="s">
        <v>9</v>
      </c>
      <c r="F3342">
        <v>24</v>
      </c>
      <c r="G3342">
        <v>7.125</v>
      </c>
      <c r="H3342">
        <v>56000</v>
      </c>
      <c r="I3342" t="s">
        <v>25</v>
      </c>
    </row>
    <row r="3343" spans="1:9" hidden="1" x14ac:dyDescent="0.25">
      <c r="A3343">
        <v>2</v>
      </c>
      <c r="B3343" t="s">
        <v>27</v>
      </c>
      <c r="C3343">
        <v>2023</v>
      </c>
      <c r="D3343">
        <v>24</v>
      </c>
      <c r="E3343" t="s">
        <v>9</v>
      </c>
      <c r="F3343">
        <v>10.75</v>
      </c>
      <c r="G3343">
        <v>13.25</v>
      </c>
      <c r="H3343">
        <v>56000</v>
      </c>
      <c r="I3343" t="s">
        <v>25</v>
      </c>
    </row>
    <row r="3344" spans="1:9" hidden="1" x14ac:dyDescent="0.25">
      <c r="A3344">
        <v>3</v>
      </c>
      <c r="B3344" t="s">
        <v>27</v>
      </c>
      <c r="C3344">
        <v>2023</v>
      </c>
      <c r="D3344">
        <v>10.75</v>
      </c>
      <c r="E3344">
        <v>50</v>
      </c>
      <c r="F3344">
        <v>49.75</v>
      </c>
      <c r="G3344">
        <v>11</v>
      </c>
      <c r="H3344">
        <v>56000</v>
      </c>
      <c r="I3344" t="s">
        <v>25</v>
      </c>
    </row>
    <row r="3345" spans="1:9" hidden="1" x14ac:dyDescent="0.25">
      <c r="A3345">
        <v>4</v>
      </c>
      <c r="B3345" t="s">
        <v>27</v>
      </c>
      <c r="C3345">
        <v>2023</v>
      </c>
      <c r="D3345">
        <v>49.75</v>
      </c>
      <c r="E3345" t="s">
        <v>9</v>
      </c>
      <c r="F3345">
        <v>30</v>
      </c>
      <c r="G3345">
        <v>19.75</v>
      </c>
      <c r="H3345">
        <v>56000</v>
      </c>
      <c r="I3345" t="s">
        <v>25</v>
      </c>
    </row>
    <row r="3346" spans="1:9" hidden="1" x14ac:dyDescent="0.25">
      <c r="A3346">
        <v>5</v>
      </c>
      <c r="B3346" t="s">
        <v>27</v>
      </c>
      <c r="C3346">
        <v>2023</v>
      </c>
      <c r="D3346">
        <v>30</v>
      </c>
      <c r="E3346" t="s">
        <v>9</v>
      </c>
      <c r="F3346">
        <v>20.875</v>
      </c>
      <c r="G3346">
        <v>9.125</v>
      </c>
      <c r="H3346">
        <v>56000</v>
      </c>
      <c r="I3346" t="s">
        <v>25</v>
      </c>
    </row>
    <row r="3347" spans="1:9" hidden="1" x14ac:dyDescent="0.25">
      <c r="A3347">
        <v>6</v>
      </c>
      <c r="B3347" t="s">
        <v>27</v>
      </c>
      <c r="C3347">
        <v>2023</v>
      </c>
      <c r="D3347">
        <v>20.875</v>
      </c>
      <c r="E3347" t="s">
        <v>9</v>
      </c>
      <c r="F3347">
        <v>11.125</v>
      </c>
      <c r="G3347">
        <v>9.75</v>
      </c>
      <c r="H3347">
        <v>56000</v>
      </c>
      <c r="I3347" t="s">
        <v>25</v>
      </c>
    </row>
    <row r="3348" spans="1:9" hidden="1" x14ac:dyDescent="0.25">
      <c r="A3348">
        <v>7</v>
      </c>
      <c r="B3348" t="s">
        <v>27</v>
      </c>
      <c r="C3348">
        <v>2023</v>
      </c>
      <c r="D3348">
        <v>11.125</v>
      </c>
      <c r="E3348">
        <v>30</v>
      </c>
      <c r="F3348">
        <v>34.75</v>
      </c>
      <c r="G3348">
        <v>6.375</v>
      </c>
      <c r="H3348">
        <v>56000</v>
      </c>
      <c r="I3348" t="s">
        <v>25</v>
      </c>
    </row>
    <row r="3349" spans="1:9" hidden="1" x14ac:dyDescent="0.25">
      <c r="A3349">
        <v>8</v>
      </c>
      <c r="B3349" t="s">
        <v>27</v>
      </c>
      <c r="C3349">
        <v>2023</v>
      </c>
      <c r="D3349">
        <v>34.75</v>
      </c>
      <c r="E3349" t="s">
        <v>9</v>
      </c>
      <c r="F3349">
        <v>26.125</v>
      </c>
      <c r="G3349">
        <v>8.625</v>
      </c>
      <c r="H3349">
        <v>56000</v>
      </c>
      <c r="I3349" t="s">
        <v>25</v>
      </c>
    </row>
    <row r="3350" spans="1:9" hidden="1" x14ac:dyDescent="0.25">
      <c r="A3350">
        <v>9</v>
      </c>
      <c r="B3350" t="s">
        <v>27</v>
      </c>
      <c r="C3350">
        <v>2023</v>
      </c>
      <c r="D3350">
        <v>26.125</v>
      </c>
      <c r="E3350" t="s">
        <v>9</v>
      </c>
      <c r="F3350">
        <v>22.875</v>
      </c>
      <c r="G3350">
        <v>3.25</v>
      </c>
      <c r="H3350">
        <v>56000</v>
      </c>
      <c r="I3350" t="s">
        <v>25</v>
      </c>
    </row>
    <row r="3351" spans="1:9" hidden="1" x14ac:dyDescent="0.25">
      <c r="A3351">
        <v>10</v>
      </c>
      <c r="B3351" t="s">
        <v>27</v>
      </c>
      <c r="C3351">
        <v>2023</v>
      </c>
      <c r="D3351">
        <v>22.875</v>
      </c>
      <c r="E3351" t="s">
        <v>9</v>
      </c>
      <c r="F3351">
        <v>9.375</v>
      </c>
      <c r="G3351">
        <v>13.5</v>
      </c>
      <c r="H3351">
        <v>56000</v>
      </c>
      <c r="I3351" t="s">
        <v>25</v>
      </c>
    </row>
    <row r="3352" spans="1:9" hidden="1" x14ac:dyDescent="0.25">
      <c r="A3352">
        <v>11</v>
      </c>
      <c r="B3352" t="s">
        <v>27</v>
      </c>
      <c r="C3352">
        <v>2023</v>
      </c>
      <c r="D3352">
        <v>9.375</v>
      </c>
      <c r="E3352">
        <v>50</v>
      </c>
      <c r="F3352">
        <v>41.875</v>
      </c>
      <c r="G3352">
        <v>17.5</v>
      </c>
      <c r="H3352">
        <v>56000</v>
      </c>
      <c r="I3352" t="s">
        <v>25</v>
      </c>
    </row>
    <row r="3353" spans="1:9" hidden="1" x14ac:dyDescent="0.25">
      <c r="A3353">
        <v>12</v>
      </c>
      <c r="B3353" t="s">
        <v>27</v>
      </c>
      <c r="C3353">
        <v>2023</v>
      </c>
      <c r="D3353">
        <v>41.875</v>
      </c>
      <c r="E3353" t="s">
        <v>9</v>
      </c>
      <c r="F3353">
        <v>30.375</v>
      </c>
      <c r="G3353">
        <v>11.5</v>
      </c>
      <c r="H3353">
        <v>56000</v>
      </c>
      <c r="I3353" t="s">
        <v>25</v>
      </c>
    </row>
    <row r="3354" spans="1:9" hidden="1" x14ac:dyDescent="0.25">
      <c r="A3354">
        <v>13</v>
      </c>
      <c r="B3354" t="s">
        <v>27</v>
      </c>
      <c r="C3354">
        <v>2023</v>
      </c>
      <c r="D3354">
        <v>30.375</v>
      </c>
      <c r="E3354" t="s">
        <v>9</v>
      </c>
      <c r="F3354">
        <v>19.625</v>
      </c>
      <c r="G3354">
        <v>10.75</v>
      </c>
      <c r="H3354">
        <v>56000</v>
      </c>
      <c r="I3354" t="s">
        <v>25</v>
      </c>
    </row>
    <row r="3355" spans="1:9" hidden="1" x14ac:dyDescent="0.25">
      <c r="A3355">
        <v>14</v>
      </c>
      <c r="B3355" t="s">
        <v>27</v>
      </c>
      <c r="C3355">
        <v>2023</v>
      </c>
      <c r="D3355">
        <v>19.625</v>
      </c>
      <c r="E3355">
        <v>30</v>
      </c>
      <c r="F3355">
        <v>44.25</v>
      </c>
      <c r="G3355">
        <v>5.375</v>
      </c>
      <c r="H3355">
        <v>56000</v>
      </c>
      <c r="I3355" t="s">
        <v>25</v>
      </c>
    </row>
    <row r="3356" spans="1:9" hidden="1" x14ac:dyDescent="0.25">
      <c r="A3356">
        <v>15</v>
      </c>
      <c r="B3356" t="s">
        <v>27</v>
      </c>
      <c r="C3356">
        <v>2023</v>
      </c>
      <c r="D3356">
        <v>44.25</v>
      </c>
      <c r="E3356" t="s">
        <v>9</v>
      </c>
      <c r="F3356">
        <v>36.5</v>
      </c>
      <c r="G3356">
        <v>7.75</v>
      </c>
      <c r="H3356">
        <v>56000</v>
      </c>
      <c r="I3356" t="s">
        <v>25</v>
      </c>
    </row>
    <row r="3357" spans="1:9" hidden="1" x14ac:dyDescent="0.25">
      <c r="A3357">
        <v>16</v>
      </c>
      <c r="B3357" t="s">
        <v>27</v>
      </c>
      <c r="C3357">
        <v>2023</v>
      </c>
      <c r="D3357">
        <v>36.5</v>
      </c>
      <c r="E3357" t="s">
        <v>9</v>
      </c>
      <c r="F3357">
        <v>24</v>
      </c>
      <c r="G3357">
        <v>12.5</v>
      </c>
      <c r="H3357">
        <v>56000</v>
      </c>
      <c r="I3357" t="s">
        <v>25</v>
      </c>
    </row>
    <row r="3358" spans="1:9" hidden="1" x14ac:dyDescent="0.25">
      <c r="A3358">
        <v>17</v>
      </c>
      <c r="B3358" t="s">
        <v>27</v>
      </c>
      <c r="C3358">
        <v>2023</v>
      </c>
      <c r="D3358">
        <v>24</v>
      </c>
      <c r="E3358" t="s">
        <v>9</v>
      </c>
      <c r="F3358">
        <v>19.125</v>
      </c>
      <c r="G3358">
        <v>4.875</v>
      </c>
      <c r="H3358">
        <v>56000</v>
      </c>
      <c r="I3358" t="s">
        <v>25</v>
      </c>
    </row>
    <row r="3359" spans="1:9" hidden="1" x14ac:dyDescent="0.25">
      <c r="A3359">
        <v>18</v>
      </c>
      <c r="B3359" t="s">
        <v>27</v>
      </c>
      <c r="C3359">
        <v>2023</v>
      </c>
      <c r="D3359">
        <v>19.125</v>
      </c>
      <c r="E3359">
        <v>50</v>
      </c>
      <c r="F3359">
        <v>52.125</v>
      </c>
      <c r="G3359">
        <v>17</v>
      </c>
      <c r="H3359">
        <v>56000</v>
      </c>
      <c r="I3359" t="s">
        <v>25</v>
      </c>
    </row>
    <row r="3360" spans="1:9" hidden="1" x14ac:dyDescent="0.25">
      <c r="A3360">
        <v>19</v>
      </c>
      <c r="B3360" t="s">
        <v>27</v>
      </c>
      <c r="C3360">
        <v>2023</v>
      </c>
      <c r="D3360">
        <v>52.125</v>
      </c>
      <c r="E3360" t="s">
        <v>9</v>
      </c>
      <c r="F3360">
        <v>38.125</v>
      </c>
      <c r="G3360">
        <v>14</v>
      </c>
      <c r="H3360">
        <v>56000</v>
      </c>
      <c r="I3360" t="s">
        <v>25</v>
      </c>
    </row>
    <row r="3361" spans="1:9" hidden="1" x14ac:dyDescent="0.25">
      <c r="A3361">
        <v>20</v>
      </c>
      <c r="B3361" t="s">
        <v>27</v>
      </c>
      <c r="C3361">
        <v>2023</v>
      </c>
      <c r="D3361">
        <v>38.125</v>
      </c>
      <c r="E3361" t="s">
        <v>9</v>
      </c>
      <c r="F3361">
        <v>26.25</v>
      </c>
      <c r="G3361">
        <v>11.875</v>
      </c>
      <c r="H3361">
        <v>56000</v>
      </c>
      <c r="I3361" t="s">
        <v>25</v>
      </c>
    </row>
    <row r="3362" spans="1:9" hidden="1" x14ac:dyDescent="0.25">
      <c r="A3362">
        <v>21</v>
      </c>
      <c r="B3362" t="s">
        <v>27</v>
      </c>
      <c r="C3362">
        <v>2023</v>
      </c>
      <c r="D3362">
        <v>26.25</v>
      </c>
      <c r="E3362">
        <v>30</v>
      </c>
      <c r="F3362">
        <v>46.25</v>
      </c>
      <c r="G3362">
        <v>10</v>
      </c>
      <c r="H3362">
        <v>56000</v>
      </c>
      <c r="I3362" t="s">
        <v>25</v>
      </c>
    </row>
    <row r="3363" spans="1:9" hidden="1" x14ac:dyDescent="0.25">
      <c r="A3363">
        <v>22</v>
      </c>
      <c r="B3363" t="s">
        <v>27</v>
      </c>
      <c r="C3363">
        <v>2023</v>
      </c>
      <c r="D3363">
        <v>46.25</v>
      </c>
      <c r="E3363" t="s">
        <v>9</v>
      </c>
      <c r="F3363">
        <v>38.25</v>
      </c>
      <c r="G3363">
        <v>8</v>
      </c>
      <c r="H3363">
        <v>56000</v>
      </c>
      <c r="I3363" t="s">
        <v>25</v>
      </c>
    </row>
    <row r="3364" spans="1:9" hidden="1" x14ac:dyDescent="0.25">
      <c r="A3364">
        <v>23</v>
      </c>
      <c r="B3364" t="s">
        <v>27</v>
      </c>
      <c r="C3364">
        <v>2023</v>
      </c>
      <c r="D3364">
        <v>38.25</v>
      </c>
      <c r="E3364" t="s">
        <v>9</v>
      </c>
      <c r="F3364">
        <v>32.25</v>
      </c>
      <c r="G3364">
        <v>6</v>
      </c>
      <c r="H3364">
        <v>56000</v>
      </c>
      <c r="I3364" t="s">
        <v>25</v>
      </c>
    </row>
    <row r="3365" spans="1:9" hidden="1" x14ac:dyDescent="0.25">
      <c r="A3365">
        <v>24</v>
      </c>
      <c r="B3365" t="s">
        <v>27</v>
      </c>
      <c r="C3365">
        <v>2023</v>
      </c>
      <c r="D3365">
        <v>32.25</v>
      </c>
      <c r="E3365" t="s">
        <v>9</v>
      </c>
      <c r="F3365">
        <v>22.875</v>
      </c>
      <c r="G3365">
        <v>9.375</v>
      </c>
      <c r="H3365">
        <v>56000</v>
      </c>
      <c r="I3365" t="s">
        <v>25</v>
      </c>
    </row>
    <row r="3366" spans="1:9" hidden="1" x14ac:dyDescent="0.25">
      <c r="A3366">
        <v>25</v>
      </c>
      <c r="B3366" t="s">
        <v>27</v>
      </c>
      <c r="C3366">
        <v>2023</v>
      </c>
      <c r="D3366">
        <v>22.875</v>
      </c>
      <c r="E3366" t="s">
        <v>9</v>
      </c>
      <c r="F3366">
        <v>9.625</v>
      </c>
      <c r="G3366">
        <v>13.25</v>
      </c>
      <c r="H3366">
        <v>56000</v>
      </c>
      <c r="I3366" t="s">
        <v>25</v>
      </c>
    </row>
    <row r="3367" spans="1:9" hidden="1" x14ac:dyDescent="0.25">
      <c r="A3367">
        <v>26</v>
      </c>
      <c r="B3367" t="s">
        <v>27</v>
      </c>
      <c r="C3367">
        <v>2023</v>
      </c>
      <c r="D3367">
        <v>9.625</v>
      </c>
      <c r="E3367">
        <v>50</v>
      </c>
      <c r="F3367">
        <v>48.25</v>
      </c>
      <c r="G3367">
        <v>11.375</v>
      </c>
      <c r="H3367">
        <v>56000</v>
      </c>
      <c r="I3367" t="s">
        <v>25</v>
      </c>
    </row>
    <row r="3368" spans="1:9" hidden="1" x14ac:dyDescent="0.25">
      <c r="A3368">
        <v>27</v>
      </c>
      <c r="B3368" t="s">
        <v>27</v>
      </c>
      <c r="C3368">
        <v>2023</v>
      </c>
      <c r="D3368">
        <v>48.25</v>
      </c>
      <c r="E3368" t="s">
        <v>9</v>
      </c>
      <c r="F3368">
        <v>43.125</v>
      </c>
      <c r="G3368">
        <v>5.125</v>
      </c>
      <c r="H3368">
        <v>56000</v>
      </c>
      <c r="I3368" t="s">
        <v>25</v>
      </c>
    </row>
    <row r="3369" spans="1:9" hidden="1" x14ac:dyDescent="0.25">
      <c r="A3369">
        <v>28</v>
      </c>
      <c r="B3369" t="s">
        <v>27</v>
      </c>
      <c r="C3369">
        <v>2023</v>
      </c>
      <c r="D3369">
        <v>43.125</v>
      </c>
      <c r="E3369" t="s">
        <v>9</v>
      </c>
      <c r="F3369">
        <v>34.875</v>
      </c>
      <c r="G3369">
        <v>8.25</v>
      </c>
      <c r="H3369">
        <v>56000</v>
      </c>
      <c r="I3369" t="s">
        <v>25</v>
      </c>
    </row>
    <row r="3370" spans="1:9" hidden="1" x14ac:dyDescent="0.25">
      <c r="A3370">
        <v>1</v>
      </c>
      <c r="B3370" t="s">
        <v>28</v>
      </c>
      <c r="C3370">
        <v>2023</v>
      </c>
      <c r="D3370">
        <v>129</v>
      </c>
      <c r="E3370" t="s">
        <v>9</v>
      </c>
      <c r="F3370">
        <v>107.375</v>
      </c>
      <c r="G3370">
        <v>21.625</v>
      </c>
      <c r="H3370">
        <v>56000</v>
      </c>
      <c r="I3370" t="s">
        <v>23</v>
      </c>
    </row>
    <row r="3371" spans="1:9" hidden="1" x14ac:dyDescent="0.25">
      <c r="A3371">
        <v>2</v>
      </c>
      <c r="B3371" t="s">
        <v>28</v>
      </c>
      <c r="C3371">
        <v>2023</v>
      </c>
      <c r="D3371">
        <v>107.375</v>
      </c>
      <c r="E3371" t="s">
        <v>9</v>
      </c>
      <c r="F3371">
        <v>89.5</v>
      </c>
      <c r="G3371">
        <v>17.875</v>
      </c>
      <c r="H3371">
        <v>56000</v>
      </c>
      <c r="I3371" t="s">
        <v>23</v>
      </c>
    </row>
    <row r="3372" spans="1:9" hidden="1" x14ac:dyDescent="0.25">
      <c r="A3372">
        <v>3</v>
      </c>
      <c r="B3372" t="s">
        <v>28</v>
      </c>
      <c r="C3372">
        <v>2023</v>
      </c>
      <c r="D3372">
        <v>89.5</v>
      </c>
      <c r="E3372" t="s">
        <v>9</v>
      </c>
      <c r="F3372">
        <v>59.625</v>
      </c>
      <c r="G3372">
        <v>29.875</v>
      </c>
      <c r="H3372">
        <v>56000</v>
      </c>
      <c r="I3372" t="s">
        <v>23</v>
      </c>
    </row>
    <row r="3373" spans="1:9" hidden="1" x14ac:dyDescent="0.25">
      <c r="A3373">
        <v>4</v>
      </c>
      <c r="B3373" t="s">
        <v>28</v>
      </c>
      <c r="C3373">
        <v>2023</v>
      </c>
      <c r="D3373">
        <v>59.625</v>
      </c>
      <c r="E3373">
        <v>90</v>
      </c>
      <c r="F3373">
        <v>116</v>
      </c>
      <c r="G3373">
        <v>33.625</v>
      </c>
      <c r="H3373">
        <v>56000</v>
      </c>
      <c r="I3373" t="s">
        <v>23</v>
      </c>
    </row>
    <row r="3374" spans="1:9" hidden="1" x14ac:dyDescent="0.25">
      <c r="A3374">
        <v>5</v>
      </c>
      <c r="B3374" t="s">
        <v>28</v>
      </c>
      <c r="C3374">
        <v>2023</v>
      </c>
      <c r="D3374">
        <v>116</v>
      </c>
      <c r="E3374" t="s">
        <v>9</v>
      </c>
      <c r="F3374">
        <v>65.375</v>
      </c>
      <c r="G3374">
        <v>50.625</v>
      </c>
      <c r="H3374">
        <v>56000</v>
      </c>
      <c r="I3374" t="s">
        <v>23</v>
      </c>
    </row>
    <row r="3375" spans="1:9" hidden="1" x14ac:dyDescent="0.25">
      <c r="A3375">
        <v>6</v>
      </c>
      <c r="B3375" t="s">
        <v>28</v>
      </c>
      <c r="C3375">
        <v>2023</v>
      </c>
      <c r="D3375">
        <v>65.375</v>
      </c>
      <c r="E3375" t="s">
        <v>9</v>
      </c>
      <c r="F3375">
        <v>54.375</v>
      </c>
      <c r="G3375">
        <v>11</v>
      </c>
      <c r="H3375">
        <v>56000</v>
      </c>
      <c r="I3375" t="s">
        <v>23</v>
      </c>
    </row>
    <row r="3376" spans="1:9" hidden="1" x14ac:dyDescent="0.25">
      <c r="A3376">
        <v>7</v>
      </c>
      <c r="B3376" t="s">
        <v>28</v>
      </c>
      <c r="C3376">
        <v>2023</v>
      </c>
      <c r="D3376">
        <v>54.375</v>
      </c>
      <c r="E3376">
        <v>100</v>
      </c>
      <c r="F3376">
        <v>142.75</v>
      </c>
      <c r="G3376">
        <v>11.625</v>
      </c>
      <c r="H3376">
        <v>56000</v>
      </c>
      <c r="I3376" t="s">
        <v>23</v>
      </c>
    </row>
    <row r="3377" spans="1:9" hidden="1" x14ac:dyDescent="0.25">
      <c r="A3377">
        <v>8</v>
      </c>
      <c r="B3377" t="s">
        <v>28</v>
      </c>
      <c r="C3377">
        <v>2023</v>
      </c>
      <c r="D3377">
        <v>142.75</v>
      </c>
      <c r="E3377" t="s">
        <v>9</v>
      </c>
      <c r="F3377">
        <v>119.25</v>
      </c>
      <c r="G3377">
        <v>23.5</v>
      </c>
      <c r="H3377">
        <v>56000</v>
      </c>
      <c r="I3377" t="s">
        <v>23</v>
      </c>
    </row>
    <row r="3378" spans="1:9" hidden="1" x14ac:dyDescent="0.25">
      <c r="A3378">
        <v>9</v>
      </c>
      <c r="B3378" t="s">
        <v>28</v>
      </c>
      <c r="C3378">
        <v>2023</v>
      </c>
      <c r="D3378">
        <v>119.25</v>
      </c>
      <c r="E3378" t="s">
        <v>9</v>
      </c>
      <c r="F3378">
        <v>103.375</v>
      </c>
      <c r="G3378">
        <v>15.875</v>
      </c>
      <c r="H3378">
        <v>56000</v>
      </c>
      <c r="I3378" t="s">
        <v>23</v>
      </c>
    </row>
    <row r="3379" spans="1:9" hidden="1" x14ac:dyDescent="0.25">
      <c r="A3379">
        <v>10</v>
      </c>
      <c r="B3379" t="s">
        <v>28</v>
      </c>
      <c r="C3379">
        <v>2023</v>
      </c>
      <c r="D3379">
        <v>103.375</v>
      </c>
      <c r="E3379" t="s">
        <v>9</v>
      </c>
      <c r="F3379">
        <v>77.5</v>
      </c>
      <c r="G3379">
        <v>25.875</v>
      </c>
      <c r="H3379">
        <v>56000</v>
      </c>
      <c r="I3379" t="s">
        <v>23</v>
      </c>
    </row>
    <row r="3380" spans="1:9" hidden="1" x14ac:dyDescent="0.25">
      <c r="A3380">
        <v>11</v>
      </c>
      <c r="B3380" t="s">
        <v>28</v>
      </c>
      <c r="C3380">
        <v>2023</v>
      </c>
      <c r="D3380">
        <v>77.5</v>
      </c>
      <c r="E3380">
        <v>80</v>
      </c>
      <c r="F3380">
        <v>118.625</v>
      </c>
      <c r="G3380">
        <v>38.875</v>
      </c>
      <c r="H3380">
        <v>56000</v>
      </c>
      <c r="I3380" t="s">
        <v>23</v>
      </c>
    </row>
    <row r="3381" spans="1:9" hidden="1" x14ac:dyDescent="0.25">
      <c r="A3381">
        <v>12</v>
      </c>
      <c r="B3381" t="s">
        <v>28</v>
      </c>
      <c r="C3381">
        <v>2023</v>
      </c>
      <c r="D3381">
        <v>118.625</v>
      </c>
      <c r="E3381" t="s">
        <v>9</v>
      </c>
      <c r="F3381">
        <v>83.875</v>
      </c>
      <c r="G3381">
        <v>34.75</v>
      </c>
      <c r="H3381">
        <v>56000</v>
      </c>
      <c r="I3381" t="s">
        <v>23</v>
      </c>
    </row>
    <row r="3382" spans="1:9" hidden="1" x14ac:dyDescent="0.25">
      <c r="A3382">
        <v>13</v>
      </c>
      <c r="B3382" t="s">
        <v>28</v>
      </c>
      <c r="C3382">
        <v>2023</v>
      </c>
      <c r="D3382">
        <v>83.875</v>
      </c>
      <c r="E3382" t="s">
        <v>9</v>
      </c>
      <c r="F3382">
        <v>69.75</v>
      </c>
      <c r="G3382">
        <v>14.125</v>
      </c>
      <c r="H3382">
        <v>56000</v>
      </c>
      <c r="I3382" t="s">
        <v>23</v>
      </c>
    </row>
    <row r="3383" spans="1:9" hidden="1" x14ac:dyDescent="0.25">
      <c r="A3383">
        <v>14</v>
      </c>
      <c r="B3383" t="s">
        <v>28</v>
      </c>
      <c r="C3383">
        <v>2023</v>
      </c>
      <c r="D3383">
        <v>69.75</v>
      </c>
      <c r="E3383">
        <v>60</v>
      </c>
      <c r="F3383">
        <v>114.375</v>
      </c>
      <c r="G3383">
        <v>15.375</v>
      </c>
      <c r="H3383">
        <v>56000</v>
      </c>
      <c r="I3383" t="s">
        <v>23</v>
      </c>
    </row>
    <row r="3384" spans="1:9" hidden="1" x14ac:dyDescent="0.25">
      <c r="A3384">
        <v>15</v>
      </c>
      <c r="B3384" t="s">
        <v>28</v>
      </c>
      <c r="C3384">
        <v>2023</v>
      </c>
      <c r="D3384">
        <v>114.375</v>
      </c>
      <c r="E3384" t="s">
        <v>9</v>
      </c>
      <c r="F3384">
        <v>91.5</v>
      </c>
      <c r="G3384">
        <v>22.875</v>
      </c>
      <c r="H3384">
        <v>56000</v>
      </c>
      <c r="I3384" t="s">
        <v>23</v>
      </c>
    </row>
    <row r="3385" spans="1:9" hidden="1" x14ac:dyDescent="0.25">
      <c r="A3385">
        <v>16</v>
      </c>
      <c r="B3385" t="s">
        <v>28</v>
      </c>
      <c r="C3385">
        <v>2023</v>
      </c>
      <c r="D3385">
        <v>91.5</v>
      </c>
      <c r="E3385" t="s">
        <v>9</v>
      </c>
      <c r="F3385">
        <v>80.5</v>
      </c>
      <c r="G3385">
        <v>11</v>
      </c>
      <c r="H3385">
        <v>56000</v>
      </c>
      <c r="I3385" t="s">
        <v>23</v>
      </c>
    </row>
    <row r="3386" spans="1:9" hidden="1" x14ac:dyDescent="0.25">
      <c r="A3386">
        <v>17</v>
      </c>
      <c r="B3386" t="s">
        <v>28</v>
      </c>
      <c r="C3386">
        <v>2023</v>
      </c>
      <c r="D3386">
        <v>80.5</v>
      </c>
      <c r="E3386" t="s">
        <v>9</v>
      </c>
      <c r="F3386">
        <v>54</v>
      </c>
      <c r="G3386">
        <v>26.5</v>
      </c>
      <c r="H3386">
        <v>56000</v>
      </c>
      <c r="I3386" t="s">
        <v>23</v>
      </c>
    </row>
    <row r="3387" spans="1:9" hidden="1" x14ac:dyDescent="0.25">
      <c r="A3387">
        <v>18</v>
      </c>
      <c r="B3387" t="s">
        <v>28</v>
      </c>
      <c r="C3387">
        <v>2023</v>
      </c>
      <c r="D3387">
        <v>54</v>
      </c>
      <c r="E3387">
        <v>70</v>
      </c>
      <c r="F3387">
        <v>86.875</v>
      </c>
      <c r="G3387">
        <v>37.125</v>
      </c>
      <c r="H3387">
        <v>56000</v>
      </c>
      <c r="I3387" t="s">
        <v>23</v>
      </c>
    </row>
    <row r="3388" spans="1:9" hidden="1" x14ac:dyDescent="0.25">
      <c r="A3388">
        <v>19</v>
      </c>
      <c r="B3388" t="s">
        <v>28</v>
      </c>
      <c r="C3388">
        <v>2023</v>
      </c>
      <c r="D3388">
        <v>86.875</v>
      </c>
      <c r="E3388" t="s">
        <v>9</v>
      </c>
      <c r="F3388">
        <v>52.875</v>
      </c>
      <c r="G3388">
        <v>34</v>
      </c>
      <c r="H3388">
        <v>56000</v>
      </c>
      <c r="I3388" t="s">
        <v>23</v>
      </c>
    </row>
    <row r="3389" spans="1:9" hidden="1" x14ac:dyDescent="0.25">
      <c r="A3389">
        <v>20</v>
      </c>
      <c r="B3389" t="s">
        <v>28</v>
      </c>
      <c r="C3389">
        <v>2023</v>
      </c>
      <c r="D3389">
        <v>52.875</v>
      </c>
      <c r="E3389" t="s">
        <v>9</v>
      </c>
      <c r="F3389">
        <v>26.375</v>
      </c>
      <c r="G3389">
        <v>26.5</v>
      </c>
      <c r="H3389">
        <v>56000</v>
      </c>
      <c r="I3389" t="s">
        <v>23</v>
      </c>
    </row>
    <row r="3390" spans="1:9" hidden="1" x14ac:dyDescent="0.25">
      <c r="A3390">
        <v>21</v>
      </c>
      <c r="B3390" t="s">
        <v>28</v>
      </c>
      <c r="C3390">
        <v>2023</v>
      </c>
      <c r="D3390">
        <v>26.375</v>
      </c>
      <c r="E3390">
        <v>100</v>
      </c>
      <c r="F3390">
        <v>117.875</v>
      </c>
      <c r="G3390">
        <v>8.5</v>
      </c>
      <c r="H3390">
        <v>56000</v>
      </c>
      <c r="I3390" t="s">
        <v>23</v>
      </c>
    </row>
    <row r="3391" spans="1:9" hidden="1" x14ac:dyDescent="0.25">
      <c r="A3391">
        <v>22</v>
      </c>
      <c r="B3391" t="s">
        <v>28</v>
      </c>
      <c r="C3391">
        <v>2023</v>
      </c>
      <c r="D3391">
        <v>117.875</v>
      </c>
      <c r="E3391" t="s">
        <v>9</v>
      </c>
      <c r="F3391">
        <v>108.875</v>
      </c>
      <c r="G3391">
        <v>9</v>
      </c>
      <c r="H3391">
        <v>56000</v>
      </c>
      <c r="I3391" t="s">
        <v>23</v>
      </c>
    </row>
    <row r="3392" spans="1:9" hidden="1" x14ac:dyDescent="0.25">
      <c r="A3392">
        <v>23</v>
      </c>
      <c r="B3392" t="s">
        <v>28</v>
      </c>
      <c r="C3392">
        <v>2023</v>
      </c>
      <c r="D3392">
        <v>108.875</v>
      </c>
      <c r="E3392" t="s">
        <v>9</v>
      </c>
      <c r="F3392">
        <v>96.375</v>
      </c>
      <c r="G3392">
        <v>12.5</v>
      </c>
      <c r="H3392">
        <v>56000</v>
      </c>
      <c r="I3392" t="s">
        <v>23</v>
      </c>
    </row>
    <row r="3393" spans="1:9" hidden="1" x14ac:dyDescent="0.25">
      <c r="A3393">
        <v>24</v>
      </c>
      <c r="B3393" t="s">
        <v>28</v>
      </c>
      <c r="C3393">
        <v>2023</v>
      </c>
      <c r="D3393">
        <v>96.375</v>
      </c>
      <c r="E3393" t="s">
        <v>9</v>
      </c>
      <c r="F3393">
        <v>70.75</v>
      </c>
      <c r="G3393">
        <v>25.625</v>
      </c>
      <c r="H3393">
        <v>56000</v>
      </c>
      <c r="I3393" t="s">
        <v>23</v>
      </c>
    </row>
    <row r="3394" spans="1:9" hidden="1" x14ac:dyDescent="0.25">
      <c r="A3394">
        <v>25</v>
      </c>
      <c r="B3394" t="s">
        <v>28</v>
      </c>
      <c r="C3394">
        <v>2023</v>
      </c>
      <c r="D3394">
        <v>70.75</v>
      </c>
      <c r="E3394">
        <v>60</v>
      </c>
      <c r="F3394">
        <v>88</v>
      </c>
      <c r="G3394">
        <v>42.75</v>
      </c>
      <c r="H3394">
        <v>56000</v>
      </c>
      <c r="I3394" t="s">
        <v>23</v>
      </c>
    </row>
    <row r="3395" spans="1:9" hidden="1" x14ac:dyDescent="0.25">
      <c r="A3395">
        <v>26</v>
      </c>
      <c r="B3395" t="s">
        <v>28</v>
      </c>
      <c r="C3395">
        <v>2023</v>
      </c>
      <c r="D3395">
        <v>88</v>
      </c>
      <c r="E3395" t="s">
        <v>9</v>
      </c>
      <c r="F3395">
        <v>57.75</v>
      </c>
      <c r="G3395">
        <v>30.25</v>
      </c>
      <c r="H3395">
        <v>56000</v>
      </c>
      <c r="I3395" t="s">
        <v>23</v>
      </c>
    </row>
    <row r="3396" spans="1:9" hidden="1" x14ac:dyDescent="0.25">
      <c r="A3396">
        <v>27</v>
      </c>
      <c r="B3396" t="s">
        <v>28</v>
      </c>
      <c r="C3396">
        <v>2023</v>
      </c>
      <c r="D3396">
        <v>57.75</v>
      </c>
      <c r="E3396" t="s">
        <v>9</v>
      </c>
      <c r="F3396">
        <v>41.375</v>
      </c>
      <c r="G3396">
        <v>16.375</v>
      </c>
      <c r="H3396">
        <v>56000</v>
      </c>
      <c r="I3396" t="s">
        <v>23</v>
      </c>
    </row>
    <row r="3397" spans="1:9" hidden="1" x14ac:dyDescent="0.25">
      <c r="A3397">
        <v>28</v>
      </c>
      <c r="B3397" t="s">
        <v>28</v>
      </c>
      <c r="C3397">
        <v>2023</v>
      </c>
      <c r="D3397">
        <v>41.375</v>
      </c>
      <c r="E3397">
        <v>80</v>
      </c>
      <c r="F3397">
        <v>107.375</v>
      </c>
      <c r="G3397">
        <v>14</v>
      </c>
      <c r="H3397">
        <v>56000</v>
      </c>
      <c r="I3397" t="s">
        <v>23</v>
      </c>
    </row>
    <row r="3398" spans="1:9" hidden="1" x14ac:dyDescent="0.25">
      <c r="A3398">
        <v>29</v>
      </c>
      <c r="B3398" t="s">
        <v>28</v>
      </c>
      <c r="C3398">
        <v>2023</v>
      </c>
      <c r="D3398">
        <v>107.375</v>
      </c>
      <c r="E3398" t="s">
        <v>9</v>
      </c>
      <c r="F3398">
        <v>94.375</v>
      </c>
      <c r="G3398">
        <v>13</v>
      </c>
      <c r="H3398">
        <v>56000</v>
      </c>
      <c r="I3398" t="s">
        <v>23</v>
      </c>
    </row>
    <row r="3399" spans="1:9" hidden="1" x14ac:dyDescent="0.25">
      <c r="A3399">
        <v>30</v>
      </c>
      <c r="B3399" t="s">
        <v>28</v>
      </c>
      <c r="C3399">
        <v>2023</v>
      </c>
      <c r="D3399">
        <v>94.375</v>
      </c>
      <c r="E3399" t="s">
        <v>9</v>
      </c>
      <c r="F3399">
        <v>73</v>
      </c>
      <c r="G3399">
        <v>21.375</v>
      </c>
      <c r="H3399">
        <v>56000</v>
      </c>
      <c r="I3399" t="s">
        <v>23</v>
      </c>
    </row>
    <row r="3400" spans="1:9" hidden="1" x14ac:dyDescent="0.25">
      <c r="A3400">
        <v>31</v>
      </c>
      <c r="B3400" t="s">
        <v>28</v>
      </c>
      <c r="C3400">
        <v>2023</v>
      </c>
      <c r="D3400">
        <v>73</v>
      </c>
      <c r="E3400" t="s">
        <v>9</v>
      </c>
      <c r="F3400">
        <v>38</v>
      </c>
      <c r="G3400">
        <v>35</v>
      </c>
      <c r="H3400">
        <v>56000</v>
      </c>
      <c r="I3400" t="s">
        <v>23</v>
      </c>
    </row>
    <row r="3401" spans="1:9" hidden="1" x14ac:dyDescent="0.25">
      <c r="A3401">
        <v>1</v>
      </c>
      <c r="B3401" t="s">
        <v>28</v>
      </c>
      <c r="C3401">
        <v>2023</v>
      </c>
      <c r="D3401">
        <v>34.875</v>
      </c>
      <c r="E3401" t="s">
        <v>9</v>
      </c>
      <c r="F3401">
        <v>26.875</v>
      </c>
      <c r="G3401">
        <v>8</v>
      </c>
      <c r="H3401">
        <v>56000</v>
      </c>
      <c r="I3401" t="s">
        <v>25</v>
      </c>
    </row>
    <row r="3402" spans="1:9" hidden="1" x14ac:dyDescent="0.25">
      <c r="A3402">
        <v>2</v>
      </c>
      <c r="B3402" t="s">
        <v>28</v>
      </c>
      <c r="C3402">
        <v>2023</v>
      </c>
      <c r="D3402">
        <v>26.875</v>
      </c>
      <c r="E3402" t="s">
        <v>9</v>
      </c>
      <c r="F3402">
        <v>24.375</v>
      </c>
      <c r="G3402">
        <v>2.5</v>
      </c>
      <c r="H3402">
        <v>56000</v>
      </c>
      <c r="I3402" t="s">
        <v>25</v>
      </c>
    </row>
    <row r="3403" spans="1:9" hidden="1" x14ac:dyDescent="0.25">
      <c r="A3403">
        <v>3</v>
      </c>
      <c r="B3403" t="s">
        <v>28</v>
      </c>
      <c r="C3403">
        <v>2023</v>
      </c>
      <c r="D3403">
        <v>24.375</v>
      </c>
      <c r="E3403" t="s">
        <v>9</v>
      </c>
      <c r="F3403">
        <v>14.75</v>
      </c>
      <c r="G3403">
        <v>9.625</v>
      </c>
      <c r="H3403">
        <v>56000</v>
      </c>
      <c r="I3403" t="s">
        <v>25</v>
      </c>
    </row>
    <row r="3404" spans="1:9" hidden="1" x14ac:dyDescent="0.25">
      <c r="A3404">
        <v>4</v>
      </c>
      <c r="B3404" t="s">
        <v>28</v>
      </c>
      <c r="C3404">
        <v>2023</v>
      </c>
      <c r="D3404">
        <v>14.75</v>
      </c>
      <c r="E3404">
        <v>50</v>
      </c>
      <c r="F3404">
        <v>51.375</v>
      </c>
      <c r="G3404">
        <v>13.375</v>
      </c>
      <c r="H3404">
        <v>56000</v>
      </c>
      <c r="I3404" t="s">
        <v>25</v>
      </c>
    </row>
    <row r="3405" spans="1:9" hidden="1" x14ac:dyDescent="0.25">
      <c r="A3405">
        <v>5</v>
      </c>
      <c r="B3405" t="s">
        <v>28</v>
      </c>
      <c r="C3405">
        <v>2023</v>
      </c>
      <c r="D3405">
        <v>51.375</v>
      </c>
      <c r="E3405" t="s">
        <v>9</v>
      </c>
      <c r="F3405">
        <v>39.75</v>
      </c>
      <c r="G3405">
        <v>11.625</v>
      </c>
      <c r="H3405">
        <v>56000</v>
      </c>
      <c r="I3405" t="s">
        <v>25</v>
      </c>
    </row>
    <row r="3406" spans="1:9" hidden="1" x14ac:dyDescent="0.25">
      <c r="A3406">
        <v>6</v>
      </c>
      <c r="B3406" t="s">
        <v>28</v>
      </c>
      <c r="C3406">
        <v>2023</v>
      </c>
      <c r="D3406">
        <v>39.75</v>
      </c>
      <c r="E3406" t="s">
        <v>9</v>
      </c>
      <c r="F3406">
        <v>35.5</v>
      </c>
      <c r="G3406">
        <v>4.25</v>
      </c>
      <c r="H3406">
        <v>56000</v>
      </c>
      <c r="I3406" t="s">
        <v>25</v>
      </c>
    </row>
    <row r="3407" spans="1:9" hidden="1" x14ac:dyDescent="0.25">
      <c r="A3407">
        <v>7</v>
      </c>
      <c r="B3407" t="s">
        <v>28</v>
      </c>
      <c r="C3407">
        <v>2023</v>
      </c>
      <c r="D3407">
        <v>35.5</v>
      </c>
      <c r="E3407" t="s">
        <v>9</v>
      </c>
      <c r="F3407">
        <v>29</v>
      </c>
      <c r="G3407">
        <v>6.5</v>
      </c>
      <c r="H3407">
        <v>56000</v>
      </c>
      <c r="I3407" t="s">
        <v>25</v>
      </c>
    </row>
    <row r="3408" spans="1:9" hidden="1" x14ac:dyDescent="0.25">
      <c r="A3408">
        <v>8</v>
      </c>
      <c r="B3408" t="s">
        <v>28</v>
      </c>
      <c r="C3408">
        <v>2023</v>
      </c>
      <c r="D3408">
        <v>29</v>
      </c>
      <c r="E3408">
        <v>30</v>
      </c>
      <c r="F3408">
        <v>42.25</v>
      </c>
      <c r="G3408">
        <v>16.75</v>
      </c>
      <c r="H3408">
        <v>56000</v>
      </c>
      <c r="I3408" t="s">
        <v>25</v>
      </c>
    </row>
    <row r="3409" spans="1:9" hidden="1" x14ac:dyDescent="0.25">
      <c r="A3409">
        <v>9</v>
      </c>
      <c r="B3409" t="s">
        <v>28</v>
      </c>
      <c r="C3409">
        <v>2023</v>
      </c>
      <c r="D3409">
        <v>42.25</v>
      </c>
      <c r="E3409" t="s">
        <v>9</v>
      </c>
      <c r="F3409">
        <v>36.125</v>
      </c>
      <c r="G3409">
        <v>6.125</v>
      </c>
      <c r="H3409">
        <v>56000</v>
      </c>
      <c r="I3409" t="s">
        <v>25</v>
      </c>
    </row>
    <row r="3410" spans="1:9" hidden="1" x14ac:dyDescent="0.25">
      <c r="A3410">
        <v>10</v>
      </c>
      <c r="B3410" t="s">
        <v>28</v>
      </c>
      <c r="C3410">
        <v>2023</v>
      </c>
      <c r="D3410">
        <v>36.125</v>
      </c>
      <c r="E3410" t="s">
        <v>9</v>
      </c>
      <c r="F3410">
        <v>29.5</v>
      </c>
      <c r="G3410">
        <v>6.625</v>
      </c>
      <c r="H3410">
        <v>56000</v>
      </c>
      <c r="I3410" t="s">
        <v>25</v>
      </c>
    </row>
    <row r="3411" spans="1:9" hidden="1" x14ac:dyDescent="0.25">
      <c r="A3411">
        <v>11</v>
      </c>
      <c r="B3411" t="s">
        <v>28</v>
      </c>
      <c r="C3411">
        <v>2023</v>
      </c>
      <c r="D3411">
        <v>29.5</v>
      </c>
      <c r="E3411" t="s">
        <v>9</v>
      </c>
      <c r="F3411">
        <v>11</v>
      </c>
      <c r="G3411">
        <v>18.5</v>
      </c>
      <c r="H3411">
        <v>56000</v>
      </c>
      <c r="I3411" t="s">
        <v>25</v>
      </c>
    </row>
    <row r="3412" spans="1:9" hidden="1" x14ac:dyDescent="0.25">
      <c r="A3412">
        <v>12</v>
      </c>
      <c r="B3412" t="s">
        <v>28</v>
      </c>
      <c r="C3412">
        <v>2023</v>
      </c>
      <c r="D3412">
        <v>11</v>
      </c>
      <c r="E3412">
        <v>50</v>
      </c>
      <c r="F3412">
        <v>45.875</v>
      </c>
      <c r="G3412">
        <v>15.125</v>
      </c>
      <c r="H3412">
        <v>56000</v>
      </c>
      <c r="I3412" t="s">
        <v>25</v>
      </c>
    </row>
    <row r="3413" spans="1:9" hidden="1" x14ac:dyDescent="0.25">
      <c r="A3413">
        <v>13</v>
      </c>
      <c r="B3413" t="s">
        <v>28</v>
      </c>
      <c r="C3413">
        <v>2023</v>
      </c>
      <c r="D3413">
        <v>45.875</v>
      </c>
      <c r="E3413" t="s">
        <v>9</v>
      </c>
      <c r="F3413">
        <v>40.75</v>
      </c>
      <c r="G3413">
        <v>5.125</v>
      </c>
      <c r="H3413">
        <v>56000</v>
      </c>
      <c r="I3413" t="s">
        <v>25</v>
      </c>
    </row>
    <row r="3414" spans="1:9" hidden="1" x14ac:dyDescent="0.25">
      <c r="A3414">
        <v>14</v>
      </c>
      <c r="B3414" t="s">
        <v>28</v>
      </c>
      <c r="C3414">
        <v>2023</v>
      </c>
      <c r="D3414">
        <v>40.75</v>
      </c>
      <c r="E3414" t="s">
        <v>9</v>
      </c>
      <c r="F3414">
        <v>34</v>
      </c>
      <c r="G3414">
        <v>6.75</v>
      </c>
      <c r="H3414">
        <v>56000</v>
      </c>
      <c r="I3414" t="s">
        <v>25</v>
      </c>
    </row>
    <row r="3415" spans="1:9" hidden="1" x14ac:dyDescent="0.25">
      <c r="A3415">
        <v>15</v>
      </c>
      <c r="B3415" t="s">
        <v>28</v>
      </c>
      <c r="C3415">
        <v>2023</v>
      </c>
      <c r="D3415">
        <v>34</v>
      </c>
      <c r="E3415" t="s">
        <v>9</v>
      </c>
      <c r="F3415">
        <v>28.5</v>
      </c>
      <c r="G3415">
        <v>5.5</v>
      </c>
      <c r="H3415">
        <v>56000</v>
      </c>
      <c r="I3415" t="s">
        <v>25</v>
      </c>
    </row>
    <row r="3416" spans="1:9" hidden="1" x14ac:dyDescent="0.25">
      <c r="A3416">
        <v>16</v>
      </c>
      <c r="B3416" t="s">
        <v>28</v>
      </c>
      <c r="C3416">
        <v>2023</v>
      </c>
      <c r="D3416">
        <v>28.5</v>
      </c>
      <c r="E3416" t="s">
        <v>9</v>
      </c>
      <c r="F3416">
        <v>21.875</v>
      </c>
      <c r="G3416">
        <v>6.625</v>
      </c>
      <c r="H3416">
        <v>56000</v>
      </c>
      <c r="I3416" t="s">
        <v>25</v>
      </c>
    </row>
    <row r="3417" spans="1:9" hidden="1" x14ac:dyDescent="0.25">
      <c r="A3417">
        <v>17</v>
      </c>
      <c r="B3417" t="s">
        <v>28</v>
      </c>
      <c r="C3417">
        <v>2023</v>
      </c>
      <c r="D3417">
        <v>21.875</v>
      </c>
      <c r="E3417" t="s">
        <v>9</v>
      </c>
      <c r="F3417">
        <v>17.5</v>
      </c>
      <c r="G3417">
        <v>4.375</v>
      </c>
      <c r="H3417">
        <v>56000</v>
      </c>
      <c r="I3417" t="s">
        <v>25</v>
      </c>
    </row>
    <row r="3418" spans="1:9" hidden="1" x14ac:dyDescent="0.25">
      <c r="A3418">
        <v>18</v>
      </c>
      <c r="B3418" t="s">
        <v>28</v>
      </c>
      <c r="C3418">
        <v>2023</v>
      </c>
      <c r="D3418">
        <v>17.5</v>
      </c>
      <c r="E3418" t="s">
        <v>9</v>
      </c>
      <c r="F3418">
        <v>5</v>
      </c>
      <c r="G3418">
        <v>12.5</v>
      </c>
      <c r="H3418">
        <v>56000</v>
      </c>
      <c r="I3418" t="s">
        <v>25</v>
      </c>
    </row>
    <row r="3419" spans="1:9" hidden="1" x14ac:dyDescent="0.25">
      <c r="A3419">
        <v>19</v>
      </c>
      <c r="B3419" t="s">
        <v>28</v>
      </c>
      <c r="C3419">
        <v>2023</v>
      </c>
      <c r="D3419">
        <v>5</v>
      </c>
      <c r="E3419">
        <v>50</v>
      </c>
      <c r="F3419">
        <v>38.625</v>
      </c>
      <c r="G3419">
        <v>16.375</v>
      </c>
      <c r="H3419">
        <v>56000</v>
      </c>
      <c r="I3419" t="s">
        <v>25</v>
      </c>
    </row>
    <row r="3420" spans="1:9" hidden="1" x14ac:dyDescent="0.25">
      <c r="A3420">
        <v>20</v>
      </c>
      <c r="B3420" t="s">
        <v>28</v>
      </c>
      <c r="C3420">
        <v>2023</v>
      </c>
      <c r="D3420">
        <v>38.625</v>
      </c>
      <c r="E3420" t="s">
        <v>9</v>
      </c>
      <c r="F3420">
        <v>23.75</v>
      </c>
      <c r="G3420">
        <v>14.875</v>
      </c>
      <c r="H3420">
        <v>56000</v>
      </c>
      <c r="I3420" t="s">
        <v>25</v>
      </c>
    </row>
    <row r="3421" spans="1:9" hidden="1" x14ac:dyDescent="0.25">
      <c r="A3421">
        <v>21</v>
      </c>
      <c r="B3421" t="s">
        <v>28</v>
      </c>
      <c r="C3421">
        <v>2023</v>
      </c>
      <c r="D3421">
        <v>23.75</v>
      </c>
      <c r="E3421" t="s">
        <v>9</v>
      </c>
      <c r="F3421">
        <v>10.25</v>
      </c>
      <c r="G3421">
        <v>13.5</v>
      </c>
      <c r="H3421">
        <v>56000</v>
      </c>
      <c r="I3421" t="s">
        <v>25</v>
      </c>
    </row>
    <row r="3422" spans="1:9" hidden="1" x14ac:dyDescent="0.25">
      <c r="A3422">
        <v>22</v>
      </c>
      <c r="B3422" t="s">
        <v>28</v>
      </c>
      <c r="C3422">
        <v>2023</v>
      </c>
      <c r="D3422">
        <v>10.25</v>
      </c>
      <c r="E3422" t="s">
        <v>9</v>
      </c>
      <c r="F3422">
        <v>1.625</v>
      </c>
      <c r="G3422">
        <v>8.625</v>
      </c>
      <c r="H3422">
        <v>56000</v>
      </c>
      <c r="I3422" t="s">
        <v>25</v>
      </c>
    </row>
    <row r="3423" spans="1:9" hidden="1" x14ac:dyDescent="0.25">
      <c r="A3423">
        <v>23</v>
      </c>
      <c r="B3423" t="s">
        <v>28</v>
      </c>
      <c r="C3423">
        <v>2023</v>
      </c>
      <c r="D3423">
        <v>1.625</v>
      </c>
      <c r="E3423">
        <v>50</v>
      </c>
      <c r="F3423">
        <v>42.875</v>
      </c>
      <c r="G3423">
        <v>8.75</v>
      </c>
      <c r="H3423">
        <v>56000</v>
      </c>
      <c r="I3423" t="s">
        <v>25</v>
      </c>
    </row>
    <row r="3424" spans="1:9" hidden="1" x14ac:dyDescent="0.25">
      <c r="A3424">
        <v>24</v>
      </c>
      <c r="B3424" t="s">
        <v>28</v>
      </c>
      <c r="C3424">
        <v>2023</v>
      </c>
      <c r="D3424">
        <v>42.875</v>
      </c>
      <c r="E3424" t="s">
        <v>9</v>
      </c>
      <c r="F3424">
        <v>38.125</v>
      </c>
      <c r="G3424">
        <v>4.75</v>
      </c>
      <c r="H3424">
        <v>56000</v>
      </c>
      <c r="I3424" t="s">
        <v>25</v>
      </c>
    </row>
    <row r="3425" spans="1:9" hidden="1" x14ac:dyDescent="0.25">
      <c r="A3425">
        <v>25</v>
      </c>
      <c r="B3425" t="s">
        <v>28</v>
      </c>
      <c r="C3425">
        <v>2023</v>
      </c>
      <c r="D3425">
        <v>38.125</v>
      </c>
      <c r="E3425" t="s">
        <v>9</v>
      </c>
      <c r="F3425">
        <v>24.875</v>
      </c>
      <c r="G3425">
        <v>13.25</v>
      </c>
      <c r="H3425">
        <v>56000</v>
      </c>
      <c r="I3425" t="s">
        <v>25</v>
      </c>
    </row>
    <row r="3426" spans="1:9" hidden="1" x14ac:dyDescent="0.25">
      <c r="A3426">
        <v>26</v>
      </c>
      <c r="B3426" t="s">
        <v>28</v>
      </c>
      <c r="C3426">
        <v>2023</v>
      </c>
      <c r="D3426">
        <v>24.875</v>
      </c>
      <c r="E3426" t="s">
        <v>9</v>
      </c>
      <c r="F3426">
        <v>14.75</v>
      </c>
      <c r="G3426">
        <v>10.125</v>
      </c>
      <c r="H3426">
        <v>56000</v>
      </c>
      <c r="I3426" t="s">
        <v>25</v>
      </c>
    </row>
    <row r="3427" spans="1:9" hidden="1" x14ac:dyDescent="0.25">
      <c r="A3427">
        <v>27</v>
      </c>
      <c r="B3427" t="s">
        <v>28</v>
      </c>
      <c r="C3427">
        <v>2023</v>
      </c>
      <c r="D3427">
        <v>14.75</v>
      </c>
      <c r="E3427" t="s">
        <v>9</v>
      </c>
      <c r="F3427">
        <v>7.25</v>
      </c>
      <c r="G3427">
        <v>7.5</v>
      </c>
      <c r="H3427">
        <v>56000</v>
      </c>
      <c r="I3427" t="s">
        <v>25</v>
      </c>
    </row>
    <row r="3428" spans="1:9" hidden="1" x14ac:dyDescent="0.25">
      <c r="A3428">
        <v>28</v>
      </c>
      <c r="B3428" t="s">
        <v>28</v>
      </c>
      <c r="C3428">
        <v>2023</v>
      </c>
      <c r="D3428">
        <v>7.25</v>
      </c>
      <c r="E3428">
        <v>40</v>
      </c>
      <c r="F3428">
        <v>37.875</v>
      </c>
      <c r="G3428">
        <v>9.375</v>
      </c>
      <c r="H3428">
        <v>56000</v>
      </c>
      <c r="I3428" t="s">
        <v>25</v>
      </c>
    </row>
    <row r="3429" spans="1:9" hidden="1" x14ac:dyDescent="0.25">
      <c r="A3429">
        <v>29</v>
      </c>
      <c r="B3429" t="s">
        <v>28</v>
      </c>
      <c r="C3429">
        <v>2023</v>
      </c>
      <c r="D3429">
        <v>37.875</v>
      </c>
      <c r="E3429" t="s">
        <v>9</v>
      </c>
      <c r="F3429">
        <v>34.25</v>
      </c>
      <c r="G3429">
        <v>3.625</v>
      </c>
      <c r="H3429">
        <v>56000</v>
      </c>
      <c r="I3429" t="s">
        <v>25</v>
      </c>
    </row>
    <row r="3430" spans="1:9" hidden="1" x14ac:dyDescent="0.25">
      <c r="A3430">
        <v>30</v>
      </c>
      <c r="B3430" t="s">
        <v>28</v>
      </c>
      <c r="C3430">
        <v>2023</v>
      </c>
      <c r="D3430">
        <v>34.25</v>
      </c>
      <c r="E3430" t="s">
        <v>9</v>
      </c>
      <c r="F3430">
        <v>18</v>
      </c>
      <c r="G3430">
        <v>16.25</v>
      </c>
      <c r="H3430">
        <v>56000</v>
      </c>
      <c r="I3430" t="s">
        <v>25</v>
      </c>
    </row>
    <row r="3431" spans="1:9" hidden="1" x14ac:dyDescent="0.25">
      <c r="A3431">
        <v>31</v>
      </c>
      <c r="B3431" t="s">
        <v>28</v>
      </c>
      <c r="C3431">
        <v>2023</v>
      </c>
      <c r="D3431">
        <v>18</v>
      </c>
      <c r="E3431">
        <v>30</v>
      </c>
      <c r="F3431">
        <v>41</v>
      </c>
      <c r="G3431">
        <v>7</v>
      </c>
      <c r="H3431">
        <v>56000</v>
      </c>
      <c r="I3431" t="s">
        <v>25</v>
      </c>
    </row>
    <row r="3432" spans="1:9" x14ac:dyDescent="0.25">
      <c r="A3432">
        <v>1</v>
      </c>
      <c r="B3432" t="s">
        <v>29</v>
      </c>
      <c r="C3432">
        <v>2023</v>
      </c>
      <c r="D3432">
        <v>28.375</v>
      </c>
      <c r="E3432">
        <v>110</v>
      </c>
      <c r="F3432">
        <v>98.5</v>
      </c>
      <c r="G3432">
        <v>39.875</v>
      </c>
      <c r="H3432">
        <v>56000</v>
      </c>
      <c r="I3432" t="s">
        <v>22</v>
      </c>
    </row>
    <row r="3433" spans="1:9" x14ac:dyDescent="0.25">
      <c r="A3433">
        <v>2</v>
      </c>
      <c r="B3433" t="s">
        <v>29</v>
      </c>
      <c r="C3433">
        <v>2023</v>
      </c>
      <c r="D3433">
        <v>98.5</v>
      </c>
      <c r="E3433" t="s">
        <v>9</v>
      </c>
      <c r="F3433">
        <v>84.25</v>
      </c>
      <c r="G3433">
        <v>14.25</v>
      </c>
      <c r="H3433">
        <v>56000</v>
      </c>
      <c r="I3433" t="s">
        <v>22</v>
      </c>
    </row>
    <row r="3434" spans="1:9" x14ac:dyDescent="0.25">
      <c r="A3434">
        <v>3</v>
      </c>
      <c r="B3434" t="s">
        <v>29</v>
      </c>
      <c r="C3434">
        <v>2023</v>
      </c>
      <c r="D3434">
        <v>84.25</v>
      </c>
      <c r="E3434" t="s">
        <v>9</v>
      </c>
      <c r="F3434">
        <v>64.75</v>
      </c>
      <c r="G3434">
        <v>19.5</v>
      </c>
      <c r="H3434">
        <v>56000</v>
      </c>
      <c r="I3434" t="s">
        <v>22</v>
      </c>
    </row>
    <row r="3435" spans="1:9" x14ac:dyDescent="0.25">
      <c r="A3435">
        <v>4</v>
      </c>
      <c r="B3435" t="s">
        <v>29</v>
      </c>
      <c r="C3435">
        <v>2023</v>
      </c>
      <c r="D3435">
        <v>64.75</v>
      </c>
      <c r="E3435" t="s">
        <v>9</v>
      </c>
      <c r="F3435">
        <v>50</v>
      </c>
      <c r="G3435">
        <v>14.75</v>
      </c>
      <c r="H3435">
        <v>56000</v>
      </c>
      <c r="I3435" t="s">
        <v>22</v>
      </c>
    </row>
    <row r="3436" spans="1:9" x14ac:dyDescent="0.25">
      <c r="A3436">
        <v>5</v>
      </c>
      <c r="B3436" t="s">
        <v>29</v>
      </c>
      <c r="C3436">
        <v>2023</v>
      </c>
      <c r="D3436">
        <v>50</v>
      </c>
      <c r="E3436" t="s">
        <v>9</v>
      </c>
      <c r="F3436">
        <v>31.625</v>
      </c>
      <c r="G3436">
        <v>18.375</v>
      </c>
      <c r="H3436">
        <v>56000</v>
      </c>
      <c r="I3436" t="s">
        <v>22</v>
      </c>
    </row>
    <row r="3437" spans="1:9" x14ac:dyDescent="0.25">
      <c r="A3437">
        <v>6</v>
      </c>
      <c r="B3437" t="s">
        <v>29</v>
      </c>
      <c r="C3437">
        <v>2023</v>
      </c>
      <c r="D3437">
        <v>31.625</v>
      </c>
      <c r="E3437">
        <v>100</v>
      </c>
      <c r="F3437">
        <v>97.875</v>
      </c>
      <c r="G3437">
        <v>33.75</v>
      </c>
      <c r="H3437">
        <v>56000</v>
      </c>
      <c r="I3437" t="s">
        <v>22</v>
      </c>
    </row>
    <row r="3438" spans="1:9" x14ac:dyDescent="0.25">
      <c r="A3438">
        <v>7</v>
      </c>
      <c r="B3438" t="s">
        <v>29</v>
      </c>
      <c r="C3438">
        <v>2023</v>
      </c>
      <c r="D3438">
        <v>97.875</v>
      </c>
      <c r="E3438" t="s">
        <v>9</v>
      </c>
      <c r="F3438">
        <v>59.875</v>
      </c>
      <c r="G3438">
        <v>38</v>
      </c>
      <c r="H3438">
        <v>56000</v>
      </c>
      <c r="I3438" t="s">
        <v>22</v>
      </c>
    </row>
    <row r="3439" spans="1:9" x14ac:dyDescent="0.25">
      <c r="A3439">
        <v>8</v>
      </c>
      <c r="B3439" t="s">
        <v>29</v>
      </c>
      <c r="C3439">
        <v>2023</v>
      </c>
      <c r="D3439">
        <v>59.875</v>
      </c>
      <c r="E3439" t="s">
        <v>9</v>
      </c>
      <c r="F3439">
        <v>50.25</v>
      </c>
      <c r="G3439">
        <v>9.625</v>
      </c>
      <c r="H3439">
        <v>56000</v>
      </c>
      <c r="I3439" t="s">
        <v>22</v>
      </c>
    </row>
    <row r="3440" spans="1:9" x14ac:dyDescent="0.25">
      <c r="A3440">
        <v>9</v>
      </c>
      <c r="B3440" t="s">
        <v>29</v>
      </c>
      <c r="C3440">
        <v>2023</v>
      </c>
      <c r="D3440">
        <v>50.25</v>
      </c>
      <c r="E3440">
        <v>120.75</v>
      </c>
      <c r="F3440">
        <v>161.375</v>
      </c>
      <c r="G3440">
        <v>9.625</v>
      </c>
      <c r="H3440">
        <v>56000</v>
      </c>
      <c r="I3440" t="s">
        <v>22</v>
      </c>
    </row>
    <row r="3441" spans="1:9" x14ac:dyDescent="0.25">
      <c r="A3441">
        <v>10</v>
      </c>
      <c r="B3441" t="s">
        <v>29</v>
      </c>
      <c r="C3441">
        <v>2023</v>
      </c>
      <c r="D3441">
        <v>161.375</v>
      </c>
      <c r="E3441" t="s">
        <v>9</v>
      </c>
      <c r="F3441">
        <v>144.75</v>
      </c>
      <c r="G3441">
        <v>16.625</v>
      </c>
      <c r="H3441">
        <v>56000</v>
      </c>
      <c r="I3441" t="s">
        <v>22</v>
      </c>
    </row>
    <row r="3442" spans="1:9" x14ac:dyDescent="0.25">
      <c r="A3442">
        <v>11</v>
      </c>
      <c r="B3442" t="s">
        <v>29</v>
      </c>
      <c r="C3442">
        <v>2023</v>
      </c>
      <c r="D3442">
        <v>144.75</v>
      </c>
      <c r="E3442">
        <v>30</v>
      </c>
      <c r="F3442">
        <v>156.25</v>
      </c>
      <c r="G3442">
        <v>18.5</v>
      </c>
      <c r="H3442">
        <v>56000</v>
      </c>
      <c r="I3442" t="s">
        <v>22</v>
      </c>
    </row>
    <row r="3443" spans="1:9" x14ac:dyDescent="0.25">
      <c r="A3443">
        <v>12</v>
      </c>
      <c r="B3443" t="s">
        <v>29</v>
      </c>
      <c r="C3443">
        <v>2023</v>
      </c>
      <c r="D3443">
        <v>156.25</v>
      </c>
      <c r="E3443" t="s">
        <v>9</v>
      </c>
      <c r="F3443">
        <v>127.25</v>
      </c>
      <c r="G3443">
        <v>29</v>
      </c>
      <c r="H3443">
        <v>56000</v>
      </c>
      <c r="I3443" t="s">
        <v>22</v>
      </c>
    </row>
    <row r="3444" spans="1:9" x14ac:dyDescent="0.25">
      <c r="A3444">
        <v>13</v>
      </c>
      <c r="B3444" t="s">
        <v>29</v>
      </c>
      <c r="C3444">
        <v>2023</v>
      </c>
      <c r="D3444">
        <v>127.25</v>
      </c>
      <c r="E3444" t="s">
        <v>9</v>
      </c>
      <c r="F3444">
        <v>82.625</v>
      </c>
      <c r="G3444">
        <v>44.625</v>
      </c>
      <c r="H3444">
        <v>56000</v>
      </c>
      <c r="I3444" t="s">
        <v>22</v>
      </c>
    </row>
    <row r="3445" spans="1:9" x14ac:dyDescent="0.25">
      <c r="A3445">
        <v>14</v>
      </c>
      <c r="B3445" t="s">
        <v>29</v>
      </c>
      <c r="C3445">
        <v>2023</v>
      </c>
      <c r="D3445">
        <v>82.625</v>
      </c>
      <c r="E3445" t="s">
        <v>9</v>
      </c>
      <c r="F3445">
        <v>44.75</v>
      </c>
      <c r="G3445">
        <v>37.875</v>
      </c>
      <c r="H3445">
        <v>56000</v>
      </c>
      <c r="I3445" t="s">
        <v>22</v>
      </c>
    </row>
    <row r="3446" spans="1:9" x14ac:dyDescent="0.25">
      <c r="A3446">
        <v>15</v>
      </c>
      <c r="B3446" t="s">
        <v>29</v>
      </c>
      <c r="C3446">
        <v>2023</v>
      </c>
      <c r="D3446">
        <v>44.75</v>
      </c>
      <c r="E3446" t="s">
        <v>9</v>
      </c>
      <c r="F3446">
        <v>25.5</v>
      </c>
      <c r="G3446">
        <v>19.25</v>
      </c>
      <c r="H3446">
        <v>56000</v>
      </c>
      <c r="I3446" t="s">
        <v>22</v>
      </c>
    </row>
    <row r="3447" spans="1:9" x14ac:dyDescent="0.25">
      <c r="A3447">
        <v>16</v>
      </c>
      <c r="B3447" t="s">
        <v>29</v>
      </c>
      <c r="C3447">
        <v>2023</v>
      </c>
      <c r="D3447">
        <v>25.5</v>
      </c>
      <c r="E3447">
        <v>98</v>
      </c>
      <c r="F3447">
        <v>121.625</v>
      </c>
      <c r="G3447">
        <v>1.875</v>
      </c>
      <c r="H3447">
        <v>56000</v>
      </c>
      <c r="I3447" t="s">
        <v>22</v>
      </c>
    </row>
    <row r="3448" spans="1:9" x14ac:dyDescent="0.25">
      <c r="A3448">
        <v>17</v>
      </c>
      <c r="B3448" t="s">
        <v>29</v>
      </c>
      <c r="C3448">
        <v>2023</v>
      </c>
      <c r="D3448">
        <v>121.625</v>
      </c>
      <c r="E3448" t="s">
        <v>9</v>
      </c>
      <c r="F3448">
        <v>97.5</v>
      </c>
      <c r="G3448">
        <v>24.125</v>
      </c>
      <c r="H3448">
        <v>56000</v>
      </c>
      <c r="I3448" t="s">
        <v>22</v>
      </c>
    </row>
    <row r="3449" spans="1:9" x14ac:dyDescent="0.25">
      <c r="A3449">
        <v>18</v>
      </c>
      <c r="B3449" t="s">
        <v>29</v>
      </c>
      <c r="C3449">
        <v>2023</v>
      </c>
      <c r="D3449">
        <v>97.5</v>
      </c>
      <c r="E3449" t="s">
        <v>9</v>
      </c>
      <c r="F3449">
        <v>86</v>
      </c>
      <c r="G3449">
        <v>11.5</v>
      </c>
      <c r="H3449">
        <v>56000</v>
      </c>
      <c r="I3449" t="s">
        <v>22</v>
      </c>
    </row>
    <row r="3450" spans="1:9" x14ac:dyDescent="0.25">
      <c r="A3450">
        <v>19</v>
      </c>
      <c r="B3450" t="s">
        <v>29</v>
      </c>
      <c r="C3450">
        <v>2023</v>
      </c>
      <c r="D3450">
        <v>86</v>
      </c>
      <c r="E3450" t="s">
        <v>9</v>
      </c>
      <c r="F3450">
        <v>63.75</v>
      </c>
      <c r="G3450">
        <v>22.25</v>
      </c>
      <c r="H3450">
        <v>56000</v>
      </c>
      <c r="I3450" t="s">
        <v>22</v>
      </c>
    </row>
    <row r="3451" spans="1:9" x14ac:dyDescent="0.25">
      <c r="A3451">
        <v>20</v>
      </c>
      <c r="B3451" t="s">
        <v>29</v>
      </c>
      <c r="C3451">
        <v>2023</v>
      </c>
      <c r="D3451">
        <v>63.75</v>
      </c>
      <c r="E3451">
        <v>90</v>
      </c>
      <c r="F3451">
        <v>112.5</v>
      </c>
      <c r="G3451">
        <v>41.25</v>
      </c>
      <c r="H3451">
        <v>56000</v>
      </c>
      <c r="I3451" t="s">
        <v>22</v>
      </c>
    </row>
    <row r="3452" spans="1:9" x14ac:dyDescent="0.25">
      <c r="A3452">
        <v>21</v>
      </c>
      <c r="B3452" t="s">
        <v>29</v>
      </c>
      <c r="C3452">
        <v>2023</v>
      </c>
      <c r="D3452">
        <v>112.5</v>
      </c>
      <c r="E3452" t="s">
        <v>9</v>
      </c>
      <c r="F3452">
        <v>71.875</v>
      </c>
      <c r="G3452">
        <v>40.625</v>
      </c>
      <c r="H3452">
        <v>56000</v>
      </c>
      <c r="I3452" t="s">
        <v>22</v>
      </c>
    </row>
    <row r="3453" spans="1:9" x14ac:dyDescent="0.25">
      <c r="A3453">
        <v>22</v>
      </c>
      <c r="B3453" t="s">
        <v>29</v>
      </c>
      <c r="C3453">
        <v>2023</v>
      </c>
      <c r="D3453">
        <v>71.875</v>
      </c>
      <c r="E3453" t="s">
        <v>9</v>
      </c>
      <c r="F3453">
        <v>35.375</v>
      </c>
      <c r="G3453">
        <v>36.5</v>
      </c>
      <c r="H3453">
        <v>56000</v>
      </c>
      <c r="I3453" t="s">
        <v>22</v>
      </c>
    </row>
    <row r="3454" spans="1:9" x14ac:dyDescent="0.25">
      <c r="A3454">
        <v>23</v>
      </c>
      <c r="B3454" t="s">
        <v>29</v>
      </c>
      <c r="C3454">
        <v>2023</v>
      </c>
      <c r="D3454">
        <v>35.375</v>
      </c>
      <c r="E3454">
        <v>89</v>
      </c>
      <c r="F3454">
        <v>117.625</v>
      </c>
      <c r="G3454">
        <v>6.75</v>
      </c>
      <c r="H3454">
        <v>56000</v>
      </c>
      <c r="I3454" t="s">
        <v>22</v>
      </c>
    </row>
    <row r="3455" spans="1:9" x14ac:dyDescent="0.25">
      <c r="A3455">
        <v>24</v>
      </c>
      <c r="B3455" t="s">
        <v>29</v>
      </c>
      <c r="C3455">
        <v>2023</v>
      </c>
      <c r="D3455">
        <v>117.625</v>
      </c>
      <c r="E3455" t="s">
        <v>9</v>
      </c>
      <c r="F3455">
        <v>92.125</v>
      </c>
      <c r="G3455">
        <v>25.5</v>
      </c>
      <c r="H3455">
        <v>56000</v>
      </c>
      <c r="I3455" t="s">
        <v>22</v>
      </c>
    </row>
    <row r="3456" spans="1:9" x14ac:dyDescent="0.25">
      <c r="A3456">
        <v>25</v>
      </c>
      <c r="B3456" t="s">
        <v>29</v>
      </c>
      <c r="C3456">
        <v>2023</v>
      </c>
      <c r="D3456">
        <v>92.125</v>
      </c>
      <c r="E3456" t="s">
        <v>9</v>
      </c>
      <c r="F3456">
        <v>74.375</v>
      </c>
      <c r="G3456">
        <v>17.75</v>
      </c>
      <c r="H3456">
        <v>56000</v>
      </c>
      <c r="I3456" t="s">
        <v>22</v>
      </c>
    </row>
    <row r="3457" spans="1:9" x14ac:dyDescent="0.25">
      <c r="A3457">
        <v>26</v>
      </c>
      <c r="B3457" t="s">
        <v>29</v>
      </c>
      <c r="C3457">
        <v>2023</v>
      </c>
      <c r="D3457">
        <v>74.375</v>
      </c>
      <c r="E3457" t="s">
        <v>9</v>
      </c>
      <c r="F3457">
        <v>39</v>
      </c>
      <c r="G3457">
        <v>35.375</v>
      </c>
      <c r="H3457">
        <v>56000</v>
      </c>
      <c r="I3457" t="s">
        <v>22</v>
      </c>
    </row>
    <row r="3458" spans="1:9" x14ac:dyDescent="0.25">
      <c r="A3458">
        <v>27</v>
      </c>
      <c r="B3458" t="s">
        <v>29</v>
      </c>
      <c r="C3458">
        <v>2023</v>
      </c>
      <c r="D3458">
        <v>39</v>
      </c>
      <c r="E3458">
        <v>110</v>
      </c>
      <c r="F3458">
        <v>101.125</v>
      </c>
      <c r="G3458">
        <v>47.875</v>
      </c>
      <c r="H3458">
        <v>56000</v>
      </c>
      <c r="I3458" t="s">
        <v>22</v>
      </c>
    </row>
    <row r="3459" spans="1:9" x14ac:dyDescent="0.25">
      <c r="A3459">
        <v>28</v>
      </c>
      <c r="B3459" t="s">
        <v>29</v>
      </c>
      <c r="C3459">
        <v>2023</v>
      </c>
      <c r="D3459">
        <v>101.125</v>
      </c>
      <c r="E3459" t="s">
        <v>9</v>
      </c>
      <c r="F3459">
        <v>64.375</v>
      </c>
      <c r="G3459">
        <v>36.75</v>
      </c>
      <c r="H3459">
        <v>56000</v>
      </c>
      <c r="I3459" t="s">
        <v>22</v>
      </c>
    </row>
    <row r="3460" spans="1:9" x14ac:dyDescent="0.25">
      <c r="A3460">
        <v>29</v>
      </c>
      <c r="B3460" t="s">
        <v>29</v>
      </c>
      <c r="C3460">
        <v>2023</v>
      </c>
      <c r="D3460">
        <v>64.375</v>
      </c>
      <c r="E3460" t="s">
        <v>9</v>
      </c>
      <c r="F3460">
        <v>54.375</v>
      </c>
      <c r="G3460">
        <v>10</v>
      </c>
      <c r="H3460">
        <v>56000</v>
      </c>
      <c r="I3460" t="s">
        <v>22</v>
      </c>
    </row>
    <row r="3461" spans="1:9" x14ac:dyDescent="0.25">
      <c r="A3461">
        <v>30</v>
      </c>
      <c r="B3461" t="s">
        <v>29</v>
      </c>
      <c r="C3461">
        <v>2023</v>
      </c>
      <c r="D3461">
        <v>54.375</v>
      </c>
      <c r="E3461">
        <v>60</v>
      </c>
      <c r="F3461">
        <v>105.5</v>
      </c>
      <c r="G3461">
        <v>8.875</v>
      </c>
      <c r="H3461">
        <v>56000</v>
      </c>
      <c r="I3461" t="s">
        <v>22</v>
      </c>
    </row>
    <row r="3462" spans="1:9" x14ac:dyDescent="0.25">
      <c r="A3462">
        <v>31</v>
      </c>
      <c r="B3462" t="s">
        <v>29</v>
      </c>
      <c r="C3462">
        <v>2023</v>
      </c>
      <c r="D3462">
        <v>105.5</v>
      </c>
      <c r="E3462" t="s">
        <v>9</v>
      </c>
      <c r="F3462">
        <v>81.625</v>
      </c>
      <c r="G3462">
        <v>23.875</v>
      </c>
      <c r="H3462">
        <v>56000</v>
      </c>
      <c r="I3462" t="s">
        <v>22</v>
      </c>
    </row>
    <row r="3463" spans="1:9" hidden="1" x14ac:dyDescent="0.25">
      <c r="A3463">
        <v>1</v>
      </c>
      <c r="B3463" t="s">
        <v>29</v>
      </c>
      <c r="C3463">
        <v>2023</v>
      </c>
      <c r="D3463">
        <v>34.125</v>
      </c>
      <c r="E3463">
        <v>110.625</v>
      </c>
      <c r="F3463">
        <v>105.125</v>
      </c>
      <c r="G3463">
        <v>39.625</v>
      </c>
      <c r="H3463">
        <v>56000</v>
      </c>
      <c r="I3463" t="s">
        <v>23</v>
      </c>
    </row>
    <row r="3464" spans="1:9" hidden="1" x14ac:dyDescent="0.25">
      <c r="A3464">
        <v>2</v>
      </c>
      <c r="B3464" t="s">
        <v>29</v>
      </c>
      <c r="C3464">
        <v>2023</v>
      </c>
      <c r="D3464">
        <v>105.125</v>
      </c>
      <c r="E3464" t="s">
        <v>9</v>
      </c>
      <c r="F3464">
        <v>82.125</v>
      </c>
      <c r="G3464">
        <v>23</v>
      </c>
      <c r="H3464">
        <v>56000</v>
      </c>
      <c r="I3464" t="s">
        <v>23</v>
      </c>
    </row>
    <row r="3465" spans="1:9" hidden="1" x14ac:dyDescent="0.25">
      <c r="A3465">
        <v>3</v>
      </c>
      <c r="B3465" t="s">
        <v>29</v>
      </c>
      <c r="C3465">
        <v>2023</v>
      </c>
      <c r="D3465">
        <v>82.125</v>
      </c>
      <c r="E3465" t="s">
        <v>9</v>
      </c>
      <c r="F3465">
        <v>62.625</v>
      </c>
      <c r="G3465">
        <v>19.5</v>
      </c>
      <c r="H3465">
        <v>56000</v>
      </c>
      <c r="I3465" t="s">
        <v>23</v>
      </c>
    </row>
    <row r="3466" spans="1:9" hidden="1" x14ac:dyDescent="0.25">
      <c r="A3466">
        <v>4</v>
      </c>
      <c r="B3466" t="s">
        <v>29</v>
      </c>
      <c r="C3466">
        <v>2023</v>
      </c>
      <c r="D3466">
        <v>62.625</v>
      </c>
      <c r="E3466" t="s">
        <v>9</v>
      </c>
      <c r="F3466">
        <v>40.875</v>
      </c>
      <c r="G3466">
        <v>21.75</v>
      </c>
      <c r="H3466">
        <v>56000</v>
      </c>
      <c r="I3466" t="s">
        <v>23</v>
      </c>
    </row>
    <row r="3467" spans="1:9" hidden="1" x14ac:dyDescent="0.25">
      <c r="A3467">
        <v>5</v>
      </c>
      <c r="B3467" t="s">
        <v>29</v>
      </c>
      <c r="C3467">
        <v>2023</v>
      </c>
      <c r="D3467">
        <v>40.875</v>
      </c>
      <c r="E3467">
        <v>20</v>
      </c>
      <c r="F3467">
        <v>32.375</v>
      </c>
      <c r="G3467">
        <v>28.5</v>
      </c>
      <c r="H3467">
        <v>56000</v>
      </c>
      <c r="I3467" t="s">
        <v>23</v>
      </c>
    </row>
    <row r="3468" spans="1:9" hidden="1" x14ac:dyDescent="0.25">
      <c r="A3468">
        <v>6</v>
      </c>
      <c r="B3468" t="s">
        <v>29</v>
      </c>
      <c r="C3468">
        <v>2023</v>
      </c>
      <c r="D3468">
        <v>32.375</v>
      </c>
      <c r="E3468">
        <v>100</v>
      </c>
      <c r="F3468">
        <v>91.125</v>
      </c>
      <c r="G3468">
        <v>41.25</v>
      </c>
      <c r="H3468">
        <v>56000</v>
      </c>
      <c r="I3468" t="s">
        <v>23</v>
      </c>
    </row>
    <row r="3469" spans="1:9" hidden="1" x14ac:dyDescent="0.25">
      <c r="A3469">
        <v>7</v>
      </c>
      <c r="B3469" t="s">
        <v>29</v>
      </c>
      <c r="C3469">
        <v>2023</v>
      </c>
      <c r="D3469">
        <v>91.125</v>
      </c>
      <c r="E3469" t="s">
        <v>9</v>
      </c>
      <c r="F3469">
        <v>59.125</v>
      </c>
      <c r="G3469">
        <v>32</v>
      </c>
      <c r="H3469">
        <v>56000</v>
      </c>
      <c r="I3469" t="s">
        <v>23</v>
      </c>
    </row>
    <row r="3470" spans="1:9" hidden="1" x14ac:dyDescent="0.25">
      <c r="A3470">
        <v>8</v>
      </c>
      <c r="B3470" t="s">
        <v>29</v>
      </c>
      <c r="C3470">
        <v>2023</v>
      </c>
      <c r="D3470">
        <v>59.125</v>
      </c>
      <c r="E3470" t="s">
        <v>9</v>
      </c>
      <c r="F3470">
        <v>44.25</v>
      </c>
      <c r="G3470">
        <v>14.875</v>
      </c>
      <c r="H3470">
        <v>56000</v>
      </c>
      <c r="I3470" t="s">
        <v>23</v>
      </c>
    </row>
    <row r="3471" spans="1:9" hidden="1" x14ac:dyDescent="0.25">
      <c r="A3471">
        <v>9</v>
      </c>
      <c r="B3471" t="s">
        <v>29</v>
      </c>
      <c r="C3471">
        <v>2023</v>
      </c>
      <c r="D3471">
        <v>44.25</v>
      </c>
      <c r="E3471">
        <v>106</v>
      </c>
      <c r="F3471">
        <v>145.875</v>
      </c>
      <c r="G3471">
        <v>4.375</v>
      </c>
      <c r="H3471">
        <v>56000</v>
      </c>
      <c r="I3471" t="s">
        <v>23</v>
      </c>
    </row>
    <row r="3472" spans="1:9" hidden="1" x14ac:dyDescent="0.25">
      <c r="A3472">
        <v>10</v>
      </c>
      <c r="B3472" t="s">
        <v>29</v>
      </c>
      <c r="C3472">
        <v>2023</v>
      </c>
      <c r="D3472">
        <v>145.875</v>
      </c>
      <c r="E3472" t="s">
        <v>9</v>
      </c>
      <c r="F3472">
        <v>129.875</v>
      </c>
      <c r="G3472">
        <v>16</v>
      </c>
      <c r="H3472">
        <v>56000</v>
      </c>
      <c r="I3472" t="s">
        <v>23</v>
      </c>
    </row>
    <row r="3473" spans="1:9" hidden="1" x14ac:dyDescent="0.25">
      <c r="A3473">
        <v>11</v>
      </c>
      <c r="B3473" t="s">
        <v>29</v>
      </c>
      <c r="C3473">
        <v>2023</v>
      </c>
      <c r="D3473">
        <v>129.875</v>
      </c>
      <c r="E3473" t="s">
        <v>9</v>
      </c>
      <c r="F3473">
        <v>115.375</v>
      </c>
      <c r="G3473">
        <v>14.5</v>
      </c>
      <c r="H3473">
        <v>56000</v>
      </c>
      <c r="I3473" t="s">
        <v>23</v>
      </c>
    </row>
    <row r="3474" spans="1:9" hidden="1" x14ac:dyDescent="0.25">
      <c r="A3474">
        <v>12</v>
      </c>
      <c r="B3474" t="s">
        <v>29</v>
      </c>
      <c r="C3474">
        <v>2023</v>
      </c>
      <c r="D3474">
        <v>115.375</v>
      </c>
      <c r="E3474" t="s">
        <v>9</v>
      </c>
      <c r="F3474">
        <v>74.5</v>
      </c>
      <c r="G3474">
        <v>40.875</v>
      </c>
      <c r="H3474">
        <v>56000</v>
      </c>
      <c r="I3474" t="s">
        <v>23</v>
      </c>
    </row>
    <row r="3475" spans="1:9" hidden="1" x14ac:dyDescent="0.25">
      <c r="A3475">
        <v>13</v>
      </c>
      <c r="B3475" t="s">
        <v>29</v>
      </c>
      <c r="C3475">
        <v>2023</v>
      </c>
      <c r="D3475">
        <v>74.5</v>
      </c>
      <c r="E3475">
        <v>170</v>
      </c>
      <c r="F3475">
        <v>202.5</v>
      </c>
      <c r="G3475">
        <v>42</v>
      </c>
      <c r="H3475">
        <v>56000</v>
      </c>
      <c r="I3475" t="s">
        <v>23</v>
      </c>
    </row>
    <row r="3476" spans="1:9" hidden="1" x14ac:dyDescent="0.25">
      <c r="A3476">
        <v>14</v>
      </c>
      <c r="B3476" t="s">
        <v>29</v>
      </c>
      <c r="C3476">
        <v>2023</v>
      </c>
      <c r="D3476">
        <v>202.5</v>
      </c>
      <c r="E3476" t="s">
        <v>9</v>
      </c>
      <c r="F3476">
        <v>162.875</v>
      </c>
      <c r="G3476">
        <v>39.625</v>
      </c>
      <c r="H3476">
        <v>56000</v>
      </c>
      <c r="I3476" t="s">
        <v>23</v>
      </c>
    </row>
    <row r="3477" spans="1:9" hidden="1" x14ac:dyDescent="0.25">
      <c r="A3477">
        <v>15</v>
      </c>
      <c r="B3477" t="s">
        <v>29</v>
      </c>
      <c r="C3477">
        <v>2023</v>
      </c>
      <c r="D3477">
        <v>162.875</v>
      </c>
      <c r="E3477" t="s">
        <v>9</v>
      </c>
      <c r="F3477">
        <v>141</v>
      </c>
      <c r="G3477">
        <v>21.875</v>
      </c>
      <c r="H3477">
        <v>56000</v>
      </c>
      <c r="I3477" t="s">
        <v>23</v>
      </c>
    </row>
    <row r="3478" spans="1:9" hidden="1" x14ac:dyDescent="0.25">
      <c r="A3478">
        <v>16</v>
      </c>
      <c r="B3478" t="s">
        <v>29</v>
      </c>
      <c r="C3478">
        <v>2023</v>
      </c>
      <c r="D3478">
        <v>141</v>
      </c>
      <c r="E3478">
        <v>6.25</v>
      </c>
      <c r="F3478">
        <v>141</v>
      </c>
      <c r="G3478">
        <v>6.25</v>
      </c>
      <c r="H3478">
        <v>56000</v>
      </c>
      <c r="I3478" t="s">
        <v>23</v>
      </c>
    </row>
    <row r="3479" spans="1:9" hidden="1" x14ac:dyDescent="0.25">
      <c r="A3479">
        <v>17</v>
      </c>
      <c r="B3479" t="s">
        <v>29</v>
      </c>
      <c r="C3479">
        <v>2023</v>
      </c>
      <c r="D3479">
        <v>141</v>
      </c>
      <c r="E3479" t="s">
        <v>9</v>
      </c>
      <c r="F3479">
        <v>120.125</v>
      </c>
      <c r="G3479">
        <v>20.875</v>
      </c>
      <c r="H3479">
        <v>56000</v>
      </c>
      <c r="I3479" t="s">
        <v>23</v>
      </c>
    </row>
    <row r="3480" spans="1:9" hidden="1" x14ac:dyDescent="0.25">
      <c r="A3480">
        <v>18</v>
      </c>
      <c r="B3480" t="s">
        <v>29</v>
      </c>
      <c r="C3480">
        <v>2023</v>
      </c>
      <c r="D3480">
        <v>120.125</v>
      </c>
      <c r="E3480" t="s">
        <v>9</v>
      </c>
      <c r="F3480">
        <v>90.5</v>
      </c>
      <c r="G3480">
        <v>29.625</v>
      </c>
      <c r="H3480">
        <v>56000</v>
      </c>
      <c r="I3480" t="s">
        <v>23</v>
      </c>
    </row>
    <row r="3481" spans="1:9" hidden="1" x14ac:dyDescent="0.25">
      <c r="A3481">
        <v>19</v>
      </c>
      <c r="B3481" t="s">
        <v>29</v>
      </c>
      <c r="C3481">
        <v>2023</v>
      </c>
      <c r="D3481">
        <v>90.5</v>
      </c>
      <c r="E3481">
        <v>-15</v>
      </c>
      <c r="F3481">
        <v>54.375</v>
      </c>
      <c r="G3481">
        <v>21.125</v>
      </c>
      <c r="H3481">
        <v>56000</v>
      </c>
      <c r="I3481" t="s">
        <v>23</v>
      </c>
    </row>
    <row r="3482" spans="1:9" hidden="1" x14ac:dyDescent="0.25">
      <c r="A3482">
        <v>20</v>
      </c>
      <c r="B3482" t="s">
        <v>29</v>
      </c>
      <c r="C3482">
        <v>2023</v>
      </c>
      <c r="D3482">
        <v>54.375</v>
      </c>
      <c r="E3482">
        <v>60</v>
      </c>
      <c r="F3482">
        <v>71.625</v>
      </c>
      <c r="G3482">
        <v>42.75</v>
      </c>
      <c r="H3482">
        <v>56000</v>
      </c>
      <c r="I3482" t="s">
        <v>23</v>
      </c>
    </row>
    <row r="3483" spans="1:9" hidden="1" x14ac:dyDescent="0.25">
      <c r="A3483">
        <v>21</v>
      </c>
      <c r="B3483" t="s">
        <v>29</v>
      </c>
      <c r="C3483">
        <v>2023</v>
      </c>
      <c r="D3483">
        <v>71.625</v>
      </c>
      <c r="E3483" t="s">
        <v>9</v>
      </c>
      <c r="F3483">
        <v>23.875</v>
      </c>
      <c r="G3483">
        <v>47.75</v>
      </c>
      <c r="H3483">
        <v>56000</v>
      </c>
      <c r="I3483" t="s">
        <v>23</v>
      </c>
    </row>
    <row r="3484" spans="1:9" hidden="1" x14ac:dyDescent="0.25">
      <c r="A3484">
        <v>22</v>
      </c>
      <c r="B3484" t="s">
        <v>29</v>
      </c>
      <c r="C3484">
        <v>2023</v>
      </c>
      <c r="D3484">
        <v>23.875</v>
      </c>
      <c r="E3484">
        <v>150</v>
      </c>
      <c r="F3484">
        <v>147.875</v>
      </c>
      <c r="G3484">
        <v>26</v>
      </c>
      <c r="H3484">
        <v>56000</v>
      </c>
      <c r="I3484" t="s">
        <v>23</v>
      </c>
    </row>
    <row r="3485" spans="1:9" hidden="1" x14ac:dyDescent="0.25">
      <c r="A3485">
        <v>23</v>
      </c>
      <c r="B3485" t="s">
        <v>29</v>
      </c>
      <c r="C3485">
        <v>2023</v>
      </c>
      <c r="D3485">
        <v>147.875</v>
      </c>
      <c r="E3485">
        <v>-57.75</v>
      </c>
      <c r="F3485">
        <v>83.875</v>
      </c>
      <c r="G3485">
        <v>6.25</v>
      </c>
      <c r="H3485">
        <v>56000</v>
      </c>
      <c r="I3485" t="s">
        <v>23</v>
      </c>
    </row>
    <row r="3486" spans="1:9" hidden="1" x14ac:dyDescent="0.25">
      <c r="A3486">
        <v>24</v>
      </c>
      <c r="B3486" t="s">
        <v>29</v>
      </c>
      <c r="C3486">
        <v>2023</v>
      </c>
      <c r="D3486">
        <v>83.875</v>
      </c>
      <c r="E3486" t="s">
        <v>9</v>
      </c>
      <c r="F3486">
        <v>58.25</v>
      </c>
      <c r="G3486">
        <v>25.625</v>
      </c>
      <c r="H3486">
        <v>56000</v>
      </c>
      <c r="I3486" t="s">
        <v>23</v>
      </c>
    </row>
    <row r="3487" spans="1:9" hidden="1" x14ac:dyDescent="0.25">
      <c r="A3487">
        <v>25</v>
      </c>
      <c r="B3487" t="s">
        <v>29</v>
      </c>
      <c r="C3487">
        <v>2023</v>
      </c>
      <c r="D3487">
        <v>58.25</v>
      </c>
      <c r="E3487" t="s">
        <v>9</v>
      </c>
      <c r="F3487">
        <v>31.5</v>
      </c>
      <c r="G3487">
        <v>26.75</v>
      </c>
      <c r="H3487">
        <v>56000</v>
      </c>
      <c r="I3487" t="s">
        <v>23</v>
      </c>
    </row>
    <row r="3488" spans="1:9" hidden="1" x14ac:dyDescent="0.25">
      <c r="A3488">
        <v>26</v>
      </c>
      <c r="B3488" t="s">
        <v>29</v>
      </c>
      <c r="C3488">
        <v>2023</v>
      </c>
      <c r="D3488">
        <v>31.5</v>
      </c>
      <c r="E3488">
        <v>150</v>
      </c>
      <c r="F3488">
        <v>143.25</v>
      </c>
      <c r="G3488">
        <v>38.25</v>
      </c>
      <c r="H3488">
        <v>56000</v>
      </c>
      <c r="I3488" t="s">
        <v>23</v>
      </c>
    </row>
    <row r="3489" spans="1:9" hidden="1" x14ac:dyDescent="0.25">
      <c r="A3489">
        <v>27</v>
      </c>
      <c r="B3489" t="s">
        <v>29</v>
      </c>
      <c r="C3489">
        <v>2023</v>
      </c>
      <c r="D3489">
        <v>143.25</v>
      </c>
      <c r="E3489">
        <v>2.875</v>
      </c>
      <c r="F3489">
        <v>104.875</v>
      </c>
      <c r="G3489">
        <v>41.25</v>
      </c>
      <c r="H3489">
        <v>56000</v>
      </c>
      <c r="I3489" t="s">
        <v>23</v>
      </c>
    </row>
    <row r="3490" spans="1:9" hidden="1" x14ac:dyDescent="0.25">
      <c r="A3490">
        <v>28</v>
      </c>
      <c r="B3490" t="s">
        <v>29</v>
      </c>
      <c r="C3490">
        <v>2023</v>
      </c>
      <c r="D3490">
        <v>104.875</v>
      </c>
      <c r="E3490" t="s">
        <v>9</v>
      </c>
      <c r="F3490">
        <v>64</v>
      </c>
      <c r="G3490">
        <v>40.875</v>
      </c>
      <c r="H3490">
        <v>56000</v>
      </c>
      <c r="I3490" t="s">
        <v>23</v>
      </c>
    </row>
    <row r="3491" spans="1:9" hidden="1" x14ac:dyDescent="0.25">
      <c r="A3491">
        <v>29</v>
      </c>
      <c r="B3491" t="s">
        <v>29</v>
      </c>
      <c r="C3491">
        <v>2023</v>
      </c>
      <c r="D3491">
        <v>64</v>
      </c>
      <c r="E3491" t="s">
        <v>9</v>
      </c>
      <c r="F3491">
        <v>43.25</v>
      </c>
      <c r="G3491">
        <v>20.75</v>
      </c>
      <c r="H3491">
        <v>56000</v>
      </c>
      <c r="I3491" t="s">
        <v>23</v>
      </c>
    </row>
    <row r="3492" spans="1:9" hidden="1" x14ac:dyDescent="0.25">
      <c r="A3492">
        <v>30</v>
      </c>
      <c r="B3492" t="s">
        <v>29</v>
      </c>
      <c r="C3492">
        <v>2023</v>
      </c>
      <c r="D3492">
        <v>43.25</v>
      </c>
      <c r="E3492">
        <v>61.75</v>
      </c>
      <c r="F3492">
        <v>98.25</v>
      </c>
      <c r="G3492">
        <v>7</v>
      </c>
      <c r="H3492">
        <v>56000</v>
      </c>
      <c r="I3492" t="s">
        <v>23</v>
      </c>
    </row>
    <row r="3493" spans="1:9" hidden="1" x14ac:dyDescent="0.25">
      <c r="A3493">
        <v>31</v>
      </c>
      <c r="B3493" t="s">
        <v>29</v>
      </c>
      <c r="C3493">
        <v>2023</v>
      </c>
      <c r="D3493">
        <v>98.25</v>
      </c>
      <c r="E3493" t="s">
        <v>9</v>
      </c>
      <c r="F3493">
        <v>77.125</v>
      </c>
      <c r="G3493">
        <v>21.125</v>
      </c>
      <c r="H3493">
        <v>56000</v>
      </c>
      <c r="I3493" t="s">
        <v>23</v>
      </c>
    </row>
    <row r="3494" spans="1:9" hidden="1" x14ac:dyDescent="0.25">
      <c r="A3494">
        <v>1</v>
      </c>
      <c r="B3494" t="s">
        <v>29</v>
      </c>
      <c r="C3494">
        <v>2023</v>
      </c>
      <c r="D3494">
        <v>18.125</v>
      </c>
      <c r="E3494" t="s">
        <v>9</v>
      </c>
      <c r="F3494">
        <v>7.25</v>
      </c>
      <c r="G3494">
        <v>10.875</v>
      </c>
      <c r="H3494">
        <v>56000</v>
      </c>
      <c r="I3494" t="s">
        <v>25</v>
      </c>
    </row>
    <row r="3495" spans="1:9" hidden="1" x14ac:dyDescent="0.25">
      <c r="A3495">
        <v>2</v>
      </c>
      <c r="B3495" t="s">
        <v>29</v>
      </c>
      <c r="C3495">
        <v>2023</v>
      </c>
      <c r="D3495">
        <v>7.25</v>
      </c>
      <c r="E3495">
        <v>25</v>
      </c>
      <c r="F3495">
        <v>24.875</v>
      </c>
      <c r="G3495">
        <v>7.375</v>
      </c>
      <c r="H3495">
        <v>56000</v>
      </c>
      <c r="I3495" t="s">
        <v>25</v>
      </c>
    </row>
    <row r="3496" spans="1:9" hidden="1" x14ac:dyDescent="0.25">
      <c r="A3496">
        <v>3</v>
      </c>
      <c r="B3496" t="s">
        <v>29</v>
      </c>
      <c r="C3496">
        <v>2023</v>
      </c>
      <c r="D3496">
        <v>24.875</v>
      </c>
      <c r="E3496" t="s">
        <v>9</v>
      </c>
      <c r="F3496">
        <v>21.25</v>
      </c>
      <c r="G3496">
        <v>3.625</v>
      </c>
      <c r="H3496">
        <v>56000</v>
      </c>
      <c r="I3496" t="s">
        <v>25</v>
      </c>
    </row>
    <row r="3497" spans="1:9" hidden="1" x14ac:dyDescent="0.25">
      <c r="A3497">
        <v>4</v>
      </c>
      <c r="B3497" t="s">
        <v>29</v>
      </c>
      <c r="C3497">
        <v>2023</v>
      </c>
      <c r="D3497">
        <v>21.25</v>
      </c>
      <c r="E3497">
        <v>1.375</v>
      </c>
      <c r="F3497">
        <v>19.375</v>
      </c>
      <c r="G3497">
        <v>3.25</v>
      </c>
      <c r="H3497">
        <v>56000</v>
      </c>
      <c r="I3497" t="s">
        <v>25</v>
      </c>
    </row>
    <row r="3498" spans="1:9" hidden="1" x14ac:dyDescent="0.25">
      <c r="A3498">
        <v>5</v>
      </c>
      <c r="B3498" t="s">
        <v>29</v>
      </c>
      <c r="C3498">
        <v>2023</v>
      </c>
      <c r="D3498">
        <v>19.375</v>
      </c>
      <c r="E3498">
        <v>13.375</v>
      </c>
      <c r="F3498">
        <v>24.5</v>
      </c>
      <c r="G3498">
        <v>8.25</v>
      </c>
      <c r="H3498">
        <v>56000</v>
      </c>
      <c r="I3498" t="s">
        <v>25</v>
      </c>
    </row>
    <row r="3499" spans="1:9" hidden="1" x14ac:dyDescent="0.25">
      <c r="A3499">
        <v>6</v>
      </c>
      <c r="B3499" t="s">
        <v>29</v>
      </c>
      <c r="C3499">
        <v>2023</v>
      </c>
      <c r="D3499">
        <v>24.5</v>
      </c>
      <c r="E3499">
        <v>20</v>
      </c>
      <c r="F3499">
        <v>28.875</v>
      </c>
      <c r="G3499">
        <v>15.625</v>
      </c>
      <c r="H3499">
        <v>56000</v>
      </c>
      <c r="I3499" t="s">
        <v>25</v>
      </c>
    </row>
    <row r="3500" spans="1:9" hidden="1" x14ac:dyDescent="0.25">
      <c r="A3500">
        <v>7</v>
      </c>
      <c r="B3500" t="s">
        <v>29</v>
      </c>
      <c r="C3500">
        <v>2023</v>
      </c>
      <c r="D3500">
        <v>28.875</v>
      </c>
      <c r="E3500" t="s">
        <v>9</v>
      </c>
      <c r="F3500">
        <v>14.75</v>
      </c>
      <c r="G3500">
        <v>14.125</v>
      </c>
      <c r="H3500">
        <v>56000</v>
      </c>
      <c r="I3500" t="s">
        <v>25</v>
      </c>
    </row>
    <row r="3501" spans="1:9" hidden="1" x14ac:dyDescent="0.25">
      <c r="A3501">
        <v>8</v>
      </c>
      <c r="B3501" t="s">
        <v>29</v>
      </c>
      <c r="C3501">
        <v>2023</v>
      </c>
      <c r="D3501">
        <v>14.75</v>
      </c>
      <c r="E3501" t="s">
        <v>9</v>
      </c>
      <c r="F3501">
        <v>9.875</v>
      </c>
      <c r="G3501">
        <v>4.875</v>
      </c>
      <c r="H3501">
        <v>56000</v>
      </c>
      <c r="I3501" t="s">
        <v>25</v>
      </c>
    </row>
    <row r="3502" spans="1:9" hidden="1" x14ac:dyDescent="0.25">
      <c r="A3502">
        <v>9</v>
      </c>
      <c r="B3502" t="s">
        <v>29</v>
      </c>
      <c r="C3502">
        <v>2023</v>
      </c>
      <c r="D3502">
        <v>9.875</v>
      </c>
      <c r="E3502">
        <v>84</v>
      </c>
      <c r="F3502">
        <v>92</v>
      </c>
      <c r="G3502">
        <v>1.875</v>
      </c>
      <c r="H3502">
        <v>56000</v>
      </c>
      <c r="I3502" t="s">
        <v>25</v>
      </c>
    </row>
    <row r="3503" spans="1:9" hidden="1" x14ac:dyDescent="0.25">
      <c r="A3503">
        <v>10</v>
      </c>
      <c r="B3503" t="s">
        <v>29</v>
      </c>
      <c r="C3503">
        <v>2023</v>
      </c>
      <c r="D3503">
        <v>92</v>
      </c>
      <c r="E3503" t="s">
        <v>9</v>
      </c>
      <c r="F3503">
        <v>87.5</v>
      </c>
      <c r="G3503">
        <v>4.5</v>
      </c>
      <c r="H3503">
        <v>56000</v>
      </c>
      <c r="I3503" t="s">
        <v>25</v>
      </c>
    </row>
    <row r="3504" spans="1:9" hidden="1" x14ac:dyDescent="0.25">
      <c r="A3504">
        <v>11</v>
      </c>
      <c r="B3504" t="s">
        <v>29</v>
      </c>
      <c r="C3504">
        <v>2023</v>
      </c>
      <c r="D3504">
        <v>87.5</v>
      </c>
      <c r="E3504">
        <v>-30</v>
      </c>
      <c r="F3504">
        <v>48.25</v>
      </c>
      <c r="G3504">
        <v>9.25</v>
      </c>
      <c r="H3504">
        <v>56000</v>
      </c>
      <c r="I3504" t="s">
        <v>25</v>
      </c>
    </row>
    <row r="3505" spans="1:9" hidden="1" x14ac:dyDescent="0.25">
      <c r="A3505">
        <v>12</v>
      </c>
      <c r="B3505" t="s">
        <v>29</v>
      </c>
      <c r="C3505">
        <v>2023</v>
      </c>
      <c r="D3505">
        <v>48.25</v>
      </c>
      <c r="E3505" t="s">
        <v>9</v>
      </c>
      <c r="F3505">
        <v>36</v>
      </c>
      <c r="G3505">
        <v>12.25</v>
      </c>
      <c r="H3505">
        <v>56000</v>
      </c>
      <c r="I3505" t="s">
        <v>25</v>
      </c>
    </row>
    <row r="3506" spans="1:9" hidden="1" x14ac:dyDescent="0.25">
      <c r="A3506">
        <v>13</v>
      </c>
      <c r="B3506" t="s">
        <v>29</v>
      </c>
      <c r="C3506">
        <v>2023</v>
      </c>
      <c r="D3506">
        <v>36</v>
      </c>
      <c r="E3506" t="s">
        <v>9</v>
      </c>
      <c r="F3506">
        <v>25.625</v>
      </c>
      <c r="G3506">
        <v>10.375</v>
      </c>
      <c r="H3506">
        <v>56000</v>
      </c>
      <c r="I3506" t="s">
        <v>25</v>
      </c>
    </row>
    <row r="3507" spans="1:9" hidden="1" x14ac:dyDescent="0.25">
      <c r="A3507">
        <v>14</v>
      </c>
      <c r="B3507" t="s">
        <v>29</v>
      </c>
      <c r="C3507">
        <v>2023</v>
      </c>
      <c r="D3507">
        <v>25.625</v>
      </c>
      <c r="E3507" t="s">
        <v>9</v>
      </c>
      <c r="F3507">
        <v>11.375</v>
      </c>
      <c r="G3507">
        <v>14.25</v>
      </c>
      <c r="H3507">
        <v>56000</v>
      </c>
      <c r="I3507" t="s">
        <v>25</v>
      </c>
    </row>
    <row r="3508" spans="1:9" hidden="1" x14ac:dyDescent="0.25">
      <c r="A3508">
        <v>15</v>
      </c>
      <c r="B3508" t="s">
        <v>29</v>
      </c>
      <c r="C3508">
        <v>2023</v>
      </c>
      <c r="D3508">
        <v>11.375</v>
      </c>
      <c r="E3508">
        <v>20</v>
      </c>
      <c r="F3508">
        <v>24.75</v>
      </c>
      <c r="G3508">
        <v>6.625</v>
      </c>
      <c r="H3508">
        <v>56000</v>
      </c>
      <c r="I3508" t="s">
        <v>25</v>
      </c>
    </row>
    <row r="3509" spans="1:9" hidden="1" x14ac:dyDescent="0.25">
      <c r="A3509">
        <v>16</v>
      </c>
      <c r="B3509" t="s">
        <v>29</v>
      </c>
      <c r="C3509">
        <v>2023</v>
      </c>
      <c r="D3509">
        <v>24.75</v>
      </c>
      <c r="E3509">
        <v>20</v>
      </c>
      <c r="F3509">
        <v>41.125</v>
      </c>
      <c r="G3509">
        <v>3.625</v>
      </c>
      <c r="H3509">
        <v>56000</v>
      </c>
      <c r="I3509" t="s">
        <v>25</v>
      </c>
    </row>
    <row r="3510" spans="1:9" hidden="1" x14ac:dyDescent="0.25">
      <c r="A3510">
        <v>17</v>
      </c>
      <c r="B3510" t="s">
        <v>29</v>
      </c>
      <c r="C3510">
        <v>2023</v>
      </c>
      <c r="D3510">
        <v>41.125</v>
      </c>
      <c r="E3510" t="s">
        <v>9</v>
      </c>
      <c r="F3510">
        <v>34.875</v>
      </c>
      <c r="G3510">
        <v>6.25</v>
      </c>
      <c r="H3510">
        <v>56000</v>
      </c>
      <c r="I3510" t="s">
        <v>25</v>
      </c>
    </row>
    <row r="3511" spans="1:9" hidden="1" x14ac:dyDescent="0.25">
      <c r="A3511">
        <v>18</v>
      </c>
      <c r="B3511" t="s">
        <v>29</v>
      </c>
      <c r="C3511">
        <v>2023</v>
      </c>
      <c r="D3511">
        <v>34.875</v>
      </c>
      <c r="E3511" t="s">
        <v>9</v>
      </c>
      <c r="F3511">
        <v>28</v>
      </c>
      <c r="G3511">
        <v>6.875</v>
      </c>
      <c r="H3511">
        <v>56000</v>
      </c>
      <c r="I3511" t="s">
        <v>25</v>
      </c>
    </row>
    <row r="3512" spans="1:9" hidden="1" x14ac:dyDescent="0.25">
      <c r="A3512">
        <v>19</v>
      </c>
      <c r="B3512" t="s">
        <v>29</v>
      </c>
      <c r="C3512">
        <v>2023</v>
      </c>
      <c r="D3512">
        <v>28</v>
      </c>
      <c r="E3512">
        <v>15</v>
      </c>
      <c r="F3512">
        <v>29</v>
      </c>
      <c r="G3512">
        <v>14</v>
      </c>
      <c r="H3512">
        <v>56000</v>
      </c>
      <c r="I3512" t="s">
        <v>25</v>
      </c>
    </row>
    <row r="3513" spans="1:9" hidden="1" x14ac:dyDescent="0.25">
      <c r="A3513">
        <v>20</v>
      </c>
      <c r="B3513" t="s">
        <v>29</v>
      </c>
      <c r="C3513">
        <v>2023</v>
      </c>
      <c r="D3513">
        <v>29</v>
      </c>
      <c r="E3513" t="s">
        <v>9</v>
      </c>
      <c r="F3513">
        <v>14</v>
      </c>
      <c r="G3513">
        <v>15</v>
      </c>
      <c r="H3513">
        <v>56000</v>
      </c>
      <c r="I3513" t="s">
        <v>25</v>
      </c>
    </row>
    <row r="3514" spans="1:9" hidden="1" x14ac:dyDescent="0.25">
      <c r="A3514">
        <v>21</v>
      </c>
      <c r="B3514" t="s">
        <v>29</v>
      </c>
      <c r="C3514">
        <v>2023</v>
      </c>
      <c r="D3514">
        <v>14</v>
      </c>
      <c r="E3514">
        <v>25</v>
      </c>
      <c r="F3514">
        <v>30.625</v>
      </c>
      <c r="G3514">
        <v>8.375</v>
      </c>
      <c r="H3514">
        <v>56000</v>
      </c>
      <c r="I3514" t="s">
        <v>25</v>
      </c>
    </row>
    <row r="3515" spans="1:9" hidden="1" x14ac:dyDescent="0.25">
      <c r="A3515">
        <v>22</v>
      </c>
      <c r="B3515" t="s">
        <v>29</v>
      </c>
      <c r="C3515">
        <v>2023</v>
      </c>
      <c r="D3515">
        <v>30.625</v>
      </c>
      <c r="E3515" t="s">
        <v>9</v>
      </c>
      <c r="F3515">
        <v>15.625</v>
      </c>
      <c r="G3515">
        <v>15</v>
      </c>
      <c r="H3515">
        <v>56000</v>
      </c>
      <c r="I3515" t="s">
        <v>25</v>
      </c>
    </row>
    <row r="3516" spans="1:9" hidden="1" x14ac:dyDescent="0.25">
      <c r="A3516">
        <v>23</v>
      </c>
      <c r="B3516" t="s">
        <v>29</v>
      </c>
      <c r="C3516">
        <v>2023</v>
      </c>
      <c r="D3516">
        <v>15.625</v>
      </c>
      <c r="E3516">
        <v>27</v>
      </c>
      <c r="F3516">
        <v>40</v>
      </c>
      <c r="G3516">
        <v>2.625</v>
      </c>
      <c r="H3516">
        <v>56000</v>
      </c>
      <c r="I3516" t="s">
        <v>25</v>
      </c>
    </row>
    <row r="3517" spans="1:9" hidden="1" x14ac:dyDescent="0.25">
      <c r="A3517">
        <v>24</v>
      </c>
      <c r="B3517" t="s">
        <v>29</v>
      </c>
      <c r="C3517">
        <v>2023</v>
      </c>
      <c r="D3517">
        <v>40</v>
      </c>
      <c r="E3517" t="s">
        <v>9</v>
      </c>
      <c r="F3517">
        <v>35</v>
      </c>
      <c r="G3517">
        <v>5</v>
      </c>
      <c r="H3517">
        <v>56000</v>
      </c>
      <c r="I3517" t="s">
        <v>25</v>
      </c>
    </row>
    <row r="3518" spans="1:9" hidden="1" x14ac:dyDescent="0.25">
      <c r="A3518">
        <v>25</v>
      </c>
      <c r="B3518" t="s">
        <v>29</v>
      </c>
      <c r="C3518">
        <v>2023</v>
      </c>
      <c r="D3518">
        <v>35</v>
      </c>
      <c r="E3518" t="s">
        <v>9</v>
      </c>
      <c r="F3518">
        <v>26.625</v>
      </c>
      <c r="G3518">
        <v>8.375</v>
      </c>
      <c r="H3518">
        <v>56000</v>
      </c>
      <c r="I3518" t="s">
        <v>25</v>
      </c>
    </row>
    <row r="3519" spans="1:9" hidden="1" x14ac:dyDescent="0.25">
      <c r="A3519">
        <v>26</v>
      </c>
      <c r="B3519" t="s">
        <v>29</v>
      </c>
      <c r="C3519">
        <v>2023</v>
      </c>
      <c r="D3519">
        <v>26.625</v>
      </c>
      <c r="E3519" t="s">
        <v>9</v>
      </c>
      <c r="F3519">
        <v>16.75</v>
      </c>
      <c r="G3519">
        <v>9.875</v>
      </c>
      <c r="H3519">
        <v>56000</v>
      </c>
      <c r="I3519" t="s">
        <v>25</v>
      </c>
    </row>
    <row r="3520" spans="1:9" hidden="1" x14ac:dyDescent="0.25">
      <c r="A3520">
        <v>27</v>
      </c>
      <c r="B3520" t="s">
        <v>29</v>
      </c>
      <c r="C3520">
        <v>2023</v>
      </c>
      <c r="D3520">
        <v>16.75</v>
      </c>
      <c r="E3520">
        <v>30</v>
      </c>
      <c r="F3520">
        <v>34</v>
      </c>
      <c r="G3520">
        <v>12.75</v>
      </c>
      <c r="H3520">
        <v>56000</v>
      </c>
      <c r="I3520" t="s">
        <v>25</v>
      </c>
    </row>
    <row r="3521" spans="1:9" hidden="1" x14ac:dyDescent="0.25">
      <c r="A3521">
        <v>28</v>
      </c>
      <c r="B3521" t="s">
        <v>29</v>
      </c>
      <c r="C3521">
        <v>2023</v>
      </c>
      <c r="D3521">
        <v>34</v>
      </c>
      <c r="E3521" t="s">
        <v>9</v>
      </c>
      <c r="F3521">
        <v>23.75</v>
      </c>
      <c r="G3521">
        <v>10.25</v>
      </c>
      <c r="H3521">
        <v>56000</v>
      </c>
      <c r="I3521" t="s">
        <v>25</v>
      </c>
    </row>
    <row r="3522" spans="1:9" hidden="1" x14ac:dyDescent="0.25">
      <c r="A3522">
        <v>29</v>
      </c>
      <c r="B3522" t="s">
        <v>29</v>
      </c>
      <c r="C3522">
        <v>2023</v>
      </c>
      <c r="D3522">
        <v>23.75</v>
      </c>
      <c r="E3522" t="s">
        <v>9</v>
      </c>
      <c r="F3522">
        <v>15.875</v>
      </c>
      <c r="G3522">
        <v>7.875</v>
      </c>
      <c r="H3522">
        <v>56000</v>
      </c>
      <c r="I3522" t="s">
        <v>25</v>
      </c>
    </row>
    <row r="3523" spans="1:9" hidden="1" x14ac:dyDescent="0.25">
      <c r="A3523">
        <v>30</v>
      </c>
      <c r="B3523" t="s">
        <v>29</v>
      </c>
      <c r="C3523">
        <v>2023</v>
      </c>
      <c r="D3523">
        <v>15.875</v>
      </c>
      <c r="E3523">
        <v>32</v>
      </c>
      <c r="F3523">
        <v>43.75</v>
      </c>
      <c r="G3523">
        <v>4.125</v>
      </c>
      <c r="H3523">
        <v>56000</v>
      </c>
      <c r="I3523" t="s">
        <v>25</v>
      </c>
    </row>
    <row r="3524" spans="1:9" hidden="1" x14ac:dyDescent="0.25">
      <c r="A3524">
        <v>31</v>
      </c>
      <c r="B3524" t="s">
        <v>29</v>
      </c>
      <c r="C3524">
        <v>2023</v>
      </c>
      <c r="D3524">
        <v>43.75</v>
      </c>
      <c r="E3524" t="s">
        <v>9</v>
      </c>
      <c r="F3524">
        <v>29.875</v>
      </c>
      <c r="G3524">
        <v>13.875</v>
      </c>
      <c r="H3524">
        <v>56000</v>
      </c>
      <c r="I3524" t="s">
        <v>25</v>
      </c>
    </row>
    <row r="3525" spans="1:9" x14ac:dyDescent="0.25">
      <c r="A3525">
        <v>1</v>
      </c>
      <c r="B3525" t="s">
        <v>30</v>
      </c>
      <c r="C3525">
        <v>2023</v>
      </c>
      <c r="D3525">
        <v>81.625</v>
      </c>
      <c r="E3525" t="s">
        <v>9</v>
      </c>
      <c r="F3525">
        <v>63.25</v>
      </c>
      <c r="G3525">
        <v>18.375</v>
      </c>
      <c r="H3525">
        <v>56000</v>
      </c>
      <c r="I3525" t="s">
        <v>22</v>
      </c>
    </row>
    <row r="3526" spans="1:9" x14ac:dyDescent="0.25">
      <c r="A3526">
        <v>2</v>
      </c>
      <c r="B3526" t="s">
        <v>30</v>
      </c>
      <c r="C3526">
        <v>2023</v>
      </c>
      <c r="D3526">
        <v>63.25</v>
      </c>
      <c r="E3526" t="s">
        <v>9</v>
      </c>
      <c r="F3526">
        <v>32</v>
      </c>
      <c r="G3526">
        <v>31.25</v>
      </c>
      <c r="H3526">
        <v>56000</v>
      </c>
      <c r="I3526" t="s">
        <v>22</v>
      </c>
    </row>
    <row r="3527" spans="1:9" x14ac:dyDescent="0.25">
      <c r="A3527">
        <v>3</v>
      </c>
      <c r="B3527" t="s">
        <v>30</v>
      </c>
      <c r="C3527">
        <v>2023</v>
      </c>
      <c r="D3527">
        <v>32</v>
      </c>
      <c r="E3527">
        <v>120</v>
      </c>
      <c r="F3527">
        <v>116.875</v>
      </c>
      <c r="G3527">
        <v>35.125</v>
      </c>
      <c r="H3527">
        <v>56000</v>
      </c>
      <c r="I3527" t="s">
        <v>22</v>
      </c>
    </row>
    <row r="3528" spans="1:9" x14ac:dyDescent="0.25">
      <c r="A3528">
        <v>4</v>
      </c>
      <c r="B3528" t="s">
        <v>30</v>
      </c>
      <c r="C3528">
        <v>2023</v>
      </c>
      <c r="D3528">
        <v>116.875</v>
      </c>
      <c r="E3528">
        <v>50</v>
      </c>
      <c r="F3528">
        <v>116.5</v>
      </c>
      <c r="G3528">
        <v>50.375</v>
      </c>
      <c r="H3528">
        <v>56000</v>
      </c>
      <c r="I3528" t="s">
        <v>22</v>
      </c>
    </row>
    <row r="3529" spans="1:9" x14ac:dyDescent="0.25">
      <c r="A3529">
        <v>5</v>
      </c>
      <c r="B3529" t="s">
        <v>30</v>
      </c>
      <c r="C3529">
        <v>2023</v>
      </c>
      <c r="D3529">
        <v>116.5</v>
      </c>
      <c r="E3529" t="s">
        <v>9</v>
      </c>
      <c r="F3529">
        <v>101.125</v>
      </c>
      <c r="G3529">
        <v>15.375</v>
      </c>
      <c r="H3529">
        <v>56000</v>
      </c>
      <c r="I3529" t="s">
        <v>22</v>
      </c>
    </row>
    <row r="3530" spans="1:9" x14ac:dyDescent="0.25">
      <c r="A3530">
        <v>6</v>
      </c>
      <c r="B3530" t="s">
        <v>30</v>
      </c>
      <c r="C3530">
        <v>2023</v>
      </c>
      <c r="D3530">
        <v>101.125</v>
      </c>
      <c r="E3530" t="s">
        <v>9</v>
      </c>
      <c r="F3530">
        <v>85.75</v>
      </c>
      <c r="G3530">
        <v>15.375</v>
      </c>
      <c r="H3530">
        <v>56000</v>
      </c>
      <c r="I3530" t="s">
        <v>22</v>
      </c>
    </row>
    <row r="3531" spans="1:9" x14ac:dyDescent="0.25">
      <c r="A3531">
        <v>7</v>
      </c>
      <c r="B3531" t="s">
        <v>30</v>
      </c>
      <c r="C3531">
        <v>2023</v>
      </c>
      <c r="D3531">
        <v>85.75</v>
      </c>
      <c r="E3531" t="s">
        <v>9</v>
      </c>
      <c r="F3531">
        <v>60.75</v>
      </c>
      <c r="G3531">
        <v>25</v>
      </c>
      <c r="H3531">
        <v>56000</v>
      </c>
      <c r="I3531" t="s">
        <v>22</v>
      </c>
    </row>
    <row r="3532" spans="1:9" x14ac:dyDescent="0.25">
      <c r="A3532">
        <v>8</v>
      </c>
      <c r="B3532" t="s">
        <v>30</v>
      </c>
      <c r="C3532">
        <v>2023</v>
      </c>
      <c r="D3532">
        <v>60.75</v>
      </c>
      <c r="E3532" t="s">
        <v>9</v>
      </c>
      <c r="F3532">
        <v>48</v>
      </c>
      <c r="G3532">
        <v>12.75</v>
      </c>
      <c r="H3532">
        <v>56000</v>
      </c>
      <c r="I3532" t="s">
        <v>22</v>
      </c>
    </row>
    <row r="3533" spans="1:9" x14ac:dyDescent="0.25">
      <c r="A3533">
        <v>9</v>
      </c>
      <c r="B3533" t="s">
        <v>30</v>
      </c>
      <c r="C3533">
        <v>2023</v>
      </c>
      <c r="D3533">
        <v>48</v>
      </c>
      <c r="E3533">
        <v>170</v>
      </c>
      <c r="F3533">
        <v>187.375</v>
      </c>
      <c r="G3533">
        <v>30.625</v>
      </c>
      <c r="H3533">
        <v>56000</v>
      </c>
      <c r="I3533" t="s">
        <v>22</v>
      </c>
    </row>
    <row r="3534" spans="1:9" x14ac:dyDescent="0.25">
      <c r="A3534">
        <v>10</v>
      </c>
      <c r="B3534" t="s">
        <v>30</v>
      </c>
      <c r="C3534">
        <v>2023</v>
      </c>
      <c r="D3534">
        <v>187.375</v>
      </c>
      <c r="E3534" t="s">
        <v>9</v>
      </c>
      <c r="F3534">
        <v>153.25</v>
      </c>
      <c r="G3534">
        <v>34.125</v>
      </c>
      <c r="H3534">
        <v>56000</v>
      </c>
      <c r="I3534" t="s">
        <v>22</v>
      </c>
    </row>
    <row r="3535" spans="1:9" x14ac:dyDescent="0.25">
      <c r="A3535">
        <v>11</v>
      </c>
      <c r="B3535" t="s">
        <v>30</v>
      </c>
      <c r="C3535">
        <v>2023</v>
      </c>
      <c r="D3535">
        <v>153.25</v>
      </c>
      <c r="E3535" t="s">
        <v>9</v>
      </c>
      <c r="F3535">
        <v>95.375</v>
      </c>
      <c r="G3535">
        <v>57.875</v>
      </c>
      <c r="H3535">
        <v>56000</v>
      </c>
      <c r="I3535" t="s">
        <v>22</v>
      </c>
    </row>
    <row r="3536" spans="1:9" x14ac:dyDescent="0.25">
      <c r="A3536">
        <v>12</v>
      </c>
      <c r="B3536" t="s">
        <v>30</v>
      </c>
      <c r="C3536">
        <v>2023</v>
      </c>
      <c r="D3536">
        <v>95.375</v>
      </c>
      <c r="E3536">
        <v>30</v>
      </c>
      <c r="F3536">
        <v>93.5</v>
      </c>
      <c r="G3536">
        <v>31.875</v>
      </c>
      <c r="H3536">
        <v>56000</v>
      </c>
      <c r="I3536" t="s">
        <v>22</v>
      </c>
    </row>
    <row r="3537" spans="1:9" x14ac:dyDescent="0.25">
      <c r="A3537">
        <v>13</v>
      </c>
      <c r="B3537" t="s">
        <v>30</v>
      </c>
      <c r="C3537">
        <v>2023</v>
      </c>
      <c r="D3537">
        <v>93.5</v>
      </c>
      <c r="E3537" t="s">
        <v>9</v>
      </c>
      <c r="F3537">
        <v>81.875</v>
      </c>
      <c r="G3537">
        <v>11.625</v>
      </c>
      <c r="H3537">
        <v>56000</v>
      </c>
      <c r="I3537" t="s">
        <v>22</v>
      </c>
    </row>
    <row r="3538" spans="1:9" x14ac:dyDescent="0.25">
      <c r="A3538">
        <v>14</v>
      </c>
      <c r="B3538" t="s">
        <v>30</v>
      </c>
      <c r="C3538">
        <v>2023</v>
      </c>
      <c r="D3538">
        <v>81.875</v>
      </c>
      <c r="E3538" t="s">
        <v>9</v>
      </c>
      <c r="F3538">
        <v>55.875</v>
      </c>
      <c r="G3538">
        <v>26</v>
      </c>
      <c r="H3538">
        <v>56000</v>
      </c>
      <c r="I3538" t="s">
        <v>22</v>
      </c>
    </row>
    <row r="3539" spans="1:9" x14ac:dyDescent="0.25">
      <c r="A3539">
        <v>15</v>
      </c>
      <c r="B3539" t="s">
        <v>30</v>
      </c>
      <c r="C3539">
        <v>2023</v>
      </c>
      <c r="D3539">
        <v>55.875</v>
      </c>
      <c r="E3539">
        <v>150</v>
      </c>
      <c r="F3539">
        <v>185.625</v>
      </c>
      <c r="G3539">
        <v>20.25</v>
      </c>
      <c r="H3539">
        <v>56000</v>
      </c>
      <c r="I3539" t="s">
        <v>22</v>
      </c>
    </row>
    <row r="3540" spans="1:9" x14ac:dyDescent="0.25">
      <c r="A3540">
        <v>16</v>
      </c>
      <c r="B3540" t="s">
        <v>30</v>
      </c>
      <c r="C3540">
        <v>2023</v>
      </c>
      <c r="D3540">
        <v>185.625</v>
      </c>
      <c r="E3540" t="s">
        <v>9</v>
      </c>
      <c r="F3540">
        <v>160.375</v>
      </c>
      <c r="G3540">
        <v>25.25</v>
      </c>
      <c r="H3540">
        <v>56000</v>
      </c>
      <c r="I3540" t="s">
        <v>22</v>
      </c>
    </row>
    <row r="3541" spans="1:9" x14ac:dyDescent="0.25">
      <c r="A3541">
        <v>17</v>
      </c>
      <c r="B3541" t="s">
        <v>30</v>
      </c>
      <c r="C3541">
        <v>2023</v>
      </c>
      <c r="D3541">
        <v>160.375</v>
      </c>
      <c r="E3541" t="s">
        <v>9</v>
      </c>
      <c r="F3541">
        <v>121</v>
      </c>
      <c r="G3541">
        <v>39.375</v>
      </c>
      <c r="H3541">
        <v>56000</v>
      </c>
      <c r="I3541" t="s">
        <v>22</v>
      </c>
    </row>
    <row r="3542" spans="1:9" x14ac:dyDescent="0.25">
      <c r="A3542">
        <v>18</v>
      </c>
      <c r="B3542" t="s">
        <v>30</v>
      </c>
      <c r="C3542">
        <v>2023</v>
      </c>
      <c r="D3542">
        <v>121</v>
      </c>
      <c r="E3542" t="s">
        <v>9</v>
      </c>
      <c r="F3542">
        <v>73</v>
      </c>
      <c r="G3542">
        <v>48</v>
      </c>
      <c r="H3542">
        <v>56000</v>
      </c>
      <c r="I3542" t="s">
        <v>22</v>
      </c>
    </row>
    <row r="3543" spans="1:9" x14ac:dyDescent="0.25">
      <c r="A3543">
        <v>19</v>
      </c>
      <c r="B3543" t="s">
        <v>30</v>
      </c>
      <c r="C3543">
        <v>2023</v>
      </c>
      <c r="D3543">
        <v>73</v>
      </c>
      <c r="E3543">
        <v>55</v>
      </c>
      <c r="F3543">
        <v>86.25</v>
      </c>
      <c r="G3543">
        <v>41.75</v>
      </c>
      <c r="H3543">
        <v>56000</v>
      </c>
      <c r="I3543" t="s">
        <v>22</v>
      </c>
    </row>
    <row r="3544" spans="1:9" x14ac:dyDescent="0.25">
      <c r="A3544">
        <v>20</v>
      </c>
      <c r="B3544" t="s">
        <v>30</v>
      </c>
      <c r="C3544">
        <v>2023</v>
      </c>
      <c r="D3544">
        <v>86.25</v>
      </c>
      <c r="E3544" t="s">
        <v>9</v>
      </c>
      <c r="F3544">
        <v>66.875</v>
      </c>
      <c r="G3544">
        <v>19.375</v>
      </c>
      <c r="H3544">
        <v>56000</v>
      </c>
      <c r="I3544" t="s">
        <v>22</v>
      </c>
    </row>
    <row r="3545" spans="1:9" x14ac:dyDescent="0.25">
      <c r="A3545">
        <v>21</v>
      </c>
      <c r="B3545" t="s">
        <v>30</v>
      </c>
      <c r="C3545">
        <v>2023</v>
      </c>
      <c r="D3545">
        <v>66.875</v>
      </c>
      <c r="E3545" t="s">
        <v>9</v>
      </c>
      <c r="F3545">
        <v>35.125</v>
      </c>
      <c r="G3545">
        <v>31.75</v>
      </c>
      <c r="H3545">
        <v>56000</v>
      </c>
      <c r="I3545" t="s">
        <v>22</v>
      </c>
    </row>
    <row r="3546" spans="1:9" x14ac:dyDescent="0.25">
      <c r="A3546">
        <v>22</v>
      </c>
      <c r="B3546" t="s">
        <v>30</v>
      </c>
      <c r="C3546">
        <v>2023</v>
      </c>
      <c r="D3546">
        <v>35.125</v>
      </c>
      <c r="E3546">
        <v>120</v>
      </c>
      <c r="F3546">
        <v>133.5</v>
      </c>
      <c r="G3546">
        <v>21.625</v>
      </c>
      <c r="H3546">
        <v>56000</v>
      </c>
      <c r="I3546" t="s">
        <v>22</v>
      </c>
    </row>
    <row r="3547" spans="1:9" x14ac:dyDescent="0.25">
      <c r="A3547">
        <v>23</v>
      </c>
      <c r="B3547" t="s">
        <v>30</v>
      </c>
      <c r="C3547">
        <v>2023</v>
      </c>
      <c r="D3547">
        <v>133.5</v>
      </c>
      <c r="E3547" t="s">
        <v>9</v>
      </c>
      <c r="F3547">
        <v>106.5</v>
      </c>
      <c r="G3547">
        <v>27</v>
      </c>
      <c r="H3547">
        <v>56000</v>
      </c>
      <c r="I3547" t="s">
        <v>22</v>
      </c>
    </row>
    <row r="3548" spans="1:9" x14ac:dyDescent="0.25">
      <c r="A3548">
        <v>24</v>
      </c>
      <c r="B3548" t="s">
        <v>30</v>
      </c>
      <c r="C3548">
        <v>2023</v>
      </c>
      <c r="D3548">
        <v>106.5</v>
      </c>
      <c r="E3548">
        <v>40</v>
      </c>
      <c r="F3548">
        <v>95.5</v>
      </c>
      <c r="G3548">
        <v>51</v>
      </c>
      <c r="H3548">
        <v>56000</v>
      </c>
      <c r="I3548" t="s">
        <v>22</v>
      </c>
    </row>
    <row r="3549" spans="1:9" x14ac:dyDescent="0.25">
      <c r="A3549">
        <v>25</v>
      </c>
      <c r="B3549" t="s">
        <v>30</v>
      </c>
      <c r="C3549">
        <v>2023</v>
      </c>
      <c r="D3549">
        <v>95.5</v>
      </c>
      <c r="E3549" t="s">
        <v>9</v>
      </c>
      <c r="F3549">
        <v>49.375</v>
      </c>
      <c r="G3549">
        <v>46.125</v>
      </c>
      <c r="H3549">
        <v>56000</v>
      </c>
      <c r="I3549" t="s">
        <v>22</v>
      </c>
    </row>
    <row r="3550" spans="1:9" x14ac:dyDescent="0.25">
      <c r="A3550">
        <v>26</v>
      </c>
      <c r="B3550" t="s">
        <v>30</v>
      </c>
      <c r="C3550">
        <v>2023</v>
      </c>
      <c r="D3550">
        <v>49.375</v>
      </c>
      <c r="E3550" t="s">
        <v>9</v>
      </c>
      <c r="F3550">
        <v>28</v>
      </c>
      <c r="G3550">
        <v>21.375</v>
      </c>
      <c r="H3550">
        <v>56000</v>
      </c>
      <c r="I3550" t="s">
        <v>22</v>
      </c>
    </row>
    <row r="3551" spans="1:9" x14ac:dyDescent="0.25">
      <c r="A3551">
        <v>27</v>
      </c>
      <c r="B3551" t="s">
        <v>30</v>
      </c>
      <c r="C3551">
        <v>2023</v>
      </c>
      <c r="D3551">
        <v>28</v>
      </c>
      <c r="E3551">
        <v>100</v>
      </c>
      <c r="F3551">
        <v>100.75</v>
      </c>
      <c r="G3551">
        <v>27.25</v>
      </c>
      <c r="H3551">
        <v>56000</v>
      </c>
      <c r="I3551" t="s">
        <v>22</v>
      </c>
    </row>
    <row r="3552" spans="1:9" x14ac:dyDescent="0.25">
      <c r="A3552">
        <v>28</v>
      </c>
      <c r="B3552" t="s">
        <v>30</v>
      </c>
      <c r="C3552">
        <v>2023</v>
      </c>
      <c r="D3552">
        <v>100.75</v>
      </c>
      <c r="E3552" t="s">
        <v>9</v>
      </c>
      <c r="F3552">
        <v>73</v>
      </c>
      <c r="G3552">
        <v>27.75</v>
      </c>
      <c r="H3552">
        <v>56000</v>
      </c>
      <c r="I3552" t="s">
        <v>22</v>
      </c>
    </row>
    <row r="3553" spans="1:9" x14ac:dyDescent="0.25">
      <c r="A3553">
        <v>29</v>
      </c>
      <c r="B3553" t="s">
        <v>30</v>
      </c>
      <c r="C3553">
        <v>2023</v>
      </c>
      <c r="D3553">
        <v>73</v>
      </c>
      <c r="E3553" t="s">
        <v>9</v>
      </c>
      <c r="F3553">
        <v>40.375</v>
      </c>
      <c r="G3553">
        <v>32.625</v>
      </c>
      <c r="H3553">
        <v>56000</v>
      </c>
      <c r="I3553" t="s">
        <v>22</v>
      </c>
    </row>
    <row r="3554" spans="1:9" x14ac:dyDescent="0.25">
      <c r="A3554">
        <v>30</v>
      </c>
      <c r="B3554" t="s">
        <v>30</v>
      </c>
      <c r="C3554">
        <v>2023</v>
      </c>
      <c r="D3554">
        <v>40.375</v>
      </c>
      <c r="E3554">
        <v>20</v>
      </c>
      <c r="F3554">
        <v>33.375</v>
      </c>
      <c r="G3554">
        <v>27</v>
      </c>
      <c r="H3554">
        <v>56000</v>
      </c>
      <c r="I3554" t="s">
        <v>22</v>
      </c>
    </row>
    <row r="3555" spans="1:9" x14ac:dyDescent="0.25">
      <c r="A3555">
        <v>31</v>
      </c>
      <c r="B3555" t="s">
        <v>30</v>
      </c>
      <c r="C3555">
        <v>2023</v>
      </c>
      <c r="D3555">
        <v>33.375</v>
      </c>
      <c r="E3555" t="s">
        <v>9</v>
      </c>
      <c r="F3555" t="s">
        <v>9</v>
      </c>
      <c r="G3555">
        <v>33.375</v>
      </c>
      <c r="H3555">
        <v>56000</v>
      </c>
      <c r="I3555" t="s">
        <v>22</v>
      </c>
    </row>
    <row r="3556" spans="1:9" hidden="1" x14ac:dyDescent="0.25">
      <c r="A3556">
        <v>1</v>
      </c>
      <c r="B3556" t="s">
        <v>30</v>
      </c>
      <c r="C3556">
        <v>2023</v>
      </c>
      <c r="D3556">
        <v>77.125</v>
      </c>
      <c r="E3556" t="s">
        <v>9</v>
      </c>
      <c r="F3556">
        <v>50.25</v>
      </c>
      <c r="G3556">
        <v>26.875</v>
      </c>
      <c r="H3556">
        <v>56000</v>
      </c>
      <c r="I3556" t="s">
        <v>23</v>
      </c>
    </row>
    <row r="3557" spans="1:9" hidden="1" x14ac:dyDescent="0.25">
      <c r="A3557">
        <v>2</v>
      </c>
      <c r="B3557" t="s">
        <v>30</v>
      </c>
      <c r="C3557">
        <v>2023</v>
      </c>
      <c r="D3557">
        <v>50.25</v>
      </c>
      <c r="E3557">
        <v>180</v>
      </c>
      <c r="F3557">
        <v>197.625</v>
      </c>
      <c r="G3557">
        <v>32.625</v>
      </c>
      <c r="H3557">
        <v>56000</v>
      </c>
      <c r="I3557" t="s">
        <v>23</v>
      </c>
    </row>
    <row r="3558" spans="1:9" hidden="1" x14ac:dyDescent="0.25">
      <c r="A3558">
        <v>3</v>
      </c>
      <c r="B3558" t="s">
        <v>30</v>
      </c>
      <c r="C3558">
        <v>2023</v>
      </c>
      <c r="D3558">
        <v>197.625</v>
      </c>
      <c r="E3558" t="s">
        <v>9</v>
      </c>
      <c r="F3558">
        <v>146.25</v>
      </c>
      <c r="G3558">
        <v>51.375</v>
      </c>
      <c r="H3558">
        <v>56000</v>
      </c>
      <c r="I3558" t="s">
        <v>23</v>
      </c>
    </row>
    <row r="3559" spans="1:9" hidden="1" x14ac:dyDescent="0.25">
      <c r="A3559">
        <v>4</v>
      </c>
      <c r="B3559" t="s">
        <v>30</v>
      </c>
      <c r="C3559">
        <v>2023</v>
      </c>
      <c r="D3559">
        <v>146.25</v>
      </c>
      <c r="E3559" t="s">
        <v>9</v>
      </c>
      <c r="F3559">
        <v>103.875</v>
      </c>
      <c r="G3559">
        <v>42.375</v>
      </c>
      <c r="H3559">
        <v>56000</v>
      </c>
      <c r="I3559" t="s">
        <v>23</v>
      </c>
    </row>
    <row r="3560" spans="1:9" hidden="1" x14ac:dyDescent="0.25">
      <c r="A3560">
        <v>5</v>
      </c>
      <c r="B3560" t="s">
        <v>30</v>
      </c>
      <c r="C3560">
        <v>2023</v>
      </c>
      <c r="D3560">
        <v>103.875</v>
      </c>
      <c r="E3560" t="s">
        <v>9</v>
      </c>
      <c r="F3560">
        <v>88.125</v>
      </c>
      <c r="G3560">
        <v>15.75</v>
      </c>
      <c r="H3560">
        <v>56000</v>
      </c>
      <c r="I3560" t="s">
        <v>23</v>
      </c>
    </row>
    <row r="3561" spans="1:9" hidden="1" x14ac:dyDescent="0.25">
      <c r="A3561">
        <v>6</v>
      </c>
      <c r="B3561" t="s">
        <v>30</v>
      </c>
      <c r="C3561">
        <v>2023</v>
      </c>
      <c r="D3561">
        <v>88.125</v>
      </c>
      <c r="E3561" t="s">
        <v>9</v>
      </c>
      <c r="F3561">
        <v>65.25</v>
      </c>
      <c r="G3561">
        <v>22.875</v>
      </c>
      <c r="H3561">
        <v>56000</v>
      </c>
      <c r="I3561" t="s">
        <v>23</v>
      </c>
    </row>
    <row r="3562" spans="1:9" hidden="1" x14ac:dyDescent="0.25">
      <c r="A3562">
        <v>7</v>
      </c>
      <c r="B3562" t="s">
        <v>30</v>
      </c>
      <c r="C3562">
        <v>2023</v>
      </c>
      <c r="D3562">
        <v>65.25</v>
      </c>
      <c r="E3562" t="s">
        <v>9</v>
      </c>
      <c r="F3562">
        <v>40.875</v>
      </c>
      <c r="G3562">
        <v>24.375</v>
      </c>
      <c r="H3562">
        <v>56000</v>
      </c>
      <c r="I3562" t="s">
        <v>23</v>
      </c>
    </row>
    <row r="3563" spans="1:9" hidden="1" x14ac:dyDescent="0.25">
      <c r="A3563">
        <v>8</v>
      </c>
      <c r="B3563" t="s">
        <v>30</v>
      </c>
      <c r="C3563">
        <v>2023</v>
      </c>
      <c r="D3563">
        <v>40.875</v>
      </c>
      <c r="E3563">
        <v>140</v>
      </c>
      <c r="F3563">
        <v>152.625</v>
      </c>
      <c r="G3563">
        <v>28.25</v>
      </c>
      <c r="H3563">
        <v>56000</v>
      </c>
      <c r="I3563" t="s">
        <v>23</v>
      </c>
    </row>
    <row r="3564" spans="1:9" hidden="1" x14ac:dyDescent="0.25">
      <c r="A3564">
        <v>9</v>
      </c>
      <c r="B3564" t="s">
        <v>30</v>
      </c>
      <c r="C3564">
        <v>2023</v>
      </c>
      <c r="D3564">
        <v>152.625</v>
      </c>
      <c r="E3564" t="s">
        <v>9</v>
      </c>
      <c r="F3564">
        <v>118</v>
      </c>
      <c r="G3564">
        <v>34.625</v>
      </c>
      <c r="H3564">
        <v>56000</v>
      </c>
      <c r="I3564" t="s">
        <v>23</v>
      </c>
    </row>
    <row r="3565" spans="1:9" hidden="1" x14ac:dyDescent="0.25">
      <c r="A3565">
        <v>10</v>
      </c>
      <c r="B3565" t="s">
        <v>30</v>
      </c>
      <c r="C3565">
        <v>2023</v>
      </c>
      <c r="D3565">
        <v>118</v>
      </c>
      <c r="E3565" t="s">
        <v>9</v>
      </c>
      <c r="F3565">
        <v>77.625</v>
      </c>
      <c r="G3565">
        <v>40.375</v>
      </c>
      <c r="H3565">
        <v>56000</v>
      </c>
      <c r="I3565" t="s">
        <v>23</v>
      </c>
    </row>
    <row r="3566" spans="1:9" hidden="1" x14ac:dyDescent="0.25">
      <c r="A3566">
        <v>11</v>
      </c>
      <c r="B3566" t="s">
        <v>30</v>
      </c>
      <c r="C3566">
        <v>2023</v>
      </c>
      <c r="D3566">
        <v>77.625</v>
      </c>
      <c r="E3566" t="s">
        <v>9</v>
      </c>
      <c r="F3566">
        <v>34.25</v>
      </c>
      <c r="G3566">
        <v>43.375</v>
      </c>
      <c r="H3566">
        <v>56000</v>
      </c>
      <c r="I3566" t="s">
        <v>23</v>
      </c>
    </row>
    <row r="3567" spans="1:9" hidden="1" x14ac:dyDescent="0.25">
      <c r="A3567">
        <v>12</v>
      </c>
      <c r="B3567" t="s">
        <v>30</v>
      </c>
      <c r="C3567">
        <v>2023</v>
      </c>
      <c r="D3567">
        <v>34.25</v>
      </c>
      <c r="E3567">
        <v>80</v>
      </c>
      <c r="F3567">
        <v>85.375</v>
      </c>
      <c r="G3567">
        <v>28.875</v>
      </c>
      <c r="H3567">
        <v>56000</v>
      </c>
      <c r="I3567" t="s">
        <v>23</v>
      </c>
    </row>
    <row r="3568" spans="1:9" hidden="1" x14ac:dyDescent="0.25">
      <c r="A3568">
        <v>13</v>
      </c>
      <c r="B3568" t="s">
        <v>30</v>
      </c>
      <c r="C3568">
        <v>2023</v>
      </c>
      <c r="D3568">
        <v>85.375</v>
      </c>
      <c r="E3568" t="s">
        <v>9</v>
      </c>
      <c r="F3568">
        <v>61.625</v>
      </c>
      <c r="G3568">
        <v>23.75</v>
      </c>
      <c r="H3568">
        <v>56000</v>
      </c>
      <c r="I3568" t="s">
        <v>23</v>
      </c>
    </row>
    <row r="3569" spans="1:9" hidden="1" x14ac:dyDescent="0.25">
      <c r="A3569">
        <v>14</v>
      </c>
      <c r="B3569" t="s">
        <v>30</v>
      </c>
      <c r="C3569">
        <v>2023</v>
      </c>
      <c r="D3569">
        <v>61.625</v>
      </c>
      <c r="E3569" t="s">
        <v>9</v>
      </c>
      <c r="F3569">
        <v>37.25</v>
      </c>
      <c r="G3569">
        <v>24.375</v>
      </c>
      <c r="H3569">
        <v>56000</v>
      </c>
      <c r="I3569" t="s">
        <v>23</v>
      </c>
    </row>
    <row r="3570" spans="1:9" hidden="1" x14ac:dyDescent="0.25">
      <c r="A3570">
        <v>15</v>
      </c>
      <c r="B3570" t="s">
        <v>30</v>
      </c>
      <c r="C3570">
        <v>2023</v>
      </c>
      <c r="D3570">
        <v>37.25</v>
      </c>
      <c r="E3570">
        <v>60</v>
      </c>
      <c r="F3570">
        <v>65.125</v>
      </c>
      <c r="G3570">
        <v>32.125</v>
      </c>
      <c r="H3570">
        <v>56000</v>
      </c>
      <c r="I3570" t="s">
        <v>23</v>
      </c>
    </row>
    <row r="3571" spans="1:9" hidden="1" x14ac:dyDescent="0.25">
      <c r="A3571">
        <v>16</v>
      </c>
      <c r="B3571" t="s">
        <v>30</v>
      </c>
      <c r="C3571">
        <v>2023</v>
      </c>
      <c r="D3571">
        <v>65.125</v>
      </c>
      <c r="E3571" t="s">
        <v>9</v>
      </c>
      <c r="F3571">
        <v>30.25</v>
      </c>
      <c r="G3571">
        <v>34.875</v>
      </c>
      <c r="H3571">
        <v>56000</v>
      </c>
      <c r="I3571" t="s">
        <v>23</v>
      </c>
    </row>
    <row r="3572" spans="1:9" hidden="1" x14ac:dyDescent="0.25">
      <c r="A3572">
        <v>17</v>
      </c>
      <c r="B3572" t="s">
        <v>30</v>
      </c>
      <c r="C3572">
        <v>2023</v>
      </c>
      <c r="D3572">
        <v>30.25</v>
      </c>
      <c r="E3572">
        <v>90</v>
      </c>
      <c r="F3572">
        <v>76.25</v>
      </c>
      <c r="G3572">
        <v>44</v>
      </c>
      <c r="H3572">
        <v>56000</v>
      </c>
      <c r="I3572" t="s">
        <v>23</v>
      </c>
    </row>
    <row r="3573" spans="1:9" hidden="1" x14ac:dyDescent="0.25">
      <c r="A3573">
        <v>18</v>
      </c>
      <c r="B3573" t="s">
        <v>30</v>
      </c>
      <c r="C3573">
        <v>2023</v>
      </c>
      <c r="D3573">
        <v>76.25</v>
      </c>
      <c r="E3573" t="s">
        <v>9</v>
      </c>
      <c r="F3573">
        <v>42.375</v>
      </c>
      <c r="G3573">
        <v>33.875</v>
      </c>
      <c r="H3573">
        <v>56000</v>
      </c>
      <c r="I3573" t="s">
        <v>23</v>
      </c>
    </row>
    <row r="3574" spans="1:9" hidden="1" x14ac:dyDescent="0.25">
      <c r="A3574">
        <v>19</v>
      </c>
      <c r="B3574" t="s">
        <v>30</v>
      </c>
      <c r="C3574">
        <v>2023</v>
      </c>
      <c r="D3574">
        <v>42.375</v>
      </c>
      <c r="E3574">
        <v>90</v>
      </c>
      <c r="F3574">
        <v>98.75</v>
      </c>
      <c r="G3574">
        <v>33.625</v>
      </c>
      <c r="H3574">
        <v>56000</v>
      </c>
      <c r="I3574" t="s">
        <v>23</v>
      </c>
    </row>
    <row r="3575" spans="1:9" hidden="1" x14ac:dyDescent="0.25">
      <c r="A3575">
        <v>20</v>
      </c>
      <c r="B3575" t="s">
        <v>30</v>
      </c>
      <c r="C3575">
        <v>2023</v>
      </c>
      <c r="D3575">
        <v>98.75</v>
      </c>
      <c r="E3575" t="s">
        <v>9</v>
      </c>
      <c r="F3575">
        <v>79.625</v>
      </c>
      <c r="G3575">
        <v>19.125</v>
      </c>
      <c r="H3575">
        <v>56000</v>
      </c>
      <c r="I3575" t="s">
        <v>23</v>
      </c>
    </row>
    <row r="3576" spans="1:9" hidden="1" x14ac:dyDescent="0.25">
      <c r="A3576">
        <v>21</v>
      </c>
      <c r="B3576" t="s">
        <v>30</v>
      </c>
      <c r="C3576">
        <v>2023</v>
      </c>
      <c r="D3576">
        <v>79.625</v>
      </c>
      <c r="E3576" t="s">
        <v>9</v>
      </c>
      <c r="F3576">
        <v>55.25</v>
      </c>
      <c r="G3576">
        <v>24.375</v>
      </c>
      <c r="H3576">
        <v>56000</v>
      </c>
      <c r="I3576" t="s">
        <v>23</v>
      </c>
    </row>
    <row r="3577" spans="1:9" hidden="1" x14ac:dyDescent="0.25">
      <c r="A3577">
        <v>22</v>
      </c>
      <c r="B3577" t="s">
        <v>30</v>
      </c>
      <c r="C3577">
        <v>2023</v>
      </c>
      <c r="D3577">
        <v>55.25</v>
      </c>
      <c r="E3577">
        <v>60</v>
      </c>
      <c r="F3577">
        <v>90.75</v>
      </c>
      <c r="G3577">
        <v>24.5</v>
      </c>
      <c r="H3577">
        <v>56000</v>
      </c>
      <c r="I3577" t="s">
        <v>23</v>
      </c>
    </row>
    <row r="3578" spans="1:9" hidden="1" x14ac:dyDescent="0.25">
      <c r="A3578">
        <v>23</v>
      </c>
      <c r="B3578" t="s">
        <v>30</v>
      </c>
      <c r="C3578">
        <v>2023</v>
      </c>
      <c r="D3578">
        <v>90.75</v>
      </c>
      <c r="E3578" t="s">
        <v>9</v>
      </c>
      <c r="F3578">
        <v>54.75</v>
      </c>
      <c r="G3578">
        <v>36</v>
      </c>
      <c r="H3578">
        <v>56000</v>
      </c>
      <c r="I3578" t="s">
        <v>23</v>
      </c>
    </row>
    <row r="3579" spans="1:9" hidden="1" x14ac:dyDescent="0.25">
      <c r="A3579">
        <v>24</v>
      </c>
      <c r="B3579" t="s">
        <v>30</v>
      </c>
      <c r="C3579">
        <v>2023</v>
      </c>
      <c r="D3579">
        <v>54.75</v>
      </c>
      <c r="E3579">
        <v>80</v>
      </c>
      <c r="F3579">
        <v>90.25</v>
      </c>
      <c r="G3579">
        <v>44.5</v>
      </c>
      <c r="H3579">
        <v>56000</v>
      </c>
      <c r="I3579" t="s">
        <v>23</v>
      </c>
    </row>
    <row r="3580" spans="1:9" hidden="1" x14ac:dyDescent="0.25">
      <c r="A3580">
        <v>25</v>
      </c>
      <c r="B3580" t="s">
        <v>30</v>
      </c>
      <c r="C3580">
        <v>2023</v>
      </c>
      <c r="D3580">
        <v>90.25</v>
      </c>
      <c r="E3580" t="s">
        <v>9</v>
      </c>
      <c r="F3580">
        <v>59.125</v>
      </c>
      <c r="G3580">
        <v>31.125</v>
      </c>
      <c r="H3580">
        <v>56000</v>
      </c>
      <c r="I3580" t="s">
        <v>23</v>
      </c>
    </row>
    <row r="3581" spans="1:9" hidden="1" x14ac:dyDescent="0.25">
      <c r="A3581">
        <v>26</v>
      </c>
      <c r="B3581" t="s">
        <v>30</v>
      </c>
      <c r="C3581">
        <v>2023</v>
      </c>
      <c r="D3581">
        <v>59.125</v>
      </c>
      <c r="E3581" t="s">
        <v>9</v>
      </c>
      <c r="F3581">
        <v>42.5</v>
      </c>
      <c r="G3581">
        <v>16.625</v>
      </c>
      <c r="H3581">
        <v>56000</v>
      </c>
      <c r="I3581" t="s">
        <v>23</v>
      </c>
    </row>
    <row r="3582" spans="1:9" hidden="1" x14ac:dyDescent="0.25">
      <c r="A3582">
        <v>27</v>
      </c>
      <c r="B3582" t="s">
        <v>30</v>
      </c>
      <c r="C3582">
        <v>2023</v>
      </c>
      <c r="D3582">
        <v>42.5</v>
      </c>
      <c r="E3582">
        <v>90</v>
      </c>
      <c r="F3582">
        <v>112.25</v>
      </c>
      <c r="G3582">
        <v>20.25</v>
      </c>
      <c r="H3582">
        <v>56000</v>
      </c>
      <c r="I3582" t="s">
        <v>23</v>
      </c>
    </row>
    <row r="3583" spans="1:9" hidden="1" x14ac:dyDescent="0.25">
      <c r="A3583">
        <v>28</v>
      </c>
      <c r="B3583" t="s">
        <v>30</v>
      </c>
      <c r="C3583">
        <v>2023</v>
      </c>
      <c r="D3583">
        <v>112.25</v>
      </c>
      <c r="E3583" t="s">
        <v>9</v>
      </c>
      <c r="F3583">
        <v>85.875</v>
      </c>
      <c r="G3583">
        <v>26.375</v>
      </c>
      <c r="H3583">
        <v>56000</v>
      </c>
      <c r="I3583" t="s">
        <v>23</v>
      </c>
    </row>
    <row r="3584" spans="1:9" hidden="1" x14ac:dyDescent="0.25">
      <c r="A3584">
        <v>29</v>
      </c>
      <c r="B3584" t="s">
        <v>30</v>
      </c>
      <c r="C3584">
        <v>2023</v>
      </c>
      <c r="D3584">
        <v>85.875</v>
      </c>
      <c r="E3584" t="s">
        <v>9</v>
      </c>
      <c r="F3584">
        <v>43.875</v>
      </c>
      <c r="G3584">
        <v>42</v>
      </c>
      <c r="H3584">
        <v>56000</v>
      </c>
      <c r="I3584" t="s">
        <v>23</v>
      </c>
    </row>
    <row r="3585" spans="1:9" hidden="1" x14ac:dyDescent="0.25">
      <c r="A3585">
        <v>30</v>
      </c>
      <c r="B3585" t="s">
        <v>30</v>
      </c>
      <c r="C3585">
        <v>2023</v>
      </c>
      <c r="D3585">
        <v>43.875</v>
      </c>
      <c r="E3585">
        <v>20</v>
      </c>
      <c r="F3585">
        <v>16.25</v>
      </c>
      <c r="G3585">
        <v>47.625</v>
      </c>
      <c r="H3585">
        <v>56000</v>
      </c>
      <c r="I3585" t="s">
        <v>23</v>
      </c>
    </row>
    <row r="3586" spans="1:9" hidden="1" x14ac:dyDescent="0.25">
      <c r="A3586">
        <v>31</v>
      </c>
      <c r="B3586" t="s">
        <v>30</v>
      </c>
      <c r="C3586">
        <v>2023</v>
      </c>
      <c r="D3586">
        <v>16.25</v>
      </c>
      <c r="E3586" t="s">
        <v>9</v>
      </c>
      <c r="F3586" t="s">
        <v>9</v>
      </c>
      <c r="G3586">
        <v>16.25</v>
      </c>
      <c r="H3586">
        <v>56000</v>
      </c>
      <c r="I3586" t="s">
        <v>23</v>
      </c>
    </row>
    <row r="3587" spans="1:9" hidden="1" x14ac:dyDescent="0.25">
      <c r="A3587">
        <v>1</v>
      </c>
      <c r="B3587" t="s">
        <v>30</v>
      </c>
      <c r="C3587">
        <v>2023</v>
      </c>
      <c r="D3587">
        <v>29.875</v>
      </c>
      <c r="E3587" t="s">
        <v>9</v>
      </c>
      <c r="F3587">
        <v>20.5</v>
      </c>
      <c r="G3587">
        <v>9.375</v>
      </c>
      <c r="H3587">
        <v>56000</v>
      </c>
      <c r="I3587" t="s">
        <v>25</v>
      </c>
    </row>
    <row r="3588" spans="1:9" hidden="1" x14ac:dyDescent="0.25">
      <c r="A3588">
        <v>2</v>
      </c>
      <c r="B3588" t="s">
        <v>30</v>
      </c>
      <c r="C3588">
        <v>2023</v>
      </c>
      <c r="D3588">
        <v>20.5</v>
      </c>
      <c r="E3588" t="s">
        <v>9</v>
      </c>
      <c r="F3588">
        <v>10.75</v>
      </c>
      <c r="G3588">
        <v>9.75</v>
      </c>
      <c r="H3588">
        <v>56000</v>
      </c>
      <c r="I3588" t="s">
        <v>25</v>
      </c>
    </row>
    <row r="3589" spans="1:9" hidden="1" x14ac:dyDescent="0.25">
      <c r="A3589">
        <v>3</v>
      </c>
      <c r="B3589" t="s">
        <v>30</v>
      </c>
      <c r="C3589">
        <v>2023</v>
      </c>
      <c r="D3589">
        <v>10.75</v>
      </c>
      <c r="E3589">
        <v>30</v>
      </c>
      <c r="F3589">
        <v>27.125</v>
      </c>
      <c r="G3589">
        <v>13.625</v>
      </c>
      <c r="H3589">
        <v>56000</v>
      </c>
      <c r="I3589" t="s">
        <v>25</v>
      </c>
    </row>
    <row r="3590" spans="1:9" hidden="1" x14ac:dyDescent="0.25">
      <c r="A3590">
        <v>4</v>
      </c>
      <c r="B3590" t="s">
        <v>30</v>
      </c>
      <c r="C3590">
        <v>2023</v>
      </c>
      <c r="D3590">
        <v>27.125</v>
      </c>
      <c r="E3590">
        <v>56.25</v>
      </c>
      <c r="F3590">
        <v>71.25</v>
      </c>
      <c r="G3590">
        <v>12.125</v>
      </c>
      <c r="H3590">
        <v>56000</v>
      </c>
      <c r="I3590" t="s">
        <v>25</v>
      </c>
    </row>
    <row r="3591" spans="1:9" hidden="1" x14ac:dyDescent="0.25">
      <c r="A3591">
        <v>5</v>
      </c>
      <c r="B3591" t="s">
        <v>30</v>
      </c>
      <c r="C3591">
        <v>2023</v>
      </c>
      <c r="D3591">
        <v>71.25</v>
      </c>
      <c r="E3591" t="s">
        <v>9</v>
      </c>
      <c r="F3591">
        <v>65.125</v>
      </c>
      <c r="G3591">
        <v>6.125</v>
      </c>
      <c r="H3591">
        <v>56000</v>
      </c>
      <c r="I3591" t="s">
        <v>25</v>
      </c>
    </row>
    <row r="3592" spans="1:9" hidden="1" x14ac:dyDescent="0.25">
      <c r="A3592">
        <v>6</v>
      </c>
      <c r="B3592" t="s">
        <v>30</v>
      </c>
      <c r="C3592">
        <v>2023</v>
      </c>
      <c r="D3592">
        <v>65.125</v>
      </c>
      <c r="E3592" t="s">
        <v>9</v>
      </c>
      <c r="F3592">
        <v>60.75</v>
      </c>
      <c r="G3592">
        <v>4.375</v>
      </c>
      <c r="H3592">
        <v>56000</v>
      </c>
      <c r="I3592" t="s">
        <v>25</v>
      </c>
    </row>
    <row r="3593" spans="1:9" hidden="1" x14ac:dyDescent="0.25">
      <c r="A3593">
        <v>7</v>
      </c>
      <c r="B3593" t="s">
        <v>30</v>
      </c>
      <c r="C3593">
        <v>2023</v>
      </c>
      <c r="D3593">
        <v>60.75</v>
      </c>
      <c r="E3593" t="s">
        <v>9</v>
      </c>
      <c r="F3593">
        <v>50.5</v>
      </c>
      <c r="G3593">
        <v>10.25</v>
      </c>
      <c r="H3593">
        <v>56000</v>
      </c>
      <c r="I3593" t="s">
        <v>25</v>
      </c>
    </row>
    <row r="3594" spans="1:9" hidden="1" x14ac:dyDescent="0.25">
      <c r="A3594">
        <v>8</v>
      </c>
      <c r="B3594" t="s">
        <v>30</v>
      </c>
      <c r="C3594">
        <v>2023</v>
      </c>
      <c r="D3594">
        <v>50.5</v>
      </c>
      <c r="E3594" t="s">
        <v>9</v>
      </c>
      <c r="F3594">
        <v>40.875</v>
      </c>
      <c r="G3594">
        <v>9.625</v>
      </c>
      <c r="H3594">
        <v>56000</v>
      </c>
      <c r="I3594" t="s">
        <v>25</v>
      </c>
    </row>
    <row r="3595" spans="1:9" hidden="1" x14ac:dyDescent="0.25">
      <c r="A3595">
        <v>9</v>
      </c>
      <c r="B3595" t="s">
        <v>30</v>
      </c>
      <c r="C3595">
        <v>2023</v>
      </c>
      <c r="D3595">
        <v>40.875</v>
      </c>
      <c r="E3595" t="s">
        <v>9</v>
      </c>
      <c r="F3595">
        <v>31.625</v>
      </c>
      <c r="G3595">
        <v>9.25</v>
      </c>
      <c r="H3595">
        <v>56000</v>
      </c>
      <c r="I3595" t="s">
        <v>25</v>
      </c>
    </row>
    <row r="3596" spans="1:9" hidden="1" x14ac:dyDescent="0.25">
      <c r="A3596">
        <v>10</v>
      </c>
      <c r="B3596" t="s">
        <v>30</v>
      </c>
      <c r="C3596">
        <v>2023</v>
      </c>
      <c r="D3596">
        <v>31.625</v>
      </c>
      <c r="E3596" t="s">
        <v>9</v>
      </c>
      <c r="F3596">
        <v>18.875</v>
      </c>
      <c r="G3596">
        <v>12.75</v>
      </c>
      <c r="H3596">
        <v>56000</v>
      </c>
      <c r="I3596" t="s">
        <v>25</v>
      </c>
    </row>
    <row r="3597" spans="1:9" hidden="1" x14ac:dyDescent="0.25">
      <c r="A3597">
        <v>11</v>
      </c>
      <c r="B3597" t="s">
        <v>30</v>
      </c>
      <c r="C3597">
        <v>2023</v>
      </c>
      <c r="D3597">
        <v>18.875</v>
      </c>
      <c r="E3597">
        <v>0.375</v>
      </c>
      <c r="F3597">
        <v>2.875</v>
      </c>
      <c r="G3597">
        <v>16.375</v>
      </c>
      <c r="H3597">
        <v>56000</v>
      </c>
      <c r="I3597" t="s">
        <v>25</v>
      </c>
    </row>
    <row r="3598" spans="1:9" hidden="1" x14ac:dyDescent="0.25">
      <c r="A3598">
        <v>12</v>
      </c>
      <c r="B3598" t="s">
        <v>30</v>
      </c>
      <c r="C3598">
        <v>2023</v>
      </c>
      <c r="D3598">
        <v>2.875</v>
      </c>
      <c r="E3598">
        <v>40</v>
      </c>
      <c r="F3598">
        <v>34.625</v>
      </c>
      <c r="G3598">
        <v>8.25</v>
      </c>
      <c r="H3598">
        <v>56000</v>
      </c>
      <c r="I3598" t="s">
        <v>25</v>
      </c>
    </row>
    <row r="3599" spans="1:9" hidden="1" x14ac:dyDescent="0.25">
      <c r="A3599">
        <v>13</v>
      </c>
      <c r="B3599" t="s">
        <v>30</v>
      </c>
      <c r="C3599">
        <v>2023</v>
      </c>
      <c r="D3599">
        <v>34.625</v>
      </c>
      <c r="E3599" t="s">
        <v>9</v>
      </c>
      <c r="F3599">
        <v>28.625</v>
      </c>
      <c r="G3599">
        <v>6</v>
      </c>
      <c r="H3599">
        <v>56000</v>
      </c>
      <c r="I3599" t="s">
        <v>25</v>
      </c>
    </row>
    <row r="3600" spans="1:9" hidden="1" x14ac:dyDescent="0.25">
      <c r="A3600">
        <v>14</v>
      </c>
      <c r="B3600" t="s">
        <v>30</v>
      </c>
      <c r="C3600">
        <v>2023</v>
      </c>
      <c r="D3600">
        <v>28.625</v>
      </c>
      <c r="E3600" t="s">
        <v>9</v>
      </c>
      <c r="F3600">
        <v>23.375</v>
      </c>
      <c r="G3600">
        <v>5.25</v>
      </c>
      <c r="H3600">
        <v>56000</v>
      </c>
      <c r="I3600" t="s">
        <v>25</v>
      </c>
    </row>
    <row r="3601" spans="1:9" hidden="1" x14ac:dyDescent="0.25">
      <c r="A3601">
        <v>15</v>
      </c>
      <c r="B3601" t="s">
        <v>30</v>
      </c>
      <c r="C3601">
        <v>2023</v>
      </c>
      <c r="D3601">
        <v>23.375</v>
      </c>
      <c r="E3601">
        <v>50</v>
      </c>
      <c r="F3601">
        <v>65.75</v>
      </c>
      <c r="G3601">
        <v>7.625</v>
      </c>
      <c r="H3601">
        <v>56000</v>
      </c>
      <c r="I3601" t="s">
        <v>25</v>
      </c>
    </row>
    <row r="3602" spans="1:9" hidden="1" x14ac:dyDescent="0.25">
      <c r="A3602">
        <v>16</v>
      </c>
      <c r="B3602" t="s">
        <v>30</v>
      </c>
      <c r="C3602">
        <v>2023</v>
      </c>
      <c r="D3602">
        <v>65.75</v>
      </c>
      <c r="E3602" t="s">
        <v>9</v>
      </c>
      <c r="F3602">
        <v>54.75</v>
      </c>
      <c r="G3602">
        <v>11</v>
      </c>
      <c r="H3602">
        <v>56000</v>
      </c>
      <c r="I3602" t="s">
        <v>25</v>
      </c>
    </row>
    <row r="3603" spans="1:9" hidden="1" x14ac:dyDescent="0.25">
      <c r="A3603">
        <v>17</v>
      </c>
      <c r="B3603" t="s">
        <v>30</v>
      </c>
      <c r="C3603">
        <v>2023</v>
      </c>
      <c r="D3603">
        <v>54.75</v>
      </c>
      <c r="E3603" t="s">
        <v>9</v>
      </c>
      <c r="F3603">
        <v>39.375</v>
      </c>
      <c r="G3603">
        <v>15.375</v>
      </c>
      <c r="H3603">
        <v>56000</v>
      </c>
      <c r="I3603" t="s">
        <v>25</v>
      </c>
    </row>
    <row r="3604" spans="1:9" hidden="1" x14ac:dyDescent="0.25">
      <c r="A3604">
        <v>18</v>
      </c>
      <c r="B3604" t="s">
        <v>30</v>
      </c>
      <c r="C3604">
        <v>2023</v>
      </c>
      <c r="D3604">
        <v>39.375</v>
      </c>
      <c r="E3604" t="s">
        <v>9</v>
      </c>
      <c r="F3604">
        <v>23.375</v>
      </c>
      <c r="G3604">
        <v>16</v>
      </c>
      <c r="H3604">
        <v>56000</v>
      </c>
      <c r="I3604" t="s">
        <v>25</v>
      </c>
    </row>
    <row r="3605" spans="1:9" hidden="1" x14ac:dyDescent="0.25">
      <c r="A3605">
        <v>19</v>
      </c>
      <c r="B3605" t="s">
        <v>30</v>
      </c>
      <c r="C3605">
        <v>2023</v>
      </c>
      <c r="D3605">
        <v>23.375</v>
      </c>
      <c r="E3605" t="s">
        <v>9</v>
      </c>
      <c r="F3605">
        <v>11.25</v>
      </c>
      <c r="G3605">
        <v>12.125</v>
      </c>
      <c r="H3605">
        <v>56000</v>
      </c>
      <c r="I3605" t="s">
        <v>25</v>
      </c>
    </row>
    <row r="3606" spans="1:9" hidden="1" x14ac:dyDescent="0.25">
      <c r="A3606">
        <v>20</v>
      </c>
      <c r="B3606" t="s">
        <v>30</v>
      </c>
      <c r="C3606">
        <v>2023</v>
      </c>
      <c r="D3606">
        <v>11.25</v>
      </c>
      <c r="E3606" t="s">
        <v>9</v>
      </c>
      <c r="F3606">
        <v>4</v>
      </c>
      <c r="G3606">
        <v>7.25</v>
      </c>
      <c r="H3606">
        <v>56000</v>
      </c>
      <c r="I3606" t="s">
        <v>25</v>
      </c>
    </row>
    <row r="3607" spans="1:9" hidden="1" x14ac:dyDescent="0.25">
      <c r="A3607">
        <v>21</v>
      </c>
      <c r="B3607" t="s">
        <v>30</v>
      </c>
      <c r="C3607">
        <v>2023</v>
      </c>
      <c r="D3607">
        <v>4</v>
      </c>
      <c r="E3607">
        <v>30</v>
      </c>
      <c r="F3607">
        <v>28</v>
      </c>
      <c r="G3607">
        <v>6</v>
      </c>
      <c r="H3607">
        <v>56000</v>
      </c>
      <c r="I3607" t="s">
        <v>25</v>
      </c>
    </row>
    <row r="3608" spans="1:9" hidden="1" x14ac:dyDescent="0.25">
      <c r="A3608">
        <v>22</v>
      </c>
      <c r="B3608" t="s">
        <v>30</v>
      </c>
      <c r="C3608">
        <v>2023</v>
      </c>
      <c r="D3608">
        <v>28</v>
      </c>
      <c r="E3608" t="s">
        <v>9</v>
      </c>
      <c r="F3608">
        <v>18.625</v>
      </c>
      <c r="G3608">
        <v>9.375</v>
      </c>
      <c r="H3608">
        <v>56000</v>
      </c>
      <c r="I3608" t="s">
        <v>25</v>
      </c>
    </row>
    <row r="3609" spans="1:9" hidden="1" x14ac:dyDescent="0.25">
      <c r="A3609">
        <v>23</v>
      </c>
      <c r="B3609" t="s">
        <v>30</v>
      </c>
      <c r="C3609">
        <v>2023</v>
      </c>
      <c r="D3609">
        <v>18.625</v>
      </c>
      <c r="E3609" t="s">
        <v>9</v>
      </c>
      <c r="F3609">
        <v>8.75</v>
      </c>
      <c r="G3609">
        <v>9.875</v>
      </c>
      <c r="H3609">
        <v>56000</v>
      </c>
      <c r="I3609" t="s">
        <v>25</v>
      </c>
    </row>
    <row r="3610" spans="1:9" hidden="1" x14ac:dyDescent="0.25">
      <c r="A3610">
        <v>24</v>
      </c>
      <c r="B3610" t="s">
        <v>30</v>
      </c>
      <c r="C3610">
        <v>2023</v>
      </c>
      <c r="D3610">
        <v>8.75</v>
      </c>
      <c r="E3610">
        <v>50</v>
      </c>
      <c r="F3610">
        <v>48</v>
      </c>
      <c r="G3610">
        <v>10.75</v>
      </c>
      <c r="H3610">
        <v>56000</v>
      </c>
      <c r="I3610" t="s">
        <v>25</v>
      </c>
    </row>
    <row r="3611" spans="1:9" hidden="1" x14ac:dyDescent="0.25">
      <c r="A3611">
        <v>25</v>
      </c>
      <c r="B3611" t="s">
        <v>30</v>
      </c>
      <c r="C3611">
        <v>2023</v>
      </c>
      <c r="D3611">
        <v>48</v>
      </c>
      <c r="E3611">
        <v>7</v>
      </c>
      <c r="F3611">
        <v>40.75</v>
      </c>
      <c r="G3611">
        <v>14.25</v>
      </c>
      <c r="H3611">
        <v>56000</v>
      </c>
      <c r="I3611" t="s">
        <v>25</v>
      </c>
    </row>
    <row r="3612" spans="1:9" hidden="1" x14ac:dyDescent="0.25">
      <c r="A3612">
        <v>26</v>
      </c>
      <c r="B3612" t="s">
        <v>30</v>
      </c>
      <c r="C3612">
        <v>2023</v>
      </c>
      <c r="D3612">
        <v>40.75</v>
      </c>
      <c r="E3612" t="s">
        <v>9</v>
      </c>
      <c r="F3612">
        <v>34.875</v>
      </c>
      <c r="G3612">
        <v>5.875</v>
      </c>
      <c r="H3612">
        <v>56000</v>
      </c>
      <c r="I3612" t="s">
        <v>25</v>
      </c>
    </row>
    <row r="3613" spans="1:9" hidden="1" x14ac:dyDescent="0.25">
      <c r="A3613">
        <v>27</v>
      </c>
      <c r="B3613" t="s">
        <v>30</v>
      </c>
      <c r="C3613">
        <v>2023</v>
      </c>
      <c r="D3613">
        <v>34.875</v>
      </c>
      <c r="E3613" t="s">
        <v>9</v>
      </c>
      <c r="F3613">
        <v>28.625</v>
      </c>
      <c r="G3613">
        <v>6.25</v>
      </c>
      <c r="H3613">
        <v>56000</v>
      </c>
      <c r="I3613" t="s">
        <v>25</v>
      </c>
    </row>
    <row r="3614" spans="1:9" hidden="1" x14ac:dyDescent="0.25">
      <c r="A3614">
        <v>28</v>
      </c>
      <c r="B3614" t="s">
        <v>30</v>
      </c>
      <c r="C3614">
        <v>2023</v>
      </c>
      <c r="D3614">
        <v>28.625</v>
      </c>
      <c r="E3614" t="s">
        <v>9</v>
      </c>
      <c r="F3614">
        <v>25.375</v>
      </c>
      <c r="G3614">
        <v>3.25</v>
      </c>
      <c r="H3614">
        <v>56000</v>
      </c>
      <c r="I3614" t="s">
        <v>25</v>
      </c>
    </row>
    <row r="3615" spans="1:9" hidden="1" x14ac:dyDescent="0.25">
      <c r="A3615">
        <v>29</v>
      </c>
      <c r="B3615" t="s">
        <v>30</v>
      </c>
      <c r="C3615">
        <v>2023</v>
      </c>
      <c r="D3615">
        <v>25.375</v>
      </c>
      <c r="E3615" t="s">
        <v>9</v>
      </c>
      <c r="F3615">
        <v>12.375</v>
      </c>
      <c r="G3615">
        <v>13</v>
      </c>
      <c r="H3615">
        <v>56000</v>
      </c>
      <c r="I3615" t="s">
        <v>25</v>
      </c>
    </row>
    <row r="3616" spans="1:9" hidden="1" x14ac:dyDescent="0.25">
      <c r="A3616">
        <v>30</v>
      </c>
      <c r="B3616" t="s">
        <v>30</v>
      </c>
      <c r="C3616">
        <v>2023</v>
      </c>
      <c r="D3616">
        <v>12.375</v>
      </c>
      <c r="E3616">
        <v>40</v>
      </c>
      <c r="F3616">
        <v>42.25</v>
      </c>
      <c r="G3616">
        <v>10.125</v>
      </c>
      <c r="H3616">
        <v>56000</v>
      </c>
      <c r="I3616" t="s">
        <v>25</v>
      </c>
    </row>
    <row r="3617" spans="1:9" hidden="1" x14ac:dyDescent="0.25">
      <c r="A3617">
        <v>31</v>
      </c>
      <c r="B3617" t="s">
        <v>30</v>
      </c>
      <c r="C3617">
        <v>2023</v>
      </c>
      <c r="D3617">
        <v>42.25</v>
      </c>
      <c r="E3617" t="s">
        <v>9</v>
      </c>
      <c r="F3617" t="s">
        <v>9</v>
      </c>
      <c r="G3617">
        <v>42.25</v>
      </c>
      <c r="H3617">
        <v>56000</v>
      </c>
      <c r="I3617" t="s">
        <v>25</v>
      </c>
    </row>
    <row r="3618" spans="1:9" x14ac:dyDescent="0.25">
      <c r="A3618">
        <v>1</v>
      </c>
      <c r="B3618" t="s">
        <v>31</v>
      </c>
      <c r="C3618">
        <v>2023</v>
      </c>
      <c r="D3618">
        <v>33.375</v>
      </c>
      <c r="E3618">
        <v>90</v>
      </c>
      <c r="F3618">
        <v>91.75</v>
      </c>
      <c r="G3618">
        <v>31.625</v>
      </c>
      <c r="H3618">
        <v>56000</v>
      </c>
      <c r="I3618" t="s">
        <v>22</v>
      </c>
    </row>
    <row r="3619" spans="1:9" x14ac:dyDescent="0.25">
      <c r="A3619">
        <v>2</v>
      </c>
      <c r="B3619" t="s">
        <v>31</v>
      </c>
      <c r="C3619">
        <v>2023</v>
      </c>
      <c r="D3619">
        <v>91.75</v>
      </c>
      <c r="E3619" t="s">
        <v>9</v>
      </c>
      <c r="F3619">
        <v>47.625</v>
      </c>
      <c r="G3619">
        <v>44.125</v>
      </c>
      <c r="H3619">
        <v>56000</v>
      </c>
      <c r="I3619" t="s">
        <v>22</v>
      </c>
    </row>
    <row r="3620" spans="1:9" x14ac:dyDescent="0.25">
      <c r="A3620">
        <v>3</v>
      </c>
      <c r="B3620" t="s">
        <v>31</v>
      </c>
      <c r="C3620">
        <v>2023</v>
      </c>
      <c r="D3620">
        <v>47.625</v>
      </c>
      <c r="E3620">
        <v>60</v>
      </c>
      <c r="F3620">
        <v>66.875</v>
      </c>
      <c r="G3620">
        <v>40.75</v>
      </c>
      <c r="H3620">
        <v>56000</v>
      </c>
      <c r="I3620" t="s">
        <v>22</v>
      </c>
    </row>
    <row r="3621" spans="1:9" x14ac:dyDescent="0.25">
      <c r="A3621">
        <v>4</v>
      </c>
      <c r="B3621" t="s">
        <v>31</v>
      </c>
      <c r="C3621">
        <v>2023</v>
      </c>
      <c r="D3621">
        <v>66.875</v>
      </c>
      <c r="E3621" t="s">
        <v>9</v>
      </c>
      <c r="F3621">
        <v>45.375</v>
      </c>
      <c r="G3621">
        <v>21.5</v>
      </c>
      <c r="H3621">
        <v>56000</v>
      </c>
      <c r="I3621" t="s">
        <v>22</v>
      </c>
    </row>
    <row r="3622" spans="1:9" x14ac:dyDescent="0.25">
      <c r="A3622">
        <v>5</v>
      </c>
      <c r="B3622" t="s">
        <v>31</v>
      </c>
      <c r="C3622">
        <v>2023</v>
      </c>
      <c r="D3622">
        <v>45.375</v>
      </c>
      <c r="E3622" t="s">
        <v>9</v>
      </c>
      <c r="F3622">
        <v>14.75</v>
      </c>
      <c r="G3622">
        <v>30.625</v>
      </c>
      <c r="H3622">
        <v>56000</v>
      </c>
      <c r="I3622" t="s">
        <v>22</v>
      </c>
    </row>
    <row r="3623" spans="1:9" x14ac:dyDescent="0.25">
      <c r="A3623">
        <v>6</v>
      </c>
      <c r="B3623" t="s">
        <v>31</v>
      </c>
      <c r="C3623">
        <v>2023</v>
      </c>
      <c r="D3623">
        <v>14.75</v>
      </c>
      <c r="E3623">
        <v>70</v>
      </c>
      <c r="F3623">
        <v>60.875</v>
      </c>
      <c r="G3623">
        <v>23.875</v>
      </c>
      <c r="H3623">
        <v>56000</v>
      </c>
      <c r="I3623" t="s">
        <v>22</v>
      </c>
    </row>
    <row r="3624" spans="1:9" x14ac:dyDescent="0.25">
      <c r="A3624">
        <v>7</v>
      </c>
      <c r="B3624" t="s">
        <v>31</v>
      </c>
      <c r="C3624">
        <v>2023</v>
      </c>
      <c r="D3624">
        <v>60.875</v>
      </c>
      <c r="E3624" t="s">
        <v>9</v>
      </c>
      <c r="F3624">
        <v>36.5</v>
      </c>
      <c r="G3624">
        <v>24.375</v>
      </c>
      <c r="H3624">
        <v>56000</v>
      </c>
      <c r="I3624" t="s">
        <v>22</v>
      </c>
    </row>
    <row r="3625" spans="1:9" x14ac:dyDescent="0.25">
      <c r="A3625">
        <v>8</v>
      </c>
      <c r="B3625" t="s">
        <v>31</v>
      </c>
      <c r="C3625">
        <v>2023</v>
      </c>
      <c r="D3625">
        <v>36.5</v>
      </c>
      <c r="E3625">
        <v>90</v>
      </c>
      <c r="F3625">
        <v>80.375</v>
      </c>
      <c r="G3625">
        <v>46.125</v>
      </c>
      <c r="H3625">
        <v>56000</v>
      </c>
      <c r="I3625" t="s">
        <v>22</v>
      </c>
    </row>
    <row r="3626" spans="1:9" x14ac:dyDescent="0.25">
      <c r="A3626">
        <v>9</v>
      </c>
      <c r="B3626" t="s">
        <v>31</v>
      </c>
      <c r="C3626">
        <v>2023</v>
      </c>
      <c r="D3626">
        <v>80.375</v>
      </c>
      <c r="E3626" t="s">
        <v>9</v>
      </c>
      <c r="F3626">
        <v>29.875</v>
      </c>
      <c r="G3626">
        <v>50.5</v>
      </c>
      <c r="H3626">
        <v>56000</v>
      </c>
      <c r="I3626" t="s">
        <v>22</v>
      </c>
    </row>
    <row r="3627" spans="1:9" x14ac:dyDescent="0.25">
      <c r="A3627">
        <v>10</v>
      </c>
      <c r="B3627" t="s">
        <v>31</v>
      </c>
      <c r="C3627">
        <v>2023</v>
      </c>
      <c r="D3627">
        <v>29.875</v>
      </c>
      <c r="E3627">
        <v>100</v>
      </c>
      <c r="F3627">
        <v>112.375</v>
      </c>
      <c r="G3627">
        <v>17.5</v>
      </c>
      <c r="H3627">
        <v>56000</v>
      </c>
      <c r="I3627" t="s">
        <v>22</v>
      </c>
    </row>
    <row r="3628" spans="1:9" x14ac:dyDescent="0.25">
      <c r="A3628">
        <v>11</v>
      </c>
      <c r="B3628" t="s">
        <v>31</v>
      </c>
      <c r="C3628">
        <v>2023</v>
      </c>
      <c r="D3628">
        <v>112.375</v>
      </c>
      <c r="E3628" t="s">
        <v>9</v>
      </c>
      <c r="F3628">
        <v>94.625</v>
      </c>
      <c r="G3628">
        <v>17.75</v>
      </c>
      <c r="H3628">
        <v>56000</v>
      </c>
      <c r="I3628" t="s">
        <v>22</v>
      </c>
    </row>
    <row r="3629" spans="1:9" x14ac:dyDescent="0.25">
      <c r="A3629">
        <v>12</v>
      </c>
      <c r="B3629" t="s">
        <v>31</v>
      </c>
      <c r="C3629">
        <v>2023</v>
      </c>
      <c r="D3629">
        <v>94.625</v>
      </c>
      <c r="E3629" t="s">
        <v>9</v>
      </c>
      <c r="F3629">
        <v>60.25</v>
      </c>
      <c r="G3629">
        <v>34.375</v>
      </c>
      <c r="H3629">
        <v>56000</v>
      </c>
      <c r="I3629" t="s">
        <v>22</v>
      </c>
    </row>
    <row r="3630" spans="1:9" x14ac:dyDescent="0.25">
      <c r="A3630">
        <v>13</v>
      </c>
      <c r="B3630" t="s">
        <v>31</v>
      </c>
      <c r="C3630">
        <v>2023</v>
      </c>
      <c r="D3630">
        <v>60.25</v>
      </c>
      <c r="E3630" t="s">
        <v>9</v>
      </c>
      <c r="F3630">
        <v>41.375</v>
      </c>
      <c r="G3630">
        <v>18.875</v>
      </c>
      <c r="H3630">
        <v>56000</v>
      </c>
      <c r="I3630" t="s">
        <v>22</v>
      </c>
    </row>
    <row r="3631" spans="1:9" x14ac:dyDescent="0.25">
      <c r="A3631">
        <v>14</v>
      </c>
      <c r="B3631" t="s">
        <v>31</v>
      </c>
      <c r="C3631">
        <v>2023</v>
      </c>
      <c r="D3631">
        <v>41.375</v>
      </c>
      <c r="E3631">
        <v>100</v>
      </c>
      <c r="F3631">
        <v>118.25</v>
      </c>
      <c r="G3631">
        <v>23.125</v>
      </c>
      <c r="H3631">
        <v>56000</v>
      </c>
      <c r="I3631" t="s">
        <v>22</v>
      </c>
    </row>
    <row r="3632" spans="1:9" x14ac:dyDescent="0.25">
      <c r="A3632">
        <v>15</v>
      </c>
      <c r="B3632" t="s">
        <v>31</v>
      </c>
      <c r="C3632">
        <v>2023</v>
      </c>
      <c r="D3632">
        <v>118.25</v>
      </c>
      <c r="E3632" t="s">
        <v>9</v>
      </c>
      <c r="F3632">
        <v>88.875</v>
      </c>
      <c r="G3632">
        <v>29.375</v>
      </c>
      <c r="H3632">
        <v>56000</v>
      </c>
      <c r="I3632" t="s">
        <v>22</v>
      </c>
    </row>
    <row r="3633" spans="1:9" x14ac:dyDescent="0.25">
      <c r="A3633">
        <v>16</v>
      </c>
      <c r="B3633" t="s">
        <v>31</v>
      </c>
      <c r="C3633">
        <v>2023</v>
      </c>
      <c r="D3633">
        <v>88.875</v>
      </c>
      <c r="E3633" t="s">
        <v>9</v>
      </c>
      <c r="F3633">
        <v>47.875</v>
      </c>
      <c r="G3633">
        <v>41</v>
      </c>
      <c r="H3633">
        <v>56000</v>
      </c>
      <c r="I3633" t="s">
        <v>22</v>
      </c>
    </row>
    <row r="3634" spans="1:9" x14ac:dyDescent="0.25">
      <c r="A3634">
        <v>17</v>
      </c>
      <c r="B3634" t="s">
        <v>31</v>
      </c>
      <c r="C3634">
        <v>2023</v>
      </c>
      <c r="D3634">
        <v>47.875</v>
      </c>
      <c r="E3634">
        <v>100</v>
      </c>
      <c r="F3634">
        <v>136</v>
      </c>
      <c r="G3634">
        <v>11.875</v>
      </c>
      <c r="H3634">
        <v>56000</v>
      </c>
      <c r="I3634" t="s">
        <v>22</v>
      </c>
    </row>
    <row r="3635" spans="1:9" x14ac:dyDescent="0.25">
      <c r="A3635">
        <v>18</v>
      </c>
      <c r="B3635" t="s">
        <v>31</v>
      </c>
      <c r="C3635">
        <v>2023</v>
      </c>
      <c r="D3635">
        <v>136</v>
      </c>
      <c r="E3635" t="s">
        <v>9</v>
      </c>
      <c r="F3635">
        <v>120.875</v>
      </c>
      <c r="G3635">
        <v>15.125</v>
      </c>
      <c r="H3635">
        <v>56000</v>
      </c>
      <c r="I3635" t="s">
        <v>22</v>
      </c>
    </row>
    <row r="3636" spans="1:9" x14ac:dyDescent="0.25">
      <c r="A3636">
        <v>19</v>
      </c>
      <c r="B3636" t="s">
        <v>31</v>
      </c>
      <c r="C3636">
        <v>2023</v>
      </c>
      <c r="D3636">
        <v>120.875</v>
      </c>
      <c r="E3636">
        <v>60</v>
      </c>
      <c r="F3636">
        <v>149.875</v>
      </c>
      <c r="G3636">
        <v>31</v>
      </c>
      <c r="H3636">
        <v>56000</v>
      </c>
      <c r="I3636" t="s">
        <v>22</v>
      </c>
    </row>
    <row r="3637" spans="1:9" x14ac:dyDescent="0.25">
      <c r="A3637">
        <v>20</v>
      </c>
      <c r="B3637" t="s">
        <v>31</v>
      </c>
      <c r="C3637">
        <v>2023</v>
      </c>
      <c r="D3637">
        <v>149.875</v>
      </c>
      <c r="E3637" t="s">
        <v>9</v>
      </c>
      <c r="F3637">
        <v>92.625</v>
      </c>
      <c r="G3637">
        <v>57.25</v>
      </c>
      <c r="H3637">
        <v>56000</v>
      </c>
      <c r="I3637" t="s">
        <v>22</v>
      </c>
    </row>
    <row r="3638" spans="1:9" x14ac:dyDescent="0.25">
      <c r="A3638">
        <v>21</v>
      </c>
      <c r="B3638" t="s">
        <v>31</v>
      </c>
      <c r="C3638">
        <v>2023</v>
      </c>
      <c r="D3638">
        <v>92.625</v>
      </c>
      <c r="E3638" t="s">
        <v>9</v>
      </c>
      <c r="F3638">
        <v>59.375</v>
      </c>
      <c r="G3638">
        <v>33.25</v>
      </c>
      <c r="H3638">
        <v>56000</v>
      </c>
      <c r="I3638" t="s">
        <v>22</v>
      </c>
    </row>
    <row r="3639" spans="1:9" x14ac:dyDescent="0.25">
      <c r="A3639">
        <v>22</v>
      </c>
      <c r="B3639" t="s">
        <v>31</v>
      </c>
      <c r="C3639">
        <v>2023</v>
      </c>
      <c r="D3639">
        <v>59.375</v>
      </c>
      <c r="E3639">
        <v>90</v>
      </c>
      <c r="F3639">
        <v>102.875</v>
      </c>
      <c r="G3639">
        <v>46.5</v>
      </c>
      <c r="H3639">
        <v>56000</v>
      </c>
      <c r="I3639" t="s">
        <v>22</v>
      </c>
    </row>
    <row r="3640" spans="1:9" x14ac:dyDescent="0.25">
      <c r="A3640">
        <v>23</v>
      </c>
      <c r="B3640" t="s">
        <v>31</v>
      </c>
      <c r="C3640">
        <v>2023</v>
      </c>
      <c r="D3640">
        <v>102.875</v>
      </c>
      <c r="E3640" t="s">
        <v>9</v>
      </c>
      <c r="F3640">
        <v>55.875</v>
      </c>
      <c r="G3640">
        <v>47</v>
      </c>
      <c r="H3640">
        <v>56000</v>
      </c>
      <c r="I3640" t="s">
        <v>22</v>
      </c>
    </row>
    <row r="3641" spans="1:9" x14ac:dyDescent="0.25">
      <c r="A3641">
        <v>24</v>
      </c>
      <c r="B3641" t="s">
        <v>31</v>
      </c>
      <c r="C3641">
        <v>2023</v>
      </c>
      <c r="D3641">
        <v>55.875</v>
      </c>
      <c r="E3641">
        <v>90</v>
      </c>
      <c r="F3641">
        <v>133.5</v>
      </c>
      <c r="G3641">
        <v>12.375</v>
      </c>
      <c r="H3641">
        <v>56000</v>
      </c>
      <c r="I3641" t="s">
        <v>22</v>
      </c>
    </row>
    <row r="3642" spans="1:9" x14ac:dyDescent="0.25">
      <c r="A3642">
        <v>25</v>
      </c>
      <c r="B3642" t="s">
        <v>31</v>
      </c>
      <c r="C3642">
        <v>2023</v>
      </c>
      <c r="D3642">
        <v>133.5</v>
      </c>
      <c r="E3642" t="s">
        <v>9</v>
      </c>
      <c r="F3642">
        <v>111.375</v>
      </c>
      <c r="G3642">
        <v>22.125</v>
      </c>
      <c r="H3642">
        <v>56000</v>
      </c>
      <c r="I3642" t="s">
        <v>22</v>
      </c>
    </row>
    <row r="3643" spans="1:9" x14ac:dyDescent="0.25">
      <c r="A3643">
        <v>26</v>
      </c>
      <c r="B3643" t="s">
        <v>31</v>
      </c>
      <c r="C3643">
        <v>2023</v>
      </c>
      <c r="D3643">
        <v>111.375</v>
      </c>
      <c r="E3643" t="s">
        <v>9</v>
      </c>
      <c r="F3643">
        <v>77</v>
      </c>
      <c r="G3643">
        <v>34.375</v>
      </c>
      <c r="H3643">
        <v>56000</v>
      </c>
      <c r="I3643" t="s">
        <v>22</v>
      </c>
    </row>
    <row r="3644" spans="1:9" x14ac:dyDescent="0.25">
      <c r="A3644">
        <v>27</v>
      </c>
      <c r="B3644" t="s">
        <v>31</v>
      </c>
      <c r="C3644">
        <v>2023</v>
      </c>
      <c r="D3644">
        <v>77</v>
      </c>
      <c r="E3644" t="s">
        <v>9</v>
      </c>
      <c r="F3644">
        <v>58.125</v>
      </c>
      <c r="G3644">
        <v>18.875</v>
      </c>
      <c r="H3644">
        <v>56000</v>
      </c>
      <c r="I3644" t="s">
        <v>22</v>
      </c>
    </row>
    <row r="3645" spans="1:9" x14ac:dyDescent="0.25">
      <c r="A3645">
        <v>28</v>
      </c>
      <c r="B3645" t="s">
        <v>31</v>
      </c>
      <c r="C3645">
        <v>2023</v>
      </c>
      <c r="D3645">
        <v>58.125</v>
      </c>
      <c r="E3645" t="s">
        <v>9</v>
      </c>
      <c r="F3645">
        <v>37.875</v>
      </c>
      <c r="G3645">
        <v>20.25</v>
      </c>
      <c r="H3645">
        <v>56000</v>
      </c>
      <c r="I3645" t="s">
        <v>22</v>
      </c>
    </row>
    <row r="3646" spans="1:9" x14ac:dyDescent="0.25">
      <c r="A3646">
        <v>29</v>
      </c>
      <c r="B3646" t="s">
        <v>31</v>
      </c>
      <c r="C3646">
        <v>2023</v>
      </c>
      <c r="D3646">
        <v>37.875</v>
      </c>
      <c r="E3646">
        <v>80</v>
      </c>
      <c r="F3646">
        <v>89.75</v>
      </c>
      <c r="G3646">
        <v>28.125</v>
      </c>
      <c r="H3646">
        <v>56000</v>
      </c>
      <c r="I3646" t="s">
        <v>22</v>
      </c>
    </row>
    <row r="3647" spans="1:9" x14ac:dyDescent="0.25">
      <c r="A3647">
        <v>30</v>
      </c>
      <c r="B3647" t="s">
        <v>31</v>
      </c>
      <c r="C3647">
        <v>2023</v>
      </c>
      <c r="D3647">
        <v>89.75</v>
      </c>
      <c r="E3647" t="s">
        <v>9</v>
      </c>
      <c r="F3647">
        <v>45.625</v>
      </c>
      <c r="G3647">
        <v>44.125</v>
      </c>
      <c r="H3647">
        <v>56000</v>
      </c>
      <c r="I3647" t="s">
        <v>22</v>
      </c>
    </row>
    <row r="3648" spans="1:9" x14ac:dyDescent="0.25">
      <c r="A3648">
        <v>31</v>
      </c>
      <c r="B3648" t="s">
        <v>31</v>
      </c>
      <c r="C3648">
        <v>2023</v>
      </c>
      <c r="D3648">
        <v>45.625</v>
      </c>
      <c r="E3648">
        <v>60</v>
      </c>
      <c r="F3648">
        <v>90.25</v>
      </c>
      <c r="G3648">
        <v>15.375</v>
      </c>
      <c r="H3648">
        <v>56000</v>
      </c>
      <c r="I3648" t="s">
        <v>22</v>
      </c>
    </row>
    <row r="3649" spans="1:9" hidden="1" x14ac:dyDescent="0.25">
      <c r="A3649">
        <v>1</v>
      </c>
      <c r="B3649" t="s">
        <v>31</v>
      </c>
      <c r="C3649">
        <v>2023</v>
      </c>
      <c r="D3649">
        <v>42.25</v>
      </c>
      <c r="E3649">
        <v>25</v>
      </c>
      <c r="F3649">
        <v>52.5</v>
      </c>
      <c r="G3649">
        <v>14.75</v>
      </c>
      <c r="H3649">
        <v>56000</v>
      </c>
      <c r="I3649" t="s">
        <v>25</v>
      </c>
    </row>
    <row r="3650" spans="1:9" hidden="1" x14ac:dyDescent="0.25">
      <c r="A3650">
        <v>2</v>
      </c>
      <c r="B3650" t="s">
        <v>31</v>
      </c>
      <c r="C3650">
        <v>2023</v>
      </c>
      <c r="D3650">
        <v>52.5</v>
      </c>
      <c r="E3650" t="s">
        <v>9</v>
      </c>
      <c r="F3650">
        <v>38.625</v>
      </c>
      <c r="G3650">
        <v>13.875</v>
      </c>
      <c r="H3650">
        <v>56000</v>
      </c>
      <c r="I3650" t="s">
        <v>25</v>
      </c>
    </row>
    <row r="3651" spans="1:9" hidden="1" x14ac:dyDescent="0.25">
      <c r="A3651">
        <v>3</v>
      </c>
      <c r="B3651" t="s">
        <v>31</v>
      </c>
      <c r="C3651">
        <v>2023</v>
      </c>
      <c r="D3651">
        <v>38.625</v>
      </c>
      <c r="E3651" t="s">
        <v>9</v>
      </c>
      <c r="F3651">
        <v>23.875</v>
      </c>
      <c r="G3651">
        <v>14.75</v>
      </c>
      <c r="H3651">
        <v>56000</v>
      </c>
      <c r="I3651" t="s">
        <v>25</v>
      </c>
    </row>
    <row r="3652" spans="1:9" hidden="1" x14ac:dyDescent="0.25">
      <c r="A3652">
        <v>4</v>
      </c>
      <c r="B3652" t="s">
        <v>31</v>
      </c>
      <c r="C3652">
        <v>2023</v>
      </c>
      <c r="D3652">
        <v>23.875</v>
      </c>
      <c r="E3652" t="s">
        <v>9</v>
      </c>
      <c r="F3652">
        <v>12.375</v>
      </c>
      <c r="G3652">
        <v>11.5</v>
      </c>
      <c r="H3652">
        <v>56000</v>
      </c>
      <c r="I3652" t="s">
        <v>25</v>
      </c>
    </row>
    <row r="3653" spans="1:9" hidden="1" x14ac:dyDescent="0.25">
      <c r="A3653">
        <v>5</v>
      </c>
      <c r="B3653" t="s">
        <v>31</v>
      </c>
      <c r="C3653">
        <v>2023</v>
      </c>
      <c r="D3653">
        <v>12.375</v>
      </c>
      <c r="E3653" t="s">
        <v>9</v>
      </c>
      <c r="F3653">
        <v>5.5</v>
      </c>
      <c r="G3653">
        <v>6.875</v>
      </c>
      <c r="H3653">
        <v>56000</v>
      </c>
      <c r="I3653" t="s">
        <v>25</v>
      </c>
    </row>
    <row r="3654" spans="1:9" hidden="1" x14ac:dyDescent="0.25">
      <c r="A3654">
        <v>6</v>
      </c>
      <c r="B3654" t="s">
        <v>31</v>
      </c>
      <c r="C3654">
        <v>2023</v>
      </c>
      <c r="D3654">
        <v>5.5</v>
      </c>
      <c r="E3654">
        <v>40</v>
      </c>
      <c r="F3654">
        <v>32.375</v>
      </c>
      <c r="G3654">
        <v>13.125</v>
      </c>
      <c r="H3654">
        <v>56000</v>
      </c>
      <c r="I3654" t="s">
        <v>25</v>
      </c>
    </row>
    <row r="3655" spans="1:9" hidden="1" x14ac:dyDescent="0.25">
      <c r="A3655">
        <v>7</v>
      </c>
      <c r="B3655" t="s">
        <v>31</v>
      </c>
      <c r="C3655">
        <v>2023</v>
      </c>
      <c r="D3655">
        <v>32.375</v>
      </c>
      <c r="E3655" t="s">
        <v>9</v>
      </c>
      <c r="F3655">
        <v>21.5</v>
      </c>
      <c r="G3655">
        <v>10.875</v>
      </c>
      <c r="H3655">
        <v>56000</v>
      </c>
      <c r="I3655" t="s">
        <v>25</v>
      </c>
    </row>
    <row r="3656" spans="1:9" hidden="1" x14ac:dyDescent="0.25">
      <c r="A3656">
        <v>8</v>
      </c>
      <c r="B3656" t="s">
        <v>31</v>
      </c>
      <c r="C3656">
        <v>2023</v>
      </c>
      <c r="D3656">
        <v>21.5</v>
      </c>
      <c r="E3656" t="s">
        <v>9</v>
      </c>
      <c r="F3656">
        <v>3.875</v>
      </c>
      <c r="G3656">
        <v>17.625</v>
      </c>
      <c r="H3656">
        <v>56000</v>
      </c>
      <c r="I3656" t="s">
        <v>25</v>
      </c>
    </row>
    <row r="3657" spans="1:9" hidden="1" x14ac:dyDescent="0.25">
      <c r="A3657">
        <v>9</v>
      </c>
      <c r="B3657" t="s">
        <v>31</v>
      </c>
      <c r="C3657">
        <v>2023</v>
      </c>
      <c r="D3657">
        <v>3.875</v>
      </c>
      <c r="E3657">
        <v>40</v>
      </c>
      <c r="F3657">
        <v>32.75</v>
      </c>
      <c r="G3657">
        <v>11.125</v>
      </c>
      <c r="H3657">
        <v>56000</v>
      </c>
      <c r="I3657" t="s">
        <v>25</v>
      </c>
    </row>
    <row r="3658" spans="1:9" hidden="1" x14ac:dyDescent="0.25">
      <c r="A3658">
        <v>10</v>
      </c>
      <c r="B3658" t="s">
        <v>31</v>
      </c>
      <c r="C3658">
        <v>2023</v>
      </c>
      <c r="D3658">
        <v>32.75</v>
      </c>
      <c r="E3658" t="s">
        <v>9</v>
      </c>
      <c r="F3658">
        <v>25.125</v>
      </c>
      <c r="G3658">
        <v>7.625</v>
      </c>
      <c r="H3658">
        <v>56000</v>
      </c>
      <c r="I3658" t="s">
        <v>25</v>
      </c>
    </row>
    <row r="3659" spans="1:9" hidden="1" x14ac:dyDescent="0.25">
      <c r="A3659">
        <v>11</v>
      </c>
      <c r="B3659" t="s">
        <v>31</v>
      </c>
      <c r="C3659">
        <v>2023</v>
      </c>
      <c r="D3659">
        <v>25.125</v>
      </c>
      <c r="E3659" t="s">
        <v>9</v>
      </c>
      <c r="F3659">
        <v>15.375</v>
      </c>
      <c r="G3659">
        <v>9.75</v>
      </c>
      <c r="H3659">
        <v>56000</v>
      </c>
      <c r="I3659" t="s">
        <v>25</v>
      </c>
    </row>
    <row r="3660" spans="1:9" hidden="1" x14ac:dyDescent="0.25">
      <c r="A3660">
        <v>12</v>
      </c>
      <c r="B3660" t="s">
        <v>31</v>
      </c>
      <c r="C3660">
        <v>2023</v>
      </c>
      <c r="D3660">
        <v>15.375</v>
      </c>
      <c r="E3660" t="s">
        <v>9</v>
      </c>
      <c r="F3660">
        <v>9.75</v>
      </c>
      <c r="G3660">
        <v>5.625</v>
      </c>
      <c r="H3660">
        <v>56000</v>
      </c>
      <c r="I3660" t="s">
        <v>25</v>
      </c>
    </row>
    <row r="3661" spans="1:9" hidden="1" x14ac:dyDescent="0.25">
      <c r="A3661">
        <v>13</v>
      </c>
      <c r="B3661" t="s">
        <v>31</v>
      </c>
      <c r="C3661">
        <v>2023</v>
      </c>
      <c r="D3661">
        <v>9.75</v>
      </c>
      <c r="E3661" t="s">
        <v>9</v>
      </c>
      <c r="F3661">
        <v>2.625</v>
      </c>
      <c r="G3661">
        <v>7.125</v>
      </c>
      <c r="H3661">
        <v>56000</v>
      </c>
      <c r="I3661" t="s">
        <v>25</v>
      </c>
    </row>
    <row r="3662" spans="1:9" hidden="1" x14ac:dyDescent="0.25">
      <c r="A3662">
        <v>14</v>
      </c>
      <c r="B3662" t="s">
        <v>31</v>
      </c>
      <c r="C3662">
        <v>2023</v>
      </c>
      <c r="D3662">
        <v>2.625</v>
      </c>
      <c r="E3662">
        <v>40</v>
      </c>
      <c r="F3662">
        <v>32.375</v>
      </c>
      <c r="G3662">
        <v>10.25</v>
      </c>
      <c r="H3662">
        <v>56000</v>
      </c>
      <c r="I3662" t="s">
        <v>25</v>
      </c>
    </row>
    <row r="3663" spans="1:9" hidden="1" x14ac:dyDescent="0.25">
      <c r="A3663">
        <v>15</v>
      </c>
      <c r="B3663" t="s">
        <v>31</v>
      </c>
      <c r="C3663">
        <v>2023</v>
      </c>
      <c r="D3663">
        <v>32.375</v>
      </c>
      <c r="E3663" t="s">
        <v>9</v>
      </c>
      <c r="F3663">
        <v>15.5</v>
      </c>
      <c r="G3663">
        <v>16.875</v>
      </c>
      <c r="H3663">
        <v>56000</v>
      </c>
      <c r="I3663" t="s">
        <v>25</v>
      </c>
    </row>
    <row r="3664" spans="1:9" hidden="1" x14ac:dyDescent="0.25">
      <c r="A3664">
        <v>16</v>
      </c>
      <c r="B3664" t="s">
        <v>31</v>
      </c>
      <c r="C3664">
        <v>2023</v>
      </c>
      <c r="D3664">
        <v>15.5</v>
      </c>
      <c r="E3664">
        <v>40</v>
      </c>
      <c r="F3664">
        <v>37.625</v>
      </c>
      <c r="G3664">
        <v>17.875</v>
      </c>
      <c r="H3664">
        <v>56000</v>
      </c>
      <c r="I3664" t="s">
        <v>25</v>
      </c>
    </row>
    <row r="3665" spans="1:9" hidden="1" x14ac:dyDescent="0.25">
      <c r="A3665">
        <v>17</v>
      </c>
      <c r="B3665" t="s">
        <v>31</v>
      </c>
      <c r="C3665">
        <v>2023</v>
      </c>
      <c r="D3665">
        <v>37.625</v>
      </c>
      <c r="E3665" t="s">
        <v>9</v>
      </c>
      <c r="F3665">
        <v>32.5</v>
      </c>
      <c r="G3665">
        <v>5.125</v>
      </c>
      <c r="H3665">
        <v>56000</v>
      </c>
      <c r="I3665" t="s">
        <v>25</v>
      </c>
    </row>
    <row r="3666" spans="1:9" hidden="1" x14ac:dyDescent="0.25">
      <c r="A3666">
        <v>18</v>
      </c>
      <c r="B3666" t="s">
        <v>31</v>
      </c>
      <c r="C3666">
        <v>2023</v>
      </c>
      <c r="D3666">
        <v>32.5</v>
      </c>
      <c r="E3666" t="s">
        <v>9</v>
      </c>
      <c r="F3666">
        <v>26.25</v>
      </c>
      <c r="G3666">
        <v>6.25</v>
      </c>
      <c r="H3666">
        <v>56000</v>
      </c>
      <c r="I3666" t="s">
        <v>25</v>
      </c>
    </row>
    <row r="3667" spans="1:9" hidden="1" x14ac:dyDescent="0.25">
      <c r="A3667">
        <v>19</v>
      </c>
      <c r="B3667" t="s">
        <v>31</v>
      </c>
      <c r="C3667">
        <v>2023</v>
      </c>
      <c r="D3667">
        <v>26.25</v>
      </c>
      <c r="E3667">
        <v>30</v>
      </c>
      <c r="F3667">
        <v>48</v>
      </c>
      <c r="G3667">
        <v>8.25</v>
      </c>
      <c r="H3667">
        <v>56000</v>
      </c>
      <c r="I3667" t="s">
        <v>25</v>
      </c>
    </row>
    <row r="3668" spans="1:9" hidden="1" x14ac:dyDescent="0.25">
      <c r="A3668">
        <v>20</v>
      </c>
      <c r="B3668" t="s">
        <v>31</v>
      </c>
      <c r="C3668">
        <v>2023</v>
      </c>
      <c r="D3668">
        <v>48</v>
      </c>
      <c r="E3668" t="s">
        <v>9</v>
      </c>
      <c r="F3668">
        <v>40.875</v>
      </c>
      <c r="G3668">
        <v>7.125</v>
      </c>
      <c r="H3668">
        <v>56000</v>
      </c>
      <c r="I3668" t="s">
        <v>25</v>
      </c>
    </row>
    <row r="3669" spans="1:9" hidden="1" x14ac:dyDescent="0.25">
      <c r="A3669">
        <v>21</v>
      </c>
      <c r="B3669" t="s">
        <v>31</v>
      </c>
      <c r="C3669">
        <v>2023</v>
      </c>
      <c r="D3669">
        <v>40.875</v>
      </c>
      <c r="E3669">
        <v>15</v>
      </c>
      <c r="F3669">
        <v>48.5</v>
      </c>
      <c r="G3669">
        <v>7.375</v>
      </c>
      <c r="H3669">
        <v>56000</v>
      </c>
      <c r="I3669" t="s">
        <v>25</v>
      </c>
    </row>
    <row r="3670" spans="1:9" hidden="1" x14ac:dyDescent="0.25">
      <c r="A3670">
        <v>22</v>
      </c>
      <c r="B3670" t="s">
        <v>31</v>
      </c>
      <c r="C3670">
        <v>2023</v>
      </c>
      <c r="D3670">
        <v>48.5</v>
      </c>
      <c r="E3670" t="s">
        <v>9</v>
      </c>
      <c r="F3670">
        <v>35</v>
      </c>
      <c r="G3670">
        <v>13.5</v>
      </c>
      <c r="H3670">
        <v>56000</v>
      </c>
      <c r="I3670" t="s">
        <v>25</v>
      </c>
    </row>
    <row r="3671" spans="1:9" hidden="1" x14ac:dyDescent="0.25">
      <c r="A3671">
        <v>23</v>
      </c>
      <c r="B3671" t="s">
        <v>31</v>
      </c>
      <c r="C3671">
        <v>2023</v>
      </c>
      <c r="D3671">
        <v>35</v>
      </c>
      <c r="E3671" t="s">
        <v>9</v>
      </c>
      <c r="F3671">
        <v>22.625</v>
      </c>
      <c r="G3671">
        <v>12.375</v>
      </c>
      <c r="H3671">
        <v>56000</v>
      </c>
      <c r="I3671" t="s">
        <v>25</v>
      </c>
    </row>
    <row r="3672" spans="1:9" hidden="1" x14ac:dyDescent="0.25">
      <c r="A3672">
        <v>24</v>
      </c>
      <c r="B3672" t="s">
        <v>31</v>
      </c>
      <c r="C3672">
        <v>2023</v>
      </c>
      <c r="D3672">
        <v>22.625</v>
      </c>
      <c r="E3672" t="s">
        <v>9</v>
      </c>
      <c r="F3672">
        <v>16.375</v>
      </c>
      <c r="G3672">
        <v>6.25</v>
      </c>
      <c r="H3672">
        <v>56000</v>
      </c>
      <c r="I3672" t="s">
        <v>25</v>
      </c>
    </row>
    <row r="3673" spans="1:9" hidden="1" x14ac:dyDescent="0.25">
      <c r="A3673">
        <v>25</v>
      </c>
      <c r="B3673" t="s">
        <v>31</v>
      </c>
      <c r="C3673">
        <v>2023</v>
      </c>
      <c r="D3673">
        <v>16.375</v>
      </c>
      <c r="E3673" t="s">
        <v>9</v>
      </c>
      <c r="F3673">
        <v>7</v>
      </c>
      <c r="G3673">
        <v>9.375</v>
      </c>
      <c r="H3673">
        <v>56000</v>
      </c>
      <c r="I3673" t="s">
        <v>25</v>
      </c>
    </row>
    <row r="3674" spans="1:9" hidden="1" x14ac:dyDescent="0.25">
      <c r="A3674">
        <v>26</v>
      </c>
      <c r="B3674" t="s">
        <v>31</v>
      </c>
      <c r="C3674">
        <v>2023</v>
      </c>
      <c r="D3674">
        <v>7</v>
      </c>
      <c r="E3674">
        <v>30</v>
      </c>
      <c r="F3674">
        <v>31.125</v>
      </c>
      <c r="G3674">
        <v>5.875</v>
      </c>
      <c r="H3674">
        <v>56000</v>
      </c>
      <c r="I3674" t="s">
        <v>25</v>
      </c>
    </row>
    <row r="3675" spans="1:9" hidden="1" x14ac:dyDescent="0.25">
      <c r="A3675">
        <v>27</v>
      </c>
      <c r="B3675" t="s">
        <v>31</v>
      </c>
      <c r="C3675">
        <v>2023</v>
      </c>
      <c r="D3675">
        <v>31.125</v>
      </c>
      <c r="E3675" t="s">
        <v>9</v>
      </c>
      <c r="F3675">
        <v>24.375</v>
      </c>
      <c r="G3675">
        <v>6.75</v>
      </c>
      <c r="H3675">
        <v>56000</v>
      </c>
      <c r="I3675" t="s">
        <v>25</v>
      </c>
    </row>
    <row r="3676" spans="1:9" hidden="1" x14ac:dyDescent="0.25">
      <c r="A3676">
        <v>28</v>
      </c>
      <c r="B3676" t="s">
        <v>31</v>
      </c>
      <c r="C3676">
        <v>2023</v>
      </c>
      <c r="D3676">
        <v>24.375</v>
      </c>
      <c r="E3676" t="s">
        <v>9</v>
      </c>
      <c r="F3676">
        <v>16.125</v>
      </c>
      <c r="G3676">
        <v>8.25</v>
      </c>
      <c r="H3676">
        <v>56000</v>
      </c>
      <c r="I3676" t="s">
        <v>25</v>
      </c>
    </row>
    <row r="3677" spans="1:9" hidden="1" x14ac:dyDescent="0.25">
      <c r="A3677">
        <v>29</v>
      </c>
      <c r="B3677" t="s">
        <v>31</v>
      </c>
      <c r="C3677">
        <v>2023</v>
      </c>
      <c r="D3677">
        <v>16.125</v>
      </c>
      <c r="E3677">
        <v>20</v>
      </c>
      <c r="F3677">
        <v>21.375</v>
      </c>
      <c r="G3677">
        <v>14.75</v>
      </c>
      <c r="H3677">
        <v>56000</v>
      </c>
      <c r="I3677" t="s">
        <v>25</v>
      </c>
    </row>
    <row r="3678" spans="1:9" hidden="1" x14ac:dyDescent="0.25">
      <c r="A3678">
        <v>30</v>
      </c>
      <c r="B3678" t="s">
        <v>31</v>
      </c>
      <c r="C3678">
        <v>2023</v>
      </c>
      <c r="D3678">
        <v>21.375</v>
      </c>
      <c r="E3678" t="s">
        <v>9</v>
      </c>
      <c r="F3678">
        <v>3</v>
      </c>
      <c r="G3678">
        <v>18.375</v>
      </c>
      <c r="H3678">
        <v>56000</v>
      </c>
      <c r="I3678" t="s">
        <v>25</v>
      </c>
    </row>
    <row r="3679" spans="1:9" hidden="1" x14ac:dyDescent="0.25">
      <c r="A3679">
        <v>31</v>
      </c>
      <c r="B3679" t="s">
        <v>31</v>
      </c>
      <c r="C3679">
        <v>2023</v>
      </c>
      <c r="D3679">
        <v>3</v>
      </c>
      <c r="E3679">
        <v>40</v>
      </c>
      <c r="F3679">
        <v>40</v>
      </c>
      <c r="G3679">
        <v>3</v>
      </c>
      <c r="H3679">
        <v>56000</v>
      </c>
      <c r="I3679" t="s">
        <v>25</v>
      </c>
    </row>
    <row r="3680" spans="1:9" x14ac:dyDescent="0.25">
      <c r="A3680">
        <v>1</v>
      </c>
      <c r="B3680" t="s">
        <v>32</v>
      </c>
      <c r="C3680">
        <v>2023</v>
      </c>
      <c r="D3680">
        <v>90.25</v>
      </c>
      <c r="E3680" t="s">
        <v>9</v>
      </c>
      <c r="F3680">
        <v>83</v>
      </c>
      <c r="G3680">
        <v>7.25</v>
      </c>
      <c r="H3680">
        <v>56000</v>
      </c>
      <c r="I3680" t="s">
        <v>22</v>
      </c>
    </row>
    <row r="3681" spans="1:9" x14ac:dyDescent="0.25">
      <c r="A3681">
        <v>2</v>
      </c>
      <c r="B3681" t="s">
        <v>32</v>
      </c>
      <c r="C3681">
        <v>2023</v>
      </c>
      <c r="D3681">
        <v>83</v>
      </c>
      <c r="E3681">
        <v>60</v>
      </c>
      <c r="F3681">
        <v>113.5</v>
      </c>
      <c r="G3681">
        <v>29.5</v>
      </c>
      <c r="H3681">
        <v>56000</v>
      </c>
      <c r="I3681" t="s">
        <v>22</v>
      </c>
    </row>
    <row r="3682" spans="1:9" x14ac:dyDescent="0.25">
      <c r="A3682">
        <v>3</v>
      </c>
      <c r="B3682" t="s">
        <v>32</v>
      </c>
      <c r="C3682">
        <v>2023</v>
      </c>
      <c r="D3682">
        <v>113.5</v>
      </c>
      <c r="E3682" t="s">
        <v>9</v>
      </c>
      <c r="F3682">
        <v>92.5</v>
      </c>
      <c r="G3682">
        <v>21</v>
      </c>
      <c r="H3682">
        <v>56000</v>
      </c>
      <c r="I3682" t="s">
        <v>22</v>
      </c>
    </row>
    <row r="3683" spans="1:9" x14ac:dyDescent="0.25">
      <c r="A3683">
        <v>4</v>
      </c>
      <c r="B3683" t="s">
        <v>32</v>
      </c>
      <c r="C3683">
        <v>2023</v>
      </c>
      <c r="D3683">
        <v>92.5</v>
      </c>
      <c r="E3683" t="s">
        <v>9</v>
      </c>
      <c r="F3683">
        <v>63.375</v>
      </c>
      <c r="G3683">
        <v>29.125</v>
      </c>
      <c r="H3683">
        <v>56000</v>
      </c>
      <c r="I3683" t="s">
        <v>22</v>
      </c>
    </row>
    <row r="3684" spans="1:9" x14ac:dyDescent="0.25">
      <c r="A3684">
        <v>5</v>
      </c>
      <c r="B3684" t="s">
        <v>32</v>
      </c>
      <c r="C3684">
        <v>2023</v>
      </c>
      <c r="D3684">
        <v>63.375</v>
      </c>
      <c r="E3684">
        <v>120</v>
      </c>
      <c r="F3684">
        <v>146.75</v>
      </c>
      <c r="G3684">
        <v>36.625</v>
      </c>
      <c r="H3684">
        <v>56000</v>
      </c>
      <c r="I3684" t="s">
        <v>22</v>
      </c>
    </row>
    <row r="3685" spans="1:9" x14ac:dyDescent="0.25">
      <c r="A3685">
        <v>6</v>
      </c>
      <c r="B3685" t="s">
        <v>32</v>
      </c>
      <c r="C3685">
        <v>2023</v>
      </c>
      <c r="D3685">
        <v>146.75</v>
      </c>
      <c r="E3685" t="s">
        <v>9</v>
      </c>
      <c r="F3685">
        <v>106.5</v>
      </c>
      <c r="G3685">
        <v>40.25</v>
      </c>
      <c r="H3685">
        <v>56000</v>
      </c>
      <c r="I3685" t="s">
        <v>22</v>
      </c>
    </row>
    <row r="3686" spans="1:9" x14ac:dyDescent="0.25">
      <c r="A3686">
        <v>7</v>
      </c>
      <c r="B3686" t="s">
        <v>32</v>
      </c>
      <c r="C3686">
        <v>2023</v>
      </c>
      <c r="D3686">
        <v>106.5</v>
      </c>
      <c r="E3686" t="s">
        <v>9</v>
      </c>
      <c r="F3686">
        <v>68</v>
      </c>
      <c r="G3686">
        <v>38.5</v>
      </c>
      <c r="H3686">
        <v>56000</v>
      </c>
      <c r="I3686" t="s">
        <v>22</v>
      </c>
    </row>
    <row r="3687" spans="1:9" x14ac:dyDescent="0.25">
      <c r="A3687">
        <v>8</v>
      </c>
      <c r="B3687" t="s">
        <v>32</v>
      </c>
      <c r="C3687">
        <v>2023</v>
      </c>
      <c r="D3687">
        <v>68</v>
      </c>
      <c r="E3687">
        <v>71.25</v>
      </c>
      <c r="F3687">
        <v>129.875</v>
      </c>
      <c r="G3687">
        <v>9.375</v>
      </c>
      <c r="H3687">
        <v>56000</v>
      </c>
      <c r="I3687" t="s">
        <v>22</v>
      </c>
    </row>
    <row r="3688" spans="1:9" x14ac:dyDescent="0.25">
      <c r="A3688">
        <v>9</v>
      </c>
      <c r="B3688" t="s">
        <v>32</v>
      </c>
      <c r="C3688">
        <v>2023</v>
      </c>
      <c r="D3688">
        <v>129.875</v>
      </c>
      <c r="E3688" t="s">
        <v>9</v>
      </c>
      <c r="F3688">
        <v>101.625</v>
      </c>
      <c r="G3688">
        <v>28.25</v>
      </c>
      <c r="H3688">
        <v>56000</v>
      </c>
      <c r="I3688" t="s">
        <v>22</v>
      </c>
    </row>
    <row r="3689" spans="1:9" x14ac:dyDescent="0.25">
      <c r="A3689">
        <v>10</v>
      </c>
      <c r="B3689" t="s">
        <v>32</v>
      </c>
      <c r="C3689">
        <v>2023</v>
      </c>
      <c r="D3689">
        <v>101.625</v>
      </c>
      <c r="E3689" t="s">
        <v>9</v>
      </c>
      <c r="F3689">
        <v>92.25</v>
      </c>
      <c r="G3689">
        <v>9.375</v>
      </c>
      <c r="H3689">
        <v>56000</v>
      </c>
      <c r="I3689" t="s">
        <v>22</v>
      </c>
    </row>
    <row r="3690" spans="1:9" x14ac:dyDescent="0.25">
      <c r="A3690">
        <v>11</v>
      </c>
      <c r="B3690" t="s">
        <v>32</v>
      </c>
      <c r="C3690">
        <v>2023</v>
      </c>
      <c r="D3690">
        <v>92.25</v>
      </c>
      <c r="E3690" t="s">
        <v>9</v>
      </c>
      <c r="F3690">
        <v>72.125</v>
      </c>
      <c r="G3690">
        <v>20.125</v>
      </c>
      <c r="H3690">
        <v>56000</v>
      </c>
      <c r="I3690" t="s">
        <v>22</v>
      </c>
    </row>
    <row r="3691" spans="1:9" x14ac:dyDescent="0.25">
      <c r="A3691">
        <v>12</v>
      </c>
      <c r="B3691" t="s">
        <v>32</v>
      </c>
      <c r="C3691">
        <v>2023</v>
      </c>
      <c r="D3691">
        <v>72.125</v>
      </c>
      <c r="E3691">
        <v>110</v>
      </c>
      <c r="F3691">
        <v>149.875</v>
      </c>
      <c r="G3691">
        <v>32.25</v>
      </c>
      <c r="H3691">
        <v>56000</v>
      </c>
      <c r="I3691" t="s">
        <v>22</v>
      </c>
    </row>
    <row r="3692" spans="1:9" x14ac:dyDescent="0.25">
      <c r="A3692">
        <v>13</v>
      </c>
      <c r="B3692" t="s">
        <v>32</v>
      </c>
      <c r="C3692">
        <v>2023</v>
      </c>
      <c r="D3692">
        <v>149.875</v>
      </c>
      <c r="E3692" t="s">
        <v>9</v>
      </c>
      <c r="F3692">
        <v>115.375</v>
      </c>
      <c r="G3692">
        <v>34.5</v>
      </c>
      <c r="H3692">
        <v>56000</v>
      </c>
      <c r="I3692" t="s">
        <v>22</v>
      </c>
    </row>
    <row r="3693" spans="1:9" x14ac:dyDescent="0.25">
      <c r="A3693">
        <v>14</v>
      </c>
      <c r="B3693" t="s">
        <v>32</v>
      </c>
      <c r="C3693">
        <v>2023</v>
      </c>
      <c r="D3693">
        <v>115.375</v>
      </c>
      <c r="E3693">
        <v>100</v>
      </c>
      <c r="F3693">
        <v>204.875</v>
      </c>
      <c r="G3693">
        <v>10.5</v>
      </c>
      <c r="H3693">
        <v>56000</v>
      </c>
      <c r="I3693" t="s">
        <v>22</v>
      </c>
    </row>
    <row r="3694" spans="1:9" x14ac:dyDescent="0.25">
      <c r="A3694">
        <v>15</v>
      </c>
      <c r="B3694" t="s">
        <v>32</v>
      </c>
      <c r="C3694">
        <v>2023</v>
      </c>
      <c r="D3694">
        <v>204.875</v>
      </c>
      <c r="E3694">
        <v>-31.25</v>
      </c>
      <c r="F3694">
        <v>165.875</v>
      </c>
      <c r="G3694">
        <v>7.75</v>
      </c>
      <c r="H3694">
        <v>56000</v>
      </c>
      <c r="I3694" t="s">
        <v>22</v>
      </c>
    </row>
    <row r="3695" spans="1:9" x14ac:dyDescent="0.25">
      <c r="A3695">
        <v>16</v>
      </c>
      <c r="B3695" t="s">
        <v>32</v>
      </c>
      <c r="C3695">
        <v>2023</v>
      </c>
      <c r="D3695">
        <v>165.875</v>
      </c>
      <c r="E3695" t="s">
        <v>9</v>
      </c>
      <c r="F3695">
        <v>149.75</v>
      </c>
      <c r="G3695">
        <v>16.125</v>
      </c>
      <c r="H3695">
        <v>56000</v>
      </c>
      <c r="I3695" t="s">
        <v>22</v>
      </c>
    </row>
    <row r="3696" spans="1:9" x14ac:dyDescent="0.25">
      <c r="A3696">
        <v>17</v>
      </c>
      <c r="B3696" t="s">
        <v>32</v>
      </c>
      <c r="C3696">
        <v>2023</v>
      </c>
      <c r="D3696">
        <v>149.75</v>
      </c>
      <c r="E3696" t="s">
        <v>9</v>
      </c>
      <c r="F3696">
        <v>133.875</v>
      </c>
      <c r="G3696">
        <v>15.875</v>
      </c>
      <c r="H3696">
        <v>56000</v>
      </c>
      <c r="I3696" t="s">
        <v>22</v>
      </c>
    </row>
    <row r="3697" spans="1:9" x14ac:dyDescent="0.25">
      <c r="A3697">
        <v>18</v>
      </c>
      <c r="B3697" t="s">
        <v>32</v>
      </c>
      <c r="C3697">
        <v>2023</v>
      </c>
      <c r="D3697">
        <v>133.875</v>
      </c>
      <c r="E3697" t="s">
        <v>9</v>
      </c>
      <c r="F3697">
        <v>112.25</v>
      </c>
      <c r="G3697">
        <v>21.625</v>
      </c>
      <c r="H3697">
        <v>56000</v>
      </c>
      <c r="I3697" t="s">
        <v>22</v>
      </c>
    </row>
    <row r="3698" spans="1:9" x14ac:dyDescent="0.25">
      <c r="A3698">
        <v>19</v>
      </c>
      <c r="B3698" t="s">
        <v>32</v>
      </c>
      <c r="C3698">
        <v>2023</v>
      </c>
      <c r="D3698">
        <v>112.25</v>
      </c>
      <c r="E3698">
        <v>100</v>
      </c>
      <c r="F3698">
        <v>165.75</v>
      </c>
      <c r="G3698">
        <v>46.5</v>
      </c>
      <c r="H3698">
        <v>56000</v>
      </c>
      <c r="I3698" t="s">
        <v>22</v>
      </c>
    </row>
    <row r="3699" spans="1:9" x14ac:dyDescent="0.25">
      <c r="A3699">
        <v>20</v>
      </c>
      <c r="B3699" t="s">
        <v>32</v>
      </c>
      <c r="C3699">
        <v>2023</v>
      </c>
      <c r="D3699">
        <v>165.75</v>
      </c>
      <c r="E3699" t="s">
        <v>9</v>
      </c>
      <c r="F3699">
        <v>122</v>
      </c>
      <c r="G3699">
        <v>43.75</v>
      </c>
      <c r="H3699">
        <v>56000</v>
      </c>
      <c r="I3699" t="s">
        <v>22</v>
      </c>
    </row>
    <row r="3700" spans="1:9" x14ac:dyDescent="0.25">
      <c r="A3700">
        <v>21</v>
      </c>
      <c r="B3700" t="s">
        <v>32</v>
      </c>
      <c r="C3700">
        <v>2023</v>
      </c>
      <c r="D3700">
        <v>122</v>
      </c>
      <c r="E3700" t="s">
        <v>9</v>
      </c>
      <c r="F3700">
        <v>94.375</v>
      </c>
      <c r="G3700">
        <v>27.625</v>
      </c>
      <c r="H3700">
        <v>56000</v>
      </c>
      <c r="I3700" t="s">
        <v>22</v>
      </c>
    </row>
    <row r="3701" spans="1:9" x14ac:dyDescent="0.25">
      <c r="A3701">
        <v>22</v>
      </c>
      <c r="B3701" t="s">
        <v>32</v>
      </c>
      <c r="C3701">
        <v>2023</v>
      </c>
      <c r="D3701">
        <v>94.375</v>
      </c>
      <c r="E3701">
        <v>-28.5</v>
      </c>
      <c r="F3701">
        <v>60.75</v>
      </c>
      <c r="G3701">
        <v>5.125</v>
      </c>
      <c r="H3701">
        <v>56000</v>
      </c>
      <c r="I3701" t="s">
        <v>22</v>
      </c>
    </row>
    <row r="3702" spans="1:9" x14ac:dyDescent="0.25">
      <c r="A3702">
        <v>23</v>
      </c>
      <c r="B3702" t="s">
        <v>32</v>
      </c>
      <c r="C3702">
        <v>2023</v>
      </c>
      <c r="D3702">
        <v>60.75</v>
      </c>
      <c r="E3702" t="s">
        <v>9</v>
      </c>
      <c r="F3702">
        <v>41.125</v>
      </c>
      <c r="G3702">
        <v>19.625</v>
      </c>
      <c r="H3702">
        <v>56000</v>
      </c>
      <c r="I3702" t="s">
        <v>22</v>
      </c>
    </row>
    <row r="3703" spans="1:9" x14ac:dyDescent="0.25">
      <c r="A3703">
        <v>24</v>
      </c>
      <c r="B3703" t="s">
        <v>32</v>
      </c>
      <c r="C3703">
        <v>2023</v>
      </c>
      <c r="D3703">
        <v>41.125</v>
      </c>
      <c r="E3703">
        <v>60</v>
      </c>
      <c r="F3703">
        <v>84.25</v>
      </c>
      <c r="G3703">
        <v>16.875</v>
      </c>
      <c r="H3703">
        <v>56000</v>
      </c>
      <c r="I3703" t="s">
        <v>22</v>
      </c>
    </row>
    <row r="3704" spans="1:9" x14ac:dyDescent="0.25">
      <c r="A3704">
        <v>25</v>
      </c>
      <c r="B3704" t="s">
        <v>32</v>
      </c>
      <c r="C3704">
        <v>2023</v>
      </c>
      <c r="D3704">
        <v>84.25</v>
      </c>
      <c r="E3704" t="s">
        <v>9</v>
      </c>
      <c r="F3704">
        <v>62.5</v>
      </c>
      <c r="G3704">
        <v>21.75</v>
      </c>
      <c r="H3704">
        <v>56000</v>
      </c>
      <c r="I3704" t="s">
        <v>22</v>
      </c>
    </row>
    <row r="3705" spans="1:9" x14ac:dyDescent="0.25">
      <c r="A3705">
        <v>26</v>
      </c>
      <c r="B3705" t="s">
        <v>32</v>
      </c>
      <c r="C3705">
        <v>2023</v>
      </c>
      <c r="D3705">
        <v>62.5</v>
      </c>
      <c r="E3705">
        <v>80</v>
      </c>
      <c r="F3705">
        <v>116.75</v>
      </c>
      <c r="G3705">
        <v>25.75</v>
      </c>
      <c r="H3705">
        <v>56000</v>
      </c>
      <c r="I3705" t="s">
        <v>22</v>
      </c>
    </row>
    <row r="3706" spans="1:9" x14ac:dyDescent="0.25">
      <c r="A3706">
        <v>27</v>
      </c>
      <c r="B3706" t="s">
        <v>32</v>
      </c>
      <c r="C3706">
        <v>2023</v>
      </c>
      <c r="D3706">
        <v>116.75</v>
      </c>
      <c r="E3706" t="s">
        <v>9</v>
      </c>
      <c r="F3706">
        <v>82</v>
      </c>
      <c r="G3706">
        <v>34.75</v>
      </c>
      <c r="H3706">
        <v>56000</v>
      </c>
      <c r="I3706" t="s">
        <v>22</v>
      </c>
    </row>
    <row r="3707" spans="1:9" x14ac:dyDescent="0.25">
      <c r="A3707">
        <v>28</v>
      </c>
      <c r="B3707" t="s">
        <v>32</v>
      </c>
      <c r="C3707">
        <v>2023</v>
      </c>
      <c r="D3707">
        <v>82</v>
      </c>
      <c r="E3707">
        <v>100</v>
      </c>
      <c r="F3707">
        <v>166.75</v>
      </c>
      <c r="G3707">
        <v>15.25</v>
      </c>
      <c r="H3707">
        <v>56000</v>
      </c>
      <c r="I3707" t="s">
        <v>22</v>
      </c>
    </row>
    <row r="3708" spans="1:9" x14ac:dyDescent="0.25">
      <c r="A3708">
        <v>29</v>
      </c>
      <c r="B3708" t="s">
        <v>32</v>
      </c>
      <c r="C3708">
        <v>2023</v>
      </c>
      <c r="D3708">
        <v>166.75</v>
      </c>
      <c r="E3708">
        <v>-30.5</v>
      </c>
      <c r="F3708">
        <v>128</v>
      </c>
      <c r="G3708">
        <v>8.25</v>
      </c>
      <c r="H3708">
        <v>56000</v>
      </c>
      <c r="I3708" t="s">
        <v>22</v>
      </c>
    </row>
    <row r="3709" spans="1:9" x14ac:dyDescent="0.25">
      <c r="A3709">
        <v>30</v>
      </c>
      <c r="B3709" t="s">
        <v>32</v>
      </c>
      <c r="C3709">
        <v>2023</v>
      </c>
      <c r="D3709">
        <v>128</v>
      </c>
      <c r="E3709" t="s">
        <v>9</v>
      </c>
      <c r="F3709">
        <v>111.5</v>
      </c>
      <c r="G3709">
        <v>16.5</v>
      </c>
      <c r="H3709">
        <v>56000</v>
      </c>
      <c r="I3709" t="s">
        <v>22</v>
      </c>
    </row>
    <row r="3710" spans="1:9" x14ac:dyDescent="0.25">
      <c r="A3710">
        <v>31</v>
      </c>
      <c r="B3710" t="s">
        <v>32</v>
      </c>
      <c r="C3710">
        <v>2023</v>
      </c>
      <c r="D3710">
        <v>111.5</v>
      </c>
      <c r="E3710" t="s">
        <v>9</v>
      </c>
      <c r="F3710">
        <v>95.375</v>
      </c>
      <c r="G3710">
        <v>16.125</v>
      </c>
      <c r="H3710">
        <v>56000</v>
      </c>
      <c r="I3710" t="s">
        <v>22</v>
      </c>
    </row>
    <row r="3711" spans="1:9" hidden="1" x14ac:dyDescent="0.25">
      <c r="A3711">
        <v>1</v>
      </c>
      <c r="B3711" t="s">
        <v>32</v>
      </c>
      <c r="C3711">
        <v>2023</v>
      </c>
      <c r="D3711">
        <v>81.5</v>
      </c>
      <c r="E3711" t="s">
        <v>9</v>
      </c>
      <c r="F3711">
        <v>57.125</v>
      </c>
      <c r="G3711">
        <v>24.375</v>
      </c>
      <c r="H3711">
        <v>56000</v>
      </c>
      <c r="I3711" t="s">
        <v>23</v>
      </c>
    </row>
    <row r="3712" spans="1:9" hidden="1" x14ac:dyDescent="0.25">
      <c r="A3712">
        <v>2</v>
      </c>
      <c r="B3712" t="s">
        <v>32</v>
      </c>
      <c r="C3712">
        <v>2023</v>
      </c>
      <c r="D3712">
        <v>57.125</v>
      </c>
      <c r="E3712">
        <v>90</v>
      </c>
      <c r="F3712">
        <v>117</v>
      </c>
      <c r="G3712">
        <v>30.125</v>
      </c>
      <c r="H3712">
        <v>56000</v>
      </c>
      <c r="I3712" t="s">
        <v>23</v>
      </c>
    </row>
    <row r="3713" spans="1:9" hidden="1" x14ac:dyDescent="0.25">
      <c r="A3713">
        <v>3</v>
      </c>
      <c r="B3713" t="s">
        <v>32</v>
      </c>
      <c r="C3713">
        <v>2023</v>
      </c>
      <c r="D3713">
        <v>117</v>
      </c>
      <c r="E3713" t="s">
        <v>9</v>
      </c>
      <c r="F3713">
        <v>100.25</v>
      </c>
      <c r="G3713">
        <v>16.75</v>
      </c>
      <c r="H3713">
        <v>56000</v>
      </c>
      <c r="I3713" t="s">
        <v>23</v>
      </c>
    </row>
    <row r="3714" spans="1:9" hidden="1" x14ac:dyDescent="0.25">
      <c r="A3714">
        <v>4</v>
      </c>
      <c r="B3714" t="s">
        <v>32</v>
      </c>
      <c r="C3714">
        <v>2023</v>
      </c>
      <c r="D3714">
        <v>100.25</v>
      </c>
      <c r="E3714" t="s">
        <v>9</v>
      </c>
      <c r="F3714">
        <v>56.25</v>
      </c>
      <c r="G3714">
        <v>44</v>
      </c>
      <c r="H3714">
        <v>56000</v>
      </c>
      <c r="I3714" t="s">
        <v>23</v>
      </c>
    </row>
    <row r="3715" spans="1:9" hidden="1" x14ac:dyDescent="0.25">
      <c r="A3715">
        <v>5</v>
      </c>
      <c r="B3715" t="s">
        <v>32</v>
      </c>
      <c r="C3715">
        <v>2023</v>
      </c>
      <c r="D3715">
        <v>56.25</v>
      </c>
      <c r="E3715">
        <v>120</v>
      </c>
      <c r="F3715">
        <v>130.125</v>
      </c>
      <c r="G3715">
        <v>46.125</v>
      </c>
      <c r="H3715">
        <v>56000</v>
      </c>
      <c r="I3715" t="s">
        <v>23</v>
      </c>
    </row>
    <row r="3716" spans="1:9" hidden="1" x14ac:dyDescent="0.25">
      <c r="A3716">
        <v>6</v>
      </c>
      <c r="B3716" t="s">
        <v>32</v>
      </c>
      <c r="C3716">
        <v>2023</v>
      </c>
      <c r="D3716">
        <v>130.125</v>
      </c>
      <c r="E3716" t="s">
        <v>9</v>
      </c>
      <c r="F3716">
        <v>85.75</v>
      </c>
      <c r="G3716">
        <v>44.375</v>
      </c>
      <c r="H3716">
        <v>56000</v>
      </c>
      <c r="I3716" t="s">
        <v>23</v>
      </c>
    </row>
    <row r="3717" spans="1:9" hidden="1" x14ac:dyDescent="0.25">
      <c r="A3717">
        <v>7</v>
      </c>
      <c r="B3717" t="s">
        <v>32</v>
      </c>
      <c r="C3717">
        <v>2023</v>
      </c>
      <c r="D3717">
        <v>85.75</v>
      </c>
      <c r="E3717">
        <v>150</v>
      </c>
      <c r="F3717">
        <v>193.375</v>
      </c>
      <c r="G3717">
        <v>42.375</v>
      </c>
      <c r="H3717">
        <v>56000</v>
      </c>
      <c r="I3717" t="s">
        <v>23</v>
      </c>
    </row>
    <row r="3718" spans="1:9" hidden="1" x14ac:dyDescent="0.25">
      <c r="A3718">
        <v>8</v>
      </c>
      <c r="B3718" t="s">
        <v>32</v>
      </c>
      <c r="C3718">
        <v>2023</v>
      </c>
      <c r="D3718">
        <v>193.375</v>
      </c>
      <c r="E3718">
        <v>-51.25</v>
      </c>
      <c r="F3718">
        <v>132.125</v>
      </c>
      <c r="G3718">
        <v>10</v>
      </c>
      <c r="H3718">
        <v>56000</v>
      </c>
      <c r="I3718" t="s">
        <v>23</v>
      </c>
    </row>
    <row r="3719" spans="1:9" hidden="1" x14ac:dyDescent="0.25">
      <c r="A3719">
        <v>9</v>
      </c>
      <c r="B3719" t="s">
        <v>32</v>
      </c>
      <c r="C3719">
        <v>2023</v>
      </c>
      <c r="D3719">
        <v>132.125</v>
      </c>
      <c r="E3719" t="s">
        <v>9</v>
      </c>
      <c r="F3719">
        <v>110.75</v>
      </c>
      <c r="G3719">
        <v>21.375</v>
      </c>
      <c r="H3719">
        <v>56000</v>
      </c>
      <c r="I3719" t="s">
        <v>23</v>
      </c>
    </row>
    <row r="3720" spans="1:9" hidden="1" x14ac:dyDescent="0.25">
      <c r="A3720">
        <v>10</v>
      </c>
      <c r="B3720" t="s">
        <v>32</v>
      </c>
      <c r="C3720">
        <v>2023</v>
      </c>
      <c r="D3720">
        <v>110.75</v>
      </c>
      <c r="E3720" t="s">
        <v>9</v>
      </c>
      <c r="F3720">
        <v>90.25</v>
      </c>
      <c r="G3720">
        <v>20.5</v>
      </c>
      <c r="H3720">
        <v>56000</v>
      </c>
      <c r="I3720" t="s">
        <v>23</v>
      </c>
    </row>
    <row r="3721" spans="1:9" hidden="1" x14ac:dyDescent="0.25">
      <c r="A3721">
        <v>11</v>
      </c>
      <c r="B3721" t="s">
        <v>32</v>
      </c>
      <c r="C3721">
        <v>2023</v>
      </c>
      <c r="D3721">
        <v>90.25</v>
      </c>
      <c r="E3721" t="s">
        <v>9</v>
      </c>
      <c r="F3721">
        <v>55.625</v>
      </c>
      <c r="G3721">
        <v>34.625</v>
      </c>
      <c r="H3721">
        <v>56000</v>
      </c>
      <c r="I3721" t="s">
        <v>23</v>
      </c>
    </row>
    <row r="3722" spans="1:9" hidden="1" x14ac:dyDescent="0.25">
      <c r="A3722">
        <v>12</v>
      </c>
      <c r="B3722" t="s">
        <v>32</v>
      </c>
      <c r="C3722">
        <v>2023</v>
      </c>
      <c r="D3722">
        <v>55.625</v>
      </c>
      <c r="E3722">
        <v>120</v>
      </c>
      <c r="F3722">
        <v>131.375</v>
      </c>
      <c r="G3722">
        <v>44.25</v>
      </c>
      <c r="H3722">
        <v>56000</v>
      </c>
      <c r="I3722" t="s">
        <v>23</v>
      </c>
    </row>
    <row r="3723" spans="1:9" hidden="1" x14ac:dyDescent="0.25">
      <c r="A3723">
        <v>13</v>
      </c>
      <c r="B3723" t="s">
        <v>32</v>
      </c>
      <c r="C3723">
        <v>2023</v>
      </c>
      <c r="D3723">
        <v>131.375</v>
      </c>
      <c r="E3723" t="s">
        <v>9</v>
      </c>
      <c r="F3723">
        <v>95</v>
      </c>
      <c r="G3723">
        <v>36.375</v>
      </c>
      <c r="H3723">
        <v>56000</v>
      </c>
      <c r="I3723" t="s">
        <v>23</v>
      </c>
    </row>
    <row r="3724" spans="1:9" hidden="1" x14ac:dyDescent="0.25">
      <c r="A3724">
        <v>14</v>
      </c>
      <c r="B3724" t="s">
        <v>32</v>
      </c>
      <c r="C3724">
        <v>2023</v>
      </c>
      <c r="D3724">
        <v>95</v>
      </c>
      <c r="E3724">
        <v>70</v>
      </c>
      <c r="F3724">
        <v>134.375</v>
      </c>
      <c r="G3724">
        <v>30.625</v>
      </c>
      <c r="H3724">
        <v>56000</v>
      </c>
      <c r="I3724" t="s">
        <v>23</v>
      </c>
    </row>
    <row r="3725" spans="1:9" hidden="1" x14ac:dyDescent="0.25">
      <c r="A3725">
        <v>15</v>
      </c>
      <c r="B3725" t="s">
        <v>32</v>
      </c>
      <c r="C3725">
        <v>2023</v>
      </c>
      <c r="D3725">
        <v>134.375</v>
      </c>
      <c r="E3725">
        <v>-74.25</v>
      </c>
      <c r="F3725">
        <v>54.625</v>
      </c>
      <c r="G3725">
        <v>5.5</v>
      </c>
      <c r="H3725">
        <v>56000</v>
      </c>
      <c r="I3725" t="s">
        <v>23</v>
      </c>
    </row>
    <row r="3726" spans="1:9" hidden="1" x14ac:dyDescent="0.25">
      <c r="A3726">
        <v>16</v>
      </c>
      <c r="B3726" t="s">
        <v>32</v>
      </c>
      <c r="C3726">
        <v>2023</v>
      </c>
      <c r="D3726">
        <v>54.625</v>
      </c>
      <c r="E3726" t="s">
        <v>9</v>
      </c>
      <c r="F3726">
        <v>31.125</v>
      </c>
      <c r="G3726">
        <v>23.5</v>
      </c>
      <c r="H3726">
        <v>56000</v>
      </c>
      <c r="I3726" t="s">
        <v>23</v>
      </c>
    </row>
    <row r="3727" spans="1:9" hidden="1" x14ac:dyDescent="0.25">
      <c r="A3727">
        <v>17</v>
      </c>
      <c r="B3727" t="s">
        <v>32</v>
      </c>
      <c r="C3727">
        <v>2023</v>
      </c>
      <c r="D3727">
        <v>31.125</v>
      </c>
      <c r="E3727">
        <v>150</v>
      </c>
      <c r="F3727">
        <v>156.375</v>
      </c>
      <c r="G3727">
        <v>24.75</v>
      </c>
      <c r="H3727">
        <v>56000</v>
      </c>
      <c r="I3727" t="s">
        <v>23</v>
      </c>
    </row>
    <row r="3728" spans="1:9" hidden="1" x14ac:dyDescent="0.25">
      <c r="A3728">
        <v>18</v>
      </c>
      <c r="B3728" t="s">
        <v>32</v>
      </c>
      <c r="C3728">
        <v>2023</v>
      </c>
      <c r="D3728">
        <v>156.375</v>
      </c>
      <c r="E3728" t="s">
        <v>9</v>
      </c>
      <c r="F3728">
        <v>122</v>
      </c>
      <c r="G3728">
        <v>34.375</v>
      </c>
      <c r="H3728">
        <v>56000</v>
      </c>
      <c r="I3728" t="s">
        <v>23</v>
      </c>
    </row>
    <row r="3729" spans="1:9" hidden="1" x14ac:dyDescent="0.25">
      <c r="A3729">
        <v>19</v>
      </c>
      <c r="B3729" t="s">
        <v>32</v>
      </c>
      <c r="C3729">
        <v>2023</v>
      </c>
      <c r="D3729">
        <v>122</v>
      </c>
      <c r="E3729">
        <v>60</v>
      </c>
      <c r="F3729">
        <v>157</v>
      </c>
      <c r="G3729">
        <v>25</v>
      </c>
      <c r="H3729">
        <v>56000</v>
      </c>
      <c r="I3729" t="s">
        <v>23</v>
      </c>
    </row>
    <row r="3730" spans="1:9" hidden="1" x14ac:dyDescent="0.25">
      <c r="A3730">
        <v>20</v>
      </c>
      <c r="B3730" t="s">
        <v>32</v>
      </c>
      <c r="C3730">
        <v>2023</v>
      </c>
      <c r="D3730">
        <v>157</v>
      </c>
      <c r="E3730" t="s">
        <v>9</v>
      </c>
      <c r="F3730">
        <v>117.75</v>
      </c>
      <c r="G3730">
        <v>39.25</v>
      </c>
      <c r="H3730">
        <v>56000</v>
      </c>
      <c r="I3730" t="s">
        <v>23</v>
      </c>
    </row>
    <row r="3731" spans="1:9" hidden="1" x14ac:dyDescent="0.25">
      <c r="A3731">
        <v>21</v>
      </c>
      <c r="B3731" t="s">
        <v>32</v>
      </c>
      <c r="C3731">
        <v>2023</v>
      </c>
      <c r="D3731">
        <v>117.75</v>
      </c>
      <c r="E3731">
        <v>80</v>
      </c>
      <c r="F3731">
        <v>174</v>
      </c>
      <c r="G3731">
        <v>23.75</v>
      </c>
      <c r="H3731">
        <v>56000</v>
      </c>
      <c r="I3731" t="s">
        <v>23</v>
      </c>
    </row>
    <row r="3732" spans="1:9" hidden="1" x14ac:dyDescent="0.25">
      <c r="A3732">
        <v>22</v>
      </c>
      <c r="B3732" t="s">
        <v>32</v>
      </c>
      <c r="C3732">
        <v>2023</v>
      </c>
      <c r="D3732">
        <v>174</v>
      </c>
      <c r="E3732">
        <v>-75.5</v>
      </c>
      <c r="F3732">
        <v>91.75</v>
      </c>
      <c r="G3732">
        <v>6.75</v>
      </c>
      <c r="H3732">
        <v>56000</v>
      </c>
      <c r="I3732" t="s">
        <v>23</v>
      </c>
    </row>
    <row r="3733" spans="1:9" hidden="1" x14ac:dyDescent="0.25">
      <c r="A3733">
        <v>23</v>
      </c>
      <c r="B3733" t="s">
        <v>32</v>
      </c>
      <c r="C3733">
        <v>2023</v>
      </c>
      <c r="D3733">
        <v>91.75</v>
      </c>
      <c r="E3733" t="s">
        <v>9</v>
      </c>
      <c r="F3733">
        <v>62.375</v>
      </c>
      <c r="G3733">
        <v>29.375</v>
      </c>
      <c r="H3733">
        <v>56000</v>
      </c>
      <c r="I3733" t="s">
        <v>23</v>
      </c>
    </row>
    <row r="3734" spans="1:9" hidden="1" x14ac:dyDescent="0.25">
      <c r="A3734">
        <v>24</v>
      </c>
      <c r="B3734" t="s">
        <v>32</v>
      </c>
      <c r="C3734">
        <v>2023</v>
      </c>
      <c r="D3734">
        <v>62.375</v>
      </c>
      <c r="E3734">
        <v>60</v>
      </c>
      <c r="F3734">
        <v>97</v>
      </c>
      <c r="G3734">
        <v>25.375</v>
      </c>
      <c r="H3734">
        <v>56000</v>
      </c>
      <c r="I3734" t="s">
        <v>23</v>
      </c>
    </row>
    <row r="3735" spans="1:9" hidden="1" x14ac:dyDescent="0.25">
      <c r="A3735">
        <v>25</v>
      </c>
      <c r="B3735" t="s">
        <v>32</v>
      </c>
      <c r="C3735">
        <v>2023</v>
      </c>
      <c r="D3735">
        <v>97</v>
      </c>
      <c r="E3735" t="s">
        <v>9</v>
      </c>
      <c r="F3735">
        <v>61.25</v>
      </c>
      <c r="G3735">
        <v>35.75</v>
      </c>
      <c r="H3735">
        <v>56000</v>
      </c>
      <c r="I3735" t="s">
        <v>23</v>
      </c>
    </row>
    <row r="3736" spans="1:9" hidden="1" x14ac:dyDescent="0.25">
      <c r="A3736">
        <v>26</v>
      </c>
      <c r="B3736" t="s">
        <v>32</v>
      </c>
      <c r="C3736">
        <v>2023</v>
      </c>
      <c r="D3736">
        <v>61.25</v>
      </c>
      <c r="E3736">
        <v>70</v>
      </c>
      <c r="F3736">
        <v>97.125</v>
      </c>
      <c r="G3736">
        <v>34.125</v>
      </c>
      <c r="H3736">
        <v>56000</v>
      </c>
      <c r="I3736" t="s">
        <v>23</v>
      </c>
    </row>
    <row r="3737" spans="1:9" hidden="1" x14ac:dyDescent="0.25">
      <c r="A3737">
        <v>27</v>
      </c>
      <c r="B3737" t="s">
        <v>32</v>
      </c>
      <c r="C3737">
        <v>2023</v>
      </c>
      <c r="D3737">
        <v>97.125</v>
      </c>
      <c r="E3737" t="s">
        <v>9</v>
      </c>
      <c r="F3737">
        <v>57.625</v>
      </c>
      <c r="G3737">
        <v>39.5</v>
      </c>
      <c r="H3737">
        <v>56000</v>
      </c>
      <c r="I3737" t="s">
        <v>23</v>
      </c>
    </row>
    <row r="3738" spans="1:9" hidden="1" x14ac:dyDescent="0.25">
      <c r="A3738">
        <v>28</v>
      </c>
      <c r="B3738" t="s">
        <v>32</v>
      </c>
      <c r="C3738">
        <v>2023</v>
      </c>
      <c r="D3738">
        <v>57.625</v>
      </c>
      <c r="E3738">
        <v>100</v>
      </c>
      <c r="F3738">
        <v>138.25</v>
      </c>
      <c r="G3738">
        <v>19.375</v>
      </c>
      <c r="H3738">
        <v>56000</v>
      </c>
      <c r="I3738" t="s">
        <v>23</v>
      </c>
    </row>
    <row r="3739" spans="1:9" hidden="1" x14ac:dyDescent="0.25">
      <c r="A3739">
        <v>29</v>
      </c>
      <c r="B3739" t="s">
        <v>32</v>
      </c>
      <c r="C3739">
        <v>2023</v>
      </c>
      <c r="D3739">
        <v>138.25</v>
      </c>
      <c r="E3739">
        <v>-81.25</v>
      </c>
      <c r="F3739">
        <v>49.875</v>
      </c>
      <c r="G3739">
        <v>7.125</v>
      </c>
      <c r="H3739">
        <v>56000</v>
      </c>
      <c r="I3739" t="s">
        <v>23</v>
      </c>
    </row>
    <row r="3740" spans="1:9" hidden="1" x14ac:dyDescent="0.25">
      <c r="A3740">
        <v>30</v>
      </c>
      <c r="B3740" t="s">
        <v>32</v>
      </c>
      <c r="C3740">
        <v>2023</v>
      </c>
      <c r="D3740">
        <v>49.875</v>
      </c>
      <c r="E3740" t="s">
        <v>9</v>
      </c>
      <c r="F3740">
        <v>28</v>
      </c>
      <c r="G3740">
        <v>21.875</v>
      </c>
      <c r="H3740">
        <v>56000</v>
      </c>
      <c r="I3740" t="s">
        <v>23</v>
      </c>
    </row>
    <row r="3741" spans="1:9" hidden="1" x14ac:dyDescent="0.25">
      <c r="A3741">
        <v>31</v>
      </c>
      <c r="B3741" t="s">
        <v>32</v>
      </c>
      <c r="C3741">
        <v>2023</v>
      </c>
      <c r="D3741">
        <v>28</v>
      </c>
      <c r="E3741">
        <v>100</v>
      </c>
      <c r="F3741">
        <v>101.5</v>
      </c>
      <c r="G3741">
        <v>26.5</v>
      </c>
      <c r="H3741">
        <v>56000</v>
      </c>
      <c r="I3741" t="s">
        <v>23</v>
      </c>
    </row>
    <row r="3742" spans="1:9" hidden="1" x14ac:dyDescent="0.25">
      <c r="A3742">
        <v>1</v>
      </c>
      <c r="B3742" t="s">
        <v>32</v>
      </c>
      <c r="C3742">
        <v>2023</v>
      </c>
      <c r="D3742">
        <v>40</v>
      </c>
      <c r="E3742" t="s">
        <v>9</v>
      </c>
      <c r="F3742">
        <v>28.5</v>
      </c>
      <c r="G3742">
        <v>11.5</v>
      </c>
      <c r="H3742">
        <v>56000</v>
      </c>
      <c r="I3742" t="s">
        <v>25</v>
      </c>
    </row>
    <row r="3743" spans="1:9" hidden="1" x14ac:dyDescent="0.25">
      <c r="A3743">
        <v>2</v>
      </c>
      <c r="B3743" t="s">
        <v>32</v>
      </c>
      <c r="C3743">
        <v>2023</v>
      </c>
      <c r="D3743">
        <v>28.5</v>
      </c>
      <c r="E3743">
        <v>20</v>
      </c>
      <c r="F3743">
        <v>40.125</v>
      </c>
      <c r="G3743">
        <v>8.375</v>
      </c>
      <c r="H3743">
        <v>56000</v>
      </c>
      <c r="I3743" t="s">
        <v>25</v>
      </c>
    </row>
    <row r="3744" spans="1:9" hidden="1" x14ac:dyDescent="0.25">
      <c r="A3744">
        <v>3</v>
      </c>
      <c r="B3744" t="s">
        <v>32</v>
      </c>
      <c r="C3744">
        <v>2023</v>
      </c>
      <c r="D3744">
        <v>40.125</v>
      </c>
      <c r="E3744" t="s">
        <v>9</v>
      </c>
      <c r="F3744">
        <v>35.375</v>
      </c>
      <c r="G3744">
        <v>4.75</v>
      </c>
      <c r="H3744">
        <v>56000</v>
      </c>
      <c r="I3744" t="s">
        <v>25</v>
      </c>
    </row>
    <row r="3745" spans="1:9" hidden="1" x14ac:dyDescent="0.25">
      <c r="A3745">
        <v>4</v>
      </c>
      <c r="B3745" t="s">
        <v>32</v>
      </c>
      <c r="C3745">
        <v>2023</v>
      </c>
      <c r="D3745">
        <v>35.375</v>
      </c>
      <c r="E3745" t="s">
        <v>9</v>
      </c>
      <c r="F3745">
        <v>24</v>
      </c>
      <c r="G3745">
        <v>11.375</v>
      </c>
      <c r="H3745">
        <v>56000</v>
      </c>
      <c r="I3745" t="s">
        <v>25</v>
      </c>
    </row>
    <row r="3746" spans="1:9" hidden="1" x14ac:dyDescent="0.25">
      <c r="A3746">
        <v>5</v>
      </c>
      <c r="B3746" t="s">
        <v>32</v>
      </c>
      <c r="C3746">
        <v>2023</v>
      </c>
      <c r="D3746">
        <v>24</v>
      </c>
      <c r="E3746">
        <v>80</v>
      </c>
      <c r="F3746">
        <v>92.25</v>
      </c>
      <c r="G3746">
        <v>11.75</v>
      </c>
      <c r="H3746">
        <v>56000</v>
      </c>
      <c r="I3746" t="s">
        <v>25</v>
      </c>
    </row>
    <row r="3747" spans="1:9" hidden="1" x14ac:dyDescent="0.25">
      <c r="A3747">
        <v>6</v>
      </c>
      <c r="B3747" t="s">
        <v>32</v>
      </c>
      <c r="C3747">
        <v>2023</v>
      </c>
      <c r="D3747">
        <v>92.25</v>
      </c>
      <c r="E3747" t="s">
        <v>9</v>
      </c>
      <c r="F3747">
        <v>76.125</v>
      </c>
      <c r="G3747">
        <v>16.125</v>
      </c>
      <c r="H3747">
        <v>56000</v>
      </c>
      <c r="I3747" t="s">
        <v>25</v>
      </c>
    </row>
    <row r="3748" spans="1:9" hidden="1" x14ac:dyDescent="0.25">
      <c r="A3748">
        <v>7</v>
      </c>
      <c r="B3748" t="s">
        <v>32</v>
      </c>
      <c r="C3748">
        <v>2023</v>
      </c>
      <c r="D3748">
        <v>76.125</v>
      </c>
      <c r="E3748" t="s">
        <v>9</v>
      </c>
      <c r="F3748">
        <v>57.875</v>
      </c>
      <c r="G3748">
        <v>18.25</v>
      </c>
      <c r="H3748">
        <v>56000</v>
      </c>
      <c r="I3748" t="s">
        <v>25</v>
      </c>
    </row>
    <row r="3749" spans="1:9" hidden="1" x14ac:dyDescent="0.25">
      <c r="A3749">
        <v>8</v>
      </c>
      <c r="B3749" t="s">
        <v>32</v>
      </c>
      <c r="C3749">
        <v>2023</v>
      </c>
      <c r="D3749">
        <v>57.875</v>
      </c>
      <c r="E3749">
        <v>17.75</v>
      </c>
      <c r="F3749">
        <v>69.375</v>
      </c>
      <c r="G3749">
        <v>6.25</v>
      </c>
      <c r="H3749">
        <v>56000</v>
      </c>
      <c r="I3749" t="s">
        <v>25</v>
      </c>
    </row>
    <row r="3750" spans="1:9" hidden="1" x14ac:dyDescent="0.25">
      <c r="A3750">
        <v>9</v>
      </c>
      <c r="B3750" t="s">
        <v>32</v>
      </c>
      <c r="C3750">
        <v>2023</v>
      </c>
      <c r="D3750">
        <v>69.375</v>
      </c>
      <c r="E3750" t="s">
        <v>9</v>
      </c>
      <c r="F3750">
        <v>63</v>
      </c>
      <c r="G3750">
        <v>6.375</v>
      </c>
      <c r="H3750">
        <v>56000</v>
      </c>
      <c r="I3750" t="s">
        <v>25</v>
      </c>
    </row>
    <row r="3751" spans="1:9" hidden="1" x14ac:dyDescent="0.25">
      <c r="A3751">
        <v>10</v>
      </c>
      <c r="B3751" t="s">
        <v>32</v>
      </c>
      <c r="C3751">
        <v>2023</v>
      </c>
      <c r="D3751">
        <v>63</v>
      </c>
      <c r="E3751" t="s">
        <v>9</v>
      </c>
      <c r="F3751">
        <v>54.25</v>
      </c>
      <c r="G3751">
        <v>8.75</v>
      </c>
      <c r="H3751">
        <v>56000</v>
      </c>
      <c r="I3751" t="s">
        <v>25</v>
      </c>
    </row>
    <row r="3752" spans="1:9" hidden="1" x14ac:dyDescent="0.25">
      <c r="A3752">
        <v>11</v>
      </c>
      <c r="B3752" t="s">
        <v>32</v>
      </c>
      <c r="C3752">
        <v>2023</v>
      </c>
      <c r="D3752">
        <v>54.25</v>
      </c>
      <c r="E3752" t="s">
        <v>9</v>
      </c>
      <c r="F3752">
        <v>46</v>
      </c>
      <c r="G3752">
        <v>8.25</v>
      </c>
      <c r="H3752">
        <v>56000</v>
      </c>
      <c r="I3752" t="s">
        <v>25</v>
      </c>
    </row>
    <row r="3753" spans="1:9" hidden="1" x14ac:dyDescent="0.25">
      <c r="A3753">
        <v>12</v>
      </c>
      <c r="B3753" t="s">
        <v>32</v>
      </c>
      <c r="C3753">
        <v>2023</v>
      </c>
      <c r="D3753">
        <v>46</v>
      </c>
      <c r="E3753" t="s">
        <v>9</v>
      </c>
      <c r="F3753">
        <v>31.25</v>
      </c>
      <c r="G3753">
        <v>14.75</v>
      </c>
      <c r="H3753">
        <v>56000</v>
      </c>
      <c r="I3753" t="s">
        <v>25</v>
      </c>
    </row>
    <row r="3754" spans="1:9" hidden="1" x14ac:dyDescent="0.25">
      <c r="A3754">
        <v>13</v>
      </c>
      <c r="B3754" t="s">
        <v>32</v>
      </c>
      <c r="C3754">
        <v>2023</v>
      </c>
      <c r="D3754">
        <v>31.25</v>
      </c>
      <c r="E3754" t="s">
        <v>9</v>
      </c>
      <c r="F3754">
        <v>19.875</v>
      </c>
      <c r="G3754">
        <v>11.375</v>
      </c>
      <c r="H3754">
        <v>56000</v>
      </c>
      <c r="I3754" t="s">
        <v>25</v>
      </c>
    </row>
    <row r="3755" spans="1:9" hidden="1" x14ac:dyDescent="0.25">
      <c r="A3755">
        <v>14</v>
      </c>
      <c r="B3755" t="s">
        <v>32</v>
      </c>
      <c r="C3755">
        <v>2023</v>
      </c>
      <c r="D3755">
        <v>19.875</v>
      </c>
      <c r="E3755" t="s">
        <v>9</v>
      </c>
      <c r="F3755">
        <v>14.25</v>
      </c>
      <c r="G3755">
        <v>5.625</v>
      </c>
      <c r="H3755">
        <v>56000</v>
      </c>
      <c r="I3755" t="s">
        <v>25</v>
      </c>
    </row>
    <row r="3756" spans="1:9" hidden="1" x14ac:dyDescent="0.25">
      <c r="A3756">
        <v>15</v>
      </c>
      <c r="B3756" t="s">
        <v>32</v>
      </c>
      <c r="C3756">
        <v>2023</v>
      </c>
      <c r="D3756">
        <v>14.25</v>
      </c>
      <c r="E3756">
        <v>24</v>
      </c>
      <c r="F3756">
        <v>35.5</v>
      </c>
      <c r="G3756">
        <v>2.75</v>
      </c>
      <c r="H3756">
        <v>56000</v>
      </c>
      <c r="I3756" t="s">
        <v>25</v>
      </c>
    </row>
    <row r="3757" spans="1:9" hidden="1" x14ac:dyDescent="0.25">
      <c r="A3757">
        <v>16</v>
      </c>
      <c r="B3757" t="s">
        <v>32</v>
      </c>
      <c r="C3757">
        <v>2023</v>
      </c>
      <c r="D3757">
        <v>35.5</v>
      </c>
      <c r="E3757" t="s">
        <v>9</v>
      </c>
      <c r="F3757">
        <v>31</v>
      </c>
      <c r="G3757">
        <v>4.5</v>
      </c>
      <c r="H3757">
        <v>56000</v>
      </c>
      <c r="I3757" t="s">
        <v>25</v>
      </c>
    </row>
    <row r="3758" spans="1:9" hidden="1" x14ac:dyDescent="0.25">
      <c r="A3758">
        <v>17</v>
      </c>
      <c r="B3758" t="s">
        <v>32</v>
      </c>
      <c r="C3758">
        <v>2023</v>
      </c>
      <c r="D3758">
        <v>31</v>
      </c>
      <c r="E3758" t="s">
        <v>9</v>
      </c>
      <c r="F3758">
        <v>21</v>
      </c>
      <c r="G3758">
        <v>10</v>
      </c>
      <c r="H3758">
        <v>56000</v>
      </c>
      <c r="I3758" t="s">
        <v>25</v>
      </c>
    </row>
    <row r="3759" spans="1:9" hidden="1" x14ac:dyDescent="0.25">
      <c r="A3759">
        <v>18</v>
      </c>
      <c r="B3759" t="s">
        <v>32</v>
      </c>
      <c r="C3759">
        <v>2023</v>
      </c>
      <c r="D3759">
        <v>21</v>
      </c>
      <c r="E3759" t="s">
        <v>9</v>
      </c>
      <c r="F3759">
        <v>12.625</v>
      </c>
      <c r="G3759">
        <v>8.375</v>
      </c>
      <c r="H3759">
        <v>56000</v>
      </c>
      <c r="I3759" t="s">
        <v>25</v>
      </c>
    </row>
    <row r="3760" spans="1:9" hidden="1" x14ac:dyDescent="0.25">
      <c r="A3760">
        <v>19</v>
      </c>
      <c r="B3760" t="s">
        <v>32</v>
      </c>
      <c r="C3760">
        <v>2023</v>
      </c>
      <c r="D3760">
        <v>12.625</v>
      </c>
      <c r="E3760">
        <v>50</v>
      </c>
      <c r="F3760">
        <v>54.5</v>
      </c>
      <c r="G3760">
        <v>8.125</v>
      </c>
      <c r="H3760">
        <v>56000</v>
      </c>
      <c r="I3760" t="s">
        <v>25</v>
      </c>
    </row>
    <row r="3761" spans="1:9" hidden="1" x14ac:dyDescent="0.25">
      <c r="A3761">
        <v>21</v>
      </c>
      <c r="B3761" t="s">
        <v>32</v>
      </c>
      <c r="C3761">
        <v>2023</v>
      </c>
      <c r="D3761">
        <v>41</v>
      </c>
      <c r="E3761" t="s">
        <v>9</v>
      </c>
      <c r="F3761">
        <v>31.5</v>
      </c>
      <c r="G3761">
        <v>9.5</v>
      </c>
      <c r="H3761">
        <v>56000</v>
      </c>
      <c r="I3761" t="s">
        <v>25</v>
      </c>
    </row>
    <row r="3762" spans="1:9" hidden="1" x14ac:dyDescent="0.25">
      <c r="A3762">
        <v>20</v>
      </c>
      <c r="B3762" t="s">
        <v>32</v>
      </c>
      <c r="C3762">
        <v>2023</v>
      </c>
      <c r="D3762">
        <v>54.5</v>
      </c>
      <c r="E3762" t="s">
        <v>9</v>
      </c>
      <c r="F3762">
        <v>41</v>
      </c>
      <c r="G3762">
        <v>13.5</v>
      </c>
      <c r="H3762">
        <v>56000</v>
      </c>
      <c r="I3762" t="s">
        <v>25</v>
      </c>
    </row>
    <row r="3763" spans="1:9" hidden="1" x14ac:dyDescent="0.25">
      <c r="A3763">
        <v>22</v>
      </c>
      <c r="B3763" t="s">
        <v>32</v>
      </c>
      <c r="C3763">
        <v>2023</v>
      </c>
      <c r="D3763">
        <v>31.5</v>
      </c>
      <c r="E3763">
        <v>37.5</v>
      </c>
      <c r="F3763">
        <v>65</v>
      </c>
      <c r="G3763">
        <v>4</v>
      </c>
      <c r="H3763">
        <v>56000</v>
      </c>
      <c r="I3763" t="s">
        <v>25</v>
      </c>
    </row>
    <row r="3764" spans="1:9" hidden="1" x14ac:dyDescent="0.25">
      <c r="A3764">
        <v>23</v>
      </c>
      <c r="B3764" t="s">
        <v>32</v>
      </c>
      <c r="C3764">
        <v>2023</v>
      </c>
      <c r="D3764">
        <v>65</v>
      </c>
      <c r="E3764" t="s">
        <v>9</v>
      </c>
      <c r="F3764">
        <v>57.875</v>
      </c>
      <c r="G3764">
        <v>7.125</v>
      </c>
      <c r="H3764">
        <v>56000</v>
      </c>
      <c r="I3764" t="s">
        <v>25</v>
      </c>
    </row>
    <row r="3765" spans="1:9" hidden="1" x14ac:dyDescent="0.25">
      <c r="A3765">
        <v>24</v>
      </c>
      <c r="B3765" t="s">
        <v>32</v>
      </c>
      <c r="C3765">
        <v>2023</v>
      </c>
      <c r="D3765">
        <v>57.875</v>
      </c>
      <c r="E3765" t="s">
        <v>9</v>
      </c>
      <c r="F3765">
        <v>50.25</v>
      </c>
      <c r="G3765">
        <v>7.625</v>
      </c>
      <c r="H3765">
        <v>56000</v>
      </c>
      <c r="I3765" t="s">
        <v>25</v>
      </c>
    </row>
    <row r="3766" spans="1:9" hidden="1" x14ac:dyDescent="0.25">
      <c r="A3766">
        <v>25</v>
      </c>
      <c r="B3766" t="s">
        <v>32</v>
      </c>
      <c r="C3766">
        <v>2023</v>
      </c>
      <c r="D3766">
        <v>50.25</v>
      </c>
      <c r="E3766" t="s">
        <v>9</v>
      </c>
      <c r="F3766">
        <v>38.75</v>
      </c>
      <c r="G3766">
        <v>11.5</v>
      </c>
      <c r="H3766">
        <v>56000</v>
      </c>
      <c r="I3766" t="s">
        <v>25</v>
      </c>
    </row>
    <row r="3767" spans="1:9" hidden="1" x14ac:dyDescent="0.25">
      <c r="A3767">
        <v>26</v>
      </c>
      <c r="B3767" t="s">
        <v>32</v>
      </c>
      <c r="C3767">
        <v>2023</v>
      </c>
      <c r="D3767">
        <v>38.75</v>
      </c>
      <c r="E3767" t="s">
        <v>9</v>
      </c>
      <c r="F3767">
        <v>26.375</v>
      </c>
      <c r="G3767">
        <v>12.375</v>
      </c>
      <c r="H3767">
        <v>56000</v>
      </c>
      <c r="I3767" t="s">
        <v>25</v>
      </c>
    </row>
    <row r="3768" spans="1:9" hidden="1" x14ac:dyDescent="0.25">
      <c r="A3768">
        <v>27</v>
      </c>
      <c r="B3768" t="s">
        <v>32</v>
      </c>
      <c r="C3768">
        <v>2023</v>
      </c>
      <c r="D3768">
        <v>26.375</v>
      </c>
      <c r="E3768" t="s">
        <v>9</v>
      </c>
      <c r="F3768">
        <v>10.625</v>
      </c>
      <c r="G3768">
        <v>15.75</v>
      </c>
      <c r="H3768">
        <v>56000</v>
      </c>
      <c r="I3768" t="s">
        <v>25</v>
      </c>
    </row>
    <row r="3769" spans="1:9" hidden="1" x14ac:dyDescent="0.25">
      <c r="A3769">
        <v>28</v>
      </c>
      <c r="B3769" t="s">
        <v>32</v>
      </c>
      <c r="C3769">
        <v>2023</v>
      </c>
      <c r="D3769">
        <v>10.625</v>
      </c>
      <c r="E3769" t="s">
        <v>9</v>
      </c>
      <c r="F3769">
        <v>8.125</v>
      </c>
      <c r="G3769">
        <v>2.5</v>
      </c>
      <c r="H3769">
        <v>56000</v>
      </c>
      <c r="I3769" t="s">
        <v>25</v>
      </c>
    </row>
    <row r="3770" spans="1:9" hidden="1" x14ac:dyDescent="0.25">
      <c r="A3770">
        <v>29</v>
      </c>
      <c r="B3770" t="s">
        <v>32</v>
      </c>
      <c r="C3770">
        <v>2023</v>
      </c>
      <c r="D3770">
        <v>8.125</v>
      </c>
      <c r="E3770">
        <v>15</v>
      </c>
      <c r="F3770">
        <v>15.875</v>
      </c>
      <c r="G3770">
        <v>7.25</v>
      </c>
      <c r="H3770">
        <v>56000</v>
      </c>
      <c r="I3770" t="s">
        <v>25</v>
      </c>
    </row>
    <row r="3771" spans="1:9" hidden="1" x14ac:dyDescent="0.25">
      <c r="A3771">
        <v>30</v>
      </c>
      <c r="B3771" t="s">
        <v>32</v>
      </c>
      <c r="C3771">
        <v>2023</v>
      </c>
      <c r="D3771">
        <v>15.875</v>
      </c>
      <c r="E3771" t="s">
        <v>9</v>
      </c>
      <c r="F3771">
        <v>9</v>
      </c>
      <c r="G3771">
        <v>6.875</v>
      </c>
      <c r="H3771">
        <v>56000</v>
      </c>
      <c r="I3771" t="s">
        <v>25</v>
      </c>
    </row>
    <row r="3772" spans="1:9" hidden="1" x14ac:dyDescent="0.25">
      <c r="A3772">
        <v>31</v>
      </c>
      <c r="B3772" t="s">
        <v>32</v>
      </c>
      <c r="C3772">
        <v>2023</v>
      </c>
      <c r="D3772">
        <v>9</v>
      </c>
      <c r="E3772">
        <v>60</v>
      </c>
      <c r="F3772">
        <v>58.75</v>
      </c>
      <c r="G3772">
        <v>10.25</v>
      </c>
      <c r="H3772">
        <v>56000</v>
      </c>
      <c r="I3772" t="s">
        <v>25</v>
      </c>
    </row>
    <row r="3773" spans="1:9" x14ac:dyDescent="0.25">
      <c r="A3773">
        <v>1</v>
      </c>
      <c r="B3773" t="s">
        <v>33</v>
      </c>
      <c r="C3773">
        <v>2023</v>
      </c>
      <c r="D3773">
        <v>102.25</v>
      </c>
      <c r="E3773" t="s">
        <v>9</v>
      </c>
      <c r="F3773">
        <v>82.875</v>
      </c>
      <c r="G3773">
        <v>19.375</v>
      </c>
      <c r="H3773">
        <v>64000</v>
      </c>
      <c r="I3773" t="s">
        <v>22</v>
      </c>
    </row>
    <row r="3774" spans="1:9" x14ac:dyDescent="0.25">
      <c r="A3774">
        <v>2</v>
      </c>
      <c r="B3774" t="s">
        <v>33</v>
      </c>
      <c r="C3774">
        <v>2023</v>
      </c>
      <c r="D3774">
        <v>82.875</v>
      </c>
      <c r="E3774" t="s">
        <v>9</v>
      </c>
      <c r="F3774">
        <v>66.125</v>
      </c>
      <c r="G3774">
        <v>16.75</v>
      </c>
      <c r="H3774">
        <v>64000</v>
      </c>
      <c r="I3774" t="s">
        <v>22</v>
      </c>
    </row>
    <row r="3775" spans="1:9" x14ac:dyDescent="0.25">
      <c r="A3775">
        <v>3</v>
      </c>
      <c r="B3775" t="s">
        <v>33</v>
      </c>
      <c r="C3775">
        <v>2023</v>
      </c>
      <c r="D3775">
        <v>66.125</v>
      </c>
      <c r="E3775" t="s">
        <v>9</v>
      </c>
      <c r="F3775">
        <v>40.75</v>
      </c>
      <c r="G3775">
        <v>25.375</v>
      </c>
      <c r="H3775">
        <v>64000</v>
      </c>
      <c r="I3775" t="s">
        <v>22</v>
      </c>
    </row>
    <row r="3776" spans="1:9" x14ac:dyDescent="0.25">
      <c r="A3776">
        <v>4</v>
      </c>
      <c r="B3776" t="s">
        <v>33</v>
      </c>
      <c r="C3776">
        <v>2023</v>
      </c>
      <c r="D3776">
        <v>40.75</v>
      </c>
      <c r="E3776">
        <v>100</v>
      </c>
      <c r="F3776">
        <v>108.375</v>
      </c>
      <c r="G3776">
        <v>32.375</v>
      </c>
      <c r="H3776">
        <v>64000</v>
      </c>
      <c r="I3776" t="s">
        <v>22</v>
      </c>
    </row>
    <row r="3777" spans="1:9" x14ac:dyDescent="0.25">
      <c r="A3777">
        <v>5</v>
      </c>
      <c r="B3777" t="s">
        <v>33</v>
      </c>
      <c r="C3777">
        <v>2023</v>
      </c>
      <c r="D3777">
        <v>108.375</v>
      </c>
      <c r="E3777" t="s">
        <v>9</v>
      </c>
      <c r="F3777">
        <v>71.375</v>
      </c>
      <c r="G3777">
        <v>37</v>
      </c>
      <c r="H3777">
        <v>64000</v>
      </c>
      <c r="I3777" t="s">
        <v>22</v>
      </c>
    </row>
    <row r="3778" spans="1:9" x14ac:dyDescent="0.25">
      <c r="A3778">
        <v>6</v>
      </c>
      <c r="B3778" t="s">
        <v>33</v>
      </c>
      <c r="C3778">
        <v>2023</v>
      </c>
      <c r="D3778">
        <v>71.375</v>
      </c>
      <c r="E3778">
        <v>90</v>
      </c>
      <c r="F3778">
        <v>130.625</v>
      </c>
      <c r="G3778">
        <v>30.75</v>
      </c>
      <c r="H3778">
        <v>64000</v>
      </c>
      <c r="I3778" t="s">
        <v>22</v>
      </c>
    </row>
    <row r="3779" spans="1:9" x14ac:dyDescent="0.25">
      <c r="A3779">
        <v>7</v>
      </c>
      <c r="B3779" t="s">
        <v>33</v>
      </c>
      <c r="C3779">
        <v>2023</v>
      </c>
      <c r="D3779">
        <v>130.625</v>
      </c>
      <c r="E3779" t="s">
        <v>9</v>
      </c>
      <c r="F3779">
        <v>122.25</v>
      </c>
      <c r="G3779">
        <v>8.375</v>
      </c>
      <c r="H3779">
        <v>64000</v>
      </c>
      <c r="I3779" t="s">
        <v>22</v>
      </c>
    </row>
    <row r="3780" spans="1:9" x14ac:dyDescent="0.25">
      <c r="A3780">
        <v>8</v>
      </c>
      <c r="B3780" t="s">
        <v>33</v>
      </c>
      <c r="C3780">
        <v>2023</v>
      </c>
      <c r="D3780">
        <v>122.25</v>
      </c>
      <c r="E3780" t="s">
        <v>9</v>
      </c>
      <c r="F3780">
        <v>112.25</v>
      </c>
      <c r="G3780">
        <v>10</v>
      </c>
      <c r="H3780">
        <v>64000</v>
      </c>
      <c r="I3780" t="s">
        <v>22</v>
      </c>
    </row>
    <row r="3781" spans="1:9" x14ac:dyDescent="0.25">
      <c r="A3781">
        <v>9</v>
      </c>
      <c r="B3781" t="s">
        <v>33</v>
      </c>
      <c r="C3781">
        <v>2023</v>
      </c>
      <c r="D3781">
        <v>112.25</v>
      </c>
      <c r="E3781" t="s">
        <v>9</v>
      </c>
      <c r="F3781">
        <v>100.875</v>
      </c>
      <c r="G3781">
        <v>11.375</v>
      </c>
      <c r="H3781">
        <v>64000</v>
      </c>
      <c r="I3781" t="s">
        <v>22</v>
      </c>
    </row>
    <row r="3782" spans="1:9" x14ac:dyDescent="0.25">
      <c r="A3782">
        <v>10</v>
      </c>
      <c r="B3782" t="s">
        <v>33</v>
      </c>
      <c r="C3782">
        <v>2023</v>
      </c>
      <c r="D3782">
        <v>100.875</v>
      </c>
      <c r="E3782" t="s">
        <v>9</v>
      </c>
      <c r="F3782">
        <v>75.375</v>
      </c>
      <c r="G3782">
        <v>25.5</v>
      </c>
      <c r="H3782">
        <v>64000</v>
      </c>
      <c r="I3782" t="s">
        <v>22</v>
      </c>
    </row>
    <row r="3783" spans="1:9" x14ac:dyDescent="0.25">
      <c r="A3783">
        <v>11</v>
      </c>
      <c r="B3783" t="s">
        <v>33</v>
      </c>
      <c r="C3783">
        <v>2023</v>
      </c>
      <c r="D3783">
        <v>75.375</v>
      </c>
      <c r="E3783" t="s">
        <v>9</v>
      </c>
      <c r="F3783">
        <v>40</v>
      </c>
      <c r="G3783">
        <v>35.375</v>
      </c>
      <c r="H3783">
        <v>64000</v>
      </c>
      <c r="I3783" t="s">
        <v>22</v>
      </c>
    </row>
    <row r="3784" spans="1:9" x14ac:dyDescent="0.25">
      <c r="A3784">
        <v>12</v>
      </c>
      <c r="B3784" t="s">
        <v>33</v>
      </c>
      <c r="C3784">
        <v>2023</v>
      </c>
      <c r="D3784">
        <v>40</v>
      </c>
      <c r="E3784">
        <v>120</v>
      </c>
      <c r="F3784">
        <v>123.75</v>
      </c>
      <c r="G3784">
        <v>36.25</v>
      </c>
      <c r="H3784">
        <v>64000</v>
      </c>
      <c r="I3784" t="s">
        <v>22</v>
      </c>
    </row>
    <row r="3785" spans="1:9" x14ac:dyDescent="0.25">
      <c r="A3785">
        <v>13</v>
      </c>
      <c r="B3785" t="s">
        <v>33</v>
      </c>
      <c r="C3785">
        <v>2023</v>
      </c>
      <c r="D3785">
        <v>123.75</v>
      </c>
      <c r="E3785" t="s">
        <v>9</v>
      </c>
      <c r="F3785">
        <v>90.75</v>
      </c>
      <c r="G3785">
        <v>33</v>
      </c>
      <c r="H3785">
        <v>64000</v>
      </c>
      <c r="I3785" t="s">
        <v>22</v>
      </c>
    </row>
    <row r="3786" spans="1:9" x14ac:dyDescent="0.25">
      <c r="A3786">
        <v>14</v>
      </c>
      <c r="B3786" t="s">
        <v>33</v>
      </c>
      <c r="C3786">
        <v>2023</v>
      </c>
      <c r="D3786">
        <v>90.75</v>
      </c>
      <c r="E3786" t="s">
        <v>9</v>
      </c>
      <c r="F3786">
        <v>78.75</v>
      </c>
      <c r="G3786">
        <v>12</v>
      </c>
      <c r="H3786">
        <v>64000</v>
      </c>
      <c r="I3786" t="s">
        <v>22</v>
      </c>
    </row>
    <row r="3787" spans="1:9" x14ac:dyDescent="0.25">
      <c r="A3787">
        <v>15</v>
      </c>
      <c r="B3787" t="s">
        <v>33</v>
      </c>
      <c r="C3787">
        <v>2023</v>
      </c>
      <c r="D3787">
        <v>78.75</v>
      </c>
      <c r="E3787" t="s">
        <v>9</v>
      </c>
      <c r="F3787">
        <v>62.5</v>
      </c>
      <c r="G3787">
        <v>16.25</v>
      </c>
      <c r="H3787">
        <v>64000</v>
      </c>
      <c r="I3787" t="s">
        <v>22</v>
      </c>
    </row>
    <row r="3788" spans="1:9" x14ac:dyDescent="0.25">
      <c r="A3788">
        <v>16</v>
      </c>
      <c r="B3788" t="s">
        <v>33</v>
      </c>
      <c r="C3788">
        <v>2023</v>
      </c>
      <c r="D3788">
        <v>62.5</v>
      </c>
      <c r="E3788" t="s">
        <v>9</v>
      </c>
      <c r="F3788">
        <v>40</v>
      </c>
      <c r="G3788">
        <v>22.5</v>
      </c>
      <c r="H3788">
        <v>64000</v>
      </c>
      <c r="I3788" t="s">
        <v>22</v>
      </c>
    </row>
    <row r="3789" spans="1:9" x14ac:dyDescent="0.25">
      <c r="A3789">
        <v>17</v>
      </c>
      <c r="B3789" t="s">
        <v>33</v>
      </c>
      <c r="C3789">
        <v>2023</v>
      </c>
      <c r="D3789">
        <v>40</v>
      </c>
      <c r="E3789">
        <v>60</v>
      </c>
      <c r="F3789">
        <v>80.25</v>
      </c>
      <c r="G3789">
        <v>19.75</v>
      </c>
      <c r="H3789">
        <v>64000</v>
      </c>
      <c r="I3789" t="s">
        <v>22</v>
      </c>
    </row>
    <row r="3790" spans="1:9" x14ac:dyDescent="0.25">
      <c r="A3790">
        <v>18</v>
      </c>
      <c r="B3790" t="s">
        <v>33</v>
      </c>
      <c r="C3790">
        <v>2023</v>
      </c>
      <c r="D3790">
        <v>80.25</v>
      </c>
      <c r="E3790" t="s">
        <v>9</v>
      </c>
      <c r="F3790">
        <v>43.5</v>
      </c>
      <c r="G3790">
        <v>36.75</v>
      </c>
      <c r="H3790">
        <v>64000</v>
      </c>
      <c r="I3790" t="s">
        <v>22</v>
      </c>
    </row>
    <row r="3791" spans="1:9" x14ac:dyDescent="0.25">
      <c r="A3791">
        <v>19</v>
      </c>
      <c r="B3791" t="s">
        <v>33</v>
      </c>
      <c r="C3791">
        <v>2023</v>
      </c>
      <c r="D3791">
        <v>43.5</v>
      </c>
      <c r="E3791">
        <v>80</v>
      </c>
      <c r="F3791">
        <v>86.625</v>
      </c>
      <c r="G3791">
        <v>36.875</v>
      </c>
      <c r="H3791">
        <v>64000</v>
      </c>
      <c r="I3791" t="s">
        <v>22</v>
      </c>
    </row>
    <row r="3792" spans="1:9" x14ac:dyDescent="0.25">
      <c r="A3792">
        <v>20</v>
      </c>
      <c r="B3792" t="s">
        <v>33</v>
      </c>
      <c r="C3792">
        <v>2023</v>
      </c>
      <c r="D3792">
        <v>86.625</v>
      </c>
      <c r="E3792" t="s">
        <v>9</v>
      </c>
      <c r="F3792">
        <v>76.25</v>
      </c>
      <c r="G3792">
        <v>10.375</v>
      </c>
      <c r="H3792">
        <v>64000</v>
      </c>
      <c r="I3792" t="s">
        <v>22</v>
      </c>
    </row>
    <row r="3793" spans="1:9" x14ac:dyDescent="0.25">
      <c r="A3793">
        <v>21</v>
      </c>
      <c r="B3793" t="s">
        <v>33</v>
      </c>
      <c r="C3793">
        <v>2023</v>
      </c>
      <c r="D3793">
        <v>76.25</v>
      </c>
      <c r="E3793" t="s">
        <v>9</v>
      </c>
      <c r="F3793">
        <v>57.125</v>
      </c>
      <c r="G3793">
        <v>19.125</v>
      </c>
      <c r="H3793">
        <v>64000</v>
      </c>
      <c r="I3793" t="s">
        <v>22</v>
      </c>
    </row>
    <row r="3794" spans="1:9" x14ac:dyDescent="0.25">
      <c r="A3794">
        <v>22</v>
      </c>
      <c r="B3794" t="s">
        <v>33</v>
      </c>
      <c r="C3794">
        <v>2023</v>
      </c>
      <c r="D3794">
        <v>57.125</v>
      </c>
      <c r="E3794" t="s">
        <v>9</v>
      </c>
      <c r="F3794">
        <v>37.625</v>
      </c>
      <c r="G3794">
        <v>19.5</v>
      </c>
      <c r="H3794">
        <v>64000</v>
      </c>
      <c r="I3794" t="s">
        <v>22</v>
      </c>
    </row>
    <row r="3795" spans="1:9" x14ac:dyDescent="0.25">
      <c r="A3795">
        <v>23</v>
      </c>
      <c r="B3795" t="s">
        <v>33</v>
      </c>
      <c r="C3795">
        <v>2023</v>
      </c>
      <c r="D3795">
        <v>37.625</v>
      </c>
      <c r="E3795" t="s">
        <v>9</v>
      </c>
      <c r="F3795">
        <v>17.75</v>
      </c>
      <c r="G3795">
        <v>19.875</v>
      </c>
      <c r="H3795">
        <v>64000</v>
      </c>
      <c r="I3795" t="s">
        <v>22</v>
      </c>
    </row>
    <row r="3796" spans="1:9" x14ac:dyDescent="0.25">
      <c r="A3796">
        <v>24</v>
      </c>
      <c r="B3796" t="s">
        <v>33</v>
      </c>
      <c r="C3796">
        <v>2023</v>
      </c>
      <c r="D3796">
        <v>17.75</v>
      </c>
      <c r="E3796">
        <v>120</v>
      </c>
      <c r="F3796" t="s">
        <v>9</v>
      </c>
      <c r="G3796">
        <v>137.75</v>
      </c>
      <c r="H3796">
        <v>64000</v>
      </c>
      <c r="I3796" t="s">
        <v>22</v>
      </c>
    </row>
    <row r="3797" spans="1:9" x14ac:dyDescent="0.25">
      <c r="A3797">
        <v>25</v>
      </c>
      <c r="B3797" t="s">
        <v>33</v>
      </c>
      <c r="C3797">
        <v>2023</v>
      </c>
      <c r="D3797" t="s">
        <v>9</v>
      </c>
      <c r="E3797" t="s">
        <v>9</v>
      </c>
      <c r="F3797" t="s">
        <v>9</v>
      </c>
      <c r="G3797">
        <v>0</v>
      </c>
      <c r="H3797">
        <v>64000</v>
      </c>
      <c r="I3797" t="s">
        <v>22</v>
      </c>
    </row>
    <row r="3798" spans="1:9" x14ac:dyDescent="0.25">
      <c r="A3798">
        <v>26</v>
      </c>
      <c r="B3798" t="s">
        <v>33</v>
      </c>
      <c r="C3798">
        <v>2023</v>
      </c>
      <c r="D3798" t="s">
        <v>9</v>
      </c>
      <c r="E3798" t="s">
        <v>9</v>
      </c>
      <c r="F3798" t="s">
        <v>9</v>
      </c>
      <c r="G3798">
        <v>0</v>
      </c>
      <c r="H3798">
        <v>64000</v>
      </c>
      <c r="I3798" t="s">
        <v>22</v>
      </c>
    </row>
    <row r="3799" spans="1:9" x14ac:dyDescent="0.25">
      <c r="A3799">
        <v>27</v>
      </c>
      <c r="B3799" t="s">
        <v>33</v>
      </c>
      <c r="C3799">
        <v>2023</v>
      </c>
      <c r="D3799" t="s">
        <v>9</v>
      </c>
      <c r="E3799" t="s">
        <v>9</v>
      </c>
      <c r="F3799" t="s">
        <v>9</v>
      </c>
      <c r="G3799">
        <v>0</v>
      </c>
      <c r="H3799">
        <v>64000</v>
      </c>
      <c r="I3799" t="s">
        <v>22</v>
      </c>
    </row>
    <row r="3800" spans="1:9" x14ac:dyDescent="0.25">
      <c r="A3800">
        <v>28</v>
      </c>
      <c r="B3800" t="s">
        <v>33</v>
      </c>
      <c r="C3800">
        <v>2023</v>
      </c>
      <c r="D3800" t="s">
        <v>9</v>
      </c>
      <c r="E3800" t="s">
        <v>9</v>
      </c>
      <c r="F3800" t="s">
        <v>9</v>
      </c>
      <c r="G3800">
        <v>0</v>
      </c>
      <c r="H3800">
        <v>64000</v>
      </c>
      <c r="I3800" t="s">
        <v>22</v>
      </c>
    </row>
    <row r="3801" spans="1:9" x14ac:dyDescent="0.25">
      <c r="A3801">
        <v>29</v>
      </c>
      <c r="B3801" t="s">
        <v>33</v>
      </c>
      <c r="C3801">
        <v>2023</v>
      </c>
      <c r="D3801" t="s">
        <v>9</v>
      </c>
      <c r="E3801" t="s">
        <v>9</v>
      </c>
      <c r="F3801" t="s">
        <v>9</v>
      </c>
      <c r="G3801">
        <v>0</v>
      </c>
      <c r="H3801">
        <v>64000</v>
      </c>
      <c r="I3801" t="s">
        <v>22</v>
      </c>
    </row>
    <row r="3802" spans="1:9" x14ac:dyDescent="0.25">
      <c r="A3802">
        <v>30</v>
      </c>
      <c r="B3802" t="s">
        <v>33</v>
      </c>
      <c r="C3802">
        <v>2023</v>
      </c>
      <c r="D3802" t="s">
        <v>9</v>
      </c>
      <c r="E3802" t="s">
        <v>9</v>
      </c>
      <c r="F3802" t="s">
        <v>9</v>
      </c>
      <c r="G3802">
        <v>0</v>
      </c>
      <c r="H3802">
        <v>64000</v>
      </c>
      <c r="I3802" t="s">
        <v>22</v>
      </c>
    </row>
    <row r="3803" spans="1:9" x14ac:dyDescent="0.25">
      <c r="A3803">
        <v>31</v>
      </c>
      <c r="B3803" t="s">
        <v>33</v>
      </c>
      <c r="C3803">
        <v>2023</v>
      </c>
      <c r="D3803" t="s">
        <v>9</v>
      </c>
      <c r="E3803" t="s">
        <v>9</v>
      </c>
      <c r="F3803" t="s">
        <v>9</v>
      </c>
      <c r="G3803">
        <v>0</v>
      </c>
      <c r="H3803">
        <v>64000</v>
      </c>
      <c r="I3803" t="s">
        <v>22</v>
      </c>
    </row>
  </sheetData>
  <autoFilter ref="A1:I3803" xr:uid="{343691F2-31D4-464B-80A3-4EBF5BEE38AC}">
    <filterColumn colId="8">
      <filters>
        <filter val="Terraplaz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76D6-0061-422B-AF8A-F95D6F2956E1}">
  <dimension ref="A1:K1827"/>
  <sheetViews>
    <sheetView workbookViewId="0">
      <selection activeCell="G4" sqref="G4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6</v>
      </c>
      <c r="I1" t="s">
        <v>7</v>
      </c>
      <c r="J1" s="1">
        <f>DATE(2019,1,1) + ROW()-1</f>
        <v>43466</v>
      </c>
      <c r="K1">
        <f>VLOOKUP(J1, G:H, 2, FALSE)</f>
        <v>103.5</v>
      </c>
    </row>
    <row r="2" spans="1:11" x14ac:dyDescent="0.25">
      <c r="A2">
        <v>1</v>
      </c>
      <c r="B2" t="s">
        <v>8</v>
      </c>
      <c r="C2">
        <v>2019</v>
      </c>
      <c r="D2">
        <v>111</v>
      </c>
      <c r="E2">
        <v>120</v>
      </c>
      <c r="F2">
        <v>127.5</v>
      </c>
      <c r="G2" s="1">
        <f>DATE(C2, CHOOSE(MATCH(UPPER(B2), {"ENERO","FEBRERO","MARZO","ABRIL","MAYO","JUNIO","JULIO","AGOSTO","SEPTIEMBRE","OCTUBRE","NOVIEMBRE","DICIEMBRE"}, 0), 1,2,3,4,5,6,7,8,9,10,11,12), A2)</f>
        <v>43466</v>
      </c>
      <c r="H2">
        <v>103.5</v>
      </c>
      <c r="I2">
        <v>32000</v>
      </c>
      <c r="J2" s="1">
        <f>DATE(2019,1,1) + ROW()-1</f>
        <v>43467</v>
      </c>
      <c r="K2">
        <f>VLOOKUP(J2, G:H, 2, FALSE)</f>
        <v>79.5</v>
      </c>
    </row>
    <row r="3" spans="1:11" x14ac:dyDescent="0.25">
      <c r="A3">
        <v>2</v>
      </c>
      <c r="B3" t="s">
        <v>8</v>
      </c>
      <c r="C3">
        <v>2019</v>
      </c>
      <c r="D3">
        <v>127.5</v>
      </c>
      <c r="E3">
        <v>41</v>
      </c>
      <c r="F3">
        <v>89</v>
      </c>
      <c r="G3" s="1">
        <f>DATE(C3, CHOOSE(MATCH(UPPER(B3), {"ENERO","FEBRERO","MARZO","ABRIL","MAYO","JUNIO","JULIO","AGOSTO","SEPTIEMBRE","OCTUBRE","NOVIEMBRE","DICIEMBRE"}, 0), 1,2,3,4,5,6,7,8,9,10,11,12), A3)</f>
        <v>43467</v>
      </c>
      <c r="H3">
        <v>79.5</v>
      </c>
      <c r="I3">
        <v>32000</v>
      </c>
      <c r="J3" s="1">
        <f>DATE(2019,1,1) + ROW()-1</f>
        <v>43468</v>
      </c>
      <c r="K3">
        <f t="shared" ref="K3:K66" si="0">VLOOKUP(J3, G:H, 2, FALSE)</f>
        <v>89</v>
      </c>
    </row>
    <row r="4" spans="1:11" x14ac:dyDescent="0.25">
      <c r="A4">
        <v>3</v>
      </c>
      <c r="B4" t="s">
        <v>8</v>
      </c>
      <c r="C4">
        <v>2019</v>
      </c>
      <c r="D4">
        <v>89</v>
      </c>
      <c r="E4" t="s">
        <v>9</v>
      </c>
      <c r="F4">
        <v>0</v>
      </c>
      <c r="G4" s="1">
        <f>DATE(C4, CHOOSE(MATCH(UPPER(B4), {"ENERO","FEBRERO","MARZO","ABRIL","MAYO","JUNIO","JULIO","AGOSTO","SEPTIEMBRE","OCTUBRE","NOVIEMBRE","DICIEMBRE"}, 0), 1,2,3,4,5,6,7,8,9,10,11,12), A4)</f>
        <v>43468</v>
      </c>
      <c r="H4">
        <v>89</v>
      </c>
      <c r="I4">
        <v>32000</v>
      </c>
      <c r="J4" s="1">
        <f>DATE(2019,1,1) + ROW()-1</f>
        <v>43469</v>
      </c>
      <c r="K4">
        <f t="shared" si="0"/>
        <v>67.5</v>
      </c>
    </row>
    <row r="5" spans="1:11" x14ac:dyDescent="0.25">
      <c r="A5">
        <v>4</v>
      </c>
      <c r="B5" t="s">
        <v>8</v>
      </c>
      <c r="C5">
        <v>2019</v>
      </c>
      <c r="D5">
        <v>0</v>
      </c>
      <c r="E5">
        <v>70</v>
      </c>
      <c r="F5">
        <v>2.5</v>
      </c>
      <c r="G5" s="1">
        <f>DATE(C5, CHOOSE(MATCH(UPPER(B5), {"ENERO","FEBRERO","MARZO","ABRIL","MAYO","JUNIO","JULIO","AGOSTO","SEPTIEMBRE","OCTUBRE","NOVIEMBRE","DICIEMBRE"}, 0), 1,2,3,4,5,6,7,8,9,10,11,12), A5)</f>
        <v>43469</v>
      </c>
      <c r="H5">
        <v>67.5</v>
      </c>
      <c r="I5">
        <v>32000</v>
      </c>
      <c r="J5" s="1">
        <f t="shared" ref="J5:J68" si="1">DATE(2019,1,1) + ROW()-1</f>
        <v>43470</v>
      </c>
      <c r="K5">
        <f t="shared" si="0"/>
        <v>88.5</v>
      </c>
    </row>
    <row r="6" spans="1:11" x14ac:dyDescent="0.25">
      <c r="A6">
        <v>5</v>
      </c>
      <c r="B6" t="s">
        <v>8</v>
      </c>
      <c r="C6">
        <v>2019</v>
      </c>
      <c r="D6">
        <v>2.5</v>
      </c>
      <c r="E6">
        <v>100</v>
      </c>
      <c r="F6">
        <v>14</v>
      </c>
      <c r="G6" s="1">
        <f>DATE(C6, CHOOSE(MATCH(UPPER(B6), {"ENERO","FEBRERO","MARZO","ABRIL","MAYO","JUNIO","JULIO","AGOSTO","SEPTIEMBRE","OCTUBRE","NOVIEMBRE","DICIEMBRE"}, 0), 1,2,3,4,5,6,7,8,9,10,11,12), A6)</f>
        <v>43470</v>
      </c>
      <c r="H6">
        <v>88.5</v>
      </c>
      <c r="I6">
        <v>32000</v>
      </c>
      <c r="J6" s="1">
        <f t="shared" si="1"/>
        <v>43471</v>
      </c>
      <c r="K6">
        <f t="shared" si="0"/>
        <v>72</v>
      </c>
    </row>
    <row r="7" spans="1:11" x14ac:dyDescent="0.25">
      <c r="A7">
        <v>6</v>
      </c>
      <c r="B7" t="s">
        <v>8</v>
      </c>
      <c r="C7">
        <v>2019</v>
      </c>
      <c r="D7">
        <v>14</v>
      </c>
      <c r="E7">
        <v>95</v>
      </c>
      <c r="F7">
        <v>37</v>
      </c>
      <c r="G7" s="1">
        <f>DATE(C7, CHOOSE(MATCH(UPPER(B7), {"ENERO","FEBRERO","MARZO","ABRIL","MAYO","JUNIO","JULIO","AGOSTO","SEPTIEMBRE","OCTUBRE","NOVIEMBRE","DICIEMBRE"}, 0), 1,2,3,4,5,6,7,8,9,10,11,12), A7)</f>
        <v>43471</v>
      </c>
      <c r="H7">
        <v>72</v>
      </c>
      <c r="I7">
        <v>32000</v>
      </c>
      <c r="J7" s="1">
        <f t="shared" si="1"/>
        <v>43472</v>
      </c>
      <c r="K7">
        <f t="shared" si="0"/>
        <v>87</v>
      </c>
    </row>
    <row r="8" spans="1:11" x14ac:dyDescent="0.25">
      <c r="A8">
        <v>7</v>
      </c>
      <c r="B8" t="s">
        <v>8</v>
      </c>
      <c r="C8">
        <v>2019</v>
      </c>
      <c r="D8">
        <v>37</v>
      </c>
      <c r="E8">
        <v>80</v>
      </c>
      <c r="F8">
        <v>30</v>
      </c>
      <c r="G8" s="1">
        <f>DATE(C8, CHOOSE(MATCH(UPPER(B8), {"ENERO","FEBRERO","MARZO","ABRIL","MAYO","JUNIO","JULIO","AGOSTO","SEPTIEMBRE","OCTUBRE","NOVIEMBRE","DICIEMBRE"}, 0), 1,2,3,4,5,6,7,8,9,10,11,12), A8)</f>
        <v>43472</v>
      </c>
      <c r="H8">
        <v>87</v>
      </c>
      <c r="I8">
        <v>32000</v>
      </c>
      <c r="J8" s="1">
        <f t="shared" si="1"/>
        <v>43473</v>
      </c>
      <c r="K8">
        <f t="shared" si="0"/>
        <v>60</v>
      </c>
    </row>
    <row r="9" spans="1:11" x14ac:dyDescent="0.25">
      <c r="A9">
        <v>8</v>
      </c>
      <c r="B9" t="s">
        <v>8</v>
      </c>
      <c r="C9">
        <v>2019</v>
      </c>
      <c r="D9">
        <v>30</v>
      </c>
      <c r="E9">
        <v>154</v>
      </c>
      <c r="F9">
        <v>124</v>
      </c>
      <c r="G9" s="1">
        <f>DATE(C9, CHOOSE(MATCH(UPPER(B9), {"ENERO","FEBRERO","MARZO","ABRIL","MAYO","JUNIO","JULIO","AGOSTO","SEPTIEMBRE","OCTUBRE","NOVIEMBRE","DICIEMBRE"}, 0), 1,2,3,4,5,6,7,8,9,10,11,12), A9)</f>
        <v>43473</v>
      </c>
      <c r="H9">
        <v>60</v>
      </c>
      <c r="I9">
        <v>32000</v>
      </c>
      <c r="J9" s="1">
        <f t="shared" si="1"/>
        <v>43474</v>
      </c>
      <c r="K9">
        <f t="shared" si="0"/>
        <v>62</v>
      </c>
    </row>
    <row r="10" spans="1:11" x14ac:dyDescent="0.25">
      <c r="A10">
        <v>9</v>
      </c>
      <c r="B10" t="s">
        <v>8</v>
      </c>
      <c r="C10">
        <v>2019</v>
      </c>
      <c r="D10">
        <v>124</v>
      </c>
      <c r="E10">
        <v>-46</v>
      </c>
      <c r="F10">
        <v>16</v>
      </c>
      <c r="G10" s="1">
        <f>DATE(C10, CHOOSE(MATCH(UPPER(B10), {"ENERO","FEBRERO","MARZO","ABRIL","MAYO","JUNIO","JULIO","AGOSTO","SEPTIEMBRE","OCTUBRE","NOVIEMBRE","DICIEMBRE"}, 0), 1,2,3,4,5,6,7,8,9,10,11,12), A10)</f>
        <v>43474</v>
      </c>
      <c r="H10">
        <v>62</v>
      </c>
      <c r="I10">
        <v>32000</v>
      </c>
      <c r="J10" s="1">
        <f t="shared" si="1"/>
        <v>43475</v>
      </c>
      <c r="K10">
        <f t="shared" si="0"/>
        <v>60</v>
      </c>
    </row>
    <row r="11" spans="1:11" x14ac:dyDescent="0.25">
      <c r="A11">
        <v>10</v>
      </c>
      <c r="B11" t="s">
        <v>8</v>
      </c>
      <c r="C11">
        <v>2019</v>
      </c>
      <c r="D11">
        <v>16</v>
      </c>
      <c r="E11">
        <v>106</v>
      </c>
      <c r="F11">
        <v>62</v>
      </c>
      <c r="G11" s="1">
        <f>DATE(C11, CHOOSE(MATCH(UPPER(B11), {"ENERO","FEBRERO","MARZO","ABRIL","MAYO","JUNIO","JULIO","AGOSTO","SEPTIEMBRE","OCTUBRE","NOVIEMBRE","DICIEMBRE"}, 0), 1,2,3,4,5,6,7,8,9,10,11,12), A11)</f>
        <v>43475</v>
      </c>
      <c r="H11">
        <v>60</v>
      </c>
      <c r="I11">
        <v>32000</v>
      </c>
      <c r="J11" s="1">
        <f t="shared" si="1"/>
        <v>43476</v>
      </c>
      <c r="K11">
        <f t="shared" si="0"/>
        <v>72.5</v>
      </c>
    </row>
    <row r="12" spans="1:11" x14ac:dyDescent="0.25">
      <c r="A12">
        <v>11</v>
      </c>
      <c r="B12" t="s">
        <v>8</v>
      </c>
      <c r="C12">
        <v>2019</v>
      </c>
      <c r="D12">
        <v>62</v>
      </c>
      <c r="E12">
        <v>71</v>
      </c>
      <c r="F12">
        <v>60.5</v>
      </c>
      <c r="G12" s="1">
        <f>DATE(C12, CHOOSE(MATCH(UPPER(B12), {"ENERO","FEBRERO","MARZO","ABRIL","MAYO","JUNIO","JULIO","AGOSTO","SEPTIEMBRE","OCTUBRE","NOVIEMBRE","DICIEMBRE"}, 0), 1,2,3,4,5,6,7,8,9,10,11,12), A12)</f>
        <v>43476</v>
      </c>
      <c r="H12">
        <v>72.5</v>
      </c>
      <c r="I12">
        <v>32000</v>
      </c>
      <c r="J12" s="1">
        <f t="shared" si="1"/>
        <v>43477</v>
      </c>
      <c r="K12">
        <f t="shared" si="0"/>
        <v>72.5</v>
      </c>
    </row>
    <row r="13" spans="1:11" x14ac:dyDescent="0.25">
      <c r="A13">
        <v>12</v>
      </c>
      <c r="B13" t="s">
        <v>8</v>
      </c>
      <c r="C13">
        <v>2019</v>
      </c>
      <c r="D13">
        <v>60.5</v>
      </c>
      <c r="E13">
        <v>81</v>
      </c>
      <c r="F13">
        <v>69</v>
      </c>
      <c r="G13" s="1">
        <f>DATE(C13, CHOOSE(MATCH(UPPER(B13), {"ENERO","FEBRERO","MARZO","ABRIL","MAYO","JUNIO","JULIO","AGOSTO","SEPTIEMBRE","OCTUBRE","NOVIEMBRE","DICIEMBRE"}, 0), 1,2,3,4,5,6,7,8,9,10,11,12), A13)</f>
        <v>43477</v>
      </c>
      <c r="H13">
        <v>72.5</v>
      </c>
      <c r="I13">
        <v>32000</v>
      </c>
      <c r="J13" s="1">
        <f t="shared" si="1"/>
        <v>43478</v>
      </c>
      <c r="K13">
        <f t="shared" si="0"/>
        <v>83.5</v>
      </c>
    </row>
    <row r="14" spans="1:11" x14ac:dyDescent="0.25">
      <c r="A14">
        <v>13</v>
      </c>
      <c r="B14" t="s">
        <v>8</v>
      </c>
      <c r="C14">
        <v>2019</v>
      </c>
      <c r="D14">
        <v>69</v>
      </c>
      <c r="E14">
        <v>72</v>
      </c>
      <c r="F14">
        <v>57.5</v>
      </c>
      <c r="G14" s="1">
        <f>DATE(C14, CHOOSE(MATCH(UPPER(B14), {"ENERO","FEBRERO","MARZO","ABRIL","MAYO","JUNIO","JULIO","AGOSTO","SEPTIEMBRE","OCTUBRE","NOVIEMBRE","DICIEMBRE"}, 0), 1,2,3,4,5,6,7,8,9,10,11,12), A14)</f>
        <v>43478</v>
      </c>
      <c r="H14">
        <v>83.5</v>
      </c>
      <c r="I14">
        <v>32000</v>
      </c>
      <c r="J14" s="1">
        <f t="shared" si="1"/>
        <v>43479</v>
      </c>
      <c r="K14">
        <f t="shared" si="0"/>
        <v>58</v>
      </c>
    </row>
    <row r="15" spans="1:11" x14ac:dyDescent="0.25">
      <c r="A15">
        <v>14</v>
      </c>
      <c r="B15" t="s">
        <v>8</v>
      </c>
      <c r="C15">
        <v>2019</v>
      </c>
      <c r="D15">
        <v>57.5</v>
      </c>
      <c r="E15">
        <v>112</v>
      </c>
      <c r="F15">
        <v>111.5</v>
      </c>
      <c r="G15" s="1">
        <f>DATE(C15, CHOOSE(MATCH(UPPER(B15), {"ENERO","FEBRERO","MARZO","ABRIL","MAYO","JUNIO","JULIO","AGOSTO","SEPTIEMBRE","OCTUBRE","NOVIEMBRE","DICIEMBRE"}, 0), 1,2,3,4,5,6,7,8,9,10,11,12), A15)</f>
        <v>43479</v>
      </c>
      <c r="H15">
        <v>58</v>
      </c>
      <c r="I15">
        <v>32000</v>
      </c>
      <c r="J15" s="1">
        <f t="shared" si="1"/>
        <v>43480</v>
      </c>
      <c r="K15">
        <f t="shared" si="0"/>
        <v>59</v>
      </c>
    </row>
    <row r="16" spans="1:11" x14ac:dyDescent="0.25">
      <c r="A16">
        <v>15</v>
      </c>
      <c r="B16" t="s">
        <v>8</v>
      </c>
      <c r="C16">
        <v>2019</v>
      </c>
      <c r="D16">
        <v>111.5</v>
      </c>
      <c r="E16">
        <v>-30</v>
      </c>
      <c r="F16">
        <v>22.5</v>
      </c>
      <c r="G16" s="1">
        <f>DATE(C16, CHOOSE(MATCH(UPPER(B16), {"ENERO","FEBRERO","MARZO","ABRIL","MAYO","JUNIO","JULIO","AGOSTO","SEPTIEMBRE","OCTUBRE","NOVIEMBRE","DICIEMBRE"}, 0), 1,2,3,4,5,6,7,8,9,10,11,12), A16)</f>
        <v>43480</v>
      </c>
      <c r="H16">
        <v>59</v>
      </c>
      <c r="I16">
        <v>32000</v>
      </c>
      <c r="J16" s="1">
        <f t="shared" si="1"/>
        <v>43481</v>
      </c>
      <c r="K16">
        <f t="shared" si="0"/>
        <v>62</v>
      </c>
    </row>
    <row r="17" spans="1:11" x14ac:dyDescent="0.25">
      <c r="A17">
        <v>16</v>
      </c>
      <c r="B17" t="s">
        <v>8</v>
      </c>
      <c r="C17">
        <v>2019</v>
      </c>
      <c r="D17">
        <v>22.5</v>
      </c>
      <c r="E17">
        <v>62</v>
      </c>
      <c r="F17">
        <v>22.5</v>
      </c>
      <c r="G17" s="1">
        <f>DATE(C17, CHOOSE(MATCH(UPPER(B17), {"ENERO","FEBRERO","MARZO","ABRIL","MAYO","JUNIO","JULIO","AGOSTO","SEPTIEMBRE","OCTUBRE","NOVIEMBRE","DICIEMBRE"}, 0), 1,2,3,4,5,6,7,8,9,10,11,12), A17)</f>
        <v>43481</v>
      </c>
      <c r="H17">
        <v>62</v>
      </c>
      <c r="I17">
        <v>32000</v>
      </c>
      <c r="J17" s="1">
        <f t="shared" si="1"/>
        <v>43482</v>
      </c>
      <c r="K17">
        <f t="shared" si="0"/>
        <v>44.5</v>
      </c>
    </row>
    <row r="18" spans="1:11" x14ac:dyDescent="0.25">
      <c r="A18">
        <v>17</v>
      </c>
      <c r="B18" t="s">
        <v>8</v>
      </c>
      <c r="C18">
        <v>2019</v>
      </c>
      <c r="D18">
        <v>22.5</v>
      </c>
      <c r="E18">
        <v>64</v>
      </c>
      <c r="F18">
        <v>42</v>
      </c>
      <c r="G18" s="1">
        <f>DATE(C18, CHOOSE(MATCH(UPPER(B18), {"ENERO","FEBRERO","MARZO","ABRIL","MAYO","JUNIO","JULIO","AGOSTO","SEPTIEMBRE","OCTUBRE","NOVIEMBRE","DICIEMBRE"}, 0), 1,2,3,4,5,6,7,8,9,10,11,12), A18)</f>
        <v>43482</v>
      </c>
      <c r="H18">
        <v>44.5</v>
      </c>
      <c r="I18">
        <v>32000</v>
      </c>
      <c r="J18" s="1">
        <f t="shared" si="1"/>
        <v>43483</v>
      </c>
      <c r="K18">
        <f>VLOOKUP(J18, G:H, 2, FALSE)</f>
        <v>0</v>
      </c>
    </row>
    <row r="19" spans="1:11" x14ac:dyDescent="0.25">
      <c r="A19">
        <v>18</v>
      </c>
      <c r="B19" t="s">
        <v>8</v>
      </c>
      <c r="C19">
        <v>2019</v>
      </c>
      <c r="D19" t="s">
        <v>9</v>
      </c>
      <c r="E19" t="s">
        <v>9</v>
      </c>
      <c r="F19" t="s">
        <v>9</v>
      </c>
      <c r="G19" s="1">
        <f>DATE(C19, CHOOSE(MATCH(UPPER(B19), {"ENERO","FEBRERO","MARZO","ABRIL","MAYO","JUNIO","JULIO","AGOSTO","SEPTIEMBRE","OCTUBRE","NOVIEMBRE","DICIEMBRE"}, 0), 1,2,3,4,5,6,7,8,9,10,11,12), A19)</f>
        <v>43483</v>
      </c>
      <c r="H19">
        <v>0</v>
      </c>
      <c r="I19" t="s">
        <v>9</v>
      </c>
      <c r="J19" s="1">
        <f t="shared" si="1"/>
        <v>43484</v>
      </c>
      <c r="K19">
        <f t="shared" si="0"/>
        <v>100.25</v>
      </c>
    </row>
    <row r="20" spans="1:11" x14ac:dyDescent="0.25">
      <c r="A20">
        <v>19</v>
      </c>
      <c r="B20" t="s">
        <v>8</v>
      </c>
      <c r="C20">
        <v>2019</v>
      </c>
      <c r="D20">
        <v>24</v>
      </c>
      <c r="E20">
        <v>116</v>
      </c>
      <c r="F20">
        <v>39.75</v>
      </c>
      <c r="G20" s="1">
        <f>DATE(C20, CHOOSE(MATCH(UPPER(B20), {"ENERO","FEBRERO","MARZO","ABRIL","MAYO","JUNIO","JULIO","AGOSTO","SEPTIEMBRE","OCTUBRE","NOVIEMBRE","DICIEMBRE"}, 0), 1,2,3,4,5,6,7,8,9,10,11,12), A20)</f>
        <v>43484</v>
      </c>
      <c r="H20">
        <v>100.25</v>
      </c>
      <c r="I20">
        <v>32000</v>
      </c>
      <c r="J20" s="1">
        <f t="shared" si="1"/>
        <v>43485</v>
      </c>
      <c r="K20">
        <f t="shared" si="0"/>
        <v>84.25</v>
      </c>
    </row>
    <row r="21" spans="1:11" x14ac:dyDescent="0.25">
      <c r="A21">
        <v>20</v>
      </c>
      <c r="B21" t="s">
        <v>8</v>
      </c>
      <c r="C21">
        <v>2019</v>
      </c>
      <c r="D21">
        <v>39.75</v>
      </c>
      <c r="E21">
        <v>175</v>
      </c>
      <c r="F21">
        <v>130.5</v>
      </c>
      <c r="G21" s="1">
        <f>DATE(C21, CHOOSE(MATCH(UPPER(B21), {"ENERO","FEBRERO","MARZO","ABRIL","MAYO","JUNIO","JULIO","AGOSTO","SEPTIEMBRE","OCTUBRE","NOVIEMBRE","DICIEMBRE"}, 0), 1,2,3,4,5,6,7,8,9,10,11,12), A21)</f>
        <v>43485</v>
      </c>
      <c r="H21">
        <v>84.25</v>
      </c>
      <c r="I21">
        <v>32000</v>
      </c>
      <c r="J21" s="1">
        <f t="shared" si="1"/>
        <v>43486</v>
      </c>
      <c r="K21">
        <f t="shared" si="0"/>
        <v>57</v>
      </c>
    </row>
    <row r="22" spans="1:11" x14ac:dyDescent="0.25">
      <c r="A22">
        <v>21</v>
      </c>
      <c r="B22" t="s">
        <v>8</v>
      </c>
      <c r="C22">
        <v>2019</v>
      </c>
      <c r="D22">
        <v>130.5</v>
      </c>
      <c r="E22">
        <v>-15</v>
      </c>
      <c r="F22">
        <v>58.5</v>
      </c>
      <c r="G22" s="1">
        <f>DATE(C22, CHOOSE(MATCH(UPPER(B22), {"ENERO","FEBRERO","MARZO","ABRIL","MAYO","JUNIO","JULIO","AGOSTO","SEPTIEMBRE","OCTUBRE","NOVIEMBRE","DICIEMBRE"}, 0), 1,2,3,4,5,6,7,8,9,10,11,12), A22)</f>
        <v>43486</v>
      </c>
      <c r="H22">
        <v>57</v>
      </c>
      <c r="I22">
        <v>32000</v>
      </c>
      <c r="J22" s="1">
        <f t="shared" si="1"/>
        <v>43487</v>
      </c>
      <c r="K22">
        <f t="shared" si="0"/>
        <v>45.5</v>
      </c>
    </row>
    <row r="23" spans="1:11" x14ac:dyDescent="0.25">
      <c r="A23">
        <v>22</v>
      </c>
      <c r="B23" t="s">
        <v>8</v>
      </c>
      <c r="C23">
        <v>2019</v>
      </c>
      <c r="D23">
        <v>58.5</v>
      </c>
      <c r="E23">
        <v>175</v>
      </c>
      <c r="F23">
        <v>188</v>
      </c>
      <c r="G23" s="1">
        <f>DATE(C23, CHOOSE(MATCH(UPPER(B23), {"ENERO","FEBRERO","MARZO","ABRIL","MAYO","JUNIO","JULIO","AGOSTO","SEPTIEMBRE","OCTUBRE","NOVIEMBRE","DICIEMBRE"}, 0), 1,2,3,4,5,6,7,8,9,10,11,12), A23)</f>
        <v>43487</v>
      </c>
      <c r="H23">
        <v>45.5</v>
      </c>
      <c r="I23">
        <v>32000</v>
      </c>
      <c r="J23" s="1">
        <f t="shared" si="1"/>
        <v>43488</v>
      </c>
      <c r="K23">
        <f t="shared" si="0"/>
        <v>50</v>
      </c>
    </row>
    <row r="24" spans="1:11" x14ac:dyDescent="0.25">
      <c r="A24">
        <v>23</v>
      </c>
      <c r="B24" t="s">
        <v>8</v>
      </c>
      <c r="C24">
        <v>2019</v>
      </c>
      <c r="D24">
        <v>188</v>
      </c>
      <c r="E24" t="s">
        <v>9</v>
      </c>
      <c r="F24">
        <v>138</v>
      </c>
      <c r="G24" s="1">
        <f>DATE(C24, CHOOSE(MATCH(UPPER(B24), {"ENERO","FEBRERO","MARZO","ABRIL","MAYO","JUNIO","JULIO","AGOSTO","SEPTIEMBRE","OCTUBRE","NOVIEMBRE","DICIEMBRE"}, 0), 1,2,3,4,5,6,7,8,9,10,11,12), A24)</f>
        <v>43488</v>
      </c>
      <c r="H24">
        <v>50</v>
      </c>
      <c r="I24">
        <v>32000</v>
      </c>
      <c r="J24" s="1">
        <f t="shared" si="1"/>
        <v>43489</v>
      </c>
      <c r="K24">
        <f t="shared" si="0"/>
        <v>42.5</v>
      </c>
    </row>
    <row r="25" spans="1:11" x14ac:dyDescent="0.25">
      <c r="A25">
        <v>24</v>
      </c>
      <c r="B25" t="s">
        <v>8</v>
      </c>
      <c r="C25">
        <v>2019</v>
      </c>
      <c r="D25">
        <v>138</v>
      </c>
      <c r="E25">
        <v>57</v>
      </c>
      <c r="F25">
        <v>152.5</v>
      </c>
      <c r="G25" s="1">
        <f>DATE(C25, CHOOSE(MATCH(UPPER(B25), {"ENERO","FEBRERO","MARZO","ABRIL","MAYO","JUNIO","JULIO","AGOSTO","SEPTIEMBRE","OCTUBRE","NOVIEMBRE","DICIEMBRE"}, 0), 1,2,3,4,5,6,7,8,9,10,11,12), A25)</f>
        <v>43489</v>
      </c>
      <c r="H25">
        <v>42.5</v>
      </c>
      <c r="I25">
        <v>32000</v>
      </c>
      <c r="J25" s="1">
        <f t="shared" si="1"/>
        <v>43490</v>
      </c>
      <c r="K25">
        <f t="shared" si="0"/>
        <v>62.75</v>
      </c>
    </row>
    <row r="26" spans="1:11" x14ac:dyDescent="0.25">
      <c r="A26">
        <v>25</v>
      </c>
      <c r="B26" t="s">
        <v>8</v>
      </c>
      <c r="C26">
        <v>2019</v>
      </c>
      <c r="D26">
        <v>152.5</v>
      </c>
      <c r="E26" t="s">
        <v>9</v>
      </c>
      <c r="F26">
        <v>89.75</v>
      </c>
      <c r="G26" s="1">
        <f>DATE(C26, CHOOSE(MATCH(UPPER(B26), {"ENERO","FEBRERO","MARZO","ABRIL","MAYO","JUNIO","JULIO","AGOSTO","SEPTIEMBRE","OCTUBRE","NOVIEMBRE","DICIEMBRE"}, 0), 1,2,3,4,5,6,7,8,9,10,11,12), A26)</f>
        <v>43490</v>
      </c>
      <c r="H26">
        <v>62.75</v>
      </c>
      <c r="I26">
        <v>32000</v>
      </c>
      <c r="J26" s="1">
        <f t="shared" si="1"/>
        <v>43491</v>
      </c>
      <c r="K26">
        <f t="shared" si="0"/>
        <v>72.75</v>
      </c>
    </row>
    <row r="27" spans="1:11" x14ac:dyDescent="0.25">
      <c r="A27">
        <v>26</v>
      </c>
      <c r="B27" t="s">
        <v>8</v>
      </c>
      <c r="C27">
        <v>2019</v>
      </c>
      <c r="D27">
        <v>89.75</v>
      </c>
      <c r="E27">
        <v>105</v>
      </c>
      <c r="F27">
        <v>122</v>
      </c>
      <c r="G27" s="1">
        <f>DATE(C27, CHOOSE(MATCH(UPPER(B27), {"ENERO","FEBRERO","MARZO","ABRIL","MAYO","JUNIO","JULIO","AGOSTO","SEPTIEMBRE","OCTUBRE","NOVIEMBRE","DICIEMBRE"}, 0), 1,2,3,4,5,6,7,8,9,10,11,12), A27)</f>
        <v>43491</v>
      </c>
      <c r="H27">
        <v>72.75</v>
      </c>
      <c r="I27">
        <v>32000</v>
      </c>
      <c r="J27" s="1">
        <f t="shared" si="1"/>
        <v>43492</v>
      </c>
      <c r="K27">
        <f t="shared" si="0"/>
        <v>70</v>
      </c>
    </row>
    <row r="28" spans="1:11" x14ac:dyDescent="0.25">
      <c r="A28">
        <v>27</v>
      </c>
      <c r="B28" t="s">
        <v>8</v>
      </c>
      <c r="C28">
        <v>2019</v>
      </c>
      <c r="D28">
        <v>122</v>
      </c>
      <c r="E28">
        <v>108</v>
      </c>
      <c r="F28">
        <v>160</v>
      </c>
      <c r="G28" s="1">
        <f>DATE(C28, CHOOSE(MATCH(UPPER(B28), {"ENERO","FEBRERO","MARZO","ABRIL","MAYO","JUNIO","JULIO","AGOSTO","SEPTIEMBRE","OCTUBRE","NOVIEMBRE","DICIEMBRE"}, 0), 1,2,3,4,5,6,7,8,9,10,11,12), A28)</f>
        <v>43492</v>
      </c>
      <c r="H28">
        <v>70</v>
      </c>
      <c r="I28">
        <v>32000</v>
      </c>
      <c r="J28" s="1">
        <f t="shared" si="1"/>
        <v>43493</v>
      </c>
      <c r="K28">
        <f t="shared" si="0"/>
        <v>34</v>
      </c>
    </row>
    <row r="29" spans="1:11" x14ac:dyDescent="0.25">
      <c r="A29">
        <v>28</v>
      </c>
      <c r="B29" t="s">
        <v>8</v>
      </c>
      <c r="C29">
        <v>2019</v>
      </c>
      <c r="D29">
        <v>160</v>
      </c>
      <c r="E29">
        <v>55</v>
      </c>
      <c r="F29">
        <v>181</v>
      </c>
      <c r="G29" s="1">
        <f>DATE(C29, CHOOSE(MATCH(UPPER(B29), {"ENERO","FEBRERO","MARZO","ABRIL","MAYO","JUNIO","JULIO","AGOSTO","SEPTIEMBRE","OCTUBRE","NOVIEMBRE","DICIEMBRE"}, 0), 1,2,3,4,5,6,7,8,9,10,11,12), A29)</f>
        <v>43493</v>
      </c>
      <c r="H29">
        <v>34</v>
      </c>
      <c r="I29">
        <v>32000</v>
      </c>
      <c r="J29" s="1">
        <f t="shared" si="1"/>
        <v>43494</v>
      </c>
      <c r="K29">
        <f t="shared" si="0"/>
        <v>43</v>
      </c>
    </row>
    <row r="30" spans="1:11" x14ac:dyDescent="0.25">
      <c r="A30">
        <v>29</v>
      </c>
      <c r="B30" t="s">
        <v>8</v>
      </c>
      <c r="C30">
        <v>2019</v>
      </c>
      <c r="D30">
        <v>181</v>
      </c>
      <c r="E30">
        <v>106</v>
      </c>
      <c r="F30">
        <v>244</v>
      </c>
      <c r="G30" s="1">
        <f>DATE(C30, CHOOSE(MATCH(UPPER(B30), {"ENERO","FEBRERO","MARZO","ABRIL","MAYO","JUNIO","JULIO","AGOSTO","SEPTIEMBRE","OCTUBRE","NOVIEMBRE","DICIEMBRE"}, 0), 1,2,3,4,5,6,7,8,9,10,11,12), A30)</f>
        <v>43494</v>
      </c>
      <c r="H30">
        <v>43</v>
      </c>
      <c r="I30">
        <v>32000</v>
      </c>
      <c r="J30" s="1">
        <f t="shared" si="1"/>
        <v>43495</v>
      </c>
      <c r="K30">
        <f t="shared" si="0"/>
        <v>47.625</v>
      </c>
    </row>
    <row r="31" spans="1:11" x14ac:dyDescent="0.25">
      <c r="A31">
        <v>30</v>
      </c>
      <c r="B31" t="s">
        <v>8</v>
      </c>
      <c r="C31">
        <v>2019</v>
      </c>
      <c r="D31">
        <v>244</v>
      </c>
      <c r="E31">
        <v>35</v>
      </c>
      <c r="F31">
        <v>231.375</v>
      </c>
      <c r="G31" s="1">
        <f>DATE(C31, CHOOSE(MATCH(UPPER(B31), {"ENERO","FEBRERO","MARZO","ABRIL","MAYO","JUNIO","JULIO","AGOSTO","SEPTIEMBRE","OCTUBRE","NOVIEMBRE","DICIEMBRE"}, 0), 1,2,3,4,5,6,7,8,9,10,11,12), A31)</f>
        <v>43495</v>
      </c>
      <c r="H31">
        <v>47.625</v>
      </c>
      <c r="I31">
        <v>32000</v>
      </c>
      <c r="J31" s="1">
        <f t="shared" si="1"/>
        <v>43496</v>
      </c>
      <c r="K31">
        <f t="shared" si="0"/>
        <v>68.875</v>
      </c>
    </row>
    <row r="32" spans="1:11" x14ac:dyDescent="0.25">
      <c r="A32">
        <v>31</v>
      </c>
      <c r="B32" t="s">
        <v>8</v>
      </c>
      <c r="C32">
        <v>2019</v>
      </c>
      <c r="D32">
        <v>231.375</v>
      </c>
      <c r="E32">
        <v>-103</v>
      </c>
      <c r="F32">
        <v>59.5</v>
      </c>
      <c r="G32" s="1">
        <f>DATE(C32, CHOOSE(MATCH(UPPER(B32), {"ENERO","FEBRERO","MARZO","ABRIL","MAYO","JUNIO","JULIO","AGOSTO","SEPTIEMBRE","OCTUBRE","NOVIEMBRE","DICIEMBRE"}, 0), 1,2,3,4,5,6,7,8,9,10,11,12), A32)</f>
        <v>43496</v>
      </c>
      <c r="H32">
        <v>68.875</v>
      </c>
      <c r="I32">
        <v>32000</v>
      </c>
      <c r="J32" s="1">
        <f t="shared" si="1"/>
        <v>43497</v>
      </c>
      <c r="K32">
        <f t="shared" si="0"/>
        <v>83</v>
      </c>
    </row>
    <row r="33" spans="1:11" x14ac:dyDescent="0.25">
      <c r="A33">
        <v>1</v>
      </c>
      <c r="B33" t="s">
        <v>11</v>
      </c>
      <c r="C33">
        <v>2019</v>
      </c>
      <c r="D33">
        <v>59.5</v>
      </c>
      <c r="E33">
        <v>70</v>
      </c>
      <c r="F33">
        <v>46.5</v>
      </c>
      <c r="G33" s="1">
        <f>DATE(C33, CHOOSE(MATCH(UPPER(B33), {"ENERO","FEBRERO","MARZO","ABRIL","MAYO","JUNIO","JULIO","AGOSTO","SEPTIEMBRE","OCTUBRE","NOVIEMBRE","DICIEMBRE"}, 0), 1,2,3,4,5,6,7,8,9,10,11,12), A33)</f>
        <v>43497</v>
      </c>
      <c r="H33">
        <v>83</v>
      </c>
      <c r="I33">
        <v>32000</v>
      </c>
      <c r="J33" s="1">
        <f t="shared" si="1"/>
        <v>43498</v>
      </c>
      <c r="K33">
        <f t="shared" si="0"/>
        <v>77</v>
      </c>
    </row>
    <row r="34" spans="1:11" x14ac:dyDescent="0.25">
      <c r="A34">
        <v>2</v>
      </c>
      <c r="B34" t="s">
        <v>11</v>
      </c>
      <c r="C34">
        <v>2019</v>
      </c>
      <c r="D34">
        <v>46.5</v>
      </c>
      <c r="E34">
        <v>105</v>
      </c>
      <c r="F34">
        <v>74.5</v>
      </c>
      <c r="G34" s="1">
        <f>DATE(C34, CHOOSE(MATCH(UPPER(B34), {"ENERO","FEBRERO","MARZO","ABRIL","MAYO","JUNIO","JULIO","AGOSTO","SEPTIEMBRE","OCTUBRE","NOVIEMBRE","DICIEMBRE"}, 0), 1,2,3,4,5,6,7,8,9,10,11,12), A34)</f>
        <v>43498</v>
      </c>
      <c r="H34">
        <v>77</v>
      </c>
      <c r="I34">
        <v>32000</v>
      </c>
      <c r="J34" s="1">
        <f t="shared" si="1"/>
        <v>43499</v>
      </c>
      <c r="K34">
        <f t="shared" si="0"/>
        <v>101.5</v>
      </c>
    </row>
    <row r="35" spans="1:11" x14ac:dyDescent="0.25">
      <c r="A35">
        <v>3</v>
      </c>
      <c r="B35" t="s">
        <v>11</v>
      </c>
      <c r="C35">
        <v>2019</v>
      </c>
      <c r="D35">
        <v>74.5</v>
      </c>
      <c r="E35">
        <v>73</v>
      </c>
      <c r="F35">
        <v>46</v>
      </c>
      <c r="G35" s="1">
        <f>DATE(C35, CHOOSE(MATCH(UPPER(B35), {"ENERO","FEBRERO","MARZO","ABRIL","MAYO","JUNIO","JULIO","AGOSTO","SEPTIEMBRE","OCTUBRE","NOVIEMBRE","DICIEMBRE"}, 0), 1,2,3,4,5,6,7,8,9,10,11,12), A35)</f>
        <v>43499</v>
      </c>
      <c r="H35">
        <v>101.5</v>
      </c>
      <c r="I35">
        <v>32000</v>
      </c>
      <c r="J35" s="1">
        <f t="shared" si="1"/>
        <v>43500</v>
      </c>
      <c r="K35">
        <f t="shared" si="0"/>
        <v>46.75</v>
      </c>
    </row>
    <row r="36" spans="1:11" x14ac:dyDescent="0.25">
      <c r="A36">
        <v>4</v>
      </c>
      <c r="B36" t="s">
        <v>11</v>
      </c>
      <c r="C36">
        <v>2019</v>
      </c>
      <c r="D36">
        <v>46</v>
      </c>
      <c r="E36">
        <v>20</v>
      </c>
      <c r="F36">
        <v>19.25</v>
      </c>
      <c r="G36" s="1">
        <f>DATE(C36, CHOOSE(MATCH(UPPER(B36), {"ENERO","FEBRERO","MARZO","ABRIL","MAYO","JUNIO","JULIO","AGOSTO","SEPTIEMBRE","OCTUBRE","NOVIEMBRE","DICIEMBRE"}, 0), 1,2,3,4,5,6,7,8,9,10,11,12), A36)</f>
        <v>43500</v>
      </c>
      <c r="H36">
        <v>46.75</v>
      </c>
      <c r="I36">
        <v>32000</v>
      </c>
      <c r="J36" s="1">
        <f t="shared" si="1"/>
        <v>43501</v>
      </c>
      <c r="K36">
        <f t="shared" si="0"/>
        <v>38.25</v>
      </c>
    </row>
    <row r="37" spans="1:11" x14ac:dyDescent="0.25">
      <c r="A37">
        <v>5</v>
      </c>
      <c r="B37" t="s">
        <v>11</v>
      </c>
      <c r="C37">
        <v>2019</v>
      </c>
      <c r="D37">
        <v>19.25</v>
      </c>
      <c r="E37">
        <v>72</v>
      </c>
      <c r="F37">
        <v>53</v>
      </c>
      <c r="G37" s="1">
        <f>DATE(C37, CHOOSE(MATCH(UPPER(B37), {"ENERO","FEBRERO","MARZO","ABRIL","MAYO","JUNIO","JULIO","AGOSTO","SEPTIEMBRE","OCTUBRE","NOVIEMBRE","DICIEMBRE"}, 0), 1,2,3,4,5,6,7,8,9,10,11,12), A37)</f>
        <v>43501</v>
      </c>
      <c r="H37">
        <v>38.25</v>
      </c>
      <c r="I37">
        <v>32000</v>
      </c>
      <c r="J37" s="1">
        <f t="shared" si="1"/>
        <v>43502</v>
      </c>
      <c r="K37">
        <f t="shared" si="0"/>
        <v>42.75</v>
      </c>
    </row>
    <row r="38" spans="1:11" x14ac:dyDescent="0.25">
      <c r="A38">
        <v>6</v>
      </c>
      <c r="B38" t="s">
        <v>11</v>
      </c>
      <c r="C38">
        <v>2019</v>
      </c>
      <c r="D38">
        <v>53</v>
      </c>
      <c r="E38" t="s">
        <v>9</v>
      </c>
      <c r="F38">
        <v>10.25</v>
      </c>
      <c r="G38" s="1">
        <f>DATE(C38, CHOOSE(MATCH(UPPER(B38), {"ENERO","FEBRERO","MARZO","ABRIL","MAYO","JUNIO","JULIO","AGOSTO","SEPTIEMBRE","OCTUBRE","NOVIEMBRE","DICIEMBRE"}, 0), 1,2,3,4,5,6,7,8,9,10,11,12), A38)</f>
        <v>43502</v>
      </c>
      <c r="H38">
        <v>42.75</v>
      </c>
      <c r="I38">
        <v>32000</v>
      </c>
      <c r="J38" s="1">
        <f t="shared" si="1"/>
        <v>43503</v>
      </c>
      <c r="K38">
        <f t="shared" si="0"/>
        <v>38.25</v>
      </c>
    </row>
    <row r="39" spans="1:11" x14ac:dyDescent="0.25">
      <c r="A39">
        <v>7</v>
      </c>
      <c r="B39" t="s">
        <v>11</v>
      </c>
      <c r="C39">
        <v>2019</v>
      </c>
      <c r="D39">
        <v>10.25</v>
      </c>
      <c r="E39">
        <v>70</v>
      </c>
      <c r="F39">
        <v>42</v>
      </c>
      <c r="G39" s="1">
        <f>DATE(C39, CHOOSE(MATCH(UPPER(B39), {"ENERO","FEBRERO","MARZO","ABRIL","MAYO","JUNIO","JULIO","AGOSTO","SEPTIEMBRE","OCTUBRE","NOVIEMBRE","DICIEMBRE"}, 0), 1,2,3,4,5,6,7,8,9,10,11,12), A39)</f>
        <v>43503</v>
      </c>
      <c r="H39">
        <v>38.25</v>
      </c>
      <c r="I39">
        <v>32000</v>
      </c>
      <c r="J39" s="1">
        <f t="shared" si="1"/>
        <v>43504</v>
      </c>
      <c r="K39">
        <f t="shared" si="0"/>
        <v>70</v>
      </c>
    </row>
    <row r="40" spans="1:11" x14ac:dyDescent="0.25">
      <c r="A40">
        <v>8</v>
      </c>
      <c r="B40" t="s">
        <v>11</v>
      </c>
      <c r="C40">
        <v>2019</v>
      </c>
      <c r="D40">
        <v>42</v>
      </c>
      <c r="E40">
        <v>56</v>
      </c>
      <c r="F40">
        <v>28</v>
      </c>
      <c r="G40" s="1">
        <f>DATE(C40, CHOOSE(MATCH(UPPER(B40), {"ENERO","FEBRERO","MARZO","ABRIL","MAYO","JUNIO","JULIO","AGOSTO","SEPTIEMBRE","OCTUBRE","NOVIEMBRE","DICIEMBRE"}, 0), 1,2,3,4,5,6,7,8,9,10,11,12), A40)</f>
        <v>43504</v>
      </c>
      <c r="H40">
        <v>70</v>
      </c>
      <c r="I40">
        <v>32000</v>
      </c>
      <c r="J40" s="1">
        <f t="shared" si="1"/>
        <v>43505</v>
      </c>
      <c r="K40">
        <f t="shared" si="0"/>
        <v>87</v>
      </c>
    </row>
    <row r="41" spans="1:11" x14ac:dyDescent="0.25">
      <c r="A41">
        <v>9</v>
      </c>
      <c r="B41" t="s">
        <v>11</v>
      </c>
      <c r="C41">
        <v>2019</v>
      </c>
      <c r="D41">
        <v>28</v>
      </c>
      <c r="E41">
        <v>106</v>
      </c>
      <c r="F41">
        <v>47</v>
      </c>
      <c r="G41" s="1">
        <f>DATE(C41, CHOOSE(MATCH(UPPER(B41), {"ENERO","FEBRERO","MARZO","ABRIL","MAYO","JUNIO","JULIO","AGOSTO","SEPTIEMBRE","OCTUBRE","NOVIEMBRE","DICIEMBRE"}, 0), 1,2,3,4,5,6,7,8,9,10,11,12), A41)</f>
        <v>43505</v>
      </c>
      <c r="H41">
        <v>87</v>
      </c>
      <c r="I41">
        <v>32000</v>
      </c>
      <c r="J41" s="1">
        <f t="shared" si="1"/>
        <v>43506</v>
      </c>
      <c r="K41">
        <f t="shared" si="0"/>
        <v>78</v>
      </c>
    </row>
    <row r="42" spans="1:11" x14ac:dyDescent="0.25">
      <c r="A42">
        <v>10</v>
      </c>
      <c r="B42" t="s">
        <v>11</v>
      </c>
      <c r="C42">
        <v>2019</v>
      </c>
      <c r="D42">
        <v>47</v>
      </c>
      <c r="E42">
        <v>112</v>
      </c>
      <c r="F42">
        <v>81</v>
      </c>
      <c r="G42" s="1">
        <f>DATE(C42, CHOOSE(MATCH(UPPER(B42), {"ENERO","FEBRERO","MARZO","ABRIL","MAYO","JUNIO","JULIO","AGOSTO","SEPTIEMBRE","OCTUBRE","NOVIEMBRE","DICIEMBRE"}, 0), 1,2,3,4,5,6,7,8,9,10,11,12), A42)</f>
        <v>43506</v>
      </c>
      <c r="H42">
        <v>78</v>
      </c>
      <c r="I42">
        <v>32000</v>
      </c>
      <c r="J42" s="1">
        <f t="shared" si="1"/>
        <v>43507</v>
      </c>
      <c r="K42">
        <f t="shared" si="0"/>
        <v>34.25</v>
      </c>
    </row>
    <row r="43" spans="1:11" x14ac:dyDescent="0.25">
      <c r="A43">
        <v>11</v>
      </c>
      <c r="B43" t="s">
        <v>11</v>
      </c>
      <c r="C43">
        <v>2019</v>
      </c>
      <c r="D43">
        <v>81</v>
      </c>
      <c r="E43">
        <v>73</v>
      </c>
      <c r="F43">
        <v>119.75</v>
      </c>
      <c r="G43" s="1">
        <f>DATE(C43, CHOOSE(MATCH(UPPER(B43), {"ENERO","FEBRERO","MARZO","ABRIL","MAYO","JUNIO","JULIO","AGOSTO","SEPTIEMBRE","OCTUBRE","NOVIEMBRE","DICIEMBRE"}, 0), 1,2,3,4,5,6,7,8,9,10,11,12), A43)</f>
        <v>43507</v>
      </c>
      <c r="H43">
        <v>34.25</v>
      </c>
      <c r="I43">
        <v>32000</v>
      </c>
      <c r="J43" s="1">
        <f t="shared" si="1"/>
        <v>43508</v>
      </c>
      <c r="K43">
        <f t="shared" si="0"/>
        <v>44.5</v>
      </c>
    </row>
    <row r="44" spans="1:11" x14ac:dyDescent="0.25">
      <c r="A44">
        <v>12</v>
      </c>
      <c r="B44" t="s">
        <v>11</v>
      </c>
      <c r="C44">
        <v>2019</v>
      </c>
      <c r="D44">
        <v>119.75</v>
      </c>
      <c r="E44">
        <v>107</v>
      </c>
      <c r="F44">
        <v>182.25</v>
      </c>
      <c r="G44" s="1">
        <f>DATE(C44, CHOOSE(MATCH(UPPER(B44), {"ENERO","FEBRERO","MARZO","ABRIL","MAYO","JUNIO","JULIO","AGOSTO","SEPTIEMBRE","OCTUBRE","NOVIEMBRE","DICIEMBRE"}, 0), 1,2,3,4,5,6,7,8,9,10,11,12), A44)</f>
        <v>43508</v>
      </c>
      <c r="H44">
        <v>44.5</v>
      </c>
      <c r="I44">
        <v>32000</v>
      </c>
      <c r="J44" s="1">
        <f t="shared" si="1"/>
        <v>43509</v>
      </c>
      <c r="K44">
        <f t="shared" si="0"/>
        <v>46.25</v>
      </c>
    </row>
    <row r="45" spans="1:11" x14ac:dyDescent="0.25">
      <c r="A45">
        <v>13</v>
      </c>
      <c r="B45" t="s">
        <v>11</v>
      </c>
      <c r="C45">
        <v>2019</v>
      </c>
      <c r="D45">
        <v>182.25</v>
      </c>
      <c r="E45">
        <v>-120</v>
      </c>
      <c r="F45">
        <v>16</v>
      </c>
      <c r="G45" s="1">
        <f>DATE(C45, CHOOSE(MATCH(UPPER(B45), {"ENERO","FEBRERO","MARZO","ABRIL","MAYO","JUNIO","JULIO","AGOSTO","SEPTIEMBRE","OCTUBRE","NOVIEMBRE","DICIEMBRE"}, 0), 1,2,3,4,5,6,7,8,9,10,11,12), A45)</f>
        <v>43509</v>
      </c>
      <c r="H45">
        <v>46.25</v>
      </c>
      <c r="I45">
        <v>32000</v>
      </c>
      <c r="J45" s="1">
        <f t="shared" si="1"/>
        <v>43510</v>
      </c>
      <c r="K45">
        <f t="shared" si="0"/>
        <v>54</v>
      </c>
    </row>
    <row r="46" spans="1:11" x14ac:dyDescent="0.25">
      <c r="A46">
        <v>14</v>
      </c>
      <c r="B46" t="s">
        <v>11</v>
      </c>
      <c r="C46">
        <v>2019</v>
      </c>
      <c r="D46">
        <v>16</v>
      </c>
      <c r="E46">
        <v>72</v>
      </c>
      <c r="F46">
        <v>34</v>
      </c>
      <c r="G46" s="1">
        <f>DATE(C46, CHOOSE(MATCH(UPPER(B46), {"ENERO","FEBRERO","MARZO","ABRIL","MAYO","JUNIO","JULIO","AGOSTO","SEPTIEMBRE","OCTUBRE","NOVIEMBRE","DICIEMBRE"}, 0), 1,2,3,4,5,6,7,8,9,10,11,12), A46)</f>
        <v>43510</v>
      </c>
      <c r="H46">
        <v>54</v>
      </c>
      <c r="I46">
        <v>32000</v>
      </c>
      <c r="J46" s="1">
        <f t="shared" si="1"/>
        <v>43511</v>
      </c>
      <c r="K46">
        <f t="shared" si="0"/>
        <v>61.5</v>
      </c>
    </row>
    <row r="47" spans="1:11" x14ac:dyDescent="0.25">
      <c r="A47">
        <v>15</v>
      </c>
      <c r="B47" t="s">
        <v>11</v>
      </c>
      <c r="C47">
        <v>2019</v>
      </c>
      <c r="D47">
        <v>34</v>
      </c>
      <c r="E47">
        <v>176</v>
      </c>
      <c r="F47">
        <v>148.5</v>
      </c>
      <c r="G47" s="1">
        <f>DATE(C47, CHOOSE(MATCH(UPPER(B47), {"ENERO","FEBRERO","MARZO","ABRIL","MAYO","JUNIO","JULIO","AGOSTO","SEPTIEMBRE","OCTUBRE","NOVIEMBRE","DICIEMBRE"}, 0), 1,2,3,4,5,6,7,8,9,10,11,12), A47)</f>
        <v>43511</v>
      </c>
      <c r="H47">
        <v>61.5</v>
      </c>
      <c r="I47">
        <v>32000</v>
      </c>
      <c r="J47" s="1">
        <f t="shared" si="1"/>
        <v>43512</v>
      </c>
      <c r="K47">
        <f t="shared" si="0"/>
        <v>94.5</v>
      </c>
    </row>
    <row r="48" spans="1:11" x14ac:dyDescent="0.25">
      <c r="A48">
        <v>16</v>
      </c>
      <c r="B48" t="s">
        <v>11</v>
      </c>
      <c r="C48">
        <v>2019</v>
      </c>
      <c r="D48">
        <v>148.5</v>
      </c>
      <c r="E48">
        <v>70</v>
      </c>
      <c r="F48">
        <v>124</v>
      </c>
      <c r="G48" s="1">
        <f>DATE(C48, CHOOSE(MATCH(UPPER(B48), {"ENERO","FEBRERO","MARZO","ABRIL","MAYO","JUNIO","JULIO","AGOSTO","SEPTIEMBRE","OCTUBRE","NOVIEMBRE","DICIEMBRE"}, 0), 1,2,3,4,5,6,7,8,9,10,11,12), A48)</f>
        <v>43512</v>
      </c>
      <c r="H48">
        <v>94.5</v>
      </c>
      <c r="I48">
        <v>32000</v>
      </c>
      <c r="J48" s="1">
        <f t="shared" si="1"/>
        <v>43513</v>
      </c>
      <c r="K48">
        <f t="shared" si="0"/>
        <v>83</v>
      </c>
    </row>
    <row r="49" spans="1:11" x14ac:dyDescent="0.25">
      <c r="A49">
        <v>17</v>
      </c>
      <c r="B49" t="s">
        <v>11</v>
      </c>
      <c r="C49">
        <v>2019</v>
      </c>
      <c r="D49">
        <v>124</v>
      </c>
      <c r="E49" t="s">
        <v>9</v>
      </c>
      <c r="F49">
        <v>41</v>
      </c>
      <c r="G49" s="1">
        <f>DATE(C49, CHOOSE(MATCH(UPPER(B49), {"ENERO","FEBRERO","MARZO","ABRIL","MAYO","JUNIO","JULIO","AGOSTO","SEPTIEMBRE","OCTUBRE","NOVIEMBRE","DICIEMBRE"}, 0), 1,2,3,4,5,6,7,8,9,10,11,12), A49)</f>
        <v>43513</v>
      </c>
      <c r="H49">
        <v>83</v>
      </c>
      <c r="I49">
        <v>32000</v>
      </c>
      <c r="J49" s="1">
        <f t="shared" si="1"/>
        <v>43514</v>
      </c>
      <c r="K49">
        <f t="shared" si="0"/>
        <v>38</v>
      </c>
    </row>
    <row r="50" spans="1:11" x14ac:dyDescent="0.25">
      <c r="A50">
        <v>18</v>
      </c>
      <c r="B50" t="s">
        <v>11</v>
      </c>
      <c r="C50">
        <v>2019</v>
      </c>
      <c r="D50">
        <v>41</v>
      </c>
      <c r="E50">
        <v>45</v>
      </c>
      <c r="F50">
        <v>48</v>
      </c>
      <c r="G50" s="1">
        <f>DATE(C50, CHOOSE(MATCH(UPPER(B50), {"ENERO","FEBRERO","MARZO","ABRIL","MAYO","JUNIO","JULIO","AGOSTO","SEPTIEMBRE","OCTUBRE","NOVIEMBRE","DICIEMBRE"}, 0), 1,2,3,4,5,6,7,8,9,10,11,12), A50)</f>
        <v>43514</v>
      </c>
      <c r="H50">
        <v>38</v>
      </c>
      <c r="I50">
        <v>32000</v>
      </c>
      <c r="J50" s="1">
        <f t="shared" si="1"/>
        <v>43515</v>
      </c>
      <c r="K50">
        <f t="shared" si="0"/>
        <v>34</v>
      </c>
    </row>
    <row r="51" spans="1:11" x14ac:dyDescent="0.25">
      <c r="A51">
        <v>19</v>
      </c>
      <c r="B51" t="s">
        <v>11</v>
      </c>
      <c r="C51">
        <v>2019</v>
      </c>
      <c r="D51">
        <v>48</v>
      </c>
      <c r="E51">
        <v>71</v>
      </c>
      <c r="F51">
        <v>85</v>
      </c>
      <c r="G51" s="1">
        <f>DATE(C51, CHOOSE(MATCH(UPPER(B51), {"ENERO","FEBRERO","MARZO","ABRIL","MAYO","JUNIO","JULIO","AGOSTO","SEPTIEMBRE","OCTUBRE","NOVIEMBRE","DICIEMBRE"}, 0), 1,2,3,4,5,6,7,8,9,10,11,12), A51)</f>
        <v>43515</v>
      </c>
      <c r="H51">
        <v>34</v>
      </c>
      <c r="I51">
        <v>32000</v>
      </c>
      <c r="J51" s="1">
        <f t="shared" si="1"/>
        <v>43516</v>
      </c>
      <c r="K51">
        <f t="shared" si="0"/>
        <v>53</v>
      </c>
    </row>
    <row r="52" spans="1:11" x14ac:dyDescent="0.25">
      <c r="A52">
        <v>20</v>
      </c>
      <c r="B52" t="s">
        <v>11</v>
      </c>
      <c r="C52">
        <v>2019</v>
      </c>
      <c r="D52">
        <v>85</v>
      </c>
      <c r="E52">
        <v>71</v>
      </c>
      <c r="F52">
        <v>103</v>
      </c>
      <c r="G52" s="1">
        <f>DATE(C52, CHOOSE(MATCH(UPPER(B52), {"ENERO","FEBRERO","MARZO","ABRIL","MAYO","JUNIO","JULIO","AGOSTO","SEPTIEMBRE","OCTUBRE","NOVIEMBRE","DICIEMBRE"}, 0), 1,2,3,4,5,6,7,8,9,10,11,12), A52)</f>
        <v>43516</v>
      </c>
      <c r="H52">
        <v>53</v>
      </c>
      <c r="I52">
        <v>32000</v>
      </c>
      <c r="J52" s="1">
        <f t="shared" si="1"/>
        <v>43517</v>
      </c>
      <c r="K52">
        <f t="shared" si="0"/>
        <v>50</v>
      </c>
    </row>
    <row r="53" spans="1:11" x14ac:dyDescent="0.25">
      <c r="A53">
        <v>21</v>
      </c>
      <c r="B53" t="s">
        <v>11</v>
      </c>
      <c r="C53">
        <v>2019</v>
      </c>
      <c r="D53">
        <v>103</v>
      </c>
      <c r="E53">
        <v>71</v>
      </c>
      <c r="F53">
        <v>124</v>
      </c>
      <c r="G53" s="1">
        <f>DATE(C53, CHOOSE(MATCH(UPPER(B53), {"ENERO","FEBRERO","MARZO","ABRIL","MAYO","JUNIO","JULIO","AGOSTO","SEPTIEMBRE","OCTUBRE","NOVIEMBRE","DICIEMBRE"}, 0), 1,2,3,4,5,6,7,8,9,10,11,12), A53)</f>
        <v>43517</v>
      </c>
      <c r="H53">
        <v>50</v>
      </c>
      <c r="I53">
        <v>32000</v>
      </c>
      <c r="J53" s="1">
        <f t="shared" si="1"/>
        <v>43518</v>
      </c>
      <c r="K53">
        <f t="shared" si="0"/>
        <v>60.5</v>
      </c>
    </row>
    <row r="54" spans="1:11" x14ac:dyDescent="0.25">
      <c r="A54">
        <v>22</v>
      </c>
      <c r="B54" t="s">
        <v>11</v>
      </c>
      <c r="C54">
        <v>2019</v>
      </c>
      <c r="D54">
        <v>124</v>
      </c>
      <c r="E54">
        <v>105</v>
      </c>
      <c r="F54">
        <v>168.5</v>
      </c>
      <c r="G54" s="1">
        <f>DATE(C54, CHOOSE(MATCH(UPPER(B54), {"ENERO","FEBRERO","MARZO","ABRIL","MAYO","JUNIO","JULIO","AGOSTO","SEPTIEMBRE","OCTUBRE","NOVIEMBRE","DICIEMBRE"}, 0), 1,2,3,4,5,6,7,8,9,10,11,12), A54)</f>
        <v>43518</v>
      </c>
      <c r="H54">
        <v>60.5</v>
      </c>
      <c r="I54">
        <v>32000</v>
      </c>
      <c r="J54" s="1">
        <f t="shared" si="1"/>
        <v>43519</v>
      </c>
      <c r="K54">
        <f t="shared" si="0"/>
        <v>79.5</v>
      </c>
    </row>
    <row r="55" spans="1:11" x14ac:dyDescent="0.25">
      <c r="A55">
        <v>23</v>
      </c>
      <c r="B55" t="s">
        <v>11</v>
      </c>
      <c r="C55">
        <v>2019</v>
      </c>
      <c r="D55">
        <v>168.5</v>
      </c>
      <c r="E55">
        <v>-29</v>
      </c>
      <c r="F55">
        <v>60</v>
      </c>
      <c r="G55" s="1">
        <f>DATE(C55, CHOOSE(MATCH(UPPER(B55), {"ENERO","FEBRERO","MARZO","ABRIL","MAYO","JUNIO","JULIO","AGOSTO","SEPTIEMBRE","OCTUBRE","NOVIEMBRE","DICIEMBRE"}, 0), 1,2,3,4,5,6,7,8,9,10,11,12), A55)</f>
        <v>43519</v>
      </c>
      <c r="H55">
        <v>79.5</v>
      </c>
      <c r="I55">
        <v>32000</v>
      </c>
      <c r="J55" s="1">
        <f t="shared" si="1"/>
        <v>43520</v>
      </c>
      <c r="K55">
        <f t="shared" si="0"/>
        <v>74</v>
      </c>
    </row>
    <row r="56" spans="1:11" x14ac:dyDescent="0.25">
      <c r="A56">
        <v>24</v>
      </c>
      <c r="B56" t="s">
        <v>11</v>
      </c>
      <c r="C56">
        <v>2019</v>
      </c>
      <c r="D56">
        <v>60</v>
      </c>
      <c r="E56">
        <v>72</v>
      </c>
      <c r="F56">
        <v>58</v>
      </c>
      <c r="G56" s="1">
        <f>DATE(C56, CHOOSE(MATCH(UPPER(B56), {"ENERO","FEBRERO","MARZO","ABRIL","MAYO","JUNIO","JULIO","AGOSTO","SEPTIEMBRE","OCTUBRE","NOVIEMBRE","DICIEMBRE"}, 0), 1,2,3,4,5,6,7,8,9,10,11,12), A56)</f>
        <v>43520</v>
      </c>
      <c r="H56">
        <v>74</v>
      </c>
      <c r="I56">
        <v>32000</v>
      </c>
      <c r="J56" s="1">
        <f t="shared" si="1"/>
        <v>43521</v>
      </c>
      <c r="K56">
        <f t="shared" si="0"/>
        <v>44.25</v>
      </c>
    </row>
    <row r="57" spans="1:11" x14ac:dyDescent="0.25">
      <c r="A57">
        <v>25</v>
      </c>
      <c r="B57" t="s">
        <v>11</v>
      </c>
      <c r="C57">
        <v>2019</v>
      </c>
      <c r="D57">
        <v>58</v>
      </c>
      <c r="E57">
        <v>70</v>
      </c>
      <c r="F57">
        <v>83.75</v>
      </c>
      <c r="G57" s="1">
        <f>DATE(C57, CHOOSE(MATCH(UPPER(B57), {"ENERO","FEBRERO","MARZO","ABRIL","MAYO","JUNIO","JULIO","AGOSTO","SEPTIEMBRE","OCTUBRE","NOVIEMBRE","DICIEMBRE"}, 0), 1,2,3,4,5,6,7,8,9,10,11,12), A57)</f>
        <v>43521</v>
      </c>
      <c r="H57">
        <v>44.25</v>
      </c>
      <c r="I57">
        <v>32000</v>
      </c>
      <c r="J57" s="1">
        <f t="shared" si="1"/>
        <v>43522</v>
      </c>
      <c r="K57">
        <f t="shared" si="0"/>
        <v>42.25</v>
      </c>
    </row>
    <row r="58" spans="1:11" x14ac:dyDescent="0.25">
      <c r="A58">
        <v>26</v>
      </c>
      <c r="B58" t="s">
        <v>11</v>
      </c>
      <c r="C58">
        <v>2019</v>
      </c>
      <c r="D58">
        <v>83.75</v>
      </c>
      <c r="E58">
        <v>71</v>
      </c>
      <c r="F58">
        <v>112.5</v>
      </c>
      <c r="G58" s="1">
        <f>DATE(C58, CHOOSE(MATCH(UPPER(B58), {"ENERO","FEBRERO","MARZO","ABRIL","MAYO","JUNIO","JULIO","AGOSTO","SEPTIEMBRE","OCTUBRE","NOVIEMBRE","DICIEMBRE"}, 0), 1,2,3,4,5,6,7,8,9,10,11,12), A58)</f>
        <v>43522</v>
      </c>
      <c r="H58">
        <v>42.25</v>
      </c>
      <c r="I58">
        <v>32000</v>
      </c>
      <c r="J58" s="1">
        <f t="shared" si="1"/>
        <v>43523</v>
      </c>
      <c r="K58">
        <f t="shared" si="0"/>
        <v>50.5</v>
      </c>
    </row>
    <row r="59" spans="1:11" x14ac:dyDescent="0.25">
      <c r="A59">
        <v>27</v>
      </c>
      <c r="B59" t="s">
        <v>11</v>
      </c>
      <c r="C59">
        <v>2019</v>
      </c>
      <c r="D59">
        <v>112.5</v>
      </c>
      <c r="E59">
        <v>-13</v>
      </c>
      <c r="F59">
        <v>49</v>
      </c>
      <c r="G59" s="1">
        <f>DATE(C59, CHOOSE(MATCH(UPPER(B59), {"ENERO","FEBRERO","MARZO","ABRIL","MAYO","JUNIO","JULIO","AGOSTO","SEPTIEMBRE","OCTUBRE","NOVIEMBRE","DICIEMBRE"}, 0), 1,2,3,4,5,6,7,8,9,10,11,12), A59)</f>
        <v>43523</v>
      </c>
      <c r="H59">
        <v>50.5</v>
      </c>
      <c r="I59">
        <v>32000</v>
      </c>
      <c r="J59" s="1">
        <f t="shared" si="1"/>
        <v>43524</v>
      </c>
      <c r="K59">
        <f t="shared" si="0"/>
        <v>51.5</v>
      </c>
    </row>
    <row r="60" spans="1:11" x14ac:dyDescent="0.25">
      <c r="A60">
        <v>28</v>
      </c>
      <c r="B60" t="s">
        <v>11</v>
      </c>
      <c r="C60">
        <v>2019</v>
      </c>
      <c r="D60">
        <v>49</v>
      </c>
      <c r="E60">
        <v>70</v>
      </c>
      <c r="F60">
        <v>67.5</v>
      </c>
      <c r="G60" s="1">
        <f>DATE(C60, CHOOSE(MATCH(UPPER(B60), {"ENERO","FEBRERO","MARZO","ABRIL","MAYO","JUNIO","JULIO","AGOSTO","SEPTIEMBRE","OCTUBRE","NOVIEMBRE","DICIEMBRE"}, 0), 1,2,3,4,5,6,7,8,9,10,11,12), A60)</f>
        <v>43524</v>
      </c>
      <c r="H60">
        <v>51.5</v>
      </c>
      <c r="I60">
        <v>32000</v>
      </c>
      <c r="J60" s="1">
        <f t="shared" si="1"/>
        <v>43525</v>
      </c>
      <c r="K60">
        <f t="shared" si="0"/>
        <v>73.625</v>
      </c>
    </row>
    <row r="61" spans="1:11" x14ac:dyDescent="0.25">
      <c r="A61">
        <v>1</v>
      </c>
      <c r="B61" t="s">
        <v>12</v>
      </c>
      <c r="C61">
        <v>2019</v>
      </c>
      <c r="D61">
        <v>67.5</v>
      </c>
      <c r="E61">
        <v>71</v>
      </c>
      <c r="F61">
        <v>64.875</v>
      </c>
      <c r="G61" s="1">
        <f>DATE(C61, CHOOSE(MATCH(UPPER(B61), {"ENERO","FEBRERO","MARZO","ABRIL","MAYO","JUNIO","JULIO","AGOSTO","SEPTIEMBRE","OCTUBRE","NOVIEMBRE","DICIEMBRE"}, 0), 1,2,3,4,5,6,7,8,9,10,11,12), A61)</f>
        <v>43525</v>
      </c>
      <c r="H61">
        <v>73.625</v>
      </c>
      <c r="I61">
        <v>36000</v>
      </c>
      <c r="J61" s="1">
        <f t="shared" si="1"/>
        <v>43526</v>
      </c>
      <c r="K61">
        <f t="shared" si="0"/>
        <v>74.875</v>
      </c>
    </row>
    <row r="62" spans="1:11" x14ac:dyDescent="0.25">
      <c r="A62">
        <v>2</v>
      </c>
      <c r="B62" t="s">
        <v>12</v>
      </c>
      <c r="C62">
        <v>2019</v>
      </c>
      <c r="D62">
        <v>64.875</v>
      </c>
      <c r="E62">
        <v>108</v>
      </c>
      <c r="F62">
        <v>98</v>
      </c>
      <c r="G62" s="1">
        <f>DATE(C62, CHOOSE(MATCH(UPPER(B62), {"ENERO","FEBRERO","MARZO","ABRIL","MAYO","JUNIO","JULIO","AGOSTO","SEPTIEMBRE","OCTUBRE","NOVIEMBRE","DICIEMBRE"}, 0), 1,2,3,4,5,6,7,8,9,10,11,12), A62)</f>
        <v>43526</v>
      </c>
      <c r="H62">
        <v>74.875</v>
      </c>
      <c r="I62">
        <v>36000</v>
      </c>
      <c r="J62" s="1">
        <f t="shared" si="1"/>
        <v>43527</v>
      </c>
      <c r="K62">
        <f t="shared" si="0"/>
        <v>66.5</v>
      </c>
    </row>
    <row r="63" spans="1:11" x14ac:dyDescent="0.25">
      <c r="A63">
        <v>3</v>
      </c>
      <c r="B63" t="s">
        <v>12</v>
      </c>
      <c r="C63">
        <v>2019</v>
      </c>
      <c r="D63">
        <v>98</v>
      </c>
      <c r="E63">
        <v>5</v>
      </c>
      <c r="F63">
        <v>36.5</v>
      </c>
      <c r="G63" s="1">
        <f>DATE(C63, CHOOSE(MATCH(UPPER(B63), {"ENERO","FEBRERO","MARZO","ABRIL","MAYO","JUNIO","JULIO","AGOSTO","SEPTIEMBRE","OCTUBRE","NOVIEMBRE","DICIEMBRE"}, 0), 1,2,3,4,5,6,7,8,9,10,11,12), A63)</f>
        <v>43527</v>
      </c>
      <c r="H63">
        <v>66.5</v>
      </c>
      <c r="I63">
        <v>36000</v>
      </c>
      <c r="J63" s="1">
        <f t="shared" si="1"/>
        <v>43528</v>
      </c>
      <c r="K63">
        <f t="shared" si="0"/>
        <v>40</v>
      </c>
    </row>
    <row r="64" spans="1:11" x14ac:dyDescent="0.25">
      <c r="A64">
        <v>4</v>
      </c>
      <c r="B64" t="s">
        <v>12</v>
      </c>
      <c r="C64">
        <v>2019</v>
      </c>
      <c r="D64">
        <v>36.5</v>
      </c>
      <c r="E64">
        <v>105</v>
      </c>
      <c r="F64">
        <v>101.5</v>
      </c>
      <c r="G64" s="1">
        <f>DATE(C64, CHOOSE(MATCH(UPPER(B64), {"ENERO","FEBRERO","MARZO","ABRIL","MAYO","JUNIO","JULIO","AGOSTO","SEPTIEMBRE","OCTUBRE","NOVIEMBRE","DICIEMBRE"}, 0), 1,2,3,4,5,6,7,8,9,10,11,12), A64)</f>
        <v>43528</v>
      </c>
      <c r="H64">
        <v>40</v>
      </c>
      <c r="I64">
        <v>36000</v>
      </c>
      <c r="J64" s="1">
        <f t="shared" si="1"/>
        <v>43529</v>
      </c>
      <c r="K64">
        <f t="shared" si="0"/>
        <v>37.5</v>
      </c>
    </row>
    <row r="65" spans="1:11" x14ac:dyDescent="0.25">
      <c r="A65">
        <v>5</v>
      </c>
      <c r="B65" t="s">
        <v>12</v>
      </c>
      <c r="C65">
        <v>2019</v>
      </c>
      <c r="D65">
        <v>101.5</v>
      </c>
      <c r="E65">
        <v>70</v>
      </c>
      <c r="F65">
        <v>134</v>
      </c>
      <c r="G65" s="1">
        <f>DATE(C65, CHOOSE(MATCH(UPPER(B65), {"ENERO","FEBRERO","MARZO","ABRIL","MAYO","JUNIO","JULIO","AGOSTO","SEPTIEMBRE","OCTUBRE","NOVIEMBRE","DICIEMBRE"}, 0), 1,2,3,4,5,6,7,8,9,10,11,12), A65)</f>
        <v>43529</v>
      </c>
      <c r="H65">
        <v>37.5</v>
      </c>
      <c r="I65">
        <v>36000</v>
      </c>
      <c r="J65" s="1">
        <f t="shared" si="1"/>
        <v>43530</v>
      </c>
      <c r="K65">
        <f t="shared" si="0"/>
        <v>39</v>
      </c>
    </row>
    <row r="66" spans="1:11" x14ac:dyDescent="0.25">
      <c r="A66">
        <v>6</v>
      </c>
      <c r="B66" t="s">
        <v>12</v>
      </c>
      <c r="C66">
        <v>2019</v>
      </c>
      <c r="D66">
        <v>134</v>
      </c>
      <c r="E66">
        <v>140</v>
      </c>
      <c r="F66">
        <v>235</v>
      </c>
      <c r="G66" s="1">
        <f>DATE(C66, CHOOSE(MATCH(UPPER(B66), {"ENERO","FEBRERO","MARZO","ABRIL","MAYO","JUNIO","JULIO","AGOSTO","SEPTIEMBRE","OCTUBRE","NOVIEMBRE","DICIEMBRE"}, 0), 1,2,3,4,5,6,7,8,9,10,11,12), A66)</f>
        <v>43530</v>
      </c>
      <c r="H66">
        <v>39</v>
      </c>
      <c r="I66">
        <v>36000</v>
      </c>
      <c r="J66" s="1">
        <f t="shared" si="1"/>
        <v>43531</v>
      </c>
      <c r="K66">
        <f t="shared" si="0"/>
        <v>47</v>
      </c>
    </row>
    <row r="67" spans="1:11" x14ac:dyDescent="0.25">
      <c r="A67">
        <v>7</v>
      </c>
      <c r="B67" t="s">
        <v>12</v>
      </c>
      <c r="C67">
        <v>2019</v>
      </c>
      <c r="D67">
        <v>235</v>
      </c>
      <c r="E67">
        <v>-114</v>
      </c>
      <c r="F67">
        <v>74</v>
      </c>
      <c r="G67" s="1">
        <f>DATE(C67, CHOOSE(MATCH(UPPER(B67), {"ENERO","FEBRERO","MARZO","ABRIL","MAYO","JUNIO","JULIO","AGOSTO","SEPTIEMBRE","OCTUBRE","NOVIEMBRE","DICIEMBRE"}, 0), 1,2,3,4,5,6,7,8,9,10,11,12), A67)</f>
        <v>43531</v>
      </c>
      <c r="H67">
        <v>47</v>
      </c>
      <c r="I67">
        <v>36000</v>
      </c>
      <c r="J67" s="1">
        <f t="shared" si="1"/>
        <v>43532</v>
      </c>
      <c r="K67">
        <f t="shared" ref="K67:K130" si="2">VLOOKUP(J67, G:H, 2, FALSE)</f>
        <v>99</v>
      </c>
    </row>
    <row r="68" spans="1:11" x14ac:dyDescent="0.25">
      <c r="A68">
        <v>8</v>
      </c>
      <c r="B68" t="s">
        <v>12</v>
      </c>
      <c r="C68">
        <v>2019</v>
      </c>
      <c r="D68">
        <v>74</v>
      </c>
      <c r="E68">
        <v>69</v>
      </c>
      <c r="F68">
        <v>44</v>
      </c>
      <c r="G68" s="1">
        <f>DATE(C68, CHOOSE(MATCH(UPPER(B68), {"ENERO","FEBRERO","MARZO","ABRIL","MAYO","JUNIO","JULIO","AGOSTO","SEPTIEMBRE","OCTUBRE","NOVIEMBRE","DICIEMBRE"}, 0), 1,2,3,4,5,6,7,8,9,10,11,12), A68)</f>
        <v>43532</v>
      </c>
      <c r="H68">
        <v>99</v>
      </c>
      <c r="I68">
        <v>36000</v>
      </c>
      <c r="J68" s="1">
        <f t="shared" si="1"/>
        <v>43533</v>
      </c>
      <c r="K68">
        <f t="shared" si="2"/>
        <v>79.5</v>
      </c>
    </row>
    <row r="69" spans="1:11" x14ac:dyDescent="0.25">
      <c r="A69">
        <v>9</v>
      </c>
      <c r="B69" t="s">
        <v>12</v>
      </c>
      <c r="C69">
        <v>2019</v>
      </c>
      <c r="D69">
        <v>44</v>
      </c>
      <c r="E69">
        <v>70</v>
      </c>
      <c r="F69">
        <v>34.5</v>
      </c>
      <c r="G69" s="1">
        <f>DATE(C69, CHOOSE(MATCH(UPPER(B69), {"ENERO","FEBRERO","MARZO","ABRIL","MAYO","JUNIO","JULIO","AGOSTO","SEPTIEMBRE","OCTUBRE","NOVIEMBRE","DICIEMBRE"}, 0), 1,2,3,4,5,6,7,8,9,10,11,12), A69)</f>
        <v>43533</v>
      </c>
      <c r="H69">
        <v>79.5</v>
      </c>
      <c r="I69">
        <v>36000</v>
      </c>
      <c r="J69" s="1">
        <f t="shared" ref="J69:J132" si="3">DATE(2019,1,1) + ROW()-1</f>
        <v>43534</v>
      </c>
      <c r="K69">
        <f t="shared" si="2"/>
        <v>70.5</v>
      </c>
    </row>
    <row r="70" spans="1:11" x14ac:dyDescent="0.25">
      <c r="A70">
        <v>10</v>
      </c>
      <c r="B70" t="s">
        <v>12</v>
      </c>
      <c r="C70">
        <v>2019</v>
      </c>
      <c r="D70">
        <v>34.5</v>
      </c>
      <c r="E70">
        <v>141</v>
      </c>
      <c r="F70">
        <v>105</v>
      </c>
      <c r="G70" s="1">
        <f>DATE(C70, CHOOSE(MATCH(UPPER(B70), {"ENERO","FEBRERO","MARZO","ABRIL","MAYO","JUNIO","JULIO","AGOSTO","SEPTIEMBRE","OCTUBRE","NOVIEMBRE","DICIEMBRE"}, 0), 1,2,3,4,5,6,7,8,9,10,11,12), A70)</f>
        <v>43534</v>
      </c>
      <c r="H70">
        <v>70.5</v>
      </c>
      <c r="I70">
        <v>36000</v>
      </c>
      <c r="J70" s="1">
        <f t="shared" si="3"/>
        <v>43535</v>
      </c>
      <c r="K70">
        <f t="shared" si="2"/>
        <v>39.25</v>
      </c>
    </row>
    <row r="71" spans="1:11" x14ac:dyDescent="0.25">
      <c r="A71">
        <v>11</v>
      </c>
      <c r="B71" t="s">
        <v>12</v>
      </c>
      <c r="C71">
        <v>2019</v>
      </c>
      <c r="D71">
        <v>105</v>
      </c>
      <c r="E71" t="s">
        <v>9</v>
      </c>
      <c r="F71">
        <v>65.75</v>
      </c>
      <c r="G71" s="1">
        <f>DATE(C71, CHOOSE(MATCH(UPPER(B71), {"ENERO","FEBRERO","MARZO","ABRIL","MAYO","JUNIO","JULIO","AGOSTO","SEPTIEMBRE","OCTUBRE","NOVIEMBRE","DICIEMBRE"}, 0), 1,2,3,4,5,6,7,8,9,10,11,12), A71)</f>
        <v>43535</v>
      </c>
      <c r="H71">
        <v>39.25</v>
      </c>
      <c r="I71">
        <v>36000</v>
      </c>
      <c r="J71" s="1">
        <f t="shared" si="3"/>
        <v>43536</v>
      </c>
      <c r="K71">
        <f t="shared" si="2"/>
        <v>42.25</v>
      </c>
    </row>
    <row r="72" spans="1:11" x14ac:dyDescent="0.25">
      <c r="A72">
        <v>12</v>
      </c>
      <c r="B72" t="s">
        <v>12</v>
      </c>
      <c r="C72">
        <v>2019</v>
      </c>
      <c r="D72">
        <v>65.75</v>
      </c>
      <c r="E72">
        <v>105</v>
      </c>
      <c r="F72">
        <v>128.5</v>
      </c>
      <c r="G72" s="1">
        <f>DATE(C72, CHOOSE(MATCH(UPPER(B72), {"ENERO","FEBRERO","MARZO","ABRIL","MAYO","JUNIO","JULIO","AGOSTO","SEPTIEMBRE","OCTUBRE","NOVIEMBRE","DICIEMBRE"}, 0), 1,2,3,4,5,6,7,8,9,10,11,12), A72)</f>
        <v>43536</v>
      </c>
      <c r="H72">
        <v>42.25</v>
      </c>
      <c r="I72">
        <v>36000</v>
      </c>
      <c r="J72" s="1">
        <f t="shared" si="3"/>
        <v>43537</v>
      </c>
      <c r="K72">
        <f t="shared" si="2"/>
        <v>33.5</v>
      </c>
    </row>
    <row r="73" spans="1:11" x14ac:dyDescent="0.25">
      <c r="A73">
        <v>13</v>
      </c>
      <c r="B73" t="s">
        <v>12</v>
      </c>
      <c r="C73">
        <v>2019</v>
      </c>
      <c r="D73">
        <v>128.5</v>
      </c>
      <c r="E73">
        <v>70</v>
      </c>
      <c r="F73">
        <v>165</v>
      </c>
      <c r="G73" s="1">
        <f>DATE(C73, CHOOSE(MATCH(UPPER(B73), {"ENERO","FEBRERO","MARZO","ABRIL","MAYO","JUNIO","JULIO","AGOSTO","SEPTIEMBRE","OCTUBRE","NOVIEMBRE","DICIEMBRE"}, 0), 1,2,3,4,5,6,7,8,9,10,11,12), A73)</f>
        <v>43537</v>
      </c>
      <c r="H73">
        <v>33.5</v>
      </c>
      <c r="I73">
        <v>36000</v>
      </c>
      <c r="J73" s="1">
        <f t="shared" si="3"/>
        <v>43538</v>
      </c>
      <c r="K73">
        <f t="shared" si="2"/>
        <v>38</v>
      </c>
    </row>
    <row r="74" spans="1:11" x14ac:dyDescent="0.25">
      <c r="A74">
        <v>14</v>
      </c>
      <c r="B74" t="s">
        <v>12</v>
      </c>
      <c r="C74">
        <v>2019</v>
      </c>
      <c r="D74">
        <v>165</v>
      </c>
      <c r="E74">
        <v>-15</v>
      </c>
      <c r="F74">
        <v>112</v>
      </c>
      <c r="G74" s="1">
        <f>DATE(C74, CHOOSE(MATCH(UPPER(B74), {"ENERO","FEBRERO","MARZO","ABRIL","MAYO","JUNIO","JULIO","AGOSTO","SEPTIEMBRE","OCTUBRE","NOVIEMBRE","DICIEMBRE"}, 0), 1,2,3,4,5,6,7,8,9,10,11,12), A74)</f>
        <v>43538</v>
      </c>
      <c r="H74">
        <v>38</v>
      </c>
      <c r="I74">
        <v>36000</v>
      </c>
      <c r="J74" s="1">
        <f t="shared" si="3"/>
        <v>43539</v>
      </c>
      <c r="K74">
        <f t="shared" si="2"/>
        <v>67.5</v>
      </c>
    </row>
    <row r="75" spans="1:11" x14ac:dyDescent="0.25">
      <c r="A75">
        <v>15</v>
      </c>
      <c r="B75" t="s">
        <v>12</v>
      </c>
      <c r="C75">
        <v>2019</v>
      </c>
      <c r="D75">
        <v>112</v>
      </c>
      <c r="E75" t="s">
        <v>9</v>
      </c>
      <c r="F75">
        <v>44.5</v>
      </c>
      <c r="G75" s="1">
        <f>DATE(C75, CHOOSE(MATCH(UPPER(B75), {"ENERO","FEBRERO","MARZO","ABRIL","MAYO","JUNIO","JULIO","AGOSTO","SEPTIEMBRE","OCTUBRE","NOVIEMBRE","DICIEMBRE"}, 0), 1,2,3,4,5,6,7,8,9,10,11,12), A75)</f>
        <v>43539</v>
      </c>
      <c r="H75">
        <v>67.5</v>
      </c>
      <c r="I75">
        <v>36000</v>
      </c>
      <c r="J75" s="1">
        <f t="shared" si="3"/>
        <v>43540</v>
      </c>
      <c r="K75">
        <f t="shared" si="2"/>
        <v>66</v>
      </c>
    </row>
    <row r="76" spans="1:11" x14ac:dyDescent="0.25">
      <c r="A76">
        <v>16</v>
      </c>
      <c r="B76" t="s">
        <v>12</v>
      </c>
      <c r="C76">
        <v>2019</v>
      </c>
      <c r="D76">
        <v>44.5</v>
      </c>
      <c r="E76">
        <v>142</v>
      </c>
      <c r="F76">
        <v>120.5</v>
      </c>
      <c r="G76" s="1">
        <f>DATE(C76, CHOOSE(MATCH(UPPER(B76), {"ENERO","FEBRERO","MARZO","ABRIL","MAYO","JUNIO","JULIO","AGOSTO","SEPTIEMBRE","OCTUBRE","NOVIEMBRE","DICIEMBRE"}, 0), 1,2,3,4,5,6,7,8,9,10,11,12), A76)</f>
        <v>43540</v>
      </c>
      <c r="H76">
        <v>66</v>
      </c>
      <c r="I76">
        <v>36000</v>
      </c>
      <c r="J76" s="1">
        <f t="shared" si="3"/>
        <v>43541</v>
      </c>
      <c r="K76">
        <f t="shared" si="2"/>
        <v>75.5</v>
      </c>
    </row>
    <row r="77" spans="1:11" x14ac:dyDescent="0.25">
      <c r="A77">
        <v>17</v>
      </c>
      <c r="B77" t="s">
        <v>12</v>
      </c>
      <c r="C77">
        <v>2019</v>
      </c>
      <c r="D77">
        <v>120.5</v>
      </c>
      <c r="E77">
        <v>106</v>
      </c>
      <c r="F77">
        <v>151</v>
      </c>
      <c r="G77" s="1">
        <f>DATE(C77, CHOOSE(MATCH(UPPER(B77), {"ENERO","FEBRERO","MARZO","ABRIL","MAYO","JUNIO","JULIO","AGOSTO","SEPTIEMBRE","OCTUBRE","NOVIEMBRE","DICIEMBRE"}, 0), 1,2,3,4,5,6,7,8,9,10,11,12), A77)</f>
        <v>43541</v>
      </c>
      <c r="H77">
        <v>75.5</v>
      </c>
      <c r="I77">
        <v>36000</v>
      </c>
      <c r="J77" s="1">
        <f t="shared" si="3"/>
        <v>43542</v>
      </c>
      <c r="K77">
        <f t="shared" si="2"/>
        <v>28</v>
      </c>
    </row>
    <row r="78" spans="1:11" x14ac:dyDescent="0.25">
      <c r="A78">
        <v>18</v>
      </c>
      <c r="B78" t="s">
        <v>12</v>
      </c>
      <c r="C78">
        <v>2019</v>
      </c>
      <c r="D78">
        <v>151</v>
      </c>
      <c r="E78">
        <v>105</v>
      </c>
      <c r="F78">
        <v>228</v>
      </c>
      <c r="G78" s="1">
        <f>DATE(C78, CHOOSE(MATCH(UPPER(B78), {"ENERO","FEBRERO","MARZO","ABRIL","MAYO","JUNIO","JULIO","AGOSTO","SEPTIEMBRE","OCTUBRE","NOVIEMBRE","DICIEMBRE"}, 0), 1,2,3,4,5,6,7,8,9,10,11,12), A78)</f>
        <v>43542</v>
      </c>
      <c r="H78">
        <v>28</v>
      </c>
      <c r="I78">
        <v>36000</v>
      </c>
      <c r="J78" s="1">
        <f t="shared" si="3"/>
        <v>43543</v>
      </c>
      <c r="K78">
        <f t="shared" si="2"/>
        <v>36</v>
      </c>
    </row>
    <row r="79" spans="1:11" x14ac:dyDescent="0.25">
      <c r="A79">
        <v>19</v>
      </c>
      <c r="B79" t="s">
        <v>12</v>
      </c>
      <c r="C79">
        <v>2019</v>
      </c>
      <c r="D79">
        <v>228</v>
      </c>
      <c r="E79">
        <v>-47</v>
      </c>
      <c r="F79">
        <v>145</v>
      </c>
      <c r="G79" s="1">
        <f>DATE(C79, CHOOSE(MATCH(UPPER(B79), {"ENERO","FEBRERO","MARZO","ABRIL","MAYO","JUNIO","JULIO","AGOSTO","SEPTIEMBRE","OCTUBRE","NOVIEMBRE","DICIEMBRE"}, 0), 1,2,3,4,5,6,7,8,9,10,11,12), A79)</f>
        <v>43543</v>
      </c>
      <c r="H79">
        <v>36</v>
      </c>
      <c r="I79">
        <v>36000</v>
      </c>
      <c r="J79" s="1">
        <f t="shared" si="3"/>
        <v>43544</v>
      </c>
      <c r="K79">
        <f t="shared" si="2"/>
        <v>40</v>
      </c>
    </row>
    <row r="80" spans="1:11" x14ac:dyDescent="0.25">
      <c r="A80">
        <v>21</v>
      </c>
      <c r="B80" t="s">
        <v>12</v>
      </c>
      <c r="C80">
        <v>2019</v>
      </c>
      <c r="D80">
        <v>105</v>
      </c>
      <c r="E80">
        <v>107</v>
      </c>
      <c r="F80">
        <v>168.75</v>
      </c>
      <c r="G80" s="1">
        <f>DATE(C80, CHOOSE(MATCH(UPPER(B80), {"ENERO","FEBRERO","MARZO","ABRIL","MAYO","JUNIO","JULIO","AGOSTO","SEPTIEMBRE","OCTUBRE","NOVIEMBRE","DICIEMBRE"}, 0), 1,2,3,4,5,6,7,8,9,10,11,12), A80)</f>
        <v>43545</v>
      </c>
      <c r="H80">
        <v>43.25</v>
      </c>
      <c r="I80">
        <v>36000</v>
      </c>
      <c r="J80" s="1">
        <f t="shared" si="3"/>
        <v>43545</v>
      </c>
      <c r="K80">
        <f t="shared" si="2"/>
        <v>43.25</v>
      </c>
    </row>
    <row r="81" spans="1:11" x14ac:dyDescent="0.25">
      <c r="A81">
        <v>20</v>
      </c>
      <c r="B81" t="s">
        <v>12</v>
      </c>
      <c r="C81">
        <v>2019</v>
      </c>
      <c r="D81">
        <v>145</v>
      </c>
      <c r="E81" t="s">
        <v>9</v>
      </c>
      <c r="F81">
        <v>105</v>
      </c>
      <c r="G81" s="1">
        <f>DATE(C81, CHOOSE(MATCH(UPPER(B81), {"ENERO","FEBRERO","MARZO","ABRIL","MAYO","JUNIO","JULIO","AGOSTO","SEPTIEMBRE","OCTUBRE","NOVIEMBRE","DICIEMBRE"}, 0), 1,2,3,4,5,6,7,8,9,10,11,12), A81)</f>
        <v>43544</v>
      </c>
      <c r="H81">
        <v>40</v>
      </c>
      <c r="I81">
        <v>36000</v>
      </c>
      <c r="J81" s="1">
        <f t="shared" si="3"/>
        <v>43546</v>
      </c>
      <c r="K81">
        <f t="shared" si="2"/>
        <v>56.75</v>
      </c>
    </row>
    <row r="82" spans="1:11" x14ac:dyDescent="0.25">
      <c r="A82">
        <v>22</v>
      </c>
      <c r="B82" t="s">
        <v>12</v>
      </c>
      <c r="C82">
        <v>2019</v>
      </c>
      <c r="D82">
        <v>168.75</v>
      </c>
      <c r="E82" t="s">
        <v>9</v>
      </c>
      <c r="F82">
        <v>112</v>
      </c>
      <c r="G82" s="1">
        <f>DATE(C82, CHOOSE(MATCH(UPPER(B82), {"ENERO","FEBRERO","MARZO","ABRIL","MAYO","JUNIO","JULIO","AGOSTO","SEPTIEMBRE","OCTUBRE","NOVIEMBRE","DICIEMBRE"}, 0), 1,2,3,4,5,6,7,8,9,10,11,12), A82)</f>
        <v>43546</v>
      </c>
      <c r="H82">
        <v>56.75</v>
      </c>
      <c r="I82">
        <v>36000</v>
      </c>
      <c r="J82" s="1">
        <f t="shared" si="3"/>
        <v>43547</v>
      </c>
      <c r="K82">
        <f t="shared" si="2"/>
        <v>76</v>
      </c>
    </row>
    <row r="83" spans="1:11" x14ac:dyDescent="0.25">
      <c r="A83">
        <v>23</v>
      </c>
      <c r="B83" t="s">
        <v>12</v>
      </c>
      <c r="C83">
        <v>2019</v>
      </c>
      <c r="D83">
        <v>112</v>
      </c>
      <c r="E83">
        <v>106</v>
      </c>
      <c r="F83">
        <v>142</v>
      </c>
      <c r="G83" s="1">
        <f>DATE(C83, CHOOSE(MATCH(UPPER(B83), {"ENERO","FEBRERO","MARZO","ABRIL","MAYO","JUNIO","JULIO","AGOSTO","SEPTIEMBRE","OCTUBRE","NOVIEMBRE","DICIEMBRE"}, 0), 1,2,3,4,5,6,7,8,9,10,11,12), A83)</f>
        <v>43547</v>
      </c>
      <c r="H83">
        <v>76</v>
      </c>
      <c r="I83">
        <v>36000</v>
      </c>
      <c r="J83" s="1">
        <f t="shared" si="3"/>
        <v>43548</v>
      </c>
      <c r="K83">
        <f t="shared" si="2"/>
        <v>86</v>
      </c>
    </row>
    <row r="84" spans="1:11" x14ac:dyDescent="0.25">
      <c r="A84">
        <v>24</v>
      </c>
      <c r="B84" t="s">
        <v>12</v>
      </c>
      <c r="C84">
        <v>2019</v>
      </c>
      <c r="D84">
        <v>142</v>
      </c>
      <c r="E84">
        <v>7</v>
      </c>
      <c r="F84">
        <v>63</v>
      </c>
      <c r="G84" s="1">
        <f>DATE(C84, CHOOSE(MATCH(UPPER(B84), {"ENERO","FEBRERO","MARZO","ABRIL","MAYO","JUNIO","JULIO","AGOSTO","SEPTIEMBRE","OCTUBRE","NOVIEMBRE","DICIEMBRE"}, 0), 1,2,3,4,5,6,7,8,9,10,11,12), A84)</f>
        <v>43548</v>
      </c>
      <c r="H84">
        <v>86</v>
      </c>
      <c r="I84">
        <v>36000</v>
      </c>
      <c r="J84" s="1">
        <f t="shared" si="3"/>
        <v>43549</v>
      </c>
      <c r="K84">
        <f t="shared" si="2"/>
        <v>75.5</v>
      </c>
    </row>
    <row r="85" spans="1:11" x14ac:dyDescent="0.25">
      <c r="A85">
        <v>25</v>
      </c>
      <c r="B85" t="s">
        <v>12</v>
      </c>
      <c r="C85">
        <v>2019</v>
      </c>
      <c r="D85">
        <v>63</v>
      </c>
      <c r="E85">
        <v>108</v>
      </c>
      <c r="F85">
        <v>95.5</v>
      </c>
      <c r="G85" s="1">
        <f>DATE(C85, CHOOSE(MATCH(UPPER(B85), {"ENERO","FEBRERO","MARZO","ABRIL","MAYO","JUNIO","JULIO","AGOSTO","SEPTIEMBRE","OCTUBRE","NOVIEMBRE","DICIEMBRE"}, 0), 1,2,3,4,5,6,7,8,9,10,11,12), A85)</f>
        <v>43549</v>
      </c>
      <c r="H85">
        <v>75.5</v>
      </c>
      <c r="I85">
        <v>36000</v>
      </c>
      <c r="J85" s="1">
        <f t="shared" si="3"/>
        <v>43550</v>
      </c>
      <c r="K85">
        <f t="shared" si="2"/>
        <v>37</v>
      </c>
    </row>
    <row r="86" spans="1:11" x14ac:dyDescent="0.25">
      <c r="A86">
        <v>26</v>
      </c>
      <c r="B86" t="s">
        <v>12</v>
      </c>
      <c r="C86">
        <v>2019</v>
      </c>
      <c r="D86">
        <v>95.5</v>
      </c>
      <c r="E86">
        <v>-30</v>
      </c>
      <c r="F86">
        <v>28.5</v>
      </c>
      <c r="G86" s="1">
        <f>DATE(C86, CHOOSE(MATCH(UPPER(B86), {"ENERO","FEBRERO","MARZO","ABRIL","MAYO","JUNIO","JULIO","AGOSTO","SEPTIEMBRE","OCTUBRE","NOVIEMBRE","DICIEMBRE"}, 0), 1,2,3,4,5,6,7,8,9,10,11,12), A86)</f>
        <v>43550</v>
      </c>
      <c r="H86">
        <v>37</v>
      </c>
      <c r="I86">
        <v>36000</v>
      </c>
      <c r="J86" s="1">
        <f t="shared" si="3"/>
        <v>43551</v>
      </c>
      <c r="K86">
        <f t="shared" si="2"/>
        <v>39</v>
      </c>
    </row>
    <row r="87" spans="1:11" x14ac:dyDescent="0.25">
      <c r="A87">
        <v>27</v>
      </c>
      <c r="B87" t="s">
        <v>12</v>
      </c>
      <c r="C87">
        <v>2019</v>
      </c>
      <c r="D87">
        <v>28.5</v>
      </c>
      <c r="E87">
        <v>75</v>
      </c>
      <c r="F87">
        <v>64.5</v>
      </c>
      <c r="G87" s="1">
        <f>DATE(C87, CHOOSE(MATCH(UPPER(B87), {"ENERO","FEBRERO","MARZO","ABRIL","MAYO","JUNIO","JULIO","AGOSTO","SEPTIEMBRE","OCTUBRE","NOVIEMBRE","DICIEMBRE"}, 0), 1,2,3,4,5,6,7,8,9,10,11,12), A87)</f>
        <v>43551</v>
      </c>
      <c r="H87">
        <v>39</v>
      </c>
      <c r="I87">
        <v>36000</v>
      </c>
      <c r="J87" s="1">
        <f t="shared" si="3"/>
        <v>43552</v>
      </c>
      <c r="K87">
        <f t="shared" si="2"/>
        <v>41</v>
      </c>
    </row>
    <row r="88" spans="1:11" x14ac:dyDescent="0.25">
      <c r="A88">
        <v>28</v>
      </c>
      <c r="B88" t="s">
        <v>12</v>
      </c>
      <c r="C88">
        <v>2019</v>
      </c>
      <c r="D88">
        <v>64.5</v>
      </c>
      <c r="E88">
        <v>110</v>
      </c>
      <c r="F88">
        <v>133.5</v>
      </c>
      <c r="G88" s="1">
        <f>DATE(C88, CHOOSE(MATCH(UPPER(B88), {"ENERO","FEBRERO","MARZO","ABRIL","MAYO","JUNIO","JULIO","AGOSTO","SEPTIEMBRE","OCTUBRE","NOVIEMBRE","DICIEMBRE"}, 0), 1,2,3,4,5,6,7,8,9,10,11,12), A88)</f>
        <v>43552</v>
      </c>
      <c r="H88">
        <v>41</v>
      </c>
      <c r="I88">
        <v>36000</v>
      </c>
      <c r="J88" s="1">
        <f t="shared" si="3"/>
        <v>43553</v>
      </c>
      <c r="K88">
        <f t="shared" si="2"/>
        <v>61.5</v>
      </c>
    </row>
    <row r="89" spans="1:11" x14ac:dyDescent="0.25">
      <c r="A89">
        <v>29</v>
      </c>
      <c r="B89" t="s">
        <v>12</v>
      </c>
      <c r="C89">
        <v>2019</v>
      </c>
      <c r="D89">
        <v>133.5</v>
      </c>
      <c r="E89" t="s">
        <v>9</v>
      </c>
      <c r="F89">
        <v>72</v>
      </c>
      <c r="G89" s="1">
        <f>DATE(C89, CHOOSE(MATCH(UPPER(B89), {"ENERO","FEBRERO","MARZO","ABRIL","MAYO","JUNIO","JULIO","AGOSTO","SEPTIEMBRE","OCTUBRE","NOVIEMBRE","DICIEMBRE"}, 0), 1,2,3,4,5,6,7,8,9,10,11,12), A89)</f>
        <v>43553</v>
      </c>
      <c r="H89">
        <v>61.5</v>
      </c>
      <c r="I89">
        <v>36000</v>
      </c>
      <c r="J89" s="1">
        <f t="shared" si="3"/>
        <v>43554</v>
      </c>
      <c r="K89">
        <f t="shared" si="2"/>
        <v>84</v>
      </c>
    </row>
    <row r="90" spans="1:11" x14ac:dyDescent="0.25">
      <c r="A90">
        <v>30</v>
      </c>
      <c r="B90" t="s">
        <v>12</v>
      </c>
      <c r="C90">
        <v>2019</v>
      </c>
      <c r="D90">
        <v>72</v>
      </c>
      <c r="E90">
        <v>34</v>
      </c>
      <c r="F90">
        <v>22</v>
      </c>
      <c r="G90" s="1">
        <f>DATE(C90, CHOOSE(MATCH(UPPER(B90), {"ENERO","FEBRERO","MARZO","ABRIL","MAYO","JUNIO","JULIO","AGOSTO","SEPTIEMBRE","OCTUBRE","NOVIEMBRE","DICIEMBRE"}, 0), 1,2,3,4,5,6,7,8,9,10,11,12), A90)</f>
        <v>43554</v>
      </c>
      <c r="H90">
        <v>84</v>
      </c>
      <c r="I90">
        <v>36000</v>
      </c>
      <c r="J90" s="1">
        <f t="shared" si="3"/>
        <v>43555</v>
      </c>
      <c r="K90">
        <f t="shared" si="2"/>
        <v>91.5</v>
      </c>
    </row>
    <row r="91" spans="1:11" x14ac:dyDescent="0.25">
      <c r="A91">
        <v>31</v>
      </c>
      <c r="B91" t="s">
        <v>12</v>
      </c>
      <c r="C91">
        <v>2019</v>
      </c>
      <c r="D91">
        <v>22</v>
      </c>
      <c r="E91">
        <v>130</v>
      </c>
      <c r="F91">
        <v>60.5</v>
      </c>
      <c r="G91" s="1">
        <f>DATE(C91, CHOOSE(MATCH(UPPER(B91), {"ENERO","FEBRERO","MARZO","ABRIL","MAYO","JUNIO","JULIO","AGOSTO","SEPTIEMBRE","OCTUBRE","NOVIEMBRE","DICIEMBRE"}, 0), 1,2,3,4,5,6,7,8,9,10,11,12), A91)</f>
        <v>43555</v>
      </c>
      <c r="H91">
        <v>91.5</v>
      </c>
      <c r="I91">
        <v>36000</v>
      </c>
      <c r="J91" s="1">
        <f t="shared" si="3"/>
        <v>43556</v>
      </c>
      <c r="K91">
        <f t="shared" si="2"/>
        <v>29.25</v>
      </c>
    </row>
    <row r="92" spans="1:11" x14ac:dyDescent="0.25">
      <c r="A92">
        <v>1</v>
      </c>
      <c r="B92" t="s">
        <v>13</v>
      </c>
      <c r="C92">
        <v>2019</v>
      </c>
      <c r="D92">
        <v>60.5</v>
      </c>
      <c r="E92">
        <v>181</v>
      </c>
      <c r="F92">
        <v>212.25</v>
      </c>
      <c r="G92" s="1">
        <f>DATE(C92, CHOOSE(MATCH(UPPER(B92), {"ENERO","FEBRERO","MARZO","ABRIL","MAYO","JUNIO","JULIO","AGOSTO","SEPTIEMBRE","OCTUBRE","NOVIEMBRE","DICIEMBRE"}, 0), 1,2,3,4,5,6,7,8,9,10,11,12), A92)</f>
        <v>43556</v>
      </c>
      <c r="H92">
        <v>29.25</v>
      </c>
      <c r="I92">
        <v>36000</v>
      </c>
      <c r="J92" s="1">
        <f t="shared" si="3"/>
        <v>43557</v>
      </c>
      <c r="K92">
        <f t="shared" si="2"/>
        <v>41.75</v>
      </c>
    </row>
    <row r="93" spans="1:11" x14ac:dyDescent="0.25">
      <c r="A93">
        <v>2</v>
      </c>
      <c r="B93" t="s">
        <v>13</v>
      </c>
      <c r="C93">
        <v>2019</v>
      </c>
      <c r="D93">
        <v>212.25</v>
      </c>
      <c r="E93">
        <v>-40</v>
      </c>
      <c r="F93">
        <v>130.5</v>
      </c>
      <c r="G93" s="1">
        <f>DATE(C93, CHOOSE(MATCH(UPPER(B93), {"ENERO","FEBRERO","MARZO","ABRIL","MAYO","JUNIO","JULIO","AGOSTO","SEPTIEMBRE","OCTUBRE","NOVIEMBRE","DICIEMBRE"}, 0), 1,2,3,4,5,6,7,8,9,10,11,12), A93)</f>
        <v>43557</v>
      </c>
      <c r="H93">
        <v>41.75</v>
      </c>
      <c r="I93">
        <v>36000</v>
      </c>
      <c r="J93" s="1">
        <f t="shared" si="3"/>
        <v>43558</v>
      </c>
      <c r="K93">
        <f t="shared" si="2"/>
        <v>49</v>
      </c>
    </row>
    <row r="94" spans="1:11" x14ac:dyDescent="0.25">
      <c r="A94">
        <v>3</v>
      </c>
      <c r="B94" t="s">
        <v>13</v>
      </c>
      <c r="C94">
        <v>2019</v>
      </c>
      <c r="D94">
        <v>130.5</v>
      </c>
      <c r="E94" t="s">
        <v>9</v>
      </c>
      <c r="F94">
        <v>81.5</v>
      </c>
      <c r="G94" s="1">
        <f>DATE(C94, CHOOSE(MATCH(UPPER(B94), {"ENERO","FEBRERO","MARZO","ABRIL","MAYO","JUNIO","JULIO","AGOSTO","SEPTIEMBRE","OCTUBRE","NOVIEMBRE","DICIEMBRE"}, 0), 1,2,3,4,5,6,7,8,9,10,11,12), A94)</f>
        <v>43558</v>
      </c>
      <c r="H94">
        <v>49</v>
      </c>
      <c r="I94">
        <v>36000</v>
      </c>
      <c r="J94" s="1">
        <f t="shared" si="3"/>
        <v>43559</v>
      </c>
      <c r="K94">
        <f t="shared" si="2"/>
        <v>56.5</v>
      </c>
    </row>
    <row r="95" spans="1:11" x14ac:dyDescent="0.25">
      <c r="A95">
        <v>4</v>
      </c>
      <c r="B95" t="s">
        <v>13</v>
      </c>
      <c r="C95">
        <v>2019</v>
      </c>
      <c r="D95">
        <v>81.5</v>
      </c>
      <c r="E95">
        <v>12</v>
      </c>
      <c r="F95">
        <v>37</v>
      </c>
      <c r="G95" s="1">
        <f>DATE(C95, CHOOSE(MATCH(UPPER(B95), {"ENERO","FEBRERO","MARZO","ABRIL","MAYO","JUNIO","JULIO","AGOSTO","SEPTIEMBRE","OCTUBRE","NOVIEMBRE","DICIEMBRE"}, 0), 1,2,3,4,5,6,7,8,9,10,11,12), A95)</f>
        <v>43559</v>
      </c>
      <c r="H95">
        <v>56.5</v>
      </c>
      <c r="I95">
        <v>36000</v>
      </c>
      <c r="J95" s="1">
        <f t="shared" si="3"/>
        <v>43560</v>
      </c>
      <c r="K95">
        <f t="shared" si="2"/>
        <v>67</v>
      </c>
    </row>
    <row r="96" spans="1:11" x14ac:dyDescent="0.25">
      <c r="A96">
        <v>5</v>
      </c>
      <c r="B96" t="s">
        <v>13</v>
      </c>
      <c r="C96">
        <v>2019</v>
      </c>
      <c r="D96">
        <v>37</v>
      </c>
      <c r="E96">
        <v>72</v>
      </c>
      <c r="F96">
        <v>42</v>
      </c>
      <c r="G96" s="1">
        <f>DATE(C96, CHOOSE(MATCH(UPPER(B96), {"ENERO","FEBRERO","MARZO","ABRIL","MAYO","JUNIO","JULIO","AGOSTO","SEPTIEMBRE","OCTUBRE","NOVIEMBRE","DICIEMBRE"}, 0), 1,2,3,4,5,6,7,8,9,10,11,12), A96)</f>
        <v>43560</v>
      </c>
      <c r="H96">
        <v>67</v>
      </c>
      <c r="I96">
        <v>36000</v>
      </c>
      <c r="J96" s="1">
        <f t="shared" si="3"/>
        <v>43561</v>
      </c>
      <c r="K96">
        <f t="shared" si="2"/>
        <v>81</v>
      </c>
    </row>
    <row r="97" spans="1:11" x14ac:dyDescent="0.25">
      <c r="A97">
        <v>6</v>
      </c>
      <c r="B97" t="s">
        <v>13</v>
      </c>
      <c r="C97">
        <v>2019</v>
      </c>
      <c r="D97">
        <v>42</v>
      </c>
      <c r="E97">
        <v>171</v>
      </c>
      <c r="F97">
        <v>132</v>
      </c>
      <c r="G97" s="1">
        <f>DATE(C97, CHOOSE(MATCH(UPPER(B97), {"ENERO","FEBRERO","MARZO","ABRIL","MAYO","JUNIO","JULIO","AGOSTO","SEPTIEMBRE","OCTUBRE","NOVIEMBRE","DICIEMBRE"}, 0), 1,2,3,4,5,6,7,8,9,10,11,12), A97)</f>
        <v>43561</v>
      </c>
      <c r="H97">
        <v>81</v>
      </c>
      <c r="I97">
        <v>36000</v>
      </c>
      <c r="J97" s="1">
        <f t="shared" si="3"/>
        <v>43562</v>
      </c>
      <c r="K97">
        <f t="shared" si="2"/>
        <v>75</v>
      </c>
    </row>
    <row r="98" spans="1:11" x14ac:dyDescent="0.25">
      <c r="A98">
        <v>7</v>
      </c>
      <c r="B98" t="s">
        <v>13</v>
      </c>
      <c r="C98">
        <v>2019</v>
      </c>
      <c r="D98">
        <v>132</v>
      </c>
      <c r="E98">
        <v>17</v>
      </c>
      <c r="F98">
        <v>74</v>
      </c>
      <c r="G98" s="1">
        <f>DATE(C98, CHOOSE(MATCH(UPPER(B98), {"ENERO","FEBRERO","MARZO","ABRIL","MAYO","JUNIO","JULIO","AGOSTO","SEPTIEMBRE","OCTUBRE","NOVIEMBRE","DICIEMBRE"}, 0), 1,2,3,4,5,6,7,8,9,10,11,12), A98)</f>
        <v>43562</v>
      </c>
      <c r="H98">
        <v>75</v>
      </c>
      <c r="I98">
        <v>36000</v>
      </c>
      <c r="J98" s="1">
        <f t="shared" si="3"/>
        <v>43563</v>
      </c>
      <c r="K98">
        <f t="shared" si="2"/>
        <v>33.25</v>
      </c>
    </row>
    <row r="99" spans="1:11" x14ac:dyDescent="0.25">
      <c r="A99">
        <v>8</v>
      </c>
      <c r="B99" t="s">
        <v>13</v>
      </c>
      <c r="C99">
        <v>2019</v>
      </c>
      <c r="D99">
        <v>74</v>
      </c>
      <c r="E99">
        <v>65</v>
      </c>
      <c r="F99">
        <v>105.75</v>
      </c>
      <c r="G99" s="1">
        <f>DATE(C99, CHOOSE(MATCH(UPPER(B99), {"ENERO","FEBRERO","MARZO","ABRIL","MAYO","JUNIO","JULIO","AGOSTO","SEPTIEMBRE","OCTUBRE","NOVIEMBRE","DICIEMBRE"}, 0), 1,2,3,4,5,6,7,8,9,10,11,12), A99)</f>
        <v>43563</v>
      </c>
      <c r="H99">
        <v>33.25</v>
      </c>
      <c r="I99">
        <v>36000</v>
      </c>
      <c r="J99" s="1">
        <f t="shared" si="3"/>
        <v>43564</v>
      </c>
      <c r="K99">
        <f t="shared" si="2"/>
        <v>41.5</v>
      </c>
    </row>
    <row r="100" spans="1:11" x14ac:dyDescent="0.25">
      <c r="A100">
        <v>9</v>
      </c>
      <c r="B100" t="s">
        <v>13</v>
      </c>
      <c r="C100">
        <v>2019</v>
      </c>
      <c r="D100">
        <v>105.75</v>
      </c>
      <c r="E100">
        <v>54</v>
      </c>
      <c r="F100">
        <v>118.25</v>
      </c>
      <c r="G100" s="1">
        <f>DATE(C100, CHOOSE(MATCH(UPPER(B100), {"ENERO","FEBRERO","MARZO","ABRIL","MAYO","JUNIO","JULIO","AGOSTO","SEPTIEMBRE","OCTUBRE","NOVIEMBRE","DICIEMBRE"}, 0), 1,2,3,4,5,6,7,8,9,10,11,12), A100)</f>
        <v>43564</v>
      </c>
      <c r="H100">
        <v>41.5</v>
      </c>
      <c r="I100">
        <v>36000</v>
      </c>
      <c r="J100" s="1">
        <f t="shared" si="3"/>
        <v>43565</v>
      </c>
      <c r="K100">
        <f t="shared" si="2"/>
        <v>39.25</v>
      </c>
    </row>
    <row r="101" spans="1:11" x14ac:dyDescent="0.25">
      <c r="A101">
        <v>10</v>
      </c>
      <c r="B101" t="s">
        <v>13</v>
      </c>
      <c r="C101">
        <v>2019</v>
      </c>
      <c r="D101">
        <v>118.25</v>
      </c>
      <c r="E101">
        <v>217</v>
      </c>
      <c r="F101">
        <v>296</v>
      </c>
      <c r="G101" s="1">
        <f>DATE(C101, CHOOSE(MATCH(UPPER(B101), {"ENERO","FEBRERO","MARZO","ABRIL","MAYO","JUNIO","JULIO","AGOSTO","SEPTIEMBRE","OCTUBRE","NOVIEMBRE","DICIEMBRE"}, 0), 1,2,3,4,5,6,7,8,9,10,11,12), A101)</f>
        <v>43565</v>
      </c>
      <c r="H101">
        <v>39.25</v>
      </c>
      <c r="I101">
        <v>36000</v>
      </c>
      <c r="J101" s="1">
        <f t="shared" si="3"/>
        <v>43566</v>
      </c>
      <c r="K101">
        <f t="shared" si="2"/>
        <v>44</v>
      </c>
    </row>
    <row r="102" spans="1:11" x14ac:dyDescent="0.25">
      <c r="A102">
        <v>11</v>
      </c>
      <c r="B102" t="s">
        <v>13</v>
      </c>
      <c r="C102">
        <v>2019</v>
      </c>
      <c r="D102">
        <v>296</v>
      </c>
      <c r="E102">
        <v>-75</v>
      </c>
      <c r="F102">
        <v>177</v>
      </c>
      <c r="G102" s="1">
        <f>DATE(C102, CHOOSE(MATCH(UPPER(B102), {"ENERO","FEBRERO","MARZO","ABRIL","MAYO","JUNIO","JULIO","AGOSTO","SEPTIEMBRE","OCTUBRE","NOVIEMBRE","DICIEMBRE"}, 0), 1,2,3,4,5,6,7,8,9,10,11,12), A102)</f>
        <v>43566</v>
      </c>
      <c r="H102">
        <v>44</v>
      </c>
      <c r="I102">
        <v>36000</v>
      </c>
      <c r="J102" s="1">
        <f t="shared" si="3"/>
        <v>43567</v>
      </c>
      <c r="K102">
        <f t="shared" si="2"/>
        <v>53</v>
      </c>
    </row>
    <row r="103" spans="1:11" x14ac:dyDescent="0.25">
      <c r="A103">
        <v>12</v>
      </c>
      <c r="B103" t="s">
        <v>13</v>
      </c>
      <c r="C103">
        <v>2019</v>
      </c>
      <c r="D103">
        <v>177</v>
      </c>
      <c r="E103">
        <v>60</v>
      </c>
      <c r="F103">
        <v>184</v>
      </c>
      <c r="G103" s="1">
        <f>DATE(C103, CHOOSE(MATCH(UPPER(B103), {"ENERO","FEBRERO","MARZO","ABRIL","MAYO","JUNIO","JULIO","AGOSTO","SEPTIEMBRE","OCTUBRE","NOVIEMBRE","DICIEMBRE"}, 0), 1,2,3,4,5,6,7,8,9,10,11,12), A103)</f>
        <v>43567</v>
      </c>
      <c r="H103">
        <v>53</v>
      </c>
      <c r="I103">
        <v>36000</v>
      </c>
      <c r="J103" s="1">
        <f t="shared" si="3"/>
        <v>43568</v>
      </c>
      <c r="K103">
        <f t="shared" si="2"/>
        <v>90.25</v>
      </c>
    </row>
    <row r="104" spans="1:11" x14ac:dyDescent="0.25">
      <c r="A104">
        <v>13</v>
      </c>
      <c r="B104" t="s">
        <v>13</v>
      </c>
      <c r="C104">
        <v>2019</v>
      </c>
      <c r="D104">
        <v>184</v>
      </c>
      <c r="E104">
        <v>40</v>
      </c>
      <c r="F104">
        <v>133.75</v>
      </c>
      <c r="G104" s="1">
        <f>DATE(C104, CHOOSE(MATCH(UPPER(B104), {"ENERO","FEBRERO","MARZO","ABRIL","MAYO","JUNIO","JULIO","AGOSTO","SEPTIEMBRE","OCTUBRE","NOVIEMBRE","DICIEMBRE"}, 0), 1,2,3,4,5,6,7,8,9,10,11,12), A104)</f>
        <v>43568</v>
      </c>
      <c r="H104">
        <v>90.25</v>
      </c>
      <c r="I104">
        <v>36000</v>
      </c>
      <c r="J104" s="1">
        <f t="shared" si="3"/>
        <v>43569</v>
      </c>
      <c r="K104">
        <f t="shared" si="2"/>
        <v>63.75</v>
      </c>
    </row>
    <row r="105" spans="1:11" x14ac:dyDescent="0.25">
      <c r="A105">
        <v>14</v>
      </c>
      <c r="B105" t="s">
        <v>13</v>
      </c>
      <c r="C105">
        <v>2019</v>
      </c>
      <c r="D105">
        <v>133.75</v>
      </c>
      <c r="E105" t="s">
        <v>9</v>
      </c>
      <c r="F105">
        <v>70</v>
      </c>
      <c r="G105" s="1">
        <f>DATE(C105, CHOOSE(MATCH(UPPER(B105), {"ENERO","FEBRERO","MARZO","ABRIL","MAYO","JUNIO","JULIO","AGOSTO","SEPTIEMBRE","OCTUBRE","NOVIEMBRE","DICIEMBRE"}, 0), 1,2,3,4,5,6,7,8,9,10,11,12), A105)</f>
        <v>43569</v>
      </c>
      <c r="H105">
        <v>63.75</v>
      </c>
      <c r="I105">
        <v>36000</v>
      </c>
      <c r="J105" s="1">
        <f t="shared" si="3"/>
        <v>43570</v>
      </c>
      <c r="K105">
        <f t="shared" si="2"/>
        <v>55.25</v>
      </c>
    </row>
    <row r="106" spans="1:11" x14ac:dyDescent="0.25">
      <c r="A106">
        <v>15</v>
      </c>
      <c r="B106" t="s">
        <v>13</v>
      </c>
      <c r="C106">
        <v>2019</v>
      </c>
      <c r="D106">
        <v>70</v>
      </c>
      <c r="E106">
        <v>176</v>
      </c>
      <c r="F106">
        <v>190.75</v>
      </c>
      <c r="G106" s="1">
        <f>DATE(C106, CHOOSE(MATCH(UPPER(B106), {"ENERO","FEBRERO","MARZO","ABRIL","MAYO","JUNIO","JULIO","AGOSTO","SEPTIEMBRE","OCTUBRE","NOVIEMBRE","DICIEMBRE"}, 0), 1,2,3,4,5,6,7,8,9,10,11,12), A106)</f>
        <v>43570</v>
      </c>
      <c r="H106">
        <v>55.25</v>
      </c>
      <c r="I106">
        <v>36000</v>
      </c>
      <c r="J106" s="1">
        <f t="shared" si="3"/>
        <v>43571</v>
      </c>
      <c r="K106">
        <f t="shared" si="2"/>
        <v>69.25</v>
      </c>
    </row>
    <row r="107" spans="1:11" x14ac:dyDescent="0.25">
      <c r="A107">
        <v>16</v>
      </c>
      <c r="B107" t="s">
        <v>13</v>
      </c>
      <c r="C107">
        <v>2019</v>
      </c>
      <c r="D107">
        <v>190.75</v>
      </c>
      <c r="E107">
        <v>100</v>
      </c>
      <c r="F107">
        <v>221.5</v>
      </c>
      <c r="G107" s="1">
        <f>DATE(C107, CHOOSE(MATCH(UPPER(B107), {"ENERO","FEBRERO","MARZO","ABRIL","MAYO","JUNIO","JULIO","AGOSTO","SEPTIEMBRE","OCTUBRE","NOVIEMBRE","DICIEMBRE"}, 0), 1,2,3,4,5,6,7,8,9,10,11,12), A107)</f>
        <v>43571</v>
      </c>
      <c r="H107">
        <v>69.25</v>
      </c>
      <c r="I107">
        <v>36000</v>
      </c>
      <c r="J107" s="1">
        <f t="shared" si="3"/>
        <v>43572</v>
      </c>
      <c r="K107">
        <f t="shared" si="2"/>
        <v>71</v>
      </c>
    </row>
    <row r="108" spans="1:11" x14ac:dyDescent="0.25">
      <c r="A108">
        <v>17</v>
      </c>
      <c r="B108" t="s">
        <v>13</v>
      </c>
      <c r="C108">
        <v>2019</v>
      </c>
      <c r="D108">
        <v>221.5</v>
      </c>
      <c r="E108">
        <v>50</v>
      </c>
      <c r="F108">
        <v>200.5</v>
      </c>
      <c r="G108" s="1">
        <f>DATE(C108, CHOOSE(MATCH(UPPER(B108), {"ENERO","FEBRERO","MARZO","ABRIL","MAYO","JUNIO","JULIO","AGOSTO","SEPTIEMBRE","OCTUBRE","NOVIEMBRE","DICIEMBRE"}, 0), 1,2,3,4,5,6,7,8,9,10,11,12), A108)</f>
        <v>43572</v>
      </c>
      <c r="H108">
        <v>71</v>
      </c>
      <c r="I108">
        <v>36000</v>
      </c>
      <c r="J108" s="1">
        <f t="shared" si="3"/>
        <v>43573</v>
      </c>
      <c r="K108">
        <f t="shared" si="2"/>
        <v>74.5</v>
      </c>
    </row>
    <row r="109" spans="1:11" x14ac:dyDescent="0.25">
      <c r="A109">
        <v>18</v>
      </c>
      <c r="B109" t="s">
        <v>13</v>
      </c>
      <c r="C109">
        <v>2019</v>
      </c>
      <c r="D109">
        <v>200.5</v>
      </c>
      <c r="E109">
        <v>100</v>
      </c>
      <c r="F109">
        <v>226</v>
      </c>
      <c r="G109" s="1">
        <f>DATE(C109, CHOOSE(MATCH(UPPER(B109), {"ENERO","FEBRERO","MARZO","ABRIL","MAYO","JUNIO","JULIO","AGOSTO","SEPTIEMBRE","OCTUBRE","NOVIEMBRE","DICIEMBRE"}, 0), 1,2,3,4,5,6,7,8,9,10,11,12), A109)</f>
        <v>43573</v>
      </c>
      <c r="H109">
        <v>74.5</v>
      </c>
      <c r="I109">
        <v>36000</v>
      </c>
      <c r="J109" s="1">
        <f t="shared" si="3"/>
        <v>43574</v>
      </c>
      <c r="K109">
        <f t="shared" si="2"/>
        <v>94</v>
      </c>
    </row>
    <row r="110" spans="1:11" x14ac:dyDescent="0.25">
      <c r="A110">
        <v>19</v>
      </c>
      <c r="B110" t="s">
        <v>13</v>
      </c>
      <c r="C110">
        <v>2019</v>
      </c>
      <c r="D110">
        <v>226</v>
      </c>
      <c r="E110" t="s">
        <v>9</v>
      </c>
      <c r="F110">
        <v>132</v>
      </c>
      <c r="G110" s="1">
        <f>DATE(C110, CHOOSE(MATCH(UPPER(B110), {"ENERO","FEBRERO","MARZO","ABRIL","MAYO","JUNIO","JULIO","AGOSTO","SEPTIEMBRE","OCTUBRE","NOVIEMBRE","DICIEMBRE"}, 0), 1,2,3,4,5,6,7,8,9,10,11,12), A110)</f>
        <v>43574</v>
      </c>
      <c r="H110">
        <v>94</v>
      </c>
      <c r="I110">
        <v>36000</v>
      </c>
      <c r="J110" s="1">
        <f t="shared" si="3"/>
        <v>43575</v>
      </c>
      <c r="K110">
        <f t="shared" si="2"/>
        <v>88.5</v>
      </c>
    </row>
    <row r="111" spans="1:11" x14ac:dyDescent="0.25">
      <c r="A111">
        <v>20</v>
      </c>
      <c r="B111" t="s">
        <v>13</v>
      </c>
      <c r="C111">
        <v>2019</v>
      </c>
      <c r="D111">
        <v>132</v>
      </c>
      <c r="E111">
        <v>43</v>
      </c>
      <c r="F111">
        <v>86.5</v>
      </c>
      <c r="G111" s="1">
        <f>DATE(C111, CHOOSE(MATCH(UPPER(B111), {"ENERO","FEBRERO","MARZO","ABRIL","MAYO","JUNIO","JULIO","AGOSTO","SEPTIEMBRE","OCTUBRE","NOVIEMBRE","DICIEMBRE"}, 0), 1,2,3,4,5,6,7,8,9,10,11,12), A111)</f>
        <v>43575</v>
      </c>
      <c r="H111">
        <v>88.5</v>
      </c>
      <c r="I111">
        <v>36000</v>
      </c>
      <c r="J111" s="1">
        <f t="shared" si="3"/>
        <v>43576</v>
      </c>
      <c r="K111">
        <f t="shared" si="2"/>
        <v>71.5</v>
      </c>
    </row>
    <row r="112" spans="1:11" x14ac:dyDescent="0.25">
      <c r="A112">
        <v>21</v>
      </c>
      <c r="B112" t="s">
        <v>13</v>
      </c>
      <c r="C112">
        <v>2019</v>
      </c>
      <c r="D112">
        <v>86.5</v>
      </c>
      <c r="E112" t="s">
        <v>9</v>
      </c>
      <c r="F112">
        <v>15</v>
      </c>
      <c r="G112" s="1">
        <f>DATE(C112, CHOOSE(MATCH(UPPER(B112), {"ENERO","FEBRERO","MARZO","ABRIL","MAYO","JUNIO","JULIO","AGOSTO","SEPTIEMBRE","OCTUBRE","NOVIEMBRE","DICIEMBRE"}, 0), 1,2,3,4,5,6,7,8,9,10,11,12), A112)</f>
        <v>43576</v>
      </c>
      <c r="H112">
        <v>71.5</v>
      </c>
      <c r="I112">
        <v>36000</v>
      </c>
      <c r="J112" s="1">
        <f t="shared" si="3"/>
        <v>43577</v>
      </c>
      <c r="K112">
        <f t="shared" si="2"/>
        <v>39.75</v>
      </c>
    </row>
    <row r="113" spans="1:11" x14ac:dyDescent="0.25">
      <c r="A113">
        <v>22</v>
      </c>
      <c r="B113" t="s">
        <v>13</v>
      </c>
      <c r="C113">
        <v>2019</v>
      </c>
      <c r="D113">
        <v>15</v>
      </c>
      <c r="E113">
        <v>46</v>
      </c>
      <c r="F113">
        <v>21.25</v>
      </c>
      <c r="G113" s="1">
        <f>DATE(C113, CHOOSE(MATCH(UPPER(B113), {"ENERO","FEBRERO","MARZO","ABRIL","MAYO","JUNIO","JULIO","AGOSTO","SEPTIEMBRE","OCTUBRE","NOVIEMBRE","DICIEMBRE"}, 0), 1,2,3,4,5,6,7,8,9,10,11,12), A113)</f>
        <v>43577</v>
      </c>
      <c r="H113">
        <v>39.75</v>
      </c>
      <c r="I113">
        <v>36000</v>
      </c>
      <c r="J113" s="1">
        <f t="shared" si="3"/>
        <v>43578</v>
      </c>
      <c r="K113">
        <f t="shared" si="2"/>
        <v>32.25</v>
      </c>
    </row>
    <row r="114" spans="1:11" x14ac:dyDescent="0.25">
      <c r="A114">
        <v>23</v>
      </c>
      <c r="B114" t="s">
        <v>13</v>
      </c>
      <c r="C114">
        <v>2019</v>
      </c>
      <c r="D114">
        <v>21.25</v>
      </c>
      <c r="E114">
        <v>141</v>
      </c>
      <c r="F114">
        <v>130</v>
      </c>
      <c r="G114" s="1">
        <f>DATE(C114, CHOOSE(MATCH(UPPER(B114), {"ENERO","FEBRERO","MARZO","ABRIL","MAYO","JUNIO","JULIO","AGOSTO","SEPTIEMBRE","OCTUBRE","NOVIEMBRE","DICIEMBRE"}, 0), 1,2,3,4,5,6,7,8,9,10,11,12), A114)</f>
        <v>43578</v>
      </c>
      <c r="H114">
        <v>32.25</v>
      </c>
      <c r="I114">
        <v>36000</v>
      </c>
      <c r="J114" s="1">
        <f t="shared" si="3"/>
        <v>43579</v>
      </c>
      <c r="K114">
        <f t="shared" si="2"/>
        <v>33.5</v>
      </c>
    </row>
    <row r="115" spans="1:11" x14ac:dyDescent="0.25">
      <c r="A115">
        <v>24</v>
      </c>
      <c r="B115" t="s">
        <v>13</v>
      </c>
      <c r="C115">
        <v>2019</v>
      </c>
      <c r="D115">
        <v>130</v>
      </c>
      <c r="E115">
        <v>35</v>
      </c>
      <c r="F115">
        <v>131.5</v>
      </c>
      <c r="G115" s="1">
        <f>DATE(C115, CHOOSE(MATCH(UPPER(B115), {"ENERO","FEBRERO","MARZO","ABRIL","MAYO","JUNIO","JULIO","AGOSTO","SEPTIEMBRE","OCTUBRE","NOVIEMBRE","DICIEMBRE"}, 0), 1,2,3,4,5,6,7,8,9,10,11,12), A115)</f>
        <v>43579</v>
      </c>
      <c r="H115">
        <v>33.5</v>
      </c>
      <c r="I115">
        <v>36000</v>
      </c>
      <c r="J115" s="1">
        <f t="shared" si="3"/>
        <v>43580</v>
      </c>
      <c r="K115">
        <f t="shared" si="2"/>
        <v>44.5</v>
      </c>
    </row>
    <row r="116" spans="1:11" x14ac:dyDescent="0.25">
      <c r="A116">
        <v>25</v>
      </c>
      <c r="B116" t="s">
        <v>13</v>
      </c>
      <c r="C116">
        <v>2019</v>
      </c>
      <c r="D116">
        <v>131.5</v>
      </c>
      <c r="E116">
        <v>-25</v>
      </c>
      <c r="F116">
        <v>62</v>
      </c>
      <c r="G116" s="1">
        <f>DATE(C116, CHOOSE(MATCH(UPPER(B116), {"ENERO","FEBRERO","MARZO","ABRIL","MAYO","JUNIO","JULIO","AGOSTO","SEPTIEMBRE","OCTUBRE","NOVIEMBRE","DICIEMBRE"}, 0), 1,2,3,4,5,6,7,8,9,10,11,12), A116)</f>
        <v>43580</v>
      </c>
      <c r="H116">
        <v>44.5</v>
      </c>
      <c r="I116">
        <v>36000</v>
      </c>
      <c r="J116" s="1">
        <f t="shared" si="3"/>
        <v>43581</v>
      </c>
      <c r="K116">
        <f t="shared" si="2"/>
        <v>63</v>
      </c>
    </row>
    <row r="117" spans="1:11" x14ac:dyDescent="0.25">
      <c r="A117">
        <v>26</v>
      </c>
      <c r="B117" t="s">
        <v>13</v>
      </c>
      <c r="C117">
        <v>2019</v>
      </c>
      <c r="D117">
        <v>62</v>
      </c>
      <c r="E117">
        <v>35</v>
      </c>
      <c r="F117">
        <v>34</v>
      </c>
      <c r="G117" s="1">
        <f>DATE(C117, CHOOSE(MATCH(UPPER(B117), {"ENERO","FEBRERO","MARZO","ABRIL","MAYO","JUNIO","JULIO","AGOSTO","SEPTIEMBRE","OCTUBRE","NOVIEMBRE","DICIEMBRE"}, 0), 1,2,3,4,5,6,7,8,9,10,11,12), A117)</f>
        <v>43581</v>
      </c>
      <c r="H117">
        <v>63</v>
      </c>
      <c r="I117">
        <v>36000</v>
      </c>
      <c r="J117" s="1">
        <f t="shared" si="3"/>
        <v>43582</v>
      </c>
      <c r="K117">
        <f t="shared" si="2"/>
        <v>73.75</v>
      </c>
    </row>
    <row r="118" spans="1:11" x14ac:dyDescent="0.25">
      <c r="A118">
        <v>27</v>
      </c>
      <c r="B118" t="s">
        <v>13</v>
      </c>
      <c r="C118">
        <v>2019</v>
      </c>
      <c r="D118">
        <v>34</v>
      </c>
      <c r="E118">
        <v>141</v>
      </c>
      <c r="F118">
        <v>101.25</v>
      </c>
      <c r="G118" s="1">
        <f>DATE(C118, CHOOSE(MATCH(UPPER(B118), {"ENERO","FEBRERO","MARZO","ABRIL","MAYO","JUNIO","JULIO","AGOSTO","SEPTIEMBRE","OCTUBRE","NOVIEMBRE","DICIEMBRE"}, 0), 1,2,3,4,5,6,7,8,9,10,11,12), A118)</f>
        <v>43582</v>
      </c>
      <c r="H118">
        <v>73.75</v>
      </c>
      <c r="I118">
        <v>36000</v>
      </c>
      <c r="J118" s="1">
        <f t="shared" si="3"/>
        <v>43583</v>
      </c>
      <c r="K118">
        <f t="shared" si="2"/>
        <v>65.25</v>
      </c>
    </row>
    <row r="119" spans="1:11" x14ac:dyDescent="0.25">
      <c r="A119">
        <v>28</v>
      </c>
      <c r="B119" t="s">
        <v>13</v>
      </c>
      <c r="C119">
        <v>2019</v>
      </c>
      <c r="D119">
        <v>101.25</v>
      </c>
      <c r="E119">
        <v>-19</v>
      </c>
      <c r="F119">
        <v>17</v>
      </c>
      <c r="G119" s="1">
        <f>DATE(C119, CHOOSE(MATCH(UPPER(B119), {"ENERO","FEBRERO","MARZO","ABRIL","MAYO","JUNIO","JULIO","AGOSTO","SEPTIEMBRE","OCTUBRE","NOVIEMBRE","DICIEMBRE"}, 0), 1,2,3,4,5,6,7,8,9,10,11,12), A119)</f>
        <v>43583</v>
      </c>
      <c r="H119">
        <v>65.25</v>
      </c>
      <c r="I119">
        <v>36000</v>
      </c>
      <c r="J119" s="1">
        <f t="shared" si="3"/>
        <v>43584</v>
      </c>
      <c r="K119">
        <f t="shared" si="2"/>
        <v>38.25</v>
      </c>
    </row>
    <row r="120" spans="1:11" x14ac:dyDescent="0.25">
      <c r="A120">
        <v>29</v>
      </c>
      <c r="B120" t="s">
        <v>13</v>
      </c>
      <c r="C120">
        <v>2019</v>
      </c>
      <c r="D120">
        <v>17</v>
      </c>
      <c r="E120">
        <v>40</v>
      </c>
      <c r="F120">
        <v>18.75</v>
      </c>
      <c r="G120" s="1">
        <f>DATE(C120, CHOOSE(MATCH(UPPER(B120), {"ENERO","FEBRERO","MARZO","ABRIL","MAYO","JUNIO","JULIO","AGOSTO","SEPTIEMBRE","OCTUBRE","NOVIEMBRE","DICIEMBRE"}, 0), 1,2,3,4,5,6,7,8,9,10,11,12), A120)</f>
        <v>43584</v>
      </c>
      <c r="H120">
        <v>38.25</v>
      </c>
      <c r="I120">
        <v>36000</v>
      </c>
      <c r="J120" s="1">
        <f t="shared" si="3"/>
        <v>43585</v>
      </c>
      <c r="K120">
        <f t="shared" si="2"/>
        <v>73</v>
      </c>
    </row>
    <row r="121" spans="1:11" x14ac:dyDescent="0.25">
      <c r="A121">
        <v>30</v>
      </c>
      <c r="B121" t="s">
        <v>13</v>
      </c>
      <c r="C121">
        <v>2019</v>
      </c>
      <c r="D121">
        <v>18.75</v>
      </c>
      <c r="E121">
        <v>147</v>
      </c>
      <c r="F121">
        <v>92.75</v>
      </c>
      <c r="G121" s="1">
        <f>DATE(C121, CHOOSE(MATCH(UPPER(B121), {"ENERO","FEBRERO","MARZO","ABRIL","MAYO","JUNIO","JULIO","AGOSTO","SEPTIEMBRE","OCTUBRE","NOVIEMBRE","DICIEMBRE"}, 0), 1,2,3,4,5,6,7,8,9,10,11,12), A121)</f>
        <v>43585</v>
      </c>
      <c r="H121">
        <v>73</v>
      </c>
      <c r="I121">
        <v>36000</v>
      </c>
      <c r="J121" s="1">
        <f t="shared" si="3"/>
        <v>43586</v>
      </c>
      <c r="K121">
        <f t="shared" si="2"/>
        <v>74.75</v>
      </c>
    </row>
    <row r="122" spans="1:11" x14ac:dyDescent="0.25">
      <c r="A122">
        <v>1</v>
      </c>
      <c r="B122" t="s">
        <v>14</v>
      </c>
      <c r="C122">
        <v>2019</v>
      </c>
      <c r="D122">
        <v>92.75</v>
      </c>
      <c r="E122">
        <v>115</v>
      </c>
      <c r="F122">
        <v>133</v>
      </c>
      <c r="G122" s="1">
        <f>DATE(C122, CHOOSE(MATCH(UPPER(B122), {"ENERO","FEBRERO","MARZO","ABRIL","MAYO","JUNIO","JULIO","AGOSTO","SEPTIEMBRE","OCTUBRE","NOVIEMBRE","DICIEMBRE"}, 0), 1,2,3,4,5,6,7,8,9,10,11,12), A122)</f>
        <v>43586</v>
      </c>
      <c r="H122">
        <v>74.75</v>
      </c>
      <c r="I122">
        <v>36000</v>
      </c>
      <c r="J122" s="1">
        <f t="shared" si="3"/>
        <v>43587</v>
      </c>
      <c r="K122">
        <f t="shared" si="2"/>
        <v>37</v>
      </c>
    </row>
    <row r="123" spans="1:11" x14ac:dyDescent="0.25">
      <c r="A123">
        <v>2</v>
      </c>
      <c r="B123" t="s">
        <v>14</v>
      </c>
      <c r="C123">
        <v>2019</v>
      </c>
      <c r="D123">
        <v>133</v>
      </c>
      <c r="E123">
        <v>-45</v>
      </c>
      <c r="F123">
        <v>51</v>
      </c>
      <c r="G123" s="1">
        <f>DATE(C123, CHOOSE(MATCH(UPPER(B123), {"ENERO","FEBRERO","MARZO","ABRIL","MAYO","JUNIO","JULIO","AGOSTO","SEPTIEMBRE","OCTUBRE","NOVIEMBRE","DICIEMBRE"}, 0), 1,2,3,4,5,6,7,8,9,10,11,12), A123)</f>
        <v>43587</v>
      </c>
      <c r="H123">
        <v>37</v>
      </c>
      <c r="I123">
        <v>36000</v>
      </c>
      <c r="J123" s="1">
        <f t="shared" si="3"/>
        <v>43588</v>
      </c>
      <c r="K123">
        <f t="shared" si="2"/>
        <v>61</v>
      </c>
    </row>
    <row r="124" spans="1:11" x14ac:dyDescent="0.25">
      <c r="A124">
        <v>3</v>
      </c>
      <c r="B124" t="s">
        <v>14</v>
      </c>
      <c r="C124">
        <v>2019</v>
      </c>
      <c r="D124">
        <v>51</v>
      </c>
      <c r="E124">
        <v>105</v>
      </c>
      <c r="F124">
        <v>95</v>
      </c>
      <c r="G124" s="1">
        <f>DATE(C124, CHOOSE(MATCH(UPPER(B124), {"ENERO","FEBRERO","MARZO","ABRIL","MAYO","JUNIO","JULIO","AGOSTO","SEPTIEMBRE","OCTUBRE","NOVIEMBRE","DICIEMBRE"}, 0), 1,2,3,4,5,6,7,8,9,10,11,12), A124)</f>
        <v>43588</v>
      </c>
      <c r="H124">
        <v>61</v>
      </c>
      <c r="I124">
        <v>36000</v>
      </c>
      <c r="J124" s="1">
        <f t="shared" si="3"/>
        <v>43589</v>
      </c>
      <c r="K124">
        <f t="shared" si="2"/>
        <v>76</v>
      </c>
    </row>
    <row r="125" spans="1:11" x14ac:dyDescent="0.25">
      <c r="A125">
        <v>4</v>
      </c>
      <c r="B125" t="s">
        <v>14</v>
      </c>
      <c r="C125">
        <v>2019</v>
      </c>
      <c r="D125">
        <v>95</v>
      </c>
      <c r="E125" t="s">
        <v>9</v>
      </c>
      <c r="F125">
        <v>19</v>
      </c>
      <c r="G125" s="1">
        <f>DATE(C125, CHOOSE(MATCH(UPPER(B125), {"ENERO","FEBRERO","MARZO","ABRIL","MAYO","JUNIO","JULIO","AGOSTO","SEPTIEMBRE","OCTUBRE","NOVIEMBRE","DICIEMBRE"}, 0), 1,2,3,4,5,6,7,8,9,10,11,12), A125)</f>
        <v>43589</v>
      </c>
      <c r="H125">
        <v>76</v>
      </c>
      <c r="I125">
        <v>36000</v>
      </c>
      <c r="J125" s="1">
        <f t="shared" si="3"/>
        <v>43590</v>
      </c>
      <c r="K125">
        <f t="shared" si="2"/>
        <v>66</v>
      </c>
    </row>
    <row r="126" spans="1:11" x14ac:dyDescent="0.25">
      <c r="A126">
        <v>5</v>
      </c>
      <c r="B126" t="s">
        <v>14</v>
      </c>
      <c r="C126">
        <v>2019</v>
      </c>
      <c r="D126">
        <v>19</v>
      </c>
      <c r="E126">
        <v>140</v>
      </c>
      <c r="F126">
        <v>93</v>
      </c>
      <c r="G126" s="1">
        <f>DATE(C126, CHOOSE(MATCH(UPPER(B126), {"ENERO","FEBRERO","MARZO","ABRIL","MAYO","JUNIO","JULIO","AGOSTO","SEPTIEMBRE","OCTUBRE","NOVIEMBRE","DICIEMBRE"}, 0), 1,2,3,4,5,6,7,8,9,10,11,12), A126)</f>
        <v>43590</v>
      </c>
      <c r="H126">
        <v>66</v>
      </c>
      <c r="I126">
        <v>36000</v>
      </c>
      <c r="J126" s="1">
        <f t="shared" si="3"/>
        <v>43591</v>
      </c>
      <c r="K126">
        <f t="shared" si="2"/>
        <v>33</v>
      </c>
    </row>
    <row r="127" spans="1:11" x14ac:dyDescent="0.25">
      <c r="A127">
        <v>6</v>
      </c>
      <c r="B127" t="s">
        <v>14</v>
      </c>
      <c r="C127">
        <v>2019</v>
      </c>
      <c r="D127">
        <v>93</v>
      </c>
      <c r="E127">
        <v>-10</v>
      </c>
      <c r="F127">
        <v>50</v>
      </c>
      <c r="G127" s="1">
        <f>DATE(C127, CHOOSE(MATCH(UPPER(B127), {"ENERO","FEBRERO","MARZO","ABRIL","MAYO","JUNIO","JULIO","AGOSTO","SEPTIEMBRE","OCTUBRE","NOVIEMBRE","DICIEMBRE"}, 0), 1,2,3,4,5,6,7,8,9,10,11,12), A127)</f>
        <v>43591</v>
      </c>
      <c r="H127">
        <v>33</v>
      </c>
      <c r="I127">
        <v>36000</v>
      </c>
      <c r="J127" s="1">
        <f t="shared" si="3"/>
        <v>43592</v>
      </c>
      <c r="K127">
        <f t="shared" si="2"/>
        <v>33</v>
      </c>
    </row>
    <row r="128" spans="1:11" x14ac:dyDescent="0.25">
      <c r="A128">
        <v>7</v>
      </c>
      <c r="B128" t="s">
        <v>14</v>
      </c>
      <c r="C128">
        <v>2019</v>
      </c>
      <c r="D128">
        <v>50</v>
      </c>
      <c r="E128">
        <v>105</v>
      </c>
      <c r="F128">
        <v>122</v>
      </c>
      <c r="G128" s="1">
        <f>DATE(C128, CHOOSE(MATCH(UPPER(B128), {"ENERO","FEBRERO","MARZO","ABRIL","MAYO","JUNIO","JULIO","AGOSTO","SEPTIEMBRE","OCTUBRE","NOVIEMBRE","DICIEMBRE"}, 0), 1,2,3,4,5,6,7,8,9,10,11,12), A128)</f>
        <v>43592</v>
      </c>
      <c r="H128">
        <v>33</v>
      </c>
      <c r="I128">
        <v>36000</v>
      </c>
      <c r="J128" s="1">
        <f t="shared" si="3"/>
        <v>43593</v>
      </c>
      <c r="K128">
        <f t="shared" si="2"/>
        <v>55.5</v>
      </c>
    </row>
    <row r="129" spans="1:11" x14ac:dyDescent="0.25">
      <c r="A129">
        <v>8</v>
      </c>
      <c r="B129" t="s">
        <v>14</v>
      </c>
      <c r="C129">
        <v>2019</v>
      </c>
      <c r="D129">
        <v>122</v>
      </c>
      <c r="E129">
        <v>106</v>
      </c>
      <c r="F129">
        <v>172.5</v>
      </c>
      <c r="G129" s="1">
        <f>DATE(C129, CHOOSE(MATCH(UPPER(B129), {"ENERO","FEBRERO","MARZO","ABRIL","MAYO","JUNIO","JULIO","AGOSTO","SEPTIEMBRE","OCTUBRE","NOVIEMBRE","DICIEMBRE"}, 0), 1,2,3,4,5,6,7,8,9,10,11,12), A129)</f>
        <v>43593</v>
      </c>
      <c r="H129">
        <v>55.5</v>
      </c>
      <c r="I129">
        <v>36000</v>
      </c>
      <c r="J129" s="1">
        <f t="shared" si="3"/>
        <v>43594</v>
      </c>
      <c r="K129">
        <f t="shared" si="2"/>
        <v>38</v>
      </c>
    </row>
    <row r="130" spans="1:11" x14ac:dyDescent="0.25">
      <c r="A130">
        <v>9</v>
      </c>
      <c r="B130" t="s">
        <v>14</v>
      </c>
      <c r="C130">
        <v>2019</v>
      </c>
      <c r="D130">
        <v>172.5</v>
      </c>
      <c r="E130">
        <v>12</v>
      </c>
      <c r="F130">
        <v>146.5</v>
      </c>
      <c r="G130" s="1">
        <f>DATE(C130, CHOOSE(MATCH(UPPER(B130), {"ENERO","FEBRERO","MARZO","ABRIL","MAYO","JUNIO","JULIO","AGOSTO","SEPTIEMBRE","OCTUBRE","NOVIEMBRE","DICIEMBRE"}, 0), 1,2,3,4,5,6,7,8,9,10,11,12), A130)</f>
        <v>43594</v>
      </c>
      <c r="H130">
        <v>38</v>
      </c>
      <c r="I130">
        <v>36000</v>
      </c>
      <c r="J130" s="1">
        <f t="shared" si="3"/>
        <v>43595</v>
      </c>
      <c r="K130">
        <f t="shared" si="2"/>
        <v>79.5</v>
      </c>
    </row>
    <row r="131" spans="1:11" x14ac:dyDescent="0.25">
      <c r="A131">
        <v>10</v>
      </c>
      <c r="B131" t="s">
        <v>14</v>
      </c>
      <c r="C131">
        <v>2019</v>
      </c>
      <c r="D131">
        <v>146.5</v>
      </c>
      <c r="E131">
        <v>73</v>
      </c>
      <c r="F131">
        <v>140</v>
      </c>
      <c r="G131" s="1">
        <f>DATE(C131, CHOOSE(MATCH(UPPER(B131), {"ENERO","FEBRERO","MARZO","ABRIL","MAYO","JUNIO","JULIO","AGOSTO","SEPTIEMBRE","OCTUBRE","NOVIEMBRE","DICIEMBRE"}, 0), 1,2,3,4,5,6,7,8,9,10,11,12), A131)</f>
        <v>43595</v>
      </c>
      <c r="H131">
        <v>79.5</v>
      </c>
      <c r="I131">
        <v>36000</v>
      </c>
      <c r="J131" s="1">
        <f t="shared" si="3"/>
        <v>43596</v>
      </c>
      <c r="K131">
        <f t="shared" ref="K131:K194" si="4">VLOOKUP(J131, G:H, 2, FALSE)</f>
        <v>80</v>
      </c>
    </row>
    <row r="132" spans="1:11" x14ac:dyDescent="0.25">
      <c r="A132">
        <v>11</v>
      </c>
      <c r="B132" t="s">
        <v>14</v>
      </c>
      <c r="C132">
        <v>2019</v>
      </c>
      <c r="D132">
        <v>140</v>
      </c>
      <c r="E132">
        <v>147</v>
      </c>
      <c r="F132">
        <v>207</v>
      </c>
      <c r="G132" s="1">
        <f>DATE(C132, CHOOSE(MATCH(UPPER(B132), {"ENERO","FEBRERO","MARZO","ABRIL","MAYO","JUNIO","JULIO","AGOSTO","SEPTIEMBRE","OCTUBRE","NOVIEMBRE","DICIEMBRE"}, 0), 1,2,3,4,5,6,7,8,9,10,11,12), A132)</f>
        <v>43596</v>
      </c>
      <c r="H132">
        <v>80</v>
      </c>
      <c r="I132">
        <v>36000</v>
      </c>
      <c r="J132" s="1">
        <f t="shared" si="3"/>
        <v>43597</v>
      </c>
      <c r="K132">
        <f t="shared" si="4"/>
        <v>72</v>
      </c>
    </row>
    <row r="133" spans="1:11" x14ac:dyDescent="0.25">
      <c r="A133">
        <v>12</v>
      </c>
      <c r="B133" t="s">
        <v>14</v>
      </c>
      <c r="C133">
        <v>2019</v>
      </c>
      <c r="D133">
        <v>207</v>
      </c>
      <c r="E133" t="s">
        <v>9</v>
      </c>
      <c r="F133">
        <v>135</v>
      </c>
      <c r="G133" s="1">
        <f>DATE(C133, CHOOSE(MATCH(UPPER(B133), {"ENERO","FEBRERO","MARZO","ABRIL","MAYO","JUNIO","JULIO","AGOSTO","SEPTIEMBRE","OCTUBRE","NOVIEMBRE","DICIEMBRE"}, 0), 1,2,3,4,5,6,7,8,9,10,11,12), A133)</f>
        <v>43597</v>
      </c>
      <c r="H133">
        <v>72</v>
      </c>
      <c r="I133">
        <v>36000</v>
      </c>
      <c r="J133" s="1">
        <f t="shared" ref="J133:J196" si="5">DATE(2019,1,1) + ROW()-1</f>
        <v>43598</v>
      </c>
      <c r="K133">
        <f t="shared" si="4"/>
        <v>41</v>
      </c>
    </row>
    <row r="134" spans="1:11" x14ac:dyDescent="0.25">
      <c r="A134">
        <v>13</v>
      </c>
      <c r="B134" t="s">
        <v>14</v>
      </c>
      <c r="C134">
        <v>2019</v>
      </c>
      <c r="D134">
        <v>135</v>
      </c>
      <c r="E134" t="s">
        <v>9</v>
      </c>
      <c r="F134">
        <v>94</v>
      </c>
      <c r="G134" s="1">
        <f>DATE(C134, CHOOSE(MATCH(UPPER(B134), {"ENERO","FEBRERO","MARZO","ABRIL","MAYO","JUNIO","JULIO","AGOSTO","SEPTIEMBRE","OCTUBRE","NOVIEMBRE","DICIEMBRE"}, 0), 1,2,3,4,5,6,7,8,9,10,11,12), A134)</f>
        <v>43598</v>
      </c>
      <c r="H134">
        <v>41</v>
      </c>
      <c r="I134">
        <v>36000</v>
      </c>
      <c r="J134" s="1">
        <f t="shared" si="5"/>
        <v>43599</v>
      </c>
      <c r="K134">
        <f t="shared" si="4"/>
        <v>47.5</v>
      </c>
    </row>
    <row r="135" spans="1:11" x14ac:dyDescent="0.25">
      <c r="A135">
        <v>14</v>
      </c>
      <c r="B135" t="s">
        <v>14</v>
      </c>
      <c r="C135">
        <v>2019</v>
      </c>
      <c r="D135">
        <v>94</v>
      </c>
      <c r="E135">
        <v>80</v>
      </c>
      <c r="F135">
        <v>126.5</v>
      </c>
      <c r="G135" s="1">
        <f>DATE(C135, CHOOSE(MATCH(UPPER(B135), {"ENERO","FEBRERO","MARZO","ABRIL","MAYO","JUNIO","JULIO","AGOSTO","SEPTIEMBRE","OCTUBRE","NOVIEMBRE","DICIEMBRE"}, 0), 1,2,3,4,5,6,7,8,9,10,11,12), A135)</f>
        <v>43599</v>
      </c>
      <c r="H135">
        <v>47.5</v>
      </c>
      <c r="I135">
        <v>36000</v>
      </c>
      <c r="J135" s="1">
        <f t="shared" si="5"/>
        <v>43600</v>
      </c>
      <c r="K135">
        <f t="shared" si="4"/>
        <v>49</v>
      </c>
    </row>
    <row r="136" spans="1:11" x14ac:dyDescent="0.25">
      <c r="A136">
        <v>15</v>
      </c>
      <c r="B136" t="s">
        <v>14</v>
      </c>
      <c r="C136">
        <v>2019</v>
      </c>
      <c r="D136">
        <v>126.5</v>
      </c>
      <c r="E136">
        <v>105</v>
      </c>
      <c r="F136">
        <v>182.5</v>
      </c>
      <c r="G136" s="1">
        <f>DATE(C136, CHOOSE(MATCH(UPPER(B136), {"ENERO","FEBRERO","MARZO","ABRIL","MAYO","JUNIO","JULIO","AGOSTO","SEPTIEMBRE","OCTUBRE","NOVIEMBRE","DICIEMBRE"}, 0), 1,2,3,4,5,6,7,8,9,10,11,12), A136)</f>
        <v>43600</v>
      </c>
      <c r="H136">
        <v>49</v>
      </c>
      <c r="I136">
        <v>36000</v>
      </c>
      <c r="J136" s="1">
        <f t="shared" si="5"/>
        <v>43601</v>
      </c>
      <c r="K136">
        <f t="shared" si="4"/>
        <v>45.5</v>
      </c>
    </row>
    <row r="137" spans="1:11" x14ac:dyDescent="0.25">
      <c r="A137">
        <v>16</v>
      </c>
      <c r="B137" t="s">
        <v>14</v>
      </c>
      <c r="C137">
        <v>2019</v>
      </c>
      <c r="D137">
        <v>182.5</v>
      </c>
      <c r="E137">
        <v>-15</v>
      </c>
      <c r="F137">
        <v>122</v>
      </c>
      <c r="G137" s="1">
        <f>DATE(C137, CHOOSE(MATCH(UPPER(B137), {"ENERO","FEBRERO","MARZO","ABRIL","MAYO","JUNIO","JULIO","AGOSTO","SEPTIEMBRE","OCTUBRE","NOVIEMBRE","DICIEMBRE"}, 0), 1,2,3,4,5,6,7,8,9,10,11,12), A137)</f>
        <v>43601</v>
      </c>
      <c r="H137">
        <v>45.5</v>
      </c>
      <c r="I137">
        <v>36000</v>
      </c>
      <c r="J137" s="1">
        <f t="shared" si="5"/>
        <v>43602</v>
      </c>
      <c r="K137">
        <f t="shared" si="4"/>
        <v>65</v>
      </c>
    </row>
    <row r="138" spans="1:11" x14ac:dyDescent="0.25">
      <c r="A138">
        <v>17</v>
      </c>
      <c r="B138" t="s">
        <v>14</v>
      </c>
      <c r="C138">
        <v>2019</v>
      </c>
      <c r="D138">
        <v>122</v>
      </c>
      <c r="E138">
        <v>106</v>
      </c>
      <c r="F138">
        <v>163</v>
      </c>
      <c r="G138" s="1">
        <f>DATE(C138, CHOOSE(MATCH(UPPER(B138), {"ENERO","FEBRERO","MARZO","ABRIL","MAYO","JUNIO","JULIO","AGOSTO","SEPTIEMBRE","OCTUBRE","NOVIEMBRE","DICIEMBRE"}, 0), 1,2,3,4,5,6,7,8,9,10,11,12), A138)</f>
        <v>43602</v>
      </c>
      <c r="H138">
        <v>65</v>
      </c>
      <c r="I138">
        <v>36000</v>
      </c>
      <c r="J138" s="1">
        <f t="shared" si="5"/>
        <v>43603</v>
      </c>
      <c r="K138">
        <f t="shared" si="4"/>
        <v>73</v>
      </c>
    </row>
    <row r="139" spans="1:11" x14ac:dyDescent="0.25">
      <c r="A139">
        <v>18</v>
      </c>
      <c r="B139" t="s">
        <v>14</v>
      </c>
      <c r="C139">
        <v>2019</v>
      </c>
      <c r="D139">
        <v>163</v>
      </c>
      <c r="E139">
        <v>105</v>
      </c>
      <c r="F139">
        <v>195</v>
      </c>
      <c r="G139" s="1">
        <f>DATE(C139, CHOOSE(MATCH(UPPER(B139), {"ENERO","FEBRERO","MARZO","ABRIL","MAYO","JUNIO","JULIO","AGOSTO","SEPTIEMBRE","OCTUBRE","NOVIEMBRE","DICIEMBRE"}, 0), 1,2,3,4,5,6,7,8,9,10,11,12), A139)</f>
        <v>43603</v>
      </c>
      <c r="H139">
        <v>73</v>
      </c>
      <c r="I139">
        <v>36000</v>
      </c>
      <c r="J139" s="1">
        <f t="shared" si="5"/>
        <v>43604</v>
      </c>
      <c r="K139">
        <f t="shared" si="4"/>
        <v>85</v>
      </c>
    </row>
    <row r="140" spans="1:11" x14ac:dyDescent="0.25">
      <c r="A140">
        <v>19</v>
      </c>
      <c r="B140" t="s">
        <v>14</v>
      </c>
      <c r="C140">
        <v>2019</v>
      </c>
      <c r="D140">
        <v>195</v>
      </c>
      <c r="E140" t="s">
        <v>9</v>
      </c>
      <c r="F140">
        <v>110</v>
      </c>
      <c r="G140" s="1">
        <f>DATE(C140, CHOOSE(MATCH(UPPER(B140), {"ENERO","FEBRERO","MARZO","ABRIL","MAYO","JUNIO","JULIO","AGOSTO","SEPTIEMBRE","OCTUBRE","NOVIEMBRE","DICIEMBRE"}, 0), 1,2,3,4,5,6,7,8,9,10,11,12), A140)</f>
        <v>43604</v>
      </c>
      <c r="H140">
        <v>85</v>
      </c>
      <c r="I140">
        <v>36000</v>
      </c>
      <c r="J140" s="1">
        <f t="shared" si="5"/>
        <v>43605</v>
      </c>
      <c r="K140">
        <f t="shared" si="4"/>
        <v>36</v>
      </c>
    </row>
    <row r="141" spans="1:11" x14ac:dyDescent="0.25">
      <c r="A141">
        <v>20</v>
      </c>
      <c r="B141" t="s">
        <v>14</v>
      </c>
      <c r="C141">
        <v>2019</v>
      </c>
      <c r="D141">
        <v>110</v>
      </c>
      <c r="E141" t="s">
        <v>9</v>
      </c>
      <c r="F141">
        <v>74</v>
      </c>
      <c r="G141" s="1">
        <f>DATE(C141, CHOOSE(MATCH(UPPER(B141), {"ENERO","FEBRERO","MARZO","ABRIL","MAYO","JUNIO","JULIO","AGOSTO","SEPTIEMBRE","OCTUBRE","NOVIEMBRE","DICIEMBRE"}, 0), 1,2,3,4,5,6,7,8,9,10,11,12), A141)</f>
        <v>43605</v>
      </c>
      <c r="H141">
        <v>36</v>
      </c>
      <c r="I141">
        <v>36000</v>
      </c>
      <c r="J141" s="1">
        <f t="shared" si="5"/>
        <v>43606</v>
      </c>
      <c r="K141">
        <f t="shared" si="4"/>
        <v>40</v>
      </c>
    </row>
    <row r="142" spans="1:11" x14ac:dyDescent="0.25">
      <c r="A142">
        <v>21</v>
      </c>
      <c r="B142" t="s">
        <v>14</v>
      </c>
      <c r="C142">
        <v>2019</v>
      </c>
      <c r="D142">
        <v>74</v>
      </c>
      <c r="E142">
        <v>16</v>
      </c>
      <c r="F142">
        <v>50</v>
      </c>
      <c r="G142" s="1">
        <f>DATE(C142, CHOOSE(MATCH(UPPER(B142), {"ENERO","FEBRERO","MARZO","ABRIL","MAYO","JUNIO","JULIO","AGOSTO","SEPTIEMBRE","OCTUBRE","NOVIEMBRE","DICIEMBRE"}, 0), 1,2,3,4,5,6,7,8,9,10,11,12), A142)</f>
        <v>43606</v>
      </c>
      <c r="H142">
        <v>40</v>
      </c>
      <c r="I142">
        <v>36000</v>
      </c>
      <c r="J142" s="1">
        <f t="shared" si="5"/>
        <v>43607</v>
      </c>
      <c r="K142">
        <f t="shared" si="4"/>
        <v>34.5</v>
      </c>
    </row>
    <row r="143" spans="1:11" x14ac:dyDescent="0.25">
      <c r="A143">
        <v>22</v>
      </c>
      <c r="B143" t="s">
        <v>14</v>
      </c>
      <c r="C143">
        <v>2019</v>
      </c>
      <c r="D143">
        <v>50</v>
      </c>
      <c r="E143">
        <v>110</v>
      </c>
      <c r="F143">
        <v>125.5</v>
      </c>
      <c r="G143" s="1">
        <f>DATE(C143, CHOOSE(MATCH(UPPER(B143), {"ENERO","FEBRERO","MARZO","ABRIL","MAYO","JUNIO","JULIO","AGOSTO","SEPTIEMBRE","OCTUBRE","NOVIEMBRE","DICIEMBRE"}, 0), 1,2,3,4,5,6,7,8,9,10,11,12), A143)</f>
        <v>43607</v>
      </c>
      <c r="H143">
        <v>34.5</v>
      </c>
      <c r="I143">
        <v>36000</v>
      </c>
      <c r="J143" s="1">
        <f t="shared" si="5"/>
        <v>43608</v>
      </c>
      <c r="K143">
        <f t="shared" si="4"/>
        <v>35.5</v>
      </c>
    </row>
    <row r="144" spans="1:11" x14ac:dyDescent="0.25">
      <c r="A144">
        <v>23</v>
      </c>
      <c r="B144" t="s">
        <v>14</v>
      </c>
      <c r="C144">
        <v>2019</v>
      </c>
      <c r="D144">
        <v>125.5</v>
      </c>
      <c r="E144">
        <v>106</v>
      </c>
      <c r="F144">
        <v>196</v>
      </c>
      <c r="G144" s="1">
        <f>DATE(C144, CHOOSE(MATCH(UPPER(B144), {"ENERO","FEBRERO","MARZO","ABRIL","MAYO","JUNIO","JULIO","AGOSTO","SEPTIEMBRE","OCTUBRE","NOVIEMBRE","DICIEMBRE"}, 0), 1,2,3,4,5,6,7,8,9,10,11,12), A144)</f>
        <v>43608</v>
      </c>
      <c r="H144">
        <v>35.5</v>
      </c>
      <c r="I144">
        <v>36000</v>
      </c>
      <c r="J144" s="1">
        <f t="shared" si="5"/>
        <v>43609</v>
      </c>
      <c r="K144">
        <f t="shared" si="4"/>
        <v>65</v>
      </c>
    </row>
    <row r="145" spans="1:11" x14ac:dyDescent="0.25">
      <c r="A145">
        <v>24</v>
      </c>
      <c r="B145" t="s">
        <v>14</v>
      </c>
      <c r="C145">
        <v>2019</v>
      </c>
      <c r="D145">
        <v>196</v>
      </c>
      <c r="E145" t="s">
        <v>9</v>
      </c>
      <c r="F145">
        <v>131</v>
      </c>
      <c r="G145" s="1">
        <f>DATE(C145, CHOOSE(MATCH(UPPER(B145), {"ENERO","FEBRERO","MARZO","ABRIL","MAYO","JUNIO","JULIO","AGOSTO","SEPTIEMBRE","OCTUBRE","NOVIEMBRE","DICIEMBRE"}, 0), 1,2,3,4,5,6,7,8,9,10,11,12), A145)</f>
        <v>43609</v>
      </c>
      <c r="H145">
        <v>65</v>
      </c>
      <c r="I145">
        <v>36000</v>
      </c>
      <c r="J145" s="1">
        <f t="shared" si="5"/>
        <v>43610</v>
      </c>
      <c r="K145">
        <f t="shared" si="4"/>
        <v>73</v>
      </c>
    </row>
    <row r="146" spans="1:11" x14ac:dyDescent="0.25">
      <c r="A146">
        <v>25</v>
      </c>
      <c r="B146" t="s">
        <v>14</v>
      </c>
      <c r="C146">
        <v>2019</v>
      </c>
      <c r="D146">
        <v>131</v>
      </c>
      <c r="E146">
        <v>-14</v>
      </c>
      <c r="F146">
        <v>44</v>
      </c>
      <c r="G146" s="1">
        <f>DATE(C146, CHOOSE(MATCH(UPPER(B146), {"ENERO","FEBRERO","MARZO","ABRIL","MAYO","JUNIO","JULIO","AGOSTO","SEPTIEMBRE","OCTUBRE","NOVIEMBRE","DICIEMBRE"}, 0), 1,2,3,4,5,6,7,8,9,10,11,12), A146)</f>
        <v>43610</v>
      </c>
      <c r="H146">
        <v>73</v>
      </c>
      <c r="I146">
        <v>36000</v>
      </c>
      <c r="J146" s="1">
        <f t="shared" si="5"/>
        <v>43611</v>
      </c>
      <c r="K146">
        <f t="shared" si="4"/>
        <v>63.5</v>
      </c>
    </row>
    <row r="147" spans="1:11" x14ac:dyDescent="0.25">
      <c r="A147">
        <v>26</v>
      </c>
      <c r="B147" t="s">
        <v>14</v>
      </c>
      <c r="C147">
        <v>2019</v>
      </c>
      <c r="D147">
        <v>44</v>
      </c>
      <c r="E147">
        <v>108</v>
      </c>
      <c r="F147">
        <v>88.5</v>
      </c>
      <c r="G147" s="1">
        <f>DATE(C147, CHOOSE(MATCH(UPPER(B147), {"ENERO","FEBRERO","MARZO","ABRIL","MAYO","JUNIO","JULIO","AGOSTO","SEPTIEMBRE","OCTUBRE","NOVIEMBRE","DICIEMBRE"}, 0), 1,2,3,4,5,6,7,8,9,10,11,12), A147)</f>
        <v>43611</v>
      </c>
      <c r="H147">
        <v>63.5</v>
      </c>
      <c r="I147">
        <v>36000</v>
      </c>
      <c r="J147" s="1">
        <f t="shared" si="5"/>
        <v>43612</v>
      </c>
      <c r="K147">
        <f t="shared" si="4"/>
        <v>31</v>
      </c>
    </row>
    <row r="148" spans="1:11" x14ac:dyDescent="0.25">
      <c r="A148">
        <v>27</v>
      </c>
      <c r="B148" t="s">
        <v>14</v>
      </c>
      <c r="C148">
        <v>2019</v>
      </c>
      <c r="D148">
        <v>88.5</v>
      </c>
      <c r="E148">
        <v>107</v>
      </c>
      <c r="F148">
        <v>164.5</v>
      </c>
      <c r="G148" s="1">
        <f>DATE(C148, CHOOSE(MATCH(UPPER(B148), {"ENERO","FEBRERO","MARZO","ABRIL","MAYO","JUNIO","JULIO","AGOSTO","SEPTIEMBRE","OCTUBRE","NOVIEMBRE","DICIEMBRE"}, 0), 1,2,3,4,5,6,7,8,9,10,11,12), A148)</f>
        <v>43612</v>
      </c>
      <c r="H148">
        <v>31</v>
      </c>
      <c r="I148">
        <v>36000</v>
      </c>
      <c r="J148" s="1">
        <f t="shared" si="5"/>
        <v>43613</v>
      </c>
      <c r="K148">
        <f t="shared" si="4"/>
        <v>42</v>
      </c>
    </row>
    <row r="149" spans="1:11" x14ac:dyDescent="0.25">
      <c r="A149">
        <v>28</v>
      </c>
      <c r="B149" t="s">
        <v>14</v>
      </c>
      <c r="C149">
        <v>2019</v>
      </c>
      <c r="D149">
        <v>164.5</v>
      </c>
      <c r="E149" t="s">
        <v>9</v>
      </c>
      <c r="F149">
        <v>122.5</v>
      </c>
      <c r="G149" s="1">
        <f>DATE(C149, CHOOSE(MATCH(UPPER(B149), {"ENERO","FEBRERO","MARZO","ABRIL","MAYO","JUNIO","JULIO","AGOSTO","SEPTIEMBRE","OCTUBRE","NOVIEMBRE","DICIEMBRE"}, 0), 1,2,3,4,5,6,7,8,9,10,11,12), A149)</f>
        <v>43613</v>
      </c>
      <c r="H149">
        <v>42</v>
      </c>
      <c r="I149">
        <v>36000</v>
      </c>
      <c r="J149" s="1">
        <f t="shared" si="5"/>
        <v>43614</v>
      </c>
      <c r="K149">
        <f t="shared" si="4"/>
        <v>31.5</v>
      </c>
    </row>
    <row r="150" spans="1:11" x14ac:dyDescent="0.25">
      <c r="A150">
        <v>29</v>
      </c>
      <c r="B150" t="s">
        <v>14</v>
      </c>
      <c r="C150">
        <v>2019</v>
      </c>
      <c r="D150">
        <v>122.5</v>
      </c>
      <c r="E150">
        <v>6</v>
      </c>
      <c r="F150">
        <v>97</v>
      </c>
      <c r="G150" s="1">
        <f>DATE(C150, CHOOSE(MATCH(UPPER(B150), {"ENERO","FEBRERO","MARZO","ABRIL","MAYO","JUNIO","JULIO","AGOSTO","SEPTIEMBRE","OCTUBRE","NOVIEMBRE","DICIEMBRE"}, 0), 1,2,3,4,5,6,7,8,9,10,11,12), A150)</f>
        <v>43614</v>
      </c>
      <c r="H150">
        <v>31.5</v>
      </c>
      <c r="I150">
        <v>36000</v>
      </c>
      <c r="J150" s="1">
        <f t="shared" si="5"/>
        <v>43615</v>
      </c>
      <c r="K150">
        <f t="shared" si="4"/>
        <v>40.75</v>
      </c>
    </row>
    <row r="151" spans="1:11" x14ac:dyDescent="0.25">
      <c r="A151">
        <v>30</v>
      </c>
      <c r="B151" t="s">
        <v>14</v>
      </c>
      <c r="C151">
        <v>2019</v>
      </c>
      <c r="D151">
        <v>97</v>
      </c>
      <c r="E151">
        <v>105</v>
      </c>
      <c r="F151">
        <v>161.25</v>
      </c>
      <c r="G151" s="1">
        <f>DATE(C151, CHOOSE(MATCH(UPPER(B151), {"ENERO","FEBRERO","MARZO","ABRIL","MAYO","JUNIO","JULIO","AGOSTO","SEPTIEMBRE","OCTUBRE","NOVIEMBRE","DICIEMBRE"}, 0), 1,2,3,4,5,6,7,8,9,10,11,12), A151)</f>
        <v>43615</v>
      </c>
      <c r="H151">
        <v>40.75</v>
      </c>
      <c r="I151">
        <v>36000</v>
      </c>
      <c r="J151" s="1">
        <f t="shared" si="5"/>
        <v>43616</v>
      </c>
      <c r="K151">
        <f t="shared" si="4"/>
        <v>64.5</v>
      </c>
    </row>
    <row r="152" spans="1:11" x14ac:dyDescent="0.25">
      <c r="A152">
        <v>31</v>
      </c>
      <c r="B152" t="s">
        <v>14</v>
      </c>
      <c r="C152">
        <v>2019</v>
      </c>
      <c r="D152">
        <v>161.25</v>
      </c>
      <c r="E152">
        <v>106</v>
      </c>
      <c r="F152">
        <v>202.75</v>
      </c>
      <c r="G152" s="1">
        <f>DATE(C152, CHOOSE(MATCH(UPPER(B152), {"ENERO","FEBRERO","MARZO","ABRIL","MAYO","JUNIO","JULIO","AGOSTO","SEPTIEMBRE","OCTUBRE","NOVIEMBRE","DICIEMBRE"}, 0), 1,2,3,4,5,6,7,8,9,10,11,12), A152)</f>
        <v>43616</v>
      </c>
      <c r="H152">
        <v>64.5</v>
      </c>
      <c r="I152">
        <v>36000</v>
      </c>
      <c r="J152" s="1">
        <f t="shared" si="5"/>
        <v>43617</v>
      </c>
      <c r="K152">
        <f t="shared" si="4"/>
        <v>80</v>
      </c>
    </row>
    <row r="153" spans="1:11" x14ac:dyDescent="0.25">
      <c r="A153">
        <v>1</v>
      </c>
      <c r="B153" t="s">
        <v>15</v>
      </c>
      <c r="C153">
        <v>2019</v>
      </c>
      <c r="D153">
        <v>202.75</v>
      </c>
      <c r="E153" t="s">
        <v>9</v>
      </c>
      <c r="F153">
        <v>122.75</v>
      </c>
      <c r="G153" s="1">
        <f>DATE(C153, CHOOSE(MATCH(UPPER(B153), {"ENERO","FEBRERO","MARZO","ABRIL","MAYO","JUNIO","JULIO","AGOSTO","SEPTIEMBRE","OCTUBRE","NOVIEMBRE","DICIEMBRE"}, 0), 1,2,3,4,5,6,7,8,9,10,11,12), A153)</f>
        <v>43617</v>
      </c>
      <c r="H153">
        <v>80</v>
      </c>
      <c r="I153">
        <v>36000</v>
      </c>
      <c r="J153" s="1">
        <f t="shared" si="5"/>
        <v>43618</v>
      </c>
      <c r="K153">
        <f t="shared" si="4"/>
        <v>97.75</v>
      </c>
    </row>
    <row r="154" spans="1:11" x14ac:dyDescent="0.25">
      <c r="A154">
        <v>2</v>
      </c>
      <c r="B154" t="s">
        <v>15</v>
      </c>
      <c r="C154">
        <v>2019</v>
      </c>
      <c r="D154">
        <v>122.75</v>
      </c>
      <c r="E154">
        <v>55</v>
      </c>
      <c r="F154">
        <v>80</v>
      </c>
      <c r="G154" s="1">
        <f>DATE(C154, CHOOSE(MATCH(UPPER(B154), {"ENERO","FEBRERO","MARZO","ABRIL","MAYO","JUNIO","JULIO","AGOSTO","SEPTIEMBRE","OCTUBRE","NOVIEMBRE","DICIEMBRE"}, 0), 1,2,3,4,5,6,7,8,9,10,11,12), A154)</f>
        <v>43618</v>
      </c>
      <c r="H154">
        <v>97.75</v>
      </c>
      <c r="I154">
        <v>36000</v>
      </c>
      <c r="J154" s="1">
        <f t="shared" si="5"/>
        <v>43619</v>
      </c>
      <c r="K154">
        <f t="shared" si="4"/>
        <v>67.25</v>
      </c>
    </row>
    <row r="155" spans="1:11" x14ac:dyDescent="0.25">
      <c r="A155">
        <v>3</v>
      </c>
      <c r="B155" t="s">
        <v>15</v>
      </c>
      <c r="C155">
        <v>2019</v>
      </c>
      <c r="D155">
        <v>80</v>
      </c>
      <c r="E155">
        <v>36</v>
      </c>
      <c r="F155">
        <v>48.75</v>
      </c>
      <c r="G155" s="1">
        <f>DATE(C155, CHOOSE(MATCH(UPPER(B155), {"ENERO","FEBRERO","MARZO","ABRIL","MAYO","JUNIO","JULIO","AGOSTO","SEPTIEMBRE","OCTUBRE","NOVIEMBRE","DICIEMBRE"}, 0), 1,2,3,4,5,6,7,8,9,10,11,12), A155)</f>
        <v>43619</v>
      </c>
      <c r="H155">
        <v>67.25</v>
      </c>
      <c r="I155">
        <v>36000</v>
      </c>
      <c r="J155" s="1">
        <f t="shared" si="5"/>
        <v>43620</v>
      </c>
      <c r="K155">
        <f t="shared" si="4"/>
        <v>43.25</v>
      </c>
    </row>
    <row r="156" spans="1:11" x14ac:dyDescent="0.25">
      <c r="A156">
        <v>4</v>
      </c>
      <c r="B156" t="s">
        <v>15</v>
      </c>
      <c r="C156">
        <v>2019</v>
      </c>
      <c r="D156">
        <v>48.75</v>
      </c>
      <c r="E156">
        <v>70</v>
      </c>
      <c r="F156">
        <v>75.5</v>
      </c>
      <c r="G156" s="1">
        <f>DATE(C156, CHOOSE(MATCH(UPPER(B156), {"ENERO","FEBRERO","MARZO","ABRIL","MAYO","JUNIO","JULIO","AGOSTO","SEPTIEMBRE","OCTUBRE","NOVIEMBRE","DICIEMBRE"}, 0), 1,2,3,4,5,6,7,8,9,10,11,12), A156)</f>
        <v>43620</v>
      </c>
      <c r="H156">
        <v>43.25</v>
      </c>
      <c r="I156">
        <v>36000</v>
      </c>
      <c r="J156" s="1">
        <f t="shared" si="5"/>
        <v>43621</v>
      </c>
      <c r="K156">
        <f t="shared" si="4"/>
        <v>40.5</v>
      </c>
    </row>
    <row r="157" spans="1:11" x14ac:dyDescent="0.25">
      <c r="A157">
        <v>5</v>
      </c>
      <c r="B157" t="s">
        <v>15</v>
      </c>
      <c r="C157">
        <v>2019</v>
      </c>
      <c r="D157">
        <v>75.5</v>
      </c>
      <c r="E157">
        <v>106</v>
      </c>
      <c r="F157">
        <v>141</v>
      </c>
      <c r="G157" s="1">
        <f>DATE(C157, CHOOSE(MATCH(UPPER(B157), {"ENERO","FEBRERO","MARZO","ABRIL","MAYO","JUNIO","JULIO","AGOSTO","SEPTIEMBRE","OCTUBRE","NOVIEMBRE","DICIEMBRE"}, 0), 1,2,3,4,5,6,7,8,9,10,11,12), A157)</f>
        <v>43621</v>
      </c>
      <c r="H157">
        <v>40.5</v>
      </c>
      <c r="I157">
        <v>36000</v>
      </c>
      <c r="J157" s="1">
        <f t="shared" si="5"/>
        <v>43622</v>
      </c>
      <c r="K157">
        <f t="shared" si="4"/>
        <v>37.5</v>
      </c>
    </row>
    <row r="158" spans="1:11" x14ac:dyDescent="0.25">
      <c r="A158">
        <v>6</v>
      </c>
      <c r="B158" t="s">
        <v>15</v>
      </c>
      <c r="C158">
        <v>2019</v>
      </c>
      <c r="D158">
        <v>141</v>
      </c>
      <c r="E158">
        <v>-39</v>
      </c>
      <c r="F158">
        <v>64.5</v>
      </c>
      <c r="G158" s="1">
        <f>DATE(C158, CHOOSE(MATCH(UPPER(B158), {"ENERO","FEBRERO","MARZO","ABRIL","MAYO","JUNIO","JULIO","AGOSTO","SEPTIEMBRE","OCTUBRE","NOVIEMBRE","DICIEMBRE"}, 0), 1,2,3,4,5,6,7,8,9,10,11,12), A158)</f>
        <v>43622</v>
      </c>
      <c r="H158">
        <v>37.5</v>
      </c>
      <c r="I158">
        <v>36000</v>
      </c>
      <c r="J158" s="1">
        <f t="shared" si="5"/>
        <v>43623</v>
      </c>
      <c r="K158">
        <f t="shared" si="4"/>
        <v>55</v>
      </c>
    </row>
    <row r="159" spans="1:11" x14ac:dyDescent="0.25">
      <c r="A159">
        <v>7</v>
      </c>
      <c r="B159" t="s">
        <v>15</v>
      </c>
      <c r="C159">
        <v>2019</v>
      </c>
      <c r="D159">
        <v>64.5</v>
      </c>
      <c r="E159">
        <v>34</v>
      </c>
      <c r="F159">
        <v>43.5</v>
      </c>
      <c r="G159" s="1">
        <f>DATE(C159, CHOOSE(MATCH(UPPER(B159), {"ENERO","FEBRERO","MARZO","ABRIL","MAYO","JUNIO","JULIO","AGOSTO","SEPTIEMBRE","OCTUBRE","NOVIEMBRE","DICIEMBRE"}, 0), 1,2,3,4,5,6,7,8,9,10,11,12), A159)</f>
        <v>43623</v>
      </c>
      <c r="H159">
        <v>55</v>
      </c>
      <c r="I159">
        <v>36000</v>
      </c>
      <c r="J159" s="1">
        <f t="shared" si="5"/>
        <v>43624</v>
      </c>
      <c r="K159">
        <f t="shared" si="4"/>
        <v>70.75</v>
      </c>
    </row>
    <row r="160" spans="1:11" x14ac:dyDescent="0.25">
      <c r="A160">
        <v>8</v>
      </c>
      <c r="B160" t="s">
        <v>15</v>
      </c>
      <c r="C160">
        <v>2019</v>
      </c>
      <c r="D160">
        <v>43.5</v>
      </c>
      <c r="E160">
        <v>105</v>
      </c>
      <c r="F160">
        <v>77.75</v>
      </c>
      <c r="G160" s="1">
        <f>DATE(C160, CHOOSE(MATCH(UPPER(B160), {"ENERO","FEBRERO","MARZO","ABRIL","MAYO","JUNIO","JULIO","AGOSTO","SEPTIEMBRE","OCTUBRE","NOVIEMBRE","DICIEMBRE"}, 0), 1,2,3,4,5,6,7,8,9,10,11,12), A160)</f>
        <v>43624</v>
      </c>
      <c r="H160">
        <v>70.75</v>
      </c>
      <c r="I160">
        <v>36000</v>
      </c>
      <c r="J160" s="1">
        <f t="shared" si="5"/>
        <v>43625</v>
      </c>
      <c r="K160">
        <f t="shared" si="4"/>
        <v>71.875</v>
      </c>
    </row>
    <row r="161" spans="1:11" x14ac:dyDescent="0.25">
      <c r="A161">
        <v>9</v>
      </c>
      <c r="B161" t="s">
        <v>15</v>
      </c>
      <c r="C161">
        <v>2019</v>
      </c>
      <c r="D161">
        <v>77.75</v>
      </c>
      <c r="E161">
        <v>107</v>
      </c>
      <c r="F161">
        <v>112.875</v>
      </c>
      <c r="G161" s="1">
        <f>DATE(C161, CHOOSE(MATCH(UPPER(B161), {"ENERO","FEBRERO","MARZO","ABRIL","MAYO","JUNIO","JULIO","AGOSTO","SEPTIEMBRE","OCTUBRE","NOVIEMBRE","DICIEMBRE"}, 0), 1,2,3,4,5,6,7,8,9,10,11,12), A161)</f>
        <v>43625</v>
      </c>
      <c r="H161">
        <v>71.875</v>
      </c>
      <c r="I161">
        <v>36000</v>
      </c>
      <c r="J161" s="1">
        <f t="shared" si="5"/>
        <v>43626</v>
      </c>
      <c r="K161">
        <f t="shared" si="4"/>
        <v>41.125</v>
      </c>
    </row>
    <row r="162" spans="1:11" x14ac:dyDescent="0.25">
      <c r="A162">
        <v>10</v>
      </c>
      <c r="B162" t="s">
        <v>15</v>
      </c>
      <c r="C162">
        <v>2019</v>
      </c>
      <c r="D162">
        <v>112.875</v>
      </c>
      <c r="E162">
        <v>-29</v>
      </c>
      <c r="F162">
        <v>42.75</v>
      </c>
      <c r="G162" s="1">
        <f>DATE(C162, CHOOSE(MATCH(UPPER(B162), {"ENERO","FEBRERO","MARZO","ABRIL","MAYO","JUNIO","JULIO","AGOSTO","SEPTIEMBRE","OCTUBRE","NOVIEMBRE","DICIEMBRE"}, 0), 1,2,3,4,5,6,7,8,9,10,11,12), A162)</f>
        <v>43626</v>
      </c>
      <c r="H162">
        <v>41.125</v>
      </c>
      <c r="I162">
        <v>36000</v>
      </c>
      <c r="J162" s="1">
        <f t="shared" si="5"/>
        <v>43627</v>
      </c>
      <c r="K162">
        <f t="shared" si="4"/>
        <v>30.75</v>
      </c>
    </row>
    <row r="163" spans="1:11" x14ac:dyDescent="0.25">
      <c r="A163">
        <v>11</v>
      </c>
      <c r="B163" t="s">
        <v>15</v>
      </c>
      <c r="C163">
        <v>2019</v>
      </c>
      <c r="D163">
        <v>42.75</v>
      </c>
      <c r="E163">
        <v>106</v>
      </c>
      <c r="F163">
        <v>118</v>
      </c>
      <c r="G163" s="1">
        <f>DATE(C163, CHOOSE(MATCH(UPPER(B163), {"ENERO","FEBRERO","MARZO","ABRIL","MAYO","JUNIO","JULIO","AGOSTO","SEPTIEMBRE","OCTUBRE","NOVIEMBRE","DICIEMBRE"}, 0), 1,2,3,4,5,6,7,8,9,10,11,12), A163)</f>
        <v>43627</v>
      </c>
      <c r="H163">
        <v>30.75</v>
      </c>
      <c r="I163">
        <v>36000</v>
      </c>
      <c r="J163" s="1">
        <f t="shared" si="5"/>
        <v>43628</v>
      </c>
      <c r="K163">
        <f t="shared" si="4"/>
        <v>39.75</v>
      </c>
    </row>
    <row r="164" spans="1:11" x14ac:dyDescent="0.25">
      <c r="A164">
        <v>12</v>
      </c>
      <c r="B164" t="s">
        <v>15</v>
      </c>
      <c r="C164">
        <v>2019</v>
      </c>
      <c r="D164">
        <v>118</v>
      </c>
      <c r="E164" t="s">
        <v>9</v>
      </c>
      <c r="F164">
        <v>78.25</v>
      </c>
      <c r="G164" s="1">
        <f>DATE(C164, CHOOSE(MATCH(UPPER(B164), {"ENERO","FEBRERO","MARZO","ABRIL","MAYO","JUNIO","JULIO","AGOSTO","SEPTIEMBRE","OCTUBRE","NOVIEMBRE","DICIEMBRE"}, 0), 1,2,3,4,5,6,7,8,9,10,11,12), A164)</f>
        <v>43628</v>
      </c>
      <c r="H164">
        <v>39.75</v>
      </c>
      <c r="I164">
        <v>36000</v>
      </c>
      <c r="J164" s="1">
        <f t="shared" si="5"/>
        <v>43629</v>
      </c>
      <c r="K164">
        <f t="shared" si="4"/>
        <v>53.25</v>
      </c>
    </row>
    <row r="165" spans="1:11" x14ac:dyDescent="0.25">
      <c r="A165">
        <v>13</v>
      </c>
      <c r="B165" t="s">
        <v>15</v>
      </c>
      <c r="C165">
        <v>2019</v>
      </c>
      <c r="D165">
        <v>78.25</v>
      </c>
      <c r="E165">
        <v>65</v>
      </c>
      <c r="F165">
        <v>90</v>
      </c>
      <c r="G165" s="1">
        <f>DATE(C165, CHOOSE(MATCH(UPPER(B165), {"ENERO","FEBRERO","MARZO","ABRIL","MAYO","JUNIO","JULIO","AGOSTO","SEPTIEMBRE","OCTUBRE","NOVIEMBRE","DICIEMBRE"}, 0), 1,2,3,4,5,6,7,8,9,10,11,12), A165)</f>
        <v>43629</v>
      </c>
      <c r="H165">
        <v>53.25</v>
      </c>
      <c r="I165">
        <v>36000</v>
      </c>
      <c r="J165" s="1">
        <f t="shared" si="5"/>
        <v>43630</v>
      </c>
      <c r="K165">
        <f t="shared" si="4"/>
        <v>71.5</v>
      </c>
    </row>
    <row r="166" spans="1:11" x14ac:dyDescent="0.25">
      <c r="A166">
        <v>14</v>
      </c>
      <c r="B166" t="s">
        <v>15</v>
      </c>
      <c r="C166">
        <v>2019</v>
      </c>
      <c r="D166">
        <v>90</v>
      </c>
      <c r="E166">
        <v>70</v>
      </c>
      <c r="F166">
        <v>88.5</v>
      </c>
      <c r="G166" s="1">
        <f>DATE(C166, CHOOSE(MATCH(UPPER(B166), {"ENERO","FEBRERO","MARZO","ABRIL","MAYO","JUNIO","JULIO","AGOSTO","SEPTIEMBRE","OCTUBRE","NOVIEMBRE","DICIEMBRE"}, 0), 1,2,3,4,5,6,7,8,9,10,11,12), A166)</f>
        <v>43630</v>
      </c>
      <c r="H166">
        <v>71.5</v>
      </c>
      <c r="I166">
        <v>36000</v>
      </c>
      <c r="J166" s="1">
        <f t="shared" si="5"/>
        <v>43631</v>
      </c>
      <c r="K166">
        <f t="shared" si="4"/>
        <v>99.75</v>
      </c>
    </row>
    <row r="167" spans="1:11" x14ac:dyDescent="0.25">
      <c r="A167">
        <v>15</v>
      </c>
      <c r="B167" t="s">
        <v>15</v>
      </c>
      <c r="C167">
        <v>2019</v>
      </c>
      <c r="D167">
        <v>88.5</v>
      </c>
      <c r="E167">
        <v>107</v>
      </c>
      <c r="F167">
        <v>95.75</v>
      </c>
      <c r="G167" s="1">
        <f>DATE(C167, CHOOSE(MATCH(UPPER(B167), {"ENERO","FEBRERO","MARZO","ABRIL","MAYO","JUNIO","JULIO","AGOSTO","SEPTIEMBRE","OCTUBRE","NOVIEMBRE","DICIEMBRE"}, 0), 1,2,3,4,5,6,7,8,9,10,11,12), A167)</f>
        <v>43631</v>
      </c>
      <c r="H167">
        <v>99.75</v>
      </c>
      <c r="I167">
        <v>36000</v>
      </c>
      <c r="J167" s="1">
        <f t="shared" si="5"/>
        <v>43632</v>
      </c>
      <c r="K167">
        <f t="shared" si="4"/>
        <v>73.75</v>
      </c>
    </row>
    <row r="168" spans="1:11" x14ac:dyDescent="0.25">
      <c r="A168">
        <v>16</v>
      </c>
      <c r="B168" t="s">
        <v>15</v>
      </c>
      <c r="C168">
        <v>2019</v>
      </c>
      <c r="D168">
        <v>95.75</v>
      </c>
      <c r="E168">
        <v>89</v>
      </c>
      <c r="F168">
        <v>111</v>
      </c>
      <c r="G168" s="1">
        <f>DATE(C168, CHOOSE(MATCH(UPPER(B168), {"ENERO","FEBRERO","MARZO","ABRIL","MAYO","JUNIO","JULIO","AGOSTO","SEPTIEMBRE","OCTUBRE","NOVIEMBRE","DICIEMBRE"}, 0), 1,2,3,4,5,6,7,8,9,10,11,12), A168)</f>
        <v>43632</v>
      </c>
      <c r="H168">
        <v>73.75</v>
      </c>
      <c r="I168">
        <v>36000</v>
      </c>
      <c r="J168" s="1">
        <f t="shared" si="5"/>
        <v>43633</v>
      </c>
      <c r="K168">
        <f t="shared" si="4"/>
        <v>42</v>
      </c>
    </row>
    <row r="169" spans="1:11" x14ac:dyDescent="0.25">
      <c r="A169">
        <v>17</v>
      </c>
      <c r="B169" t="s">
        <v>15</v>
      </c>
      <c r="C169">
        <v>2019</v>
      </c>
      <c r="D169">
        <v>111</v>
      </c>
      <c r="E169">
        <v>72</v>
      </c>
      <c r="F169">
        <v>141</v>
      </c>
      <c r="G169" s="1">
        <f>DATE(C169, CHOOSE(MATCH(UPPER(B169), {"ENERO","FEBRERO","MARZO","ABRIL","MAYO","JUNIO","JULIO","AGOSTO","SEPTIEMBRE","OCTUBRE","NOVIEMBRE","DICIEMBRE"}, 0), 1,2,3,4,5,6,7,8,9,10,11,12), A169)</f>
        <v>43633</v>
      </c>
      <c r="H169">
        <v>42</v>
      </c>
      <c r="I169">
        <v>36000</v>
      </c>
      <c r="J169" s="1">
        <f t="shared" si="5"/>
        <v>43634</v>
      </c>
      <c r="K169">
        <f t="shared" si="4"/>
        <v>45.95</v>
      </c>
    </row>
    <row r="170" spans="1:11" x14ac:dyDescent="0.25">
      <c r="A170">
        <v>18</v>
      </c>
      <c r="B170" t="s">
        <v>15</v>
      </c>
      <c r="C170">
        <v>2019</v>
      </c>
      <c r="D170">
        <v>141</v>
      </c>
      <c r="E170" t="s">
        <v>9</v>
      </c>
      <c r="F170">
        <v>95.05</v>
      </c>
      <c r="G170" s="1">
        <f>DATE(C170, CHOOSE(MATCH(UPPER(B170), {"ENERO","FEBRERO","MARZO","ABRIL","MAYO","JUNIO","JULIO","AGOSTO","SEPTIEMBRE","OCTUBRE","NOVIEMBRE","DICIEMBRE"}, 0), 1,2,3,4,5,6,7,8,9,10,11,12), A170)</f>
        <v>43634</v>
      </c>
      <c r="H170">
        <v>45.95</v>
      </c>
      <c r="I170">
        <v>36000</v>
      </c>
      <c r="J170" s="1">
        <f t="shared" si="5"/>
        <v>43635</v>
      </c>
      <c r="K170">
        <f t="shared" si="4"/>
        <v>59.55</v>
      </c>
    </row>
    <row r="171" spans="1:11" x14ac:dyDescent="0.25">
      <c r="A171">
        <v>19</v>
      </c>
      <c r="B171" t="s">
        <v>15</v>
      </c>
      <c r="C171">
        <v>2019</v>
      </c>
      <c r="D171">
        <v>95.05</v>
      </c>
      <c r="E171">
        <v>139</v>
      </c>
      <c r="F171">
        <v>174.5</v>
      </c>
      <c r="G171" s="1">
        <f>DATE(C171, CHOOSE(MATCH(UPPER(B171), {"ENERO","FEBRERO","MARZO","ABRIL","MAYO","JUNIO","JULIO","AGOSTO","SEPTIEMBRE","OCTUBRE","NOVIEMBRE","DICIEMBRE"}, 0), 1,2,3,4,5,6,7,8,9,10,11,12), A171)</f>
        <v>43635</v>
      </c>
      <c r="H171">
        <v>59.55</v>
      </c>
      <c r="I171">
        <v>36000</v>
      </c>
      <c r="J171" s="1">
        <f t="shared" si="5"/>
        <v>43636</v>
      </c>
      <c r="K171">
        <f t="shared" si="4"/>
        <v>48</v>
      </c>
    </row>
    <row r="172" spans="1:11" x14ac:dyDescent="0.25">
      <c r="A172">
        <v>20</v>
      </c>
      <c r="B172" t="s">
        <v>15</v>
      </c>
      <c r="C172">
        <v>2019</v>
      </c>
      <c r="D172">
        <v>174.5</v>
      </c>
      <c r="E172">
        <v>5</v>
      </c>
      <c r="F172">
        <v>131.5</v>
      </c>
      <c r="G172" s="1">
        <f>DATE(C172, CHOOSE(MATCH(UPPER(B172), {"ENERO","FEBRERO","MARZO","ABRIL","MAYO","JUNIO","JULIO","AGOSTO","SEPTIEMBRE","OCTUBRE","NOVIEMBRE","DICIEMBRE"}, 0), 1,2,3,4,5,6,7,8,9,10,11,12), A172)</f>
        <v>43636</v>
      </c>
      <c r="H172">
        <v>48</v>
      </c>
      <c r="I172">
        <v>36000</v>
      </c>
      <c r="J172" s="1">
        <f t="shared" si="5"/>
        <v>43637</v>
      </c>
      <c r="K172">
        <f t="shared" si="4"/>
        <v>62.5</v>
      </c>
    </row>
    <row r="173" spans="1:11" x14ac:dyDescent="0.25">
      <c r="A173">
        <v>21</v>
      </c>
      <c r="B173" t="s">
        <v>15</v>
      </c>
      <c r="C173">
        <v>2019</v>
      </c>
      <c r="D173">
        <v>131.5</v>
      </c>
      <c r="E173" t="s">
        <v>9</v>
      </c>
      <c r="F173">
        <v>69</v>
      </c>
      <c r="G173" s="1">
        <f>DATE(C173, CHOOSE(MATCH(UPPER(B173), {"ENERO","FEBRERO","MARZO","ABRIL","MAYO","JUNIO","JULIO","AGOSTO","SEPTIEMBRE","OCTUBRE","NOVIEMBRE","DICIEMBRE"}, 0), 1,2,3,4,5,6,7,8,9,10,11,12), A173)</f>
        <v>43637</v>
      </c>
      <c r="H173">
        <v>62.5</v>
      </c>
      <c r="I173">
        <v>36000</v>
      </c>
      <c r="J173" s="1">
        <f t="shared" si="5"/>
        <v>43638</v>
      </c>
      <c r="K173">
        <f t="shared" si="4"/>
        <v>76.25</v>
      </c>
    </row>
    <row r="174" spans="1:11" x14ac:dyDescent="0.25">
      <c r="A174">
        <v>22</v>
      </c>
      <c r="B174" t="s">
        <v>15</v>
      </c>
      <c r="C174">
        <v>2019</v>
      </c>
      <c r="D174">
        <v>69</v>
      </c>
      <c r="E174">
        <v>106</v>
      </c>
      <c r="F174">
        <v>98.75</v>
      </c>
      <c r="G174" s="1">
        <f>DATE(C174, CHOOSE(MATCH(UPPER(B174), {"ENERO","FEBRERO","MARZO","ABRIL","MAYO","JUNIO","JULIO","AGOSTO","SEPTIEMBRE","OCTUBRE","NOVIEMBRE","DICIEMBRE"}, 0), 1,2,3,4,5,6,7,8,9,10,11,12), A174)</f>
        <v>43638</v>
      </c>
      <c r="H174">
        <v>76.25</v>
      </c>
      <c r="I174">
        <v>36000</v>
      </c>
      <c r="J174" s="1">
        <f t="shared" si="5"/>
        <v>43639</v>
      </c>
      <c r="K174">
        <f t="shared" si="4"/>
        <v>82.25</v>
      </c>
    </row>
    <row r="175" spans="1:11" x14ac:dyDescent="0.25">
      <c r="A175">
        <v>23</v>
      </c>
      <c r="B175" t="s">
        <v>15</v>
      </c>
      <c r="C175">
        <v>2019</v>
      </c>
      <c r="D175">
        <v>98.75</v>
      </c>
      <c r="E175">
        <v>45</v>
      </c>
      <c r="F175">
        <v>61.5</v>
      </c>
      <c r="G175" s="1">
        <f>DATE(C175, CHOOSE(MATCH(UPPER(B175), {"ENERO","FEBRERO","MARZO","ABRIL","MAYO","JUNIO","JULIO","AGOSTO","SEPTIEMBRE","OCTUBRE","NOVIEMBRE","DICIEMBRE"}, 0), 1,2,3,4,5,6,7,8,9,10,11,12), A175)</f>
        <v>43639</v>
      </c>
      <c r="H175">
        <v>82.25</v>
      </c>
      <c r="I175">
        <v>36000</v>
      </c>
      <c r="J175" s="1">
        <f t="shared" si="5"/>
        <v>43640</v>
      </c>
      <c r="K175">
        <f t="shared" si="4"/>
        <v>68.5</v>
      </c>
    </row>
    <row r="176" spans="1:11" x14ac:dyDescent="0.25">
      <c r="A176">
        <v>24</v>
      </c>
      <c r="B176" t="s">
        <v>15</v>
      </c>
      <c r="C176">
        <v>2019</v>
      </c>
      <c r="D176">
        <v>61.5</v>
      </c>
      <c r="E176">
        <v>46</v>
      </c>
      <c r="F176">
        <v>39</v>
      </c>
      <c r="G176" s="1">
        <f>DATE(C176, CHOOSE(MATCH(UPPER(B176), {"ENERO","FEBRERO","MARZO","ABRIL","MAYO","JUNIO","JULIO","AGOSTO","SEPTIEMBRE","OCTUBRE","NOVIEMBRE","DICIEMBRE"}, 0), 1,2,3,4,5,6,7,8,9,10,11,12), A176)</f>
        <v>43640</v>
      </c>
      <c r="H176">
        <v>68.5</v>
      </c>
      <c r="I176">
        <v>36000</v>
      </c>
      <c r="J176" s="1">
        <f t="shared" si="5"/>
        <v>43641</v>
      </c>
      <c r="K176">
        <f t="shared" si="4"/>
        <v>51</v>
      </c>
    </row>
    <row r="177" spans="1:11" x14ac:dyDescent="0.25">
      <c r="A177">
        <v>25</v>
      </c>
      <c r="B177" t="s">
        <v>15</v>
      </c>
      <c r="C177">
        <v>2019</v>
      </c>
      <c r="D177">
        <v>39</v>
      </c>
      <c r="E177">
        <v>35</v>
      </c>
      <c r="F177">
        <v>23</v>
      </c>
      <c r="G177" s="1">
        <f>DATE(C177, CHOOSE(MATCH(UPPER(B177), {"ENERO","FEBRERO","MARZO","ABRIL","MAYO","JUNIO","JULIO","AGOSTO","SEPTIEMBRE","OCTUBRE","NOVIEMBRE","DICIEMBRE"}, 0), 1,2,3,4,5,6,7,8,9,10,11,12), A177)</f>
        <v>43641</v>
      </c>
      <c r="H177">
        <v>51</v>
      </c>
      <c r="I177">
        <v>36000</v>
      </c>
      <c r="J177" s="1">
        <f t="shared" si="5"/>
        <v>43642</v>
      </c>
      <c r="K177">
        <f t="shared" si="4"/>
        <v>65</v>
      </c>
    </row>
    <row r="178" spans="1:11" x14ac:dyDescent="0.25">
      <c r="A178">
        <v>26</v>
      </c>
      <c r="B178" t="s">
        <v>15</v>
      </c>
      <c r="C178">
        <v>2019</v>
      </c>
      <c r="D178">
        <v>23</v>
      </c>
      <c r="E178">
        <v>76</v>
      </c>
      <c r="F178">
        <v>34</v>
      </c>
      <c r="G178" s="1">
        <f>DATE(C178, CHOOSE(MATCH(UPPER(B178), {"ENERO","FEBRERO","MARZO","ABRIL","MAYO","JUNIO","JULIO","AGOSTO","SEPTIEMBRE","OCTUBRE","NOVIEMBRE","DICIEMBRE"}, 0), 1,2,3,4,5,6,7,8,9,10,11,12), A178)</f>
        <v>43642</v>
      </c>
      <c r="H178">
        <v>65</v>
      </c>
      <c r="I178">
        <v>36000</v>
      </c>
      <c r="J178" s="1">
        <f t="shared" si="5"/>
        <v>43643</v>
      </c>
      <c r="K178">
        <f t="shared" si="4"/>
        <v>50.5</v>
      </c>
    </row>
    <row r="179" spans="1:11" x14ac:dyDescent="0.25">
      <c r="A179">
        <v>27</v>
      </c>
      <c r="B179" t="s">
        <v>15</v>
      </c>
      <c r="C179">
        <v>2019</v>
      </c>
      <c r="D179">
        <v>34</v>
      </c>
      <c r="E179">
        <v>105</v>
      </c>
      <c r="F179">
        <v>88.5</v>
      </c>
      <c r="G179" s="1">
        <f>DATE(C179, CHOOSE(MATCH(UPPER(B179), {"ENERO","FEBRERO","MARZO","ABRIL","MAYO","JUNIO","JULIO","AGOSTO","SEPTIEMBRE","OCTUBRE","NOVIEMBRE","DICIEMBRE"}, 0), 1,2,3,4,5,6,7,8,9,10,11,12), A179)</f>
        <v>43643</v>
      </c>
      <c r="H179">
        <v>50.5</v>
      </c>
      <c r="I179">
        <v>36000</v>
      </c>
      <c r="J179" s="1">
        <f t="shared" si="5"/>
        <v>43644</v>
      </c>
      <c r="K179">
        <f t="shared" si="4"/>
        <v>80</v>
      </c>
    </row>
    <row r="180" spans="1:11" x14ac:dyDescent="0.25">
      <c r="A180">
        <v>28</v>
      </c>
      <c r="B180" t="s">
        <v>15</v>
      </c>
      <c r="C180">
        <v>2019</v>
      </c>
      <c r="D180">
        <v>88.5</v>
      </c>
      <c r="E180">
        <v>105</v>
      </c>
      <c r="F180">
        <v>113.5</v>
      </c>
      <c r="G180" s="1">
        <f>DATE(C180, CHOOSE(MATCH(UPPER(B180), {"ENERO","FEBRERO","MARZO","ABRIL","MAYO","JUNIO","JULIO","AGOSTO","SEPTIEMBRE","OCTUBRE","NOVIEMBRE","DICIEMBRE"}, 0), 1,2,3,4,5,6,7,8,9,10,11,12), A180)</f>
        <v>43644</v>
      </c>
      <c r="H180">
        <v>80</v>
      </c>
      <c r="I180">
        <v>36000</v>
      </c>
      <c r="J180" s="1">
        <f t="shared" si="5"/>
        <v>43645</v>
      </c>
      <c r="K180">
        <f t="shared" si="4"/>
        <v>63</v>
      </c>
    </row>
    <row r="181" spans="1:11" x14ac:dyDescent="0.25">
      <c r="A181">
        <v>29</v>
      </c>
      <c r="B181" t="s">
        <v>15</v>
      </c>
      <c r="C181">
        <v>2019</v>
      </c>
      <c r="D181">
        <v>113.5</v>
      </c>
      <c r="E181">
        <v>56</v>
      </c>
      <c r="F181">
        <v>106.5</v>
      </c>
      <c r="G181" s="1">
        <f>DATE(C181, CHOOSE(MATCH(UPPER(B181), {"ENERO","FEBRERO","MARZO","ABRIL","MAYO","JUNIO","JULIO","AGOSTO","SEPTIEMBRE","OCTUBRE","NOVIEMBRE","DICIEMBRE"}, 0), 1,2,3,4,5,6,7,8,9,10,11,12), A181)</f>
        <v>43645</v>
      </c>
      <c r="H181">
        <v>63</v>
      </c>
      <c r="I181">
        <v>36000</v>
      </c>
      <c r="J181" s="1">
        <f t="shared" si="5"/>
        <v>43646</v>
      </c>
      <c r="K181">
        <f t="shared" si="4"/>
        <v>77.5</v>
      </c>
    </row>
    <row r="182" spans="1:11" x14ac:dyDescent="0.25">
      <c r="A182">
        <v>30</v>
      </c>
      <c r="B182" t="s">
        <v>15</v>
      </c>
      <c r="C182">
        <v>2019</v>
      </c>
      <c r="D182">
        <v>106.5</v>
      </c>
      <c r="E182">
        <v>16</v>
      </c>
      <c r="F182">
        <v>45</v>
      </c>
      <c r="G182" s="1">
        <f>DATE(C182, CHOOSE(MATCH(UPPER(B182), {"ENERO","FEBRERO","MARZO","ABRIL","MAYO","JUNIO","JULIO","AGOSTO","SEPTIEMBRE","OCTUBRE","NOVIEMBRE","DICIEMBRE"}, 0), 1,2,3,4,5,6,7,8,9,10,11,12), A182)</f>
        <v>43646</v>
      </c>
      <c r="H182">
        <v>77.5</v>
      </c>
      <c r="I182">
        <v>36000</v>
      </c>
      <c r="J182" s="1">
        <f t="shared" si="5"/>
        <v>43647</v>
      </c>
      <c r="K182">
        <f t="shared" si="4"/>
        <v>81</v>
      </c>
    </row>
    <row r="183" spans="1:11" x14ac:dyDescent="0.25">
      <c r="A183">
        <v>1</v>
      </c>
      <c r="B183" t="s">
        <v>16</v>
      </c>
      <c r="C183">
        <v>2019</v>
      </c>
      <c r="D183">
        <v>45</v>
      </c>
      <c r="E183">
        <v>105</v>
      </c>
      <c r="F183">
        <v>69</v>
      </c>
      <c r="G183" s="1">
        <f>DATE(C183, CHOOSE(MATCH(UPPER(B183), {"ENERO","FEBRERO","MARZO","ABRIL","MAYO","JUNIO","JULIO","AGOSTO","SEPTIEMBRE","OCTUBRE","NOVIEMBRE","DICIEMBRE"}, 0), 1,2,3,4,5,6,7,8,9,10,11,12), A183)</f>
        <v>43647</v>
      </c>
      <c r="H183">
        <v>81</v>
      </c>
      <c r="I183">
        <v>36000</v>
      </c>
      <c r="J183" s="1">
        <f t="shared" si="5"/>
        <v>43648</v>
      </c>
      <c r="K183">
        <f t="shared" si="4"/>
        <v>69</v>
      </c>
    </row>
    <row r="184" spans="1:11" x14ac:dyDescent="0.25">
      <c r="A184">
        <v>2</v>
      </c>
      <c r="B184" t="s">
        <v>16</v>
      </c>
      <c r="C184">
        <v>2019</v>
      </c>
      <c r="D184">
        <v>69</v>
      </c>
      <c r="E184">
        <v>14</v>
      </c>
      <c r="F184">
        <v>14</v>
      </c>
      <c r="G184" s="1">
        <f>DATE(C184, CHOOSE(MATCH(UPPER(B184), {"ENERO","FEBRERO","MARZO","ABRIL","MAYO","JUNIO","JULIO","AGOSTO","SEPTIEMBRE","OCTUBRE","NOVIEMBRE","DICIEMBRE"}, 0), 1,2,3,4,5,6,7,8,9,10,11,12), A184)</f>
        <v>43648</v>
      </c>
      <c r="H184">
        <v>69</v>
      </c>
      <c r="I184">
        <v>36000</v>
      </c>
      <c r="J184" s="1">
        <f t="shared" si="5"/>
        <v>43649</v>
      </c>
      <c r="K184">
        <f t="shared" si="4"/>
        <v>60</v>
      </c>
    </row>
    <row r="185" spans="1:11" x14ac:dyDescent="0.25">
      <c r="A185">
        <v>3</v>
      </c>
      <c r="B185" t="s">
        <v>16</v>
      </c>
      <c r="C185">
        <v>2019</v>
      </c>
      <c r="D185">
        <v>14</v>
      </c>
      <c r="E185">
        <v>141</v>
      </c>
      <c r="F185">
        <v>95</v>
      </c>
      <c r="G185" s="1">
        <f>DATE(C185, CHOOSE(MATCH(UPPER(B185), {"ENERO","FEBRERO","MARZO","ABRIL","MAYO","JUNIO","JULIO","AGOSTO","SEPTIEMBRE","OCTUBRE","NOVIEMBRE","DICIEMBRE"}, 0), 1,2,3,4,5,6,7,8,9,10,11,12), A185)</f>
        <v>43649</v>
      </c>
      <c r="H185">
        <v>60</v>
      </c>
      <c r="I185">
        <v>36000</v>
      </c>
      <c r="J185" s="1">
        <f t="shared" si="5"/>
        <v>43650</v>
      </c>
      <c r="K185">
        <f t="shared" si="4"/>
        <v>57</v>
      </c>
    </row>
    <row r="186" spans="1:11" x14ac:dyDescent="0.25">
      <c r="A186">
        <v>4</v>
      </c>
      <c r="B186" t="s">
        <v>16</v>
      </c>
      <c r="C186">
        <v>2019</v>
      </c>
      <c r="D186">
        <v>95</v>
      </c>
      <c r="E186">
        <v>81</v>
      </c>
      <c r="F186">
        <v>119</v>
      </c>
      <c r="G186" s="1">
        <f>DATE(C186, CHOOSE(MATCH(UPPER(B186), {"ENERO","FEBRERO","MARZO","ABRIL","MAYO","JUNIO","JULIO","AGOSTO","SEPTIEMBRE","OCTUBRE","NOVIEMBRE","DICIEMBRE"}, 0), 1,2,3,4,5,6,7,8,9,10,11,12), A186)</f>
        <v>43650</v>
      </c>
      <c r="H186">
        <v>57</v>
      </c>
      <c r="I186">
        <v>36000</v>
      </c>
      <c r="J186" s="1">
        <f t="shared" si="5"/>
        <v>43651</v>
      </c>
      <c r="K186">
        <f t="shared" si="4"/>
        <v>69</v>
      </c>
    </row>
    <row r="187" spans="1:11" x14ac:dyDescent="0.25">
      <c r="A187">
        <v>5</v>
      </c>
      <c r="B187" t="s">
        <v>16</v>
      </c>
      <c r="C187">
        <v>2019</v>
      </c>
      <c r="D187">
        <v>119</v>
      </c>
      <c r="E187">
        <v>106</v>
      </c>
      <c r="F187">
        <v>156</v>
      </c>
      <c r="G187" s="1">
        <f>DATE(C187, CHOOSE(MATCH(UPPER(B187), {"ENERO","FEBRERO","MARZO","ABRIL","MAYO","JUNIO","JULIO","AGOSTO","SEPTIEMBRE","OCTUBRE","NOVIEMBRE","DICIEMBRE"}, 0), 1,2,3,4,5,6,7,8,9,10,11,12), A187)</f>
        <v>43651</v>
      </c>
      <c r="H187">
        <v>69</v>
      </c>
      <c r="I187">
        <v>36000</v>
      </c>
      <c r="J187" s="1">
        <f t="shared" si="5"/>
        <v>43652</v>
      </c>
      <c r="K187">
        <f t="shared" si="4"/>
        <v>83</v>
      </c>
    </row>
    <row r="188" spans="1:11" x14ac:dyDescent="0.25">
      <c r="A188">
        <v>6</v>
      </c>
      <c r="B188" t="s">
        <v>16</v>
      </c>
      <c r="C188">
        <v>2019</v>
      </c>
      <c r="D188">
        <v>156</v>
      </c>
      <c r="E188">
        <v>106</v>
      </c>
      <c r="F188">
        <v>179</v>
      </c>
      <c r="G188" s="1">
        <f>DATE(C188, CHOOSE(MATCH(UPPER(B188), {"ENERO","FEBRERO","MARZO","ABRIL","MAYO","JUNIO","JULIO","AGOSTO","SEPTIEMBRE","OCTUBRE","NOVIEMBRE","DICIEMBRE"}, 0), 1,2,3,4,5,6,7,8,9,10,11,12), A188)</f>
        <v>43652</v>
      </c>
      <c r="H188">
        <v>83</v>
      </c>
      <c r="I188">
        <v>36000</v>
      </c>
      <c r="J188" s="1">
        <f t="shared" si="5"/>
        <v>43653</v>
      </c>
      <c r="K188">
        <f t="shared" si="4"/>
        <v>80</v>
      </c>
    </row>
    <row r="189" spans="1:11" x14ac:dyDescent="0.25">
      <c r="A189">
        <v>7</v>
      </c>
      <c r="B189" t="s">
        <v>16</v>
      </c>
      <c r="C189">
        <v>2019</v>
      </c>
      <c r="D189">
        <v>179</v>
      </c>
      <c r="E189">
        <v>57</v>
      </c>
      <c r="F189">
        <v>156</v>
      </c>
      <c r="G189" s="1">
        <f>DATE(C189, CHOOSE(MATCH(UPPER(B189), {"ENERO","FEBRERO","MARZO","ABRIL","MAYO","JUNIO","JULIO","AGOSTO","SEPTIEMBRE","OCTUBRE","NOVIEMBRE","DICIEMBRE"}, 0), 1,2,3,4,5,6,7,8,9,10,11,12), A189)</f>
        <v>43653</v>
      </c>
      <c r="H189">
        <v>80</v>
      </c>
      <c r="I189">
        <v>36000</v>
      </c>
      <c r="J189" s="1">
        <f t="shared" si="5"/>
        <v>43654</v>
      </c>
      <c r="K189">
        <f t="shared" si="4"/>
        <v>44.75</v>
      </c>
    </row>
    <row r="190" spans="1:11" x14ac:dyDescent="0.25">
      <c r="A190">
        <v>8</v>
      </c>
      <c r="B190" t="s">
        <v>16</v>
      </c>
      <c r="C190">
        <v>2019</v>
      </c>
      <c r="D190">
        <v>156</v>
      </c>
      <c r="E190">
        <v>-27</v>
      </c>
      <c r="F190">
        <v>84.25</v>
      </c>
      <c r="G190" s="1">
        <f>DATE(C190, CHOOSE(MATCH(UPPER(B190), {"ENERO","FEBRERO","MARZO","ABRIL","MAYO","JUNIO","JULIO","AGOSTO","SEPTIEMBRE","OCTUBRE","NOVIEMBRE","DICIEMBRE"}, 0), 1,2,3,4,5,6,7,8,9,10,11,12), A190)</f>
        <v>43654</v>
      </c>
      <c r="H190">
        <v>44.75</v>
      </c>
      <c r="I190">
        <v>36000</v>
      </c>
      <c r="J190" s="1">
        <f t="shared" si="5"/>
        <v>43655</v>
      </c>
      <c r="K190">
        <f t="shared" si="4"/>
        <v>41.25</v>
      </c>
    </row>
    <row r="191" spans="1:11" x14ac:dyDescent="0.25">
      <c r="A191">
        <v>9</v>
      </c>
      <c r="B191" t="s">
        <v>16</v>
      </c>
      <c r="C191">
        <v>2019</v>
      </c>
      <c r="D191">
        <v>84.25</v>
      </c>
      <c r="E191">
        <v>108</v>
      </c>
      <c r="F191">
        <v>151</v>
      </c>
      <c r="G191" s="1">
        <f>DATE(C191, CHOOSE(MATCH(UPPER(B191), {"ENERO","FEBRERO","MARZO","ABRIL","MAYO","JUNIO","JULIO","AGOSTO","SEPTIEMBRE","OCTUBRE","NOVIEMBRE","DICIEMBRE"}, 0), 1,2,3,4,5,6,7,8,9,10,11,12), A191)</f>
        <v>43655</v>
      </c>
      <c r="H191">
        <v>41.25</v>
      </c>
      <c r="I191">
        <v>36000</v>
      </c>
      <c r="J191" s="1">
        <f t="shared" si="5"/>
        <v>43656</v>
      </c>
      <c r="K191">
        <f t="shared" si="4"/>
        <v>50</v>
      </c>
    </row>
    <row r="192" spans="1:11" x14ac:dyDescent="0.25">
      <c r="A192">
        <v>10</v>
      </c>
      <c r="B192" t="s">
        <v>16</v>
      </c>
      <c r="C192">
        <v>2019</v>
      </c>
      <c r="D192">
        <v>151</v>
      </c>
      <c r="E192">
        <v>106</v>
      </c>
      <c r="F192">
        <v>207</v>
      </c>
      <c r="G192" s="1">
        <f>DATE(C192, CHOOSE(MATCH(UPPER(B192), {"ENERO","FEBRERO","MARZO","ABRIL","MAYO","JUNIO","JULIO","AGOSTO","SEPTIEMBRE","OCTUBRE","NOVIEMBRE","DICIEMBRE"}, 0), 1,2,3,4,5,6,7,8,9,10,11,12), A192)</f>
        <v>43656</v>
      </c>
      <c r="H192">
        <v>50</v>
      </c>
      <c r="I192">
        <v>36000</v>
      </c>
      <c r="J192" s="1">
        <f t="shared" si="5"/>
        <v>43657</v>
      </c>
      <c r="K192">
        <f t="shared" si="4"/>
        <v>54</v>
      </c>
    </row>
    <row r="193" spans="1:11" x14ac:dyDescent="0.25">
      <c r="A193">
        <v>11</v>
      </c>
      <c r="B193" t="s">
        <v>16</v>
      </c>
      <c r="C193">
        <v>2019</v>
      </c>
      <c r="D193">
        <v>207</v>
      </c>
      <c r="E193">
        <v>-10</v>
      </c>
      <c r="F193">
        <v>143</v>
      </c>
      <c r="G193" s="1">
        <f>DATE(C193, CHOOSE(MATCH(UPPER(B193), {"ENERO","FEBRERO","MARZO","ABRIL","MAYO","JUNIO","JULIO","AGOSTO","SEPTIEMBRE","OCTUBRE","NOVIEMBRE","DICIEMBRE"}, 0), 1,2,3,4,5,6,7,8,9,10,11,12), A193)</f>
        <v>43657</v>
      </c>
      <c r="H193">
        <v>54</v>
      </c>
      <c r="I193">
        <v>36000</v>
      </c>
      <c r="J193" s="1">
        <f t="shared" si="5"/>
        <v>43658</v>
      </c>
      <c r="K193">
        <f t="shared" si="4"/>
        <v>66.25</v>
      </c>
    </row>
    <row r="194" spans="1:11" x14ac:dyDescent="0.25">
      <c r="A194">
        <v>12</v>
      </c>
      <c r="B194" t="s">
        <v>16</v>
      </c>
      <c r="C194">
        <v>2019</v>
      </c>
      <c r="D194">
        <v>143</v>
      </c>
      <c r="E194">
        <v>104</v>
      </c>
      <c r="F194">
        <v>180.75</v>
      </c>
      <c r="G194" s="1">
        <f>DATE(C194, CHOOSE(MATCH(UPPER(B194), {"ENERO","FEBRERO","MARZO","ABRIL","MAYO","JUNIO","JULIO","AGOSTO","SEPTIEMBRE","OCTUBRE","NOVIEMBRE","DICIEMBRE"}, 0), 1,2,3,4,5,6,7,8,9,10,11,12), A194)</f>
        <v>43658</v>
      </c>
      <c r="H194">
        <v>66.25</v>
      </c>
      <c r="I194">
        <v>36000</v>
      </c>
      <c r="J194" s="1">
        <f t="shared" si="5"/>
        <v>43659</v>
      </c>
      <c r="K194">
        <f t="shared" si="4"/>
        <v>78.25</v>
      </c>
    </row>
    <row r="195" spans="1:11" x14ac:dyDescent="0.25">
      <c r="A195">
        <v>13</v>
      </c>
      <c r="B195" t="s">
        <v>16</v>
      </c>
      <c r="C195">
        <v>2019</v>
      </c>
      <c r="D195">
        <v>180.75</v>
      </c>
      <c r="E195">
        <v>2</v>
      </c>
      <c r="F195">
        <v>104.5</v>
      </c>
      <c r="G195" s="1">
        <f>DATE(C195, CHOOSE(MATCH(UPPER(B195), {"ENERO","FEBRERO","MARZO","ABRIL","MAYO","JUNIO","JULIO","AGOSTO","SEPTIEMBRE","OCTUBRE","NOVIEMBRE","DICIEMBRE"}, 0), 1,2,3,4,5,6,7,8,9,10,11,12), A195)</f>
        <v>43659</v>
      </c>
      <c r="H195">
        <v>78.25</v>
      </c>
      <c r="I195">
        <v>36000</v>
      </c>
      <c r="J195" s="1">
        <f t="shared" si="5"/>
        <v>43660</v>
      </c>
      <c r="K195">
        <f t="shared" ref="K195:K258" si="6">VLOOKUP(J195, G:H, 2, FALSE)</f>
        <v>69.5</v>
      </c>
    </row>
    <row r="196" spans="1:11" x14ac:dyDescent="0.25">
      <c r="A196">
        <v>14</v>
      </c>
      <c r="B196" t="s">
        <v>16</v>
      </c>
      <c r="C196">
        <v>2019</v>
      </c>
      <c r="D196">
        <v>104.5</v>
      </c>
      <c r="E196">
        <v>107</v>
      </c>
      <c r="F196">
        <v>142</v>
      </c>
      <c r="G196" s="1">
        <f>DATE(C196, CHOOSE(MATCH(UPPER(B196), {"ENERO","FEBRERO","MARZO","ABRIL","MAYO","JUNIO","JULIO","AGOSTO","SEPTIEMBRE","OCTUBRE","NOVIEMBRE","DICIEMBRE"}, 0), 1,2,3,4,5,6,7,8,9,10,11,12), A196)</f>
        <v>43660</v>
      </c>
      <c r="H196">
        <v>69.5</v>
      </c>
      <c r="I196">
        <v>36000</v>
      </c>
      <c r="J196" s="1">
        <f t="shared" si="5"/>
        <v>43661</v>
      </c>
      <c r="K196">
        <f t="shared" si="6"/>
        <v>39</v>
      </c>
    </row>
    <row r="197" spans="1:11" x14ac:dyDescent="0.25">
      <c r="A197">
        <v>15</v>
      </c>
      <c r="B197" t="s">
        <v>16</v>
      </c>
      <c r="C197">
        <v>2019</v>
      </c>
      <c r="D197">
        <v>142</v>
      </c>
      <c r="E197">
        <v>92</v>
      </c>
      <c r="F197">
        <v>195</v>
      </c>
      <c r="G197" s="1">
        <f>DATE(C197, CHOOSE(MATCH(UPPER(B197), {"ENERO","FEBRERO","MARZO","ABRIL","MAYO","JUNIO","JULIO","AGOSTO","SEPTIEMBRE","OCTUBRE","NOVIEMBRE","DICIEMBRE"}, 0), 1,2,3,4,5,6,7,8,9,10,11,12), A197)</f>
        <v>43661</v>
      </c>
      <c r="H197">
        <v>39</v>
      </c>
      <c r="I197">
        <v>36000</v>
      </c>
      <c r="J197" s="1">
        <f t="shared" ref="J197:J260" si="7">DATE(2019,1,1) + ROW()-1</f>
        <v>43662</v>
      </c>
      <c r="K197">
        <f t="shared" si="6"/>
        <v>44</v>
      </c>
    </row>
    <row r="198" spans="1:11" x14ac:dyDescent="0.25">
      <c r="A198">
        <v>16</v>
      </c>
      <c r="B198" t="s">
        <v>16</v>
      </c>
      <c r="C198">
        <v>2019</v>
      </c>
      <c r="D198">
        <v>195</v>
      </c>
      <c r="E198">
        <v>70</v>
      </c>
      <c r="F198">
        <v>221</v>
      </c>
      <c r="G198" s="1">
        <f>DATE(C198, CHOOSE(MATCH(UPPER(B198), {"ENERO","FEBRERO","MARZO","ABRIL","MAYO","JUNIO","JULIO","AGOSTO","SEPTIEMBRE","OCTUBRE","NOVIEMBRE","DICIEMBRE"}, 0), 1,2,3,4,5,6,7,8,9,10,11,12), A198)</f>
        <v>43662</v>
      </c>
      <c r="H198">
        <v>44</v>
      </c>
      <c r="I198">
        <v>36000</v>
      </c>
      <c r="J198" s="1">
        <f t="shared" si="7"/>
        <v>43663</v>
      </c>
      <c r="K198">
        <f t="shared" si="6"/>
        <v>43</v>
      </c>
    </row>
    <row r="199" spans="1:11" x14ac:dyDescent="0.25">
      <c r="A199">
        <v>17</v>
      </c>
      <c r="B199" t="s">
        <v>16</v>
      </c>
      <c r="C199">
        <v>2019</v>
      </c>
      <c r="D199">
        <v>221</v>
      </c>
      <c r="E199">
        <v>-30</v>
      </c>
      <c r="F199">
        <v>148</v>
      </c>
      <c r="G199" s="1">
        <f>DATE(C199, CHOOSE(MATCH(UPPER(B199), {"ENERO","FEBRERO","MARZO","ABRIL","MAYO","JUNIO","JULIO","AGOSTO","SEPTIEMBRE","OCTUBRE","NOVIEMBRE","DICIEMBRE"}, 0), 1,2,3,4,5,6,7,8,9,10,11,12), A199)</f>
        <v>43663</v>
      </c>
      <c r="H199">
        <v>43</v>
      </c>
      <c r="I199">
        <v>36000</v>
      </c>
      <c r="J199" s="1">
        <f t="shared" si="7"/>
        <v>43664</v>
      </c>
      <c r="K199">
        <f t="shared" si="6"/>
        <v>35.5</v>
      </c>
    </row>
    <row r="200" spans="1:11" x14ac:dyDescent="0.25">
      <c r="A200">
        <v>18</v>
      </c>
      <c r="B200" t="s">
        <v>16</v>
      </c>
      <c r="C200">
        <v>2019</v>
      </c>
      <c r="D200">
        <v>148</v>
      </c>
      <c r="E200">
        <v>-28</v>
      </c>
      <c r="F200">
        <v>84.5</v>
      </c>
      <c r="G200" s="1">
        <f>DATE(C200, CHOOSE(MATCH(UPPER(B200), {"ENERO","FEBRERO","MARZO","ABRIL","MAYO","JUNIO","JULIO","AGOSTO","SEPTIEMBRE","OCTUBRE","NOVIEMBRE","DICIEMBRE"}, 0), 1,2,3,4,5,6,7,8,9,10,11,12), A200)</f>
        <v>43664</v>
      </c>
      <c r="H200">
        <v>35.5</v>
      </c>
      <c r="I200">
        <v>36000</v>
      </c>
      <c r="J200" s="1">
        <f t="shared" si="7"/>
        <v>43665</v>
      </c>
      <c r="K200">
        <f t="shared" si="6"/>
        <v>60</v>
      </c>
    </row>
    <row r="201" spans="1:11" x14ac:dyDescent="0.25">
      <c r="A201">
        <v>19</v>
      </c>
      <c r="B201" t="s">
        <v>16</v>
      </c>
      <c r="C201">
        <v>2019</v>
      </c>
      <c r="D201">
        <v>84.5</v>
      </c>
      <c r="E201">
        <v>108</v>
      </c>
      <c r="F201">
        <v>132.5</v>
      </c>
      <c r="G201" s="1">
        <f>DATE(C201, CHOOSE(MATCH(UPPER(B201), {"ENERO","FEBRERO","MARZO","ABRIL","MAYO","JUNIO","JULIO","AGOSTO","SEPTIEMBRE","OCTUBRE","NOVIEMBRE","DICIEMBRE"}, 0), 1,2,3,4,5,6,7,8,9,10,11,12), A201)</f>
        <v>43665</v>
      </c>
      <c r="H201">
        <v>60</v>
      </c>
      <c r="I201">
        <v>36000</v>
      </c>
      <c r="J201" s="1">
        <f t="shared" si="7"/>
        <v>43666</v>
      </c>
      <c r="K201">
        <f t="shared" si="6"/>
        <v>75.5</v>
      </c>
    </row>
    <row r="202" spans="1:11" x14ac:dyDescent="0.25">
      <c r="A202">
        <v>20</v>
      </c>
      <c r="B202" t="s">
        <v>16</v>
      </c>
      <c r="C202">
        <v>2019</v>
      </c>
      <c r="D202">
        <v>132.5</v>
      </c>
      <c r="E202">
        <v>108</v>
      </c>
      <c r="F202">
        <v>165</v>
      </c>
      <c r="G202" s="1">
        <f>DATE(C202, CHOOSE(MATCH(UPPER(B202), {"ENERO","FEBRERO","MARZO","ABRIL","MAYO","JUNIO","JULIO","AGOSTO","SEPTIEMBRE","OCTUBRE","NOVIEMBRE","DICIEMBRE"}, 0), 1,2,3,4,5,6,7,8,9,10,11,12), A202)</f>
        <v>43666</v>
      </c>
      <c r="H202">
        <v>75.5</v>
      </c>
      <c r="I202">
        <v>36000</v>
      </c>
      <c r="J202" s="1">
        <f t="shared" si="7"/>
        <v>43667</v>
      </c>
      <c r="K202">
        <f t="shared" si="6"/>
        <v>67.5</v>
      </c>
    </row>
    <row r="203" spans="1:11" x14ac:dyDescent="0.25">
      <c r="A203">
        <v>21</v>
      </c>
      <c r="B203" t="s">
        <v>16</v>
      </c>
      <c r="C203">
        <v>2019</v>
      </c>
      <c r="D203">
        <v>165</v>
      </c>
      <c r="E203">
        <v>78</v>
      </c>
      <c r="F203">
        <v>175.5</v>
      </c>
      <c r="G203" s="1">
        <f>DATE(C203, CHOOSE(MATCH(UPPER(B203), {"ENERO","FEBRERO","MARZO","ABRIL","MAYO","JUNIO","JULIO","AGOSTO","SEPTIEMBRE","OCTUBRE","NOVIEMBRE","DICIEMBRE"}, 0), 1,2,3,4,5,6,7,8,9,10,11,12), A203)</f>
        <v>43667</v>
      </c>
      <c r="H203">
        <v>67.5</v>
      </c>
      <c r="I203">
        <v>36000</v>
      </c>
      <c r="J203" s="1">
        <f t="shared" si="7"/>
        <v>43668</v>
      </c>
      <c r="K203">
        <f t="shared" si="6"/>
        <v>39.5</v>
      </c>
    </row>
    <row r="204" spans="1:11" x14ac:dyDescent="0.25">
      <c r="A204">
        <v>22</v>
      </c>
      <c r="B204" t="s">
        <v>16</v>
      </c>
      <c r="C204">
        <v>2019</v>
      </c>
      <c r="D204">
        <v>175.5</v>
      </c>
      <c r="E204">
        <v>7</v>
      </c>
      <c r="F204">
        <v>143</v>
      </c>
      <c r="G204" s="1">
        <f>DATE(C204, CHOOSE(MATCH(UPPER(B204), {"ENERO","FEBRERO","MARZO","ABRIL","MAYO","JUNIO","JULIO","AGOSTO","SEPTIEMBRE","OCTUBRE","NOVIEMBRE","DICIEMBRE"}, 0), 1,2,3,4,5,6,7,8,9,10,11,12), A204)</f>
        <v>43668</v>
      </c>
      <c r="H204">
        <v>39.5</v>
      </c>
      <c r="I204">
        <v>36000</v>
      </c>
      <c r="J204" s="1">
        <f t="shared" si="7"/>
        <v>43669</v>
      </c>
      <c r="K204">
        <f t="shared" si="6"/>
        <v>36</v>
      </c>
    </row>
    <row r="205" spans="1:11" x14ac:dyDescent="0.25">
      <c r="A205">
        <v>23</v>
      </c>
      <c r="B205" t="s">
        <v>16</v>
      </c>
      <c r="C205">
        <v>2019</v>
      </c>
      <c r="D205">
        <v>143</v>
      </c>
      <c r="E205" t="s">
        <v>9</v>
      </c>
      <c r="F205">
        <v>107</v>
      </c>
      <c r="G205" s="1">
        <f>DATE(C205, CHOOSE(MATCH(UPPER(B205), {"ENERO","FEBRERO","MARZO","ABRIL","MAYO","JUNIO","JULIO","AGOSTO","SEPTIEMBRE","OCTUBRE","NOVIEMBRE","DICIEMBRE"}, 0), 1,2,3,4,5,6,7,8,9,10,11,12), A205)</f>
        <v>43669</v>
      </c>
      <c r="H205">
        <v>36</v>
      </c>
      <c r="I205">
        <v>36000</v>
      </c>
      <c r="J205" s="1">
        <f t="shared" si="7"/>
        <v>43670</v>
      </c>
      <c r="K205">
        <f t="shared" si="6"/>
        <v>46</v>
      </c>
    </row>
    <row r="206" spans="1:11" x14ac:dyDescent="0.25">
      <c r="A206">
        <v>24</v>
      </c>
      <c r="B206" t="s">
        <v>16</v>
      </c>
      <c r="C206">
        <v>2019</v>
      </c>
      <c r="D206">
        <v>107</v>
      </c>
      <c r="E206">
        <v>105</v>
      </c>
      <c r="F206">
        <v>166</v>
      </c>
      <c r="G206" s="1">
        <f>DATE(C206, CHOOSE(MATCH(UPPER(B206), {"ENERO","FEBRERO","MARZO","ABRIL","MAYO","JUNIO","JULIO","AGOSTO","SEPTIEMBRE","OCTUBRE","NOVIEMBRE","DICIEMBRE"}, 0), 1,2,3,4,5,6,7,8,9,10,11,12), A206)</f>
        <v>43670</v>
      </c>
      <c r="H206">
        <v>46</v>
      </c>
      <c r="I206">
        <v>36000</v>
      </c>
      <c r="J206" s="1">
        <f t="shared" si="7"/>
        <v>43671</v>
      </c>
      <c r="K206">
        <f t="shared" si="6"/>
        <v>50</v>
      </c>
    </row>
    <row r="207" spans="1:11" x14ac:dyDescent="0.25">
      <c r="A207">
        <v>25</v>
      </c>
      <c r="B207" t="s">
        <v>16</v>
      </c>
      <c r="C207">
        <v>2019</v>
      </c>
      <c r="D207">
        <v>166</v>
      </c>
      <c r="E207">
        <v>-14</v>
      </c>
      <c r="F207">
        <v>102</v>
      </c>
      <c r="G207" s="1">
        <f>DATE(C207, CHOOSE(MATCH(UPPER(B207), {"ENERO","FEBRERO","MARZO","ABRIL","MAYO","JUNIO","JULIO","AGOSTO","SEPTIEMBRE","OCTUBRE","NOVIEMBRE","DICIEMBRE"}, 0), 1,2,3,4,5,6,7,8,9,10,11,12), A207)</f>
        <v>43671</v>
      </c>
      <c r="H207">
        <v>50</v>
      </c>
      <c r="I207">
        <v>36000</v>
      </c>
      <c r="J207" s="1">
        <f t="shared" si="7"/>
        <v>43672</v>
      </c>
      <c r="K207">
        <f t="shared" si="6"/>
        <v>69</v>
      </c>
    </row>
    <row r="208" spans="1:11" x14ac:dyDescent="0.25">
      <c r="A208">
        <v>26</v>
      </c>
      <c r="B208" t="s">
        <v>16</v>
      </c>
      <c r="C208">
        <v>2019</v>
      </c>
      <c r="D208">
        <v>102</v>
      </c>
      <c r="E208">
        <v>107</v>
      </c>
      <c r="F208">
        <v>140</v>
      </c>
      <c r="G208" s="1">
        <f>DATE(C208, CHOOSE(MATCH(UPPER(B208), {"ENERO","FEBRERO","MARZO","ABRIL","MAYO","JUNIO","JULIO","AGOSTO","SEPTIEMBRE","OCTUBRE","NOVIEMBRE","DICIEMBRE"}, 0), 1,2,3,4,5,6,7,8,9,10,11,12), A208)</f>
        <v>43672</v>
      </c>
      <c r="H208">
        <v>69</v>
      </c>
      <c r="I208">
        <v>36000</v>
      </c>
      <c r="J208" s="1">
        <f t="shared" si="7"/>
        <v>43673</v>
      </c>
      <c r="K208">
        <f t="shared" si="6"/>
        <v>85.125</v>
      </c>
    </row>
    <row r="209" spans="1:11" x14ac:dyDescent="0.25">
      <c r="A209">
        <v>27</v>
      </c>
      <c r="B209" t="s">
        <v>16</v>
      </c>
      <c r="C209">
        <v>2019</v>
      </c>
      <c r="D209">
        <v>140</v>
      </c>
      <c r="E209">
        <v>107</v>
      </c>
      <c r="F209">
        <v>161.875</v>
      </c>
      <c r="G209" s="1">
        <f>DATE(C209, CHOOSE(MATCH(UPPER(B209), {"ENERO","FEBRERO","MARZO","ABRIL","MAYO","JUNIO","JULIO","AGOSTO","SEPTIEMBRE","OCTUBRE","NOVIEMBRE","DICIEMBRE"}, 0), 1,2,3,4,5,6,7,8,9,10,11,12), A209)</f>
        <v>43673</v>
      </c>
      <c r="H209">
        <v>85.125</v>
      </c>
      <c r="I209">
        <v>36000</v>
      </c>
      <c r="J209" s="1">
        <f t="shared" si="7"/>
        <v>43674</v>
      </c>
      <c r="K209">
        <f t="shared" si="6"/>
        <v>91.875</v>
      </c>
    </row>
    <row r="210" spans="1:11" x14ac:dyDescent="0.25">
      <c r="A210">
        <v>28</v>
      </c>
      <c r="B210" t="s">
        <v>16</v>
      </c>
      <c r="C210">
        <v>2019</v>
      </c>
      <c r="D210">
        <v>161.875</v>
      </c>
      <c r="E210">
        <v>80</v>
      </c>
      <c r="F210">
        <v>150</v>
      </c>
      <c r="G210" s="1">
        <f>DATE(C210, CHOOSE(MATCH(UPPER(B210), {"ENERO","FEBRERO","MARZO","ABRIL","MAYO","JUNIO","JULIO","AGOSTO","SEPTIEMBRE","OCTUBRE","NOVIEMBRE","DICIEMBRE"}, 0), 1,2,3,4,5,6,7,8,9,10,11,12), A210)</f>
        <v>43674</v>
      </c>
      <c r="H210">
        <v>91.875</v>
      </c>
      <c r="I210">
        <v>36000</v>
      </c>
      <c r="J210" s="1">
        <f t="shared" si="7"/>
        <v>43675</v>
      </c>
      <c r="K210">
        <f t="shared" si="6"/>
        <v>38</v>
      </c>
    </row>
    <row r="211" spans="1:11" x14ac:dyDescent="0.25">
      <c r="A211">
        <v>29</v>
      </c>
      <c r="B211" t="s">
        <v>16</v>
      </c>
      <c r="C211">
        <v>2019</v>
      </c>
      <c r="D211">
        <v>150</v>
      </c>
      <c r="E211">
        <v>98</v>
      </c>
      <c r="F211">
        <v>210</v>
      </c>
      <c r="G211" s="1">
        <f>DATE(C211, CHOOSE(MATCH(UPPER(B211), {"ENERO","FEBRERO","MARZO","ABRIL","MAYO","JUNIO","JULIO","AGOSTO","SEPTIEMBRE","OCTUBRE","NOVIEMBRE","DICIEMBRE"}, 0), 1,2,3,4,5,6,7,8,9,10,11,12), A211)</f>
        <v>43675</v>
      </c>
      <c r="H211">
        <v>38</v>
      </c>
      <c r="I211">
        <v>36000</v>
      </c>
      <c r="J211" s="1">
        <f t="shared" si="7"/>
        <v>43676</v>
      </c>
      <c r="K211">
        <f t="shared" si="6"/>
        <v>43</v>
      </c>
    </row>
    <row r="212" spans="1:11" x14ac:dyDescent="0.25">
      <c r="A212">
        <v>30</v>
      </c>
      <c r="B212" t="s">
        <v>16</v>
      </c>
      <c r="C212">
        <v>2019</v>
      </c>
      <c r="D212">
        <v>210</v>
      </c>
      <c r="E212" t="s">
        <v>9</v>
      </c>
      <c r="F212">
        <v>167</v>
      </c>
      <c r="G212" s="1">
        <f>DATE(C212, CHOOSE(MATCH(UPPER(B212), {"ENERO","FEBRERO","MARZO","ABRIL","MAYO","JUNIO","JULIO","AGOSTO","SEPTIEMBRE","OCTUBRE","NOVIEMBRE","DICIEMBRE"}, 0), 1,2,3,4,5,6,7,8,9,10,11,12), A212)</f>
        <v>43676</v>
      </c>
      <c r="H212">
        <v>43</v>
      </c>
      <c r="I212">
        <v>36000</v>
      </c>
      <c r="J212" s="1">
        <f t="shared" si="7"/>
        <v>43677</v>
      </c>
      <c r="K212">
        <f t="shared" si="6"/>
        <v>42</v>
      </c>
    </row>
    <row r="213" spans="1:11" x14ac:dyDescent="0.25">
      <c r="A213">
        <v>31</v>
      </c>
      <c r="B213" t="s">
        <v>16</v>
      </c>
      <c r="C213">
        <v>2019</v>
      </c>
      <c r="D213">
        <v>167</v>
      </c>
      <c r="E213">
        <v>100</v>
      </c>
      <c r="F213">
        <v>225</v>
      </c>
      <c r="G213" s="1">
        <f>DATE(C213, CHOOSE(MATCH(UPPER(B213), {"ENERO","FEBRERO","MARZO","ABRIL","MAYO","JUNIO","JULIO","AGOSTO","SEPTIEMBRE","OCTUBRE","NOVIEMBRE","DICIEMBRE"}, 0), 1,2,3,4,5,6,7,8,9,10,11,12), A213)</f>
        <v>43677</v>
      </c>
      <c r="H213">
        <v>42</v>
      </c>
      <c r="I213">
        <v>36000</v>
      </c>
      <c r="J213" s="1">
        <f t="shared" si="7"/>
        <v>43678</v>
      </c>
      <c r="K213">
        <f t="shared" si="6"/>
        <v>42.5</v>
      </c>
    </row>
    <row r="214" spans="1:11" x14ac:dyDescent="0.25">
      <c r="A214">
        <v>1</v>
      </c>
      <c r="B214" t="s">
        <v>17</v>
      </c>
      <c r="C214">
        <v>2019</v>
      </c>
      <c r="D214">
        <v>225</v>
      </c>
      <c r="E214" t="s">
        <v>9</v>
      </c>
      <c r="F214">
        <v>182.5</v>
      </c>
      <c r="G214" s="1">
        <f>DATE(C214, CHOOSE(MATCH(UPPER(B214), {"ENERO","FEBRERO","MARZO","ABRIL","MAYO","JUNIO","JULIO","AGOSTO","SEPTIEMBRE","OCTUBRE","NOVIEMBRE","DICIEMBRE"}, 0), 1,2,3,4,5,6,7,8,9,10,11,12), A214)</f>
        <v>43678</v>
      </c>
      <c r="H214">
        <v>42.5</v>
      </c>
      <c r="I214">
        <v>36000</v>
      </c>
      <c r="J214" s="1">
        <f t="shared" si="7"/>
        <v>43679</v>
      </c>
      <c r="K214">
        <f t="shared" si="6"/>
        <v>62.5</v>
      </c>
    </row>
    <row r="215" spans="1:11" x14ac:dyDescent="0.25">
      <c r="A215">
        <v>2</v>
      </c>
      <c r="B215" t="s">
        <v>17</v>
      </c>
      <c r="C215">
        <v>2019</v>
      </c>
      <c r="D215">
        <v>182.5</v>
      </c>
      <c r="E215" t="s">
        <v>9</v>
      </c>
      <c r="F215">
        <v>120</v>
      </c>
      <c r="G215" s="1">
        <f>DATE(C215, CHOOSE(MATCH(UPPER(B215), {"ENERO","FEBRERO","MARZO","ABRIL","MAYO","JUNIO","JULIO","AGOSTO","SEPTIEMBRE","OCTUBRE","NOVIEMBRE","DICIEMBRE"}, 0), 1,2,3,4,5,6,7,8,9,10,11,12), A215)</f>
        <v>43679</v>
      </c>
      <c r="H215">
        <v>62.5</v>
      </c>
      <c r="I215">
        <v>36000</v>
      </c>
      <c r="J215" s="1">
        <f t="shared" si="7"/>
        <v>43680</v>
      </c>
      <c r="K215">
        <f t="shared" si="6"/>
        <v>72</v>
      </c>
    </row>
    <row r="216" spans="1:11" x14ac:dyDescent="0.25">
      <c r="A216">
        <v>3</v>
      </c>
      <c r="B216" t="s">
        <v>17</v>
      </c>
      <c r="C216">
        <v>2019</v>
      </c>
      <c r="D216">
        <v>120</v>
      </c>
      <c r="E216">
        <v>149</v>
      </c>
      <c r="F216">
        <v>197</v>
      </c>
      <c r="G216" s="1">
        <f>DATE(C216, CHOOSE(MATCH(UPPER(B216), {"ENERO","FEBRERO","MARZO","ABRIL","MAYO","JUNIO","JULIO","AGOSTO","SEPTIEMBRE","OCTUBRE","NOVIEMBRE","DICIEMBRE"}, 0), 1,2,3,4,5,6,7,8,9,10,11,12), A216)</f>
        <v>43680</v>
      </c>
      <c r="H216">
        <v>72</v>
      </c>
      <c r="I216">
        <v>36000</v>
      </c>
      <c r="J216" s="1">
        <f t="shared" si="7"/>
        <v>43681</v>
      </c>
      <c r="K216">
        <f t="shared" si="6"/>
        <v>69</v>
      </c>
    </row>
    <row r="217" spans="1:11" x14ac:dyDescent="0.25">
      <c r="A217">
        <v>4</v>
      </c>
      <c r="B217" t="s">
        <v>17</v>
      </c>
      <c r="C217">
        <v>2019</v>
      </c>
      <c r="D217">
        <v>197</v>
      </c>
      <c r="E217" t="s">
        <v>9</v>
      </c>
      <c r="F217">
        <v>128</v>
      </c>
      <c r="G217" s="1">
        <f>DATE(C217, CHOOSE(MATCH(UPPER(B217), {"ENERO","FEBRERO","MARZO","ABRIL","MAYO","JUNIO","JULIO","AGOSTO","SEPTIEMBRE","OCTUBRE","NOVIEMBRE","DICIEMBRE"}, 0), 1,2,3,4,5,6,7,8,9,10,11,12), A217)</f>
        <v>43681</v>
      </c>
      <c r="H217">
        <v>69</v>
      </c>
      <c r="I217">
        <v>36000</v>
      </c>
      <c r="J217" s="1">
        <f t="shared" si="7"/>
        <v>43682</v>
      </c>
      <c r="K217">
        <f t="shared" si="6"/>
        <v>39.5</v>
      </c>
    </row>
    <row r="218" spans="1:11" x14ac:dyDescent="0.25">
      <c r="A218">
        <v>5</v>
      </c>
      <c r="B218" t="s">
        <v>17</v>
      </c>
      <c r="C218">
        <v>2019</v>
      </c>
      <c r="D218">
        <v>128</v>
      </c>
      <c r="E218">
        <v>-30</v>
      </c>
      <c r="F218">
        <v>58.5</v>
      </c>
      <c r="G218" s="1">
        <f>DATE(C218, CHOOSE(MATCH(UPPER(B218), {"ENERO","FEBRERO","MARZO","ABRIL","MAYO","JUNIO","JULIO","AGOSTO","SEPTIEMBRE","OCTUBRE","NOVIEMBRE","DICIEMBRE"}, 0), 1,2,3,4,5,6,7,8,9,10,11,12), A218)</f>
        <v>43682</v>
      </c>
      <c r="H218">
        <v>39.5</v>
      </c>
      <c r="I218">
        <v>36000</v>
      </c>
      <c r="J218" s="1">
        <f t="shared" si="7"/>
        <v>43683</v>
      </c>
      <c r="K218">
        <f t="shared" si="6"/>
        <v>52</v>
      </c>
    </row>
    <row r="219" spans="1:11" x14ac:dyDescent="0.25">
      <c r="A219">
        <v>6</v>
      </c>
      <c r="B219" t="s">
        <v>17</v>
      </c>
      <c r="C219">
        <v>2019</v>
      </c>
      <c r="D219">
        <v>58.5</v>
      </c>
      <c r="E219">
        <v>75</v>
      </c>
      <c r="F219">
        <v>81.5</v>
      </c>
      <c r="G219" s="1">
        <f>DATE(C219, CHOOSE(MATCH(UPPER(B219), {"ENERO","FEBRERO","MARZO","ABRIL","MAYO","JUNIO","JULIO","AGOSTO","SEPTIEMBRE","OCTUBRE","NOVIEMBRE","DICIEMBRE"}, 0), 1,2,3,4,5,6,7,8,9,10,11,12), A219)</f>
        <v>43683</v>
      </c>
      <c r="H219">
        <v>52</v>
      </c>
      <c r="I219">
        <v>36000</v>
      </c>
      <c r="J219" s="1">
        <f t="shared" si="7"/>
        <v>43684</v>
      </c>
      <c r="K219">
        <f t="shared" si="6"/>
        <v>64.5</v>
      </c>
    </row>
    <row r="220" spans="1:11" x14ac:dyDescent="0.25">
      <c r="A220">
        <v>7</v>
      </c>
      <c r="B220" t="s">
        <v>17</v>
      </c>
      <c r="C220">
        <v>2019</v>
      </c>
      <c r="D220">
        <v>81.5</v>
      </c>
      <c r="E220">
        <v>20</v>
      </c>
      <c r="F220">
        <v>37</v>
      </c>
      <c r="G220" s="1">
        <f>DATE(C220, CHOOSE(MATCH(UPPER(B220), {"ENERO","FEBRERO","MARZO","ABRIL","MAYO","JUNIO","JULIO","AGOSTO","SEPTIEMBRE","OCTUBRE","NOVIEMBRE","DICIEMBRE"}, 0), 1,2,3,4,5,6,7,8,9,10,11,12), A220)</f>
        <v>43684</v>
      </c>
      <c r="H220">
        <v>64.5</v>
      </c>
      <c r="I220">
        <v>36000</v>
      </c>
      <c r="J220" s="1">
        <f t="shared" si="7"/>
        <v>43685</v>
      </c>
      <c r="K220">
        <f t="shared" si="6"/>
        <v>49.5</v>
      </c>
    </row>
    <row r="221" spans="1:11" x14ac:dyDescent="0.25">
      <c r="A221">
        <v>8</v>
      </c>
      <c r="B221" t="s">
        <v>17</v>
      </c>
      <c r="C221">
        <v>2019</v>
      </c>
      <c r="D221">
        <v>37</v>
      </c>
      <c r="E221">
        <v>70</v>
      </c>
      <c r="F221">
        <v>57.5</v>
      </c>
      <c r="G221" s="1">
        <f>DATE(C221, CHOOSE(MATCH(UPPER(B221), {"ENERO","FEBRERO","MARZO","ABRIL","MAYO","JUNIO","JULIO","AGOSTO","SEPTIEMBRE","OCTUBRE","NOVIEMBRE","DICIEMBRE"}, 0), 1,2,3,4,5,6,7,8,9,10,11,12), A221)</f>
        <v>43685</v>
      </c>
      <c r="H221">
        <v>49.5</v>
      </c>
      <c r="I221">
        <v>36000</v>
      </c>
      <c r="J221" s="1">
        <f t="shared" si="7"/>
        <v>43686</v>
      </c>
      <c r="K221">
        <f t="shared" si="6"/>
        <v>60.5</v>
      </c>
    </row>
    <row r="222" spans="1:11" x14ac:dyDescent="0.25">
      <c r="A222">
        <v>9</v>
      </c>
      <c r="B222" t="s">
        <v>17</v>
      </c>
      <c r="C222">
        <v>2019</v>
      </c>
      <c r="D222">
        <v>57.5</v>
      </c>
      <c r="E222">
        <v>80</v>
      </c>
      <c r="F222">
        <v>77</v>
      </c>
      <c r="G222" s="1">
        <f>DATE(C222, CHOOSE(MATCH(UPPER(B222), {"ENERO","FEBRERO","MARZO","ABRIL","MAYO","JUNIO","JULIO","AGOSTO","SEPTIEMBRE","OCTUBRE","NOVIEMBRE","DICIEMBRE"}, 0), 1,2,3,4,5,6,7,8,9,10,11,12), A222)</f>
        <v>43686</v>
      </c>
      <c r="H222">
        <v>60.5</v>
      </c>
      <c r="I222">
        <v>36000</v>
      </c>
      <c r="J222" s="1">
        <f t="shared" si="7"/>
        <v>43687</v>
      </c>
      <c r="K222">
        <f t="shared" si="6"/>
        <v>67</v>
      </c>
    </row>
    <row r="223" spans="1:11" x14ac:dyDescent="0.25">
      <c r="A223">
        <v>10</v>
      </c>
      <c r="B223" t="s">
        <v>17</v>
      </c>
      <c r="C223">
        <v>2019</v>
      </c>
      <c r="D223">
        <v>77</v>
      </c>
      <c r="E223">
        <v>150</v>
      </c>
      <c r="F223">
        <v>160</v>
      </c>
      <c r="G223" s="1">
        <f>DATE(C223, CHOOSE(MATCH(UPPER(B223), {"ENERO","FEBRERO","MARZO","ABRIL","MAYO","JUNIO","JULIO","AGOSTO","SEPTIEMBRE","OCTUBRE","NOVIEMBRE","DICIEMBRE"}, 0), 1,2,3,4,5,6,7,8,9,10,11,12), A223)</f>
        <v>43687</v>
      </c>
      <c r="H223">
        <v>67</v>
      </c>
      <c r="I223">
        <v>36000</v>
      </c>
      <c r="J223" s="1">
        <f t="shared" si="7"/>
        <v>43688</v>
      </c>
      <c r="K223">
        <f t="shared" si="6"/>
        <v>69</v>
      </c>
    </row>
    <row r="224" spans="1:11" x14ac:dyDescent="0.25">
      <c r="A224">
        <v>11</v>
      </c>
      <c r="B224" t="s">
        <v>17</v>
      </c>
      <c r="C224">
        <v>2019</v>
      </c>
      <c r="D224">
        <v>160</v>
      </c>
      <c r="E224">
        <v>100</v>
      </c>
      <c r="F224">
        <v>191</v>
      </c>
      <c r="G224" s="1">
        <f>DATE(C224, CHOOSE(MATCH(UPPER(B224), {"ENERO","FEBRERO","MARZO","ABRIL","MAYO","JUNIO","JULIO","AGOSTO","SEPTIEMBRE","OCTUBRE","NOVIEMBRE","DICIEMBRE"}, 0), 1,2,3,4,5,6,7,8,9,10,11,12), A224)</f>
        <v>43688</v>
      </c>
      <c r="H224">
        <v>69</v>
      </c>
      <c r="I224">
        <v>36000</v>
      </c>
      <c r="J224" s="1">
        <f t="shared" si="7"/>
        <v>43689</v>
      </c>
      <c r="K224">
        <f t="shared" si="6"/>
        <v>30</v>
      </c>
    </row>
    <row r="225" spans="1:11" x14ac:dyDescent="0.25">
      <c r="A225">
        <v>12</v>
      </c>
      <c r="B225" t="s">
        <v>17</v>
      </c>
      <c r="C225">
        <v>2019</v>
      </c>
      <c r="D225">
        <v>191</v>
      </c>
      <c r="E225">
        <v>40</v>
      </c>
      <c r="F225">
        <v>201</v>
      </c>
      <c r="G225" s="1">
        <f>DATE(C225, CHOOSE(MATCH(UPPER(B225), {"ENERO","FEBRERO","MARZO","ABRIL","MAYO","JUNIO","JULIO","AGOSTO","SEPTIEMBRE","OCTUBRE","NOVIEMBRE","DICIEMBRE"}, 0), 1,2,3,4,5,6,7,8,9,10,11,12), A225)</f>
        <v>43689</v>
      </c>
      <c r="H225">
        <v>30</v>
      </c>
      <c r="I225">
        <v>36000</v>
      </c>
      <c r="J225" s="1">
        <f t="shared" si="7"/>
        <v>43690</v>
      </c>
      <c r="K225">
        <f t="shared" si="6"/>
        <v>43</v>
      </c>
    </row>
    <row r="226" spans="1:11" x14ac:dyDescent="0.25">
      <c r="A226">
        <v>13</v>
      </c>
      <c r="B226" t="s">
        <v>17</v>
      </c>
      <c r="C226">
        <v>2019</v>
      </c>
      <c r="D226">
        <v>201</v>
      </c>
      <c r="E226" t="s">
        <v>9</v>
      </c>
      <c r="F226">
        <v>158</v>
      </c>
      <c r="G226" s="1">
        <f>DATE(C226, CHOOSE(MATCH(UPPER(B226), {"ENERO","FEBRERO","MARZO","ABRIL","MAYO","JUNIO","JULIO","AGOSTO","SEPTIEMBRE","OCTUBRE","NOVIEMBRE","DICIEMBRE"}, 0), 1,2,3,4,5,6,7,8,9,10,11,12), A226)</f>
        <v>43690</v>
      </c>
      <c r="H226">
        <v>43</v>
      </c>
      <c r="I226">
        <v>36000</v>
      </c>
      <c r="J226" s="1">
        <f t="shared" si="7"/>
        <v>43691</v>
      </c>
      <c r="K226">
        <f t="shared" si="6"/>
        <v>39.5</v>
      </c>
    </row>
    <row r="227" spans="1:11" x14ac:dyDescent="0.25">
      <c r="A227">
        <v>14</v>
      </c>
      <c r="B227" t="s">
        <v>17</v>
      </c>
      <c r="C227">
        <v>2019</v>
      </c>
      <c r="D227">
        <v>158</v>
      </c>
      <c r="E227">
        <v>101</v>
      </c>
      <c r="F227">
        <v>219.5</v>
      </c>
      <c r="G227" s="1">
        <f>DATE(C227, CHOOSE(MATCH(UPPER(B227), {"ENERO","FEBRERO","MARZO","ABRIL","MAYO","JUNIO","JULIO","AGOSTO","SEPTIEMBRE","OCTUBRE","NOVIEMBRE","DICIEMBRE"}, 0), 1,2,3,4,5,6,7,8,9,10,11,12), A227)</f>
        <v>43691</v>
      </c>
      <c r="H227">
        <v>39.5</v>
      </c>
      <c r="I227">
        <v>36000</v>
      </c>
      <c r="J227" s="1">
        <f t="shared" si="7"/>
        <v>43692</v>
      </c>
      <c r="K227">
        <f t="shared" si="6"/>
        <v>38.5</v>
      </c>
    </row>
    <row r="228" spans="1:11" x14ac:dyDescent="0.25">
      <c r="A228">
        <v>15</v>
      </c>
      <c r="B228" t="s">
        <v>17</v>
      </c>
      <c r="C228">
        <v>2019</v>
      </c>
      <c r="D228">
        <v>219.5</v>
      </c>
      <c r="E228">
        <v>-40</v>
      </c>
      <c r="F228">
        <v>141</v>
      </c>
      <c r="G228" s="1">
        <f>DATE(C228, CHOOSE(MATCH(UPPER(B228), {"ENERO","FEBRERO","MARZO","ABRIL","MAYO","JUNIO","JULIO","AGOSTO","SEPTIEMBRE","OCTUBRE","NOVIEMBRE","DICIEMBRE"}, 0), 1,2,3,4,5,6,7,8,9,10,11,12), A228)</f>
        <v>43692</v>
      </c>
      <c r="H228">
        <v>38.5</v>
      </c>
      <c r="I228">
        <v>36000</v>
      </c>
      <c r="J228" s="1">
        <f t="shared" si="7"/>
        <v>43693</v>
      </c>
      <c r="K228">
        <f t="shared" si="6"/>
        <v>59</v>
      </c>
    </row>
    <row r="229" spans="1:11" x14ac:dyDescent="0.25">
      <c r="A229">
        <v>16</v>
      </c>
      <c r="B229" t="s">
        <v>17</v>
      </c>
      <c r="C229">
        <v>2019</v>
      </c>
      <c r="D229">
        <v>141</v>
      </c>
      <c r="E229" t="s">
        <v>9</v>
      </c>
      <c r="F229">
        <v>82</v>
      </c>
      <c r="G229" s="1">
        <f>DATE(C229, CHOOSE(MATCH(UPPER(B229), {"ENERO","FEBRERO","MARZO","ABRIL","MAYO","JUNIO","JULIO","AGOSTO","SEPTIEMBRE","OCTUBRE","NOVIEMBRE","DICIEMBRE"}, 0), 1,2,3,4,5,6,7,8,9,10,11,12), A229)</f>
        <v>43693</v>
      </c>
      <c r="H229">
        <v>59</v>
      </c>
      <c r="I229">
        <v>36000</v>
      </c>
      <c r="J229" s="1">
        <f t="shared" si="7"/>
        <v>43694</v>
      </c>
      <c r="K229">
        <f t="shared" si="6"/>
        <v>62</v>
      </c>
    </row>
    <row r="230" spans="1:11" x14ac:dyDescent="0.25">
      <c r="A230">
        <v>17</v>
      </c>
      <c r="B230" t="s">
        <v>17</v>
      </c>
      <c r="C230">
        <v>2019</v>
      </c>
      <c r="D230">
        <v>82</v>
      </c>
      <c r="E230">
        <v>151</v>
      </c>
      <c r="F230">
        <v>171</v>
      </c>
      <c r="G230" s="1">
        <f>DATE(C230, CHOOSE(MATCH(UPPER(B230), {"ENERO","FEBRERO","MARZO","ABRIL","MAYO","JUNIO","JULIO","AGOSTO","SEPTIEMBRE","OCTUBRE","NOVIEMBRE","DICIEMBRE"}, 0), 1,2,3,4,5,6,7,8,9,10,11,12), A230)</f>
        <v>43694</v>
      </c>
      <c r="H230">
        <v>62</v>
      </c>
      <c r="I230">
        <v>36000</v>
      </c>
      <c r="J230" s="1">
        <f t="shared" si="7"/>
        <v>43695</v>
      </c>
      <c r="K230">
        <f t="shared" si="6"/>
        <v>62</v>
      </c>
    </row>
    <row r="231" spans="1:11" x14ac:dyDescent="0.25">
      <c r="A231">
        <v>18</v>
      </c>
      <c r="B231" t="s">
        <v>17</v>
      </c>
      <c r="C231">
        <v>2019</v>
      </c>
      <c r="D231">
        <v>171</v>
      </c>
      <c r="E231">
        <v>-30</v>
      </c>
      <c r="F231">
        <v>79</v>
      </c>
      <c r="G231" s="1">
        <f>DATE(C231, CHOOSE(MATCH(UPPER(B231), {"ENERO","FEBRERO","MARZO","ABRIL","MAYO","JUNIO","JULIO","AGOSTO","SEPTIEMBRE","OCTUBRE","NOVIEMBRE","DICIEMBRE"}, 0), 1,2,3,4,5,6,7,8,9,10,11,12), A231)</f>
        <v>43695</v>
      </c>
      <c r="H231">
        <v>62</v>
      </c>
      <c r="I231">
        <v>36000</v>
      </c>
      <c r="J231" s="1">
        <f t="shared" si="7"/>
        <v>43696</v>
      </c>
      <c r="K231">
        <f t="shared" si="6"/>
        <v>62</v>
      </c>
    </row>
    <row r="232" spans="1:11" x14ac:dyDescent="0.25">
      <c r="A232">
        <v>19</v>
      </c>
      <c r="B232" t="s">
        <v>17</v>
      </c>
      <c r="C232">
        <v>2019</v>
      </c>
      <c r="D232">
        <v>79</v>
      </c>
      <c r="E232">
        <v>100</v>
      </c>
      <c r="F232">
        <v>117</v>
      </c>
      <c r="G232" s="1">
        <f>DATE(C232, CHOOSE(MATCH(UPPER(B232), {"ENERO","FEBRERO","MARZO","ABRIL","MAYO","JUNIO","JULIO","AGOSTO","SEPTIEMBRE","OCTUBRE","NOVIEMBRE","DICIEMBRE"}, 0), 1,2,3,4,5,6,7,8,9,10,11,12), A232)</f>
        <v>43696</v>
      </c>
      <c r="H232">
        <v>62</v>
      </c>
      <c r="I232">
        <v>36000</v>
      </c>
      <c r="J232" s="1">
        <f t="shared" si="7"/>
        <v>43697</v>
      </c>
      <c r="K232">
        <f t="shared" si="6"/>
        <v>37</v>
      </c>
    </row>
    <row r="233" spans="1:11" x14ac:dyDescent="0.25">
      <c r="A233">
        <v>20</v>
      </c>
      <c r="B233" t="s">
        <v>17</v>
      </c>
      <c r="C233">
        <v>2019</v>
      </c>
      <c r="D233">
        <v>117</v>
      </c>
      <c r="E233">
        <v>66</v>
      </c>
      <c r="F233">
        <v>146</v>
      </c>
      <c r="G233" s="1">
        <f>DATE(C233, CHOOSE(MATCH(UPPER(B233), {"ENERO","FEBRERO","MARZO","ABRIL","MAYO","JUNIO","JULIO","AGOSTO","SEPTIEMBRE","OCTUBRE","NOVIEMBRE","DICIEMBRE"}, 0), 1,2,3,4,5,6,7,8,9,10,11,12), A233)</f>
        <v>43697</v>
      </c>
      <c r="H233">
        <v>37</v>
      </c>
      <c r="I233">
        <v>36000</v>
      </c>
      <c r="J233" s="1">
        <f t="shared" si="7"/>
        <v>43698</v>
      </c>
      <c r="K233">
        <f t="shared" si="6"/>
        <v>36</v>
      </c>
    </row>
    <row r="234" spans="1:11" x14ac:dyDescent="0.25">
      <c r="A234">
        <v>21</v>
      </c>
      <c r="B234" t="s">
        <v>17</v>
      </c>
      <c r="C234">
        <v>2019</v>
      </c>
      <c r="D234">
        <v>146</v>
      </c>
      <c r="E234">
        <v>70</v>
      </c>
      <c r="F234">
        <v>180</v>
      </c>
      <c r="G234" s="1">
        <f>DATE(C234, CHOOSE(MATCH(UPPER(B234), {"ENERO","FEBRERO","MARZO","ABRIL","MAYO","JUNIO","JULIO","AGOSTO","SEPTIEMBRE","OCTUBRE","NOVIEMBRE","DICIEMBRE"}, 0), 1,2,3,4,5,6,7,8,9,10,11,12), A234)</f>
        <v>43698</v>
      </c>
      <c r="H234">
        <v>36</v>
      </c>
      <c r="I234">
        <v>36000</v>
      </c>
      <c r="J234" s="1">
        <f t="shared" si="7"/>
        <v>43699</v>
      </c>
      <c r="K234">
        <f t="shared" si="6"/>
        <v>27</v>
      </c>
    </row>
    <row r="235" spans="1:11" x14ac:dyDescent="0.25">
      <c r="A235">
        <v>22</v>
      </c>
      <c r="B235" t="s">
        <v>17</v>
      </c>
      <c r="C235">
        <v>2019</v>
      </c>
      <c r="D235">
        <v>180</v>
      </c>
      <c r="E235">
        <v>69</v>
      </c>
      <c r="F235">
        <v>222</v>
      </c>
      <c r="G235" s="1">
        <f>DATE(C235, CHOOSE(MATCH(UPPER(B235), {"ENERO","FEBRERO","MARZO","ABRIL","MAYO","JUNIO","JULIO","AGOSTO","SEPTIEMBRE","OCTUBRE","NOVIEMBRE","DICIEMBRE"}, 0), 1,2,3,4,5,6,7,8,9,10,11,12), A235)</f>
        <v>43699</v>
      </c>
      <c r="H235">
        <v>27</v>
      </c>
      <c r="I235">
        <v>36000</v>
      </c>
      <c r="J235" s="1">
        <f t="shared" si="7"/>
        <v>43700</v>
      </c>
      <c r="K235">
        <f t="shared" si="6"/>
        <v>57</v>
      </c>
    </row>
    <row r="236" spans="1:11" x14ac:dyDescent="0.25">
      <c r="A236">
        <v>23</v>
      </c>
      <c r="B236" t="s">
        <v>17</v>
      </c>
      <c r="C236">
        <v>2019</v>
      </c>
      <c r="D236">
        <v>222</v>
      </c>
      <c r="E236" t="s">
        <v>9</v>
      </c>
      <c r="F236">
        <v>165</v>
      </c>
      <c r="G236" s="1">
        <f>DATE(C236, CHOOSE(MATCH(UPPER(B236), {"ENERO","FEBRERO","MARZO","ABRIL","MAYO","JUNIO","JULIO","AGOSTO","SEPTIEMBRE","OCTUBRE","NOVIEMBRE","DICIEMBRE"}, 0), 1,2,3,4,5,6,7,8,9,10,11,12), A236)</f>
        <v>43700</v>
      </c>
      <c r="H236">
        <v>57</v>
      </c>
      <c r="I236">
        <v>36000</v>
      </c>
      <c r="J236" s="1">
        <f t="shared" si="7"/>
        <v>43701</v>
      </c>
      <c r="K236">
        <f t="shared" si="6"/>
        <v>61</v>
      </c>
    </row>
    <row r="237" spans="1:11" x14ac:dyDescent="0.25">
      <c r="A237">
        <v>24</v>
      </c>
      <c r="B237" t="s">
        <v>17</v>
      </c>
      <c r="C237">
        <v>2019</v>
      </c>
      <c r="D237">
        <v>165</v>
      </c>
      <c r="E237" t="s">
        <v>9</v>
      </c>
      <c r="F237">
        <v>104</v>
      </c>
      <c r="G237" s="1">
        <f>DATE(C237, CHOOSE(MATCH(UPPER(B237), {"ENERO","FEBRERO","MARZO","ABRIL","MAYO","JUNIO","JULIO","AGOSTO","SEPTIEMBRE","OCTUBRE","NOVIEMBRE","DICIEMBRE"}, 0), 1,2,3,4,5,6,7,8,9,10,11,12), A237)</f>
        <v>43701</v>
      </c>
      <c r="H237">
        <v>61</v>
      </c>
      <c r="I237">
        <v>36000</v>
      </c>
      <c r="J237" s="1">
        <f t="shared" si="7"/>
        <v>43702</v>
      </c>
      <c r="K237">
        <f t="shared" si="6"/>
        <v>63.5</v>
      </c>
    </row>
    <row r="238" spans="1:11" x14ac:dyDescent="0.25">
      <c r="A238">
        <v>25</v>
      </c>
      <c r="B238" t="s">
        <v>17</v>
      </c>
      <c r="C238">
        <v>2019</v>
      </c>
      <c r="D238">
        <v>104</v>
      </c>
      <c r="E238">
        <v>100</v>
      </c>
      <c r="F238">
        <v>140.5</v>
      </c>
      <c r="G238" s="1">
        <f>DATE(C238, CHOOSE(MATCH(UPPER(B238), {"ENERO","FEBRERO","MARZO","ABRIL","MAYO","JUNIO","JULIO","AGOSTO","SEPTIEMBRE","OCTUBRE","NOVIEMBRE","DICIEMBRE"}, 0), 1,2,3,4,5,6,7,8,9,10,11,12), A238)</f>
        <v>43702</v>
      </c>
      <c r="H238">
        <v>63.5</v>
      </c>
      <c r="I238">
        <v>36000</v>
      </c>
      <c r="J238" s="1">
        <f t="shared" si="7"/>
        <v>43703</v>
      </c>
      <c r="K238">
        <f t="shared" si="6"/>
        <v>32.5</v>
      </c>
    </row>
    <row r="239" spans="1:11" x14ac:dyDescent="0.25">
      <c r="A239">
        <v>26</v>
      </c>
      <c r="B239" t="s">
        <v>17</v>
      </c>
      <c r="C239">
        <v>2019</v>
      </c>
      <c r="D239">
        <v>140.5</v>
      </c>
      <c r="E239">
        <v>99</v>
      </c>
      <c r="F239">
        <v>207</v>
      </c>
      <c r="G239" s="1">
        <f>DATE(C239, CHOOSE(MATCH(UPPER(B239), {"ENERO","FEBRERO","MARZO","ABRIL","MAYO","JUNIO","JULIO","AGOSTO","SEPTIEMBRE","OCTUBRE","NOVIEMBRE","DICIEMBRE"}, 0), 1,2,3,4,5,6,7,8,9,10,11,12), A239)</f>
        <v>43703</v>
      </c>
      <c r="H239">
        <v>32.5</v>
      </c>
      <c r="I239">
        <v>36000</v>
      </c>
      <c r="J239" s="1">
        <f t="shared" si="7"/>
        <v>43704</v>
      </c>
      <c r="K239">
        <f t="shared" si="6"/>
        <v>34</v>
      </c>
    </row>
    <row r="240" spans="1:11" x14ac:dyDescent="0.25">
      <c r="A240">
        <v>27</v>
      </c>
      <c r="B240" t="s">
        <v>17</v>
      </c>
      <c r="C240">
        <v>2019</v>
      </c>
      <c r="D240">
        <v>207</v>
      </c>
      <c r="E240" t="s">
        <v>9</v>
      </c>
      <c r="F240">
        <v>173</v>
      </c>
      <c r="G240" s="1">
        <f>DATE(C240, CHOOSE(MATCH(UPPER(B240), {"ENERO","FEBRERO","MARZO","ABRIL","MAYO","JUNIO","JULIO","AGOSTO","SEPTIEMBRE","OCTUBRE","NOVIEMBRE","DICIEMBRE"}, 0), 1,2,3,4,5,6,7,8,9,10,11,12), A240)</f>
        <v>43704</v>
      </c>
      <c r="H240">
        <v>34</v>
      </c>
      <c r="I240">
        <v>36000</v>
      </c>
      <c r="J240" s="1">
        <f t="shared" si="7"/>
        <v>43705</v>
      </c>
      <c r="K240">
        <f t="shared" si="6"/>
        <v>32</v>
      </c>
    </row>
    <row r="241" spans="1:11" x14ac:dyDescent="0.25">
      <c r="A241">
        <v>28</v>
      </c>
      <c r="B241" t="s">
        <v>17</v>
      </c>
      <c r="C241">
        <v>2019</v>
      </c>
      <c r="D241">
        <v>173</v>
      </c>
      <c r="E241">
        <v>100</v>
      </c>
      <c r="F241">
        <v>241</v>
      </c>
      <c r="G241" s="1">
        <f>DATE(C241, CHOOSE(MATCH(UPPER(B241), {"ENERO","FEBRERO","MARZO","ABRIL","MAYO","JUNIO","JULIO","AGOSTO","SEPTIEMBRE","OCTUBRE","NOVIEMBRE","DICIEMBRE"}, 0), 1,2,3,4,5,6,7,8,9,10,11,12), A241)</f>
        <v>43705</v>
      </c>
      <c r="H241">
        <v>32</v>
      </c>
      <c r="I241">
        <v>36000</v>
      </c>
      <c r="J241" s="1">
        <f t="shared" si="7"/>
        <v>43706</v>
      </c>
      <c r="K241">
        <f t="shared" si="6"/>
        <v>36</v>
      </c>
    </row>
    <row r="242" spans="1:11" x14ac:dyDescent="0.25">
      <c r="A242">
        <v>29</v>
      </c>
      <c r="B242" t="s">
        <v>17</v>
      </c>
      <c r="C242">
        <v>2019</v>
      </c>
      <c r="D242">
        <v>241</v>
      </c>
      <c r="E242" t="s">
        <v>9</v>
      </c>
      <c r="F242">
        <v>205</v>
      </c>
      <c r="G242" s="1">
        <f>DATE(C242, CHOOSE(MATCH(UPPER(B242), {"ENERO","FEBRERO","MARZO","ABRIL","MAYO","JUNIO","JULIO","AGOSTO","SEPTIEMBRE","OCTUBRE","NOVIEMBRE","DICIEMBRE"}, 0), 1,2,3,4,5,6,7,8,9,10,11,12), A242)</f>
        <v>43706</v>
      </c>
      <c r="H242">
        <v>36</v>
      </c>
      <c r="I242">
        <v>36000</v>
      </c>
      <c r="J242" s="1">
        <f t="shared" si="7"/>
        <v>43707</v>
      </c>
      <c r="K242">
        <f t="shared" si="6"/>
        <v>57.5</v>
      </c>
    </row>
    <row r="243" spans="1:11" x14ac:dyDescent="0.25">
      <c r="A243">
        <v>30</v>
      </c>
      <c r="B243" t="s">
        <v>17</v>
      </c>
      <c r="C243">
        <v>2019</v>
      </c>
      <c r="D243">
        <v>205</v>
      </c>
      <c r="E243" t="s">
        <v>9</v>
      </c>
      <c r="F243">
        <v>147.5</v>
      </c>
      <c r="G243" s="1">
        <f>DATE(C243, CHOOSE(MATCH(UPPER(B243), {"ENERO","FEBRERO","MARZO","ABRIL","MAYO","JUNIO","JULIO","AGOSTO","SEPTIEMBRE","OCTUBRE","NOVIEMBRE","DICIEMBRE"}, 0), 1,2,3,4,5,6,7,8,9,10,11,12), A243)</f>
        <v>43707</v>
      </c>
      <c r="H243">
        <v>57.5</v>
      </c>
      <c r="I243">
        <v>36000</v>
      </c>
      <c r="J243" s="1">
        <f t="shared" si="7"/>
        <v>43708</v>
      </c>
      <c r="K243">
        <f t="shared" si="6"/>
        <v>66.5</v>
      </c>
    </row>
    <row r="244" spans="1:11" x14ac:dyDescent="0.25">
      <c r="A244">
        <v>31</v>
      </c>
      <c r="B244" t="s">
        <v>17</v>
      </c>
      <c r="C244">
        <v>2019</v>
      </c>
      <c r="D244">
        <v>147.5</v>
      </c>
      <c r="E244">
        <v>-22</v>
      </c>
      <c r="F244">
        <v>59</v>
      </c>
      <c r="G244" s="1">
        <f>DATE(C244, CHOOSE(MATCH(UPPER(B244), {"ENERO","FEBRERO","MARZO","ABRIL","MAYO","JUNIO","JULIO","AGOSTO","SEPTIEMBRE","OCTUBRE","NOVIEMBRE","DICIEMBRE"}, 0), 1,2,3,4,5,6,7,8,9,10,11,12), A244)</f>
        <v>43708</v>
      </c>
      <c r="H244">
        <v>66.5</v>
      </c>
      <c r="I244">
        <v>36000</v>
      </c>
      <c r="J244" s="1">
        <f t="shared" si="7"/>
        <v>43709</v>
      </c>
      <c r="K244">
        <f t="shared" si="6"/>
        <v>60.5</v>
      </c>
    </row>
    <row r="245" spans="1:11" x14ac:dyDescent="0.25">
      <c r="A245">
        <v>1</v>
      </c>
      <c r="B245" t="s">
        <v>10</v>
      </c>
      <c r="C245">
        <v>2019</v>
      </c>
      <c r="D245">
        <v>59</v>
      </c>
      <c r="E245">
        <v>100</v>
      </c>
      <c r="F245">
        <v>98.5</v>
      </c>
      <c r="G245" s="1">
        <f>DATE(C245, CHOOSE(MATCH(UPPER(B245), {"ENERO","FEBRERO","MARZO","ABRIL","MAYO","JUNIO","JULIO","AGOSTO","SEPTIEMBRE","OCTUBRE","NOVIEMBRE","DICIEMBRE"}, 0), 1,2,3,4,5,6,7,8,9,10,11,12), A245)</f>
        <v>43709</v>
      </c>
      <c r="H245">
        <v>60.5</v>
      </c>
      <c r="I245">
        <v>36000</v>
      </c>
      <c r="J245" s="1">
        <f t="shared" si="7"/>
        <v>43710</v>
      </c>
      <c r="K245">
        <f t="shared" si="6"/>
        <v>32.5</v>
      </c>
    </row>
    <row r="246" spans="1:11" x14ac:dyDescent="0.25">
      <c r="A246">
        <v>2</v>
      </c>
      <c r="B246" t="s">
        <v>10</v>
      </c>
      <c r="C246">
        <v>2019</v>
      </c>
      <c r="D246">
        <v>98.5</v>
      </c>
      <c r="E246">
        <v>100</v>
      </c>
      <c r="F246">
        <v>166</v>
      </c>
      <c r="G246" s="1">
        <f>DATE(C246, CHOOSE(MATCH(UPPER(B246), {"ENERO","FEBRERO","MARZO","ABRIL","MAYO","JUNIO","JULIO","AGOSTO","SEPTIEMBRE","OCTUBRE","NOVIEMBRE","DICIEMBRE"}, 0), 1,2,3,4,5,6,7,8,9,10,11,12), A246)</f>
        <v>43710</v>
      </c>
      <c r="H246">
        <v>32.5</v>
      </c>
      <c r="I246">
        <v>36000</v>
      </c>
      <c r="J246" s="1">
        <f t="shared" si="7"/>
        <v>43711</v>
      </c>
      <c r="K246">
        <f t="shared" si="6"/>
        <v>31.125</v>
      </c>
    </row>
    <row r="247" spans="1:11" x14ac:dyDescent="0.25">
      <c r="A247">
        <v>3</v>
      </c>
      <c r="B247" t="s">
        <v>10</v>
      </c>
      <c r="C247">
        <v>2019</v>
      </c>
      <c r="D247">
        <v>166</v>
      </c>
      <c r="E247">
        <v>60</v>
      </c>
      <c r="F247">
        <v>194.875</v>
      </c>
      <c r="G247" s="1">
        <f>DATE(C247, CHOOSE(MATCH(UPPER(B247), {"ENERO","FEBRERO","MARZO","ABRIL","MAYO","JUNIO","JULIO","AGOSTO","SEPTIEMBRE","OCTUBRE","NOVIEMBRE","DICIEMBRE"}, 0), 1,2,3,4,5,6,7,8,9,10,11,12), A247)</f>
        <v>43711</v>
      </c>
      <c r="H247">
        <v>31.125</v>
      </c>
      <c r="I247">
        <v>36000</v>
      </c>
      <c r="J247" s="1">
        <f t="shared" si="7"/>
        <v>43712</v>
      </c>
      <c r="K247">
        <f t="shared" si="6"/>
        <v>30.5</v>
      </c>
    </row>
    <row r="248" spans="1:11" x14ac:dyDescent="0.25">
      <c r="A248">
        <v>4</v>
      </c>
      <c r="B248" t="s">
        <v>10</v>
      </c>
      <c r="C248">
        <v>2019</v>
      </c>
      <c r="D248">
        <v>194.875</v>
      </c>
      <c r="E248" t="s">
        <v>9</v>
      </c>
      <c r="F248">
        <v>164.375</v>
      </c>
      <c r="G248" s="1">
        <f>DATE(C248, CHOOSE(MATCH(UPPER(B248), {"ENERO","FEBRERO","MARZO","ABRIL","MAYO","JUNIO","JULIO","AGOSTO","SEPTIEMBRE","OCTUBRE","NOVIEMBRE","DICIEMBRE"}, 0), 1,2,3,4,5,6,7,8,9,10,11,12), A248)</f>
        <v>43712</v>
      </c>
      <c r="H248">
        <v>30.5</v>
      </c>
      <c r="I248">
        <v>36000</v>
      </c>
      <c r="J248" s="1">
        <f t="shared" si="7"/>
        <v>43713</v>
      </c>
      <c r="K248">
        <f t="shared" si="6"/>
        <v>37.875</v>
      </c>
    </row>
    <row r="249" spans="1:11" x14ac:dyDescent="0.25">
      <c r="A249">
        <v>5</v>
      </c>
      <c r="B249" t="s">
        <v>10</v>
      </c>
      <c r="C249">
        <v>2019</v>
      </c>
      <c r="D249">
        <v>164.375</v>
      </c>
      <c r="E249" t="s">
        <v>9</v>
      </c>
      <c r="F249">
        <v>126.5</v>
      </c>
      <c r="G249" s="1">
        <f>DATE(C249, CHOOSE(MATCH(UPPER(B249), {"ENERO","FEBRERO","MARZO","ABRIL","MAYO","JUNIO","JULIO","AGOSTO","SEPTIEMBRE","OCTUBRE","NOVIEMBRE","DICIEMBRE"}, 0), 1,2,3,4,5,6,7,8,9,10,11,12), A249)</f>
        <v>43713</v>
      </c>
      <c r="H249">
        <v>37.875</v>
      </c>
      <c r="I249">
        <v>36000</v>
      </c>
      <c r="J249" s="1">
        <f t="shared" si="7"/>
        <v>43714</v>
      </c>
      <c r="K249">
        <f t="shared" si="6"/>
        <v>52</v>
      </c>
    </row>
    <row r="250" spans="1:11" x14ac:dyDescent="0.25">
      <c r="A250">
        <v>6</v>
      </c>
      <c r="B250" t="s">
        <v>10</v>
      </c>
      <c r="C250">
        <v>2019</v>
      </c>
      <c r="D250">
        <v>126.5</v>
      </c>
      <c r="E250">
        <v>100</v>
      </c>
      <c r="F250">
        <v>174.5</v>
      </c>
      <c r="G250" s="1">
        <f>DATE(C250, CHOOSE(MATCH(UPPER(B250), {"ENERO","FEBRERO","MARZO","ABRIL","MAYO","JUNIO","JULIO","AGOSTO","SEPTIEMBRE","OCTUBRE","NOVIEMBRE","DICIEMBRE"}, 0), 1,2,3,4,5,6,7,8,9,10,11,12), A250)</f>
        <v>43714</v>
      </c>
      <c r="H250">
        <v>52</v>
      </c>
      <c r="I250">
        <v>36000</v>
      </c>
      <c r="J250" s="1">
        <f t="shared" si="7"/>
        <v>43715</v>
      </c>
      <c r="K250">
        <f t="shared" si="6"/>
        <v>60.5</v>
      </c>
    </row>
    <row r="251" spans="1:11" x14ac:dyDescent="0.25">
      <c r="A251">
        <v>7</v>
      </c>
      <c r="B251" t="s">
        <v>10</v>
      </c>
      <c r="C251">
        <v>2019</v>
      </c>
      <c r="D251">
        <v>174.5</v>
      </c>
      <c r="E251">
        <v>100</v>
      </c>
      <c r="F251">
        <v>214</v>
      </c>
      <c r="G251" s="1">
        <f>DATE(C251, CHOOSE(MATCH(UPPER(B251), {"ENERO","FEBRERO","MARZO","ABRIL","MAYO","JUNIO","JULIO","AGOSTO","SEPTIEMBRE","OCTUBRE","NOVIEMBRE","DICIEMBRE"}, 0), 1,2,3,4,5,6,7,8,9,10,11,12), A251)</f>
        <v>43715</v>
      </c>
      <c r="H251">
        <v>60.5</v>
      </c>
      <c r="I251">
        <v>36000</v>
      </c>
      <c r="J251" s="1">
        <f t="shared" si="7"/>
        <v>43716</v>
      </c>
      <c r="K251">
        <f t="shared" si="6"/>
        <v>59.5</v>
      </c>
    </row>
    <row r="252" spans="1:11" x14ac:dyDescent="0.25">
      <c r="A252">
        <v>8</v>
      </c>
      <c r="B252" t="s">
        <v>10</v>
      </c>
      <c r="C252">
        <v>2019</v>
      </c>
      <c r="D252">
        <v>214</v>
      </c>
      <c r="E252">
        <v>-30</v>
      </c>
      <c r="F252">
        <v>124.5</v>
      </c>
      <c r="G252" s="1">
        <f>DATE(C252, CHOOSE(MATCH(UPPER(B252), {"ENERO","FEBRERO","MARZO","ABRIL","MAYO","JUNIO","JULIO","AGOSTO","SEPTIEMBRE","OCTUBRE","NOVIEMBRE","DICIEMBRE"}, 0), 1,2,3,4,5,6,7,8,9,10,11,12), A252)</f>
        <v>43716</v>
      </c>
      <c r="H252">
        <v>59.5</v>
      </c>
      <c r="I252">
        <v>36000</v>
      </c>
      <c r="J252" s="1">
        <f t="shared" si="7"/>
        <v>43717</v>
      </c>
      <c r="K252">
        <f t="shared" si="6"/>
        <v>24.625</v>
      </c>
    </row>
    <row r="253" spans="1:11" x14ac:dyDescent="0.25">
      <c r="A253">
        <v>9</v>
      </c>
      <c r="B253" t="s">
        <v>10</v>
      </c>
      <c r="C253">
        <v>2019</v>
      </c>
      <c r="D253">
        <v>124.5</v>
      </c>
      <c r="E253" t="s">
        <v>9</v>
      </c>
      <c r="F253">
        <v>99.875</v>
      </c>
      <c r="G253" s="1">
        <f>DATE(C253, CHOOSE(MATCH(UPPER(B253), {"ENERO","FEBRERO","MARZO","ABRIL","MAYO","JUNIO","JULIO","AGOSTO","SEPTIEMBRE","OCTUBRE","NOVIEMBRE","DICIEMBRE"}, 0), 1,2,3,4,5,6,7,8,9,10,11,12), A253)</f>
        <v>43717</v>
      </c>
      <c r="H253">
        <v>24.625</v>
      </c>
      <c r="I253">
        <v>36000</v>
      </c>
      <c r="J253" s="1">
        <f t="shared" si="7"/>
        <v>43718</v>
      </c>
      <c r="K253">
        <f t="shared" si="6"/>
        <v>34.875</v>
      </c>
    </row>
    <row r="254" spans="1:11" x14ac:dyDescent="0.25">
      <c r="A254">
        <v>10</v>
      </c>
      <c r="B254" t="s">
        <v>10</v>
      </c>
      <c r="C254">
        <v>2019</v>
      </c>
      <c r="D254">
        <v>99.875</v>
      </c>
      <c r="E254">
        <v>113</v>
      </c>
      <c r="F254">
        <v>178</v>
      </c>
      <c r="G254" s="1">
        <f>DATE(C254, CHOOSE(MATCH(UPPER(B254), {"ENERO","FEBRERO","MARZO","ABRIL","MAYO","JUNIO","JULIO","AGOSTO","SEPTIEMBRE","OCTUBRE","NOVIEMBRE","DICIEMBRE"}, 0), 1,2,3,4,5,6,7,8,9,10,11,12), A254)</f>
        <v>43718</v>
      </c>
      <c r="H254">
        <v>34.875</v>
      </c>
      <c r="I254">
        <v>36000</v>
      </c>
      <c r="J254" s="1">
        <f t="shared" si="7"/>
        <v>43719</v>
      </c>
      <c r="K254">
        <f t="shared" si="6"/>
        <v>30.5</v>
      </c>
    </row>
    <row r="255" spans="1:11" x14ac:dyDescent="0.25">
      <c r="A255">
        <v>11</v>
      </c>
      <c r="B255" t="s">
        <v>10</v>
      </c>
      <c r="C255">
        <v>2019</v>
      </c>
      <c r="D255">
        <v>178</v>
      </c>
      <c r="E255" t="s">
        <v>9</v>
      </c>
      <c r="F255">
        <v>147.5</v>
      </c>
      <c r="G255" s="1">
        <f>DATE(C255, CHOOSE(MATCH(UPPER(B255), {"ENERO","FEBRERO","MARZO","ABRIL","MAYO","JUNIO","JULIO","AGOSTO","SEPTIEMBRE","OCTUBRE","NOVIEMBRE","DICIEMBRE"}, 0), 1,2,3,4,5,6,7,8,9,10,11,12), A255)</f>
        <v>43719</v>
      </c>
      <c r="H255">
        <v>30.5</v>
      </c>
      <c r="I255">
        <v>36000</v>
      </c>
      <c r="J255" s="1">
        <f t="shared" si="7"/>
        <v>43720</v>
      </c>
      <c r="K255">
        <f t="shared" si="6"/>
        <v>35</v>
      </c>
    </row>
    <row r="256" spans="1:11" x14ac:dyDescent="0.25">
      <c r="A256">
        <v>12</v>
      </c>
      <c r="B256" t="s">
        <v>10</v>
      </c>
      <c r="C256">
        <v>2019</v>
      </c>
      <c r="D256">
        <v>147.5</v>
      </c>
      <c r="E256" t="s">
        <v>9</v>
      </c>
      <c r="F256">
        <v>112.5</v>
      </c>
      <c r="G256" s="1">
        <f>DATE(C256, CHOOSE(MATCH(UPPER(B256), {"ENERO","FEBRERO","MARZO","ABRIL","MAYO","JUNIO","JULIO","AGOSTO","SEPTIEMBRE","OCTUBRE","NOVIEMBRE","DICIEMBRE"}, 0), 1,2,3,4,5,6,7,8,9,10,11,12), A256)</f>
        <v>43720</v>
      </c>
      <c r="H256">
        <v>35</v>
      </c>
      <c r="I256">
        <v>36000</v>
      </c>
      <c r="J256" s="1">
        <f t="shared" si="7"/>
        <v>43721</v>
      </c>
      <c r="K256">
        <f t="shared" si="6"/>
        <v>58.5</v>
      </c>
    </row>
    <row r="257" spans="1:11" x14ac:dyDescent="0.25">
      <c r="A257">
        <v>13</v>
      </c>
      <c r="B257" t="s">
        <v>10</v>
      </c>
      <c r="C257">
        <v>2019</v>
      </c>
      <c r="D257">
        <v>112.5</v>
      </c>
      <c r="E257" t="s">
        <v>9</v>
      </c>
      <c r="F257">
        <v>54</v>
      </c>
      <c r="G257" s="1">
        <f>DATE(C257, CHOOSE(MATCH(UPPER(B257), {"ENERO","FEBRERO","MARZO","ABRIL","MAYO","JUNIO","JULIO","AGOSTO","SEPTIEMBRE","OCTUBRE","NOVIEMBRE","DICIEMBRE"}, 0), 1,2,3,4,5,6,7,8,9,10,11,12), A257)</f>
        <v>43721</v>
      </c>
      <c r="H257">
        <v>58.5</v>
      </c>
      <c r="I257">
        <v>36000</v>
      </c>
      <c r="J257" s="1">
        <f t="shared" si="7"/>
        <v>43722</v>
      </c>
      <c r="K257">
        <f t="shared" si="6"/>
        <v>73</v>
      </c>
    </row>
    <row r="258" spans="1:11" x14ac:dyDescent="0.25">
      <c r="A258">
        <v>14</v>
      </c>
      <c r="B258" t="s">
        <v>10</v>
      </c>
      <c r="C258">
        <v>2019</v>
      </c>
      <c r="D258">
        <v>54</v>
      </c>
      <c r="E258">
        <v>71</v>
      </c>
      <c r="F258">
        <v>52</v>
      </c>
      <c r="G258" s="1">
        <f>DATE(C258, CHOOSE(MATCH(UPPER(B258), {"ENERO","FEBRERO","MARZO","ABRIL","MAYO","JUNIO","JULIO","AGOSTO","SEPTIEMBRE","OCTUBRE","NOVIEMBRE","DICIEMBRE"}, 0), 1,2,3,4,5,6,7,8,9,10,11,12), A258)</f>
        <v>43722</v>
      </c>
      <c r="H258">
        <v>73</v>
      </c>
      <c r="I258">
        <v>36000</v>
      </c>
      <c r="J258" s="1">
        <f t="shared" si="7"/>
        <v>43723</v>
      </c>
      <c r="K258">
        <f t="shared" si="6"/>
        <v>69</v>
      </c>
    </row>
    <row r="259" spans="1:11" x14ac:dyDescent="0.25">
      <c r="A259">
        <v>15</v>
      </c>
      <c r="B259" t="s">
        <v>10</v>
      </c>
      <c r="C259">
        <v>2019</v>
      </c>
      <c r="D259">
        <v>52</v>
      </c>
      <c r="E259">
        <v>90</v>
      </c>
      <c r="F259">
        <v>73</v>
      </c>
      <c r="G259" s="1">
        <f>DATE(C259, CHOOSE(MATCH(UPPER(B259), {"ENERO","FEBRERO","MARZO","ABRIL","MAYO","JUNIO","JULIO","AGOSTO","SEPTIEMBRE","OCTUBRE","NOVIEMBRE","DICIEMBRE"}, 0), 1,2,3,4,5,6,7,8,9,10,11,12), A259)</f>
        <v>43723</v>
      </c>
      <c r="H259">
        <v>69</v>
      </c>
      <c r="I259">
        <v>36000</v>
      </c>
      <c r="J259" s="1">
        <f t="shared" si="7"/>
        <v>43724</v>
      </c>
      <c r="K259">
        <f t="shared" ref="K259:K322" si="8">VLOOKUP(J259, G:H, 2, FALSE)</f>
        <v>27</v>
      </c>
    </row>
    <row r="260" spans="1:11" x14ac:dyDescent="0.25">
      <c r="A260">
        <v>16</v>
      </c>
      <c r="B260" t="s">
        <v>10</v>
      </c>
      <c r="C260">
        <v>2019</v>
      </c>
      <c r="D260">
        <v>73</v>
      </c>
      <c r="E260">
        <v>151</v>
      </c>
      <c r="F260">
        <v>197</v>
      </c>
      <c r="G260" s="1">
        <f>DATE(C260, CHOOSE(MATCH(UPPER(B260), {"ENERO","FEBRERO","MARZO","ABRIL","MAYO","JUNIO","JULIO","AGOSTO","SEPTIEMBRE","OCTUBRE","NOVIEMBRE","DICIEMBRE"}, 0), 1,2,3,4,5,6,7,8,9,10,11,12), A260)</f>
        <v>43724</v>
      </c>
      <c r="H260">
        <v>27</v>
      </c>
      <c r="I260">
        <v>36000</v>
      </c>
      <c r="J260" s="1">
        <f t="shared" si="7"/>
        <v>43725</v>
      </c>
      <c r="K260">
        <f t="shared" si="8"/>
        <v>32</v>
      </c>
    </row>
    <row r="261" spans="1:11" x14ac:dyDescent="0.25">
      <c r="A261">
        <v>17</v>
      </c>
      <c r="B261" t="s">
        <v>10</v>
      </c>
      <c r="C261">
        <v>2019</v>
      </c>
      <c r="D261">
        <v>197</v>
      </c>
      <c r="E261" t="s">
        <v>9</v>
      </c>
      <c r="F261">
        <v>165</v>
      </c>
      <c r="G261" s="1">
        <f>DATE(C261, CHOOSE(MATCH(UPPER(B261), {"ENERO","FEBRERO","MARZO","ABRIL","MAYO","JUNIO","JULIO","AGOSTO","SEPTIEMBRE","OCTUBRE","NOVIEMBRE","DICIEMBRE"}, 0), 1,2,3,4,5,6,7,8,9,10,11,12), A261)</f>
        <v>43725</v>
      </c>
      <c r="H261">
        <v>32</v>
      </c>
      <c r="I261">
        <v>36000</v>
      </c>
      <c r="J261" s="1">
        <f t="shared" ref="J261:J324" si="9">DATE(2019,1,1) + ROW()-1</f>
        <v>43726</v>
      </c>
      <c r="K261">
        <f t="shared" si="8"/>
        <v>42</v>
      </c>
    </row>
    <row r="262" spans="1:11" x14ac:dyDescent="0.25">
      <c r="A262">
        <v>18</v>
      </c>
      <c r="B262" t="s">
        <v>10</v>
      </c>
      <c r="C262">
        <v>2019</v>
      </c>
      <c r="D262">
        <v>165</v>
      </c>
      <c r="E262">
        <v>100</v>
      </c>
      <c r="F262">
        <v>223</v>
      </c>
      <c r="G262" s="1">
        <f>DATE(C262, CHOOSE(MATCH(UPPER(B262), {"ENERO","FEBRERO","MARZO","ABRIL","MAYO","JUNIO","JULIO","AGOSTO","SEPTIEMBRE","OCTUBRE","NOVIEMBRE","DICIEMBRE"}, 0), 1,2,3,4,5,6,7,8,9,10,11,12), A262)</f>
        <v>43726</v>
      </c>
      <c r="H262">
        <v>42</v>
      </c>
      <c r="I262">
        <v>36000</v>
      </c>
      <c r="J262" s="1">
        <f t="shared" si="9"/>
        <v>43727</v>
      </c>
      <c r="K262">
        <f t="shared" si="8"/>
        <v>37</v>
      </c>
    </row>
    <row r="263" spans="1:11" x14ac:dyDescent="0.25">
      <c r="A263">
        <v>19</v>
      </c>
      <c r="B263" t="s">
        <v>10</v>
      </c>
      <c r="C263">
        <v>2019</v>
      </c>
      <c r="D263">
        <v>223</v>
      </c>
      <c r="E263">
        <v>40</v>
      </c>
      <c r="F263">
        <v>226</v>
      </c>
      <c r="G263" s="1">
        <f>DATE(C263, CHOOSE(MATCH(UPPER(B263), {"ENERO","FEBRERO","MARZO","ABRIL","MAYO","JUNIO","JULIO","AGOSTO","SEPTIEMBRE","OCTUBRE","NOVIEMBRE","DICIEMBRE"}, 0), 1,2,3,4,5,6,7,8,9,10,11,12), A263)</f>
        <v>43727</v>
      </c>
      <c r="H263">
        <v>37</v>
      </c>
      <c r="I263">
        <v>36000</v>
      </c>
      <c r="J263" s="1">
        <f t="shared" si="9"/>
        <v>43728</v>
      </c>
      <c r="K263">
        <f t="shared" si="8"/>
        <v>52</v>
      </c>
    </row>
    <row r="264" spans="1:11" x14ac:dyDescent="0.25">
      <c r="A264">
        <v>20</v>
      </c>
      <c r="B264" t="s">
        <v>10</v>
      </c>
      <c r="C264">
        <v>2019</v>
      </c>
      <c r="D264">
        <v>226</v>
      </c>
      <c r="E264">
        <v>50</v>
      </c>
      <c r="F264">
        <v>224</v>
      </c>
      <c r="G264" s="1">
        <f>DATE(C264, CHOOSE(MATCH(UPPER(B264), {"ENERO","FEBRERO","MARZO","ABRIL","MAYO","JUNIO","JULIO","AGOSTO","SEPTIEMBRE","OCTUBRE","NOVIEMBRE","DICIEMBRE"}, 0), 1,2,3,4,5,6,7,8,9,10,11,12), A264)</f>
        <v>43728</v>
      </c>
      <c r="H264">
        <v>52</v>
      </c>
      <c r="I264">
        <v>36000</v>
      </c>
      <c r="J264" s="1">
        <f t="shared" si="9"/>
        <v>43729</v>
      </c>
      <c r="K264">
        <f t="shared" si="8"/>
        <v>83</v>
      </c>
    </row>
    <row r="265" spans="1:11" x14ac:dyDescent="0.25">
      <c r="A265">
        <v>21</v>
      </c>
      <c r="B265" t="s">
        <v>10</v>
      </c>
      <c r="C265">
        <v>2019</v>
      </c>
      <c r="D265">
        <v>224</v>
      </c>
      <c r="E265">
        <v>50</v>
      </c>
      <c r="F265">
        <v>191</v>
      </c>
      <c r="G265" s="1">
        <f>DATE(C265, CHOOSE(MATCH(UPPER(B265), {"ENERO","FEBRERO","MARZO","ABRIL","MAYO","JUNIO","JULIO","AGOSTO","SEPTIEMBRE","OCTUBRE","NOVIEMBRE","DICIEMBRE"}, 0), 1,2,3,4,5,6,7,8,9,10,11,12), A265)</f>
        <v>43729</v>
      </c>
      <c r="H265">
        <v>83</v>
      </c>
      <c r="I265">
        <v>36000</v>
      </c>
      <c r="J265" s="1">
        <f t="shared" si="9"/>
        <v>43730</v>
      </c>
      <c r="K265">
        <f t="shared" si="8"/>
        <v>64</v>
      </c>
    </row>
    <row r="266" spans="1:11" x14ac:dyDescent="0.25">
      <c r="A266">
        <v>22</v>
      </c>
      <c r="B266" t="s">
        <v>10</v>
      </c>
      <c r="C266">
        <v>2019</v>
      </c>
      <c r="D266">
        <v>191</v>
      </c>
      <c r="E266">
        <v>50</v>
      </c>
      <c r="F266">
        <v>177</v>
      </c>
      <c r="G266" s="1">
        <f>DATE(C266, CHOOSE(MATCH(UPPER(B266), {"ENERO","FEBRERO","MARZO","ABRIL","MAYO","JUNIO","JULIO","AGOSTO","SEPTIEMBRE","OCTUBRE","NOVIEMBRE","DICIEMBRE"}, 0), 1,2,3,4,5,6,7,8,9,10,11,12), A266)</f>
        <v>43730</v>
      </c>
      <c r="H266">
        <v>64</v>
      </c>
      <c r="I266">
        <v>36000</v>
      </c>
      <c r="J266" s="1">
        <f t="shared" si="9"/>
        <v>43731</v>
      </c>
      <c r="K266">
        <f t="shared" si="8"/>
        <v>38</v>
      </c>
    </row>
    <row r="267" spans="1:11" x14ac:dyDescent="0.25">
      <c r="A267">
        <v>23</v>
      </c>
      <c r="B267" t="s">
        <v>10</v>
      </c>
      <c r="C267">
        <v>2019</v>
      </c>
      <c r="D267">
        <v>177</v>
      </c>
      <c r="E267">
        <v>100</v>
      </c>
      <c r="F267">
        <v>239</v>
      </c>
      <c r="G267" s="1">
        <f>DATE(C267, CHOOSE(MATCH(UPPER(B267), {"ENERO","FEBRERO","MARZO","ABRIL","MAYO","JUNIO","JULIO","AGOSTO","SEPTIEMBRE","OCTUBRE","NOVIEMBRE","DICIEMBRE"}, 0), 1,2,3,4,5,6,7,8,9,10,11,12), A267)</f>
        <v>43731</v>
      </c>
      <c r="H267">
        <v>38</v>
      </c>
      <c r="I267">
        <v>36000</v>
      </c>
      <c r="J267" s="1">
        <f t="shared" si="9"/>
        <v>43732</v>
      </c>
      <c r="K267">
        <f t="shared" si="8"/>
        <v>39</v>
      </c>
    </row>
    <row r="268" spans="1:11" x14ac:dyDescent="0.25">
      <c r="A268">
        <v>24</v>
      </c>
      <c r="B268" t="s">
        <v>10</v>
      </c>
      <c r="C268">
        <v>2019</v>
      </c>
      <c r="D268">
        <v>239</v>
      </c>
      <c r="E268" t="s">
        <v>9</v>
      </c>
      <c r="F268">
        <v>200</v>
      </c>
      <c r="G268" s="1">
        <f>DATE(C268, CHOOSE(MATCH(UPPER(B268), {"ENERO","FEBRERO","MARZO","ABRIL","MAYO","JUNIO","JULIO","AGOSTO","SEPTIEMBRE","OCTUBRE","NOVIEMBRE","DICIEMBRE"}, 0), 1,2,3,4,5,6,7,8,9,10,11,12), A268)</f>
        <v>43732</v>
      </c>
      <c r="H268">
        <v>39</v>
      </c>
      <c r="I268">
        <v>36000</v>
      </c>
      <c r="J268" s="1">
        <f t="shared" si="9"/>
        <v>43733</v>
      </c>
      <c r="K268">
        <f t="shared" si="8"/>
        <v>37</v>
      </c>
    </row>
    <row r="269" spans="1:11" x14ac:dyDescent="0.25">
      <c r="A269">
        <v>25</v>
      </c>
      <c r="B269" t="s">
        <v>10</v>
      </c>
      <c r="C269">
        <v>2019</v>
      </c>
      <c r="D269">
        <v>200</v>
      </c>
      <c r="E269">
        <v>145</v>
      </c>
      <c r="F269">
        <v>308</v>
      </c>
      <c r="G269" s="1">
        <f>DATE(C269, CHOOSE(MATCH(UPPER(B269), {"ENERO","FEBRERO","MARZO","ABRIL","MAYO","JUNIO","JULIO","AGOSTO","SEPTIEMBRE","OCTUBRE","NOVIEMBRE","DICIEMBRE"}, 0), 1,2,3,4,5,6,7,8,9,10,11,12), A269)</f>
        <v>43733</v>
      </c>
      <c r="H269">
        <v>37</v>
      </c>
      <c r="I269">
        <v>36000</v>
      </c>
      <c r="J269" s="1">
        <f t="shared" si="9"/>
        <v>43734</v>
      </c>
      <c r="K269">
        <f t="shared" si="8"/>
        <v>38</v>
      </c>
    </row>
    <row r="270" spans="1:11" x14ac:dyDescent="0.25">
      <c r="A270">
        <v>26</v>
      </c>
      <c r="B270" t="s">
        <v>10</v>
      </c>
      <c r="C270">
        <v>2019</v>
      </c>
      <c r="D270">
        <v>308</v>
      </c>
      <c r="E270">
        <v>-120</v>
      </c>
      <c r="F270">
        <v>150</v>
      </c>
      <c r="G270" s="1">
        <f>DATE(C270, CHOOSE(MATCH(UPPER(B270), {"ENERO","FEBRERO","MARZO","ABRIL","MAYO","JUNIO","JULIO","AGOSTO","SEPTIEMBRE","OCTUBRE","NOVIEMBRE","DICIEMBRE"}, 0), 1,2,3,4,5,6,7,8,9,10,11,12), A270)</f>
        <v>43734</v>
      </c>
      <c r="H270">
        <v>38</v>
      </c>
      <c r="I270">
        <v>36000</v>
      </c>
      <c r="J270" s="1">
        <f t="shared" si="9"/>
        <v>43735</v>
      </c>
      <c r="K270">
        <f t="shared" si="8"/>
        <v>55</v>
      </c>
    </row>
    <row r="271" spans="1:11" x14ac:dyDescent="0.25">
      <c r="A271">
        <v>27</v>
      </c>
      <c r="B271" t="s">
        <v>10</v>
      </c>
      <c r="C271">
        <v>2019</v>
      </c>
      <c r="D271">
        <v>150</v>
      </c>
      <c r="E271" t="s">
        <v>9</v>
      </c>
      <c r="F271">
        <v>95</v>
      </c>
      <c r="G271" s="1">
        <f>DATE(C271, CHOOSE(MATCH(UPPER(B271), {"ENERO","FEBRERO","MARZO","ABRIL","MAYO","JUNIO","JULIO","AGOSTO","SEPTIEMBRE","OCTUBRE","NOVIEMBRE","DICIEMBRE"}, 0), 1,2,3,4,5,6,7,8,9,10,11,12), A271)</f>
        <v>43735</v>
      </c>
      <c r="H271">
        <v>55</v>
      </c>
      <c r="I271">
        <v>36000</v>
      </c>
      <c r="J271" s="1">
        <f t="shared" si="9"/>
        <v>43736</v>
      </c>
      <c r="K271">
        <f t="shared" si="8"/>
        <v>75</v>
      </c>
    </row>
    <row r="272" spans="1:11" x14ac:dyDescent="0.25">
      <c r="A272">
        <v>28</v>
      </c>
      <c r="B272" t="s">
        <v>10</v>
      </c>
      <c r="C272">
        <v>2019</v>
      </c>
      <c r="D272">
        <v>95</v>
      </c>
      <c r="E272">
        <v>110</v>
      </c>
      <c r="F272">
        <v>130</v>
      </c>
      <c r="G272" s="1">
        <f>DATE(C272, CHOOSE(MATCH(UPPER(B272), {"ENERO","FEBRERO","MARZO","ABRIL","MAYO","JUNIO","JULIO","AGOSTO","SEPTIEMBRE","OCTUBRE","NOVIEMBRE","DICIEMBRE"}, 0), 1,2,3,4,5,6,7,8,9,10,11,12), A272)</f>
        <v>43736</v>
      </c>
      <c r="H272">
        <v>75</v>
      </c>
      <c r="I272">
        <v>36000</v>
      </c>
      <c r="J272" s="1">
        <f t="shared" si="9"/>
        <v>43737</v>
      </c>
      <c r="K272">
        <f t="shared" si="8"/>
        <v>72</v>
      </c>
    </row>
    <row r="273" spans="1:11" x14ac:dyDescent="0.25">
      <c r="A273">
        <v>29</v>
      </c>
      <c r="B273" t="s">
        <v>10</v>
      </c>
      <c r="C273">
        <v>2019</v>
      </c>
      <c r="D273">
        <v>130</v>
      </c>
      <c r="E273">
        <v>100</v>
      </c>
      <c r="F273">
        <v>158</v>
      </c>
      <c r="G273" s="1">
        <f>DATE(C273, CHOOSE(MATCH(UPPER(B273), {"ENERO","FEBRERO","MARZO","ABRIL","MAYO","JUNIO","JULIO","AGOSTO","SEPTIEMBRE","OCTUBRE","NOVIEMBRE","DICIEMBRE"}, 0), 1,2,3,4,5,6,7,8,9,10,11,12), A273)</f>
        <v>43737</v>
      </c>
      <c r="H273">
        <v>72</v>
      </c>
      <c r="I273">
        <v>36000</v>
      </c>
      <c r="J273" s="1">
        <f t="shared" si="9"/>
        <v>43738</v>
      </c>
      <c r="K273">
        <f t="shared" si="8"/>
        <v>46.5</v>
      </c>
    </row>
    <row r="274" spans="1:11" x14ac:dyDescent="0.25">
      <c r="A274">
        <v>30</v>
      </c>
      <c r="B274" t="s">
        <v>10</v>
      </c>
      <c r="C274">
        <v>2019</v>
      </c>
      <c r="D274">
        <v>158</v>
      </c>
      <c r="E274" t="s">
        <v>9</v>
      </c>
      <c r="F274">
        <v>111.5</v>
      </c>
      <c r="G274" s="1">
        <f>DATE(C274, CHOOSE(MATCH(UPPER(B274), {"ENERO","FEBRERO","MARZO","ABRIL","MAYO","JUNIO","JULIO","AGOSTO","SEPTIEMBRE","OCTUBRE","NOVIEMBRE","DICIEMBRE"}, 0), 1,2,3,4,5,6,7,8,9,10,11,12), A274)</f>
        <v>43738</v>
      </c>
      <c r="H274">
        <v>46.5</v>
      </c>
      <c r="I274">
        <v>36000</v>
      </c>
      <c r="J274" s="1">
        <f t="shared" si="9"/>
        <v>43739</v>
      </c>
      <c r="K274">
        <f t="shared" si="8"/>
        <v>111.5</v>
      </c>
    </row>
    <row r="275" spans="1:11" x14ac:dyDescent="0.25">
      <c r="A275">
        <v>31</v>
      </c>
      <c r="B275" t="s">
        <v>10</v>
      </c>
      <c r="C275">
        <v>2019</v>
      </c>
      <c r="D275">
        <v>111.5</v>
      </c>
      <c r="E275" t="s">
        <v>9</v>
      </c>
      <c r="F275" t="s">
        <v>9</v>
      </c>
      <c r="G275" s="1">
        <f>DATE(C275, CHOOSE(MATCH(UPPER(B275), {"ENERO","FEBRERO","MARZO","ABRIL","MAYO","JUNIO","JULIO","AGOSTO","SEPTIEMBRE","OCTUBRE","NOVIEMBRE","DICIEMBRE"}, 0), 1,2,3,4,5,6,7,8,9,10,11,12), A275)</f>
        <v>43739</v>
      </c>
      <c r="H275">
        <v>111.5</v>
      </c>
      <c r="I275">
        <v>36000</v>
      </c>
      <c r="J275" s="1">
        <f t="shared" si="9"/>
        <v>43740</v>
      </c>
      <c r="K275">
        <f t="shared" si="8"/>
        <v>35</v>
      </c>
    </row>
    <row r="276" spans="1:11" x14ac:dyDescent="0.25">
      <c r="A276">
        <v>1</v>
      </c>
      <c r="B276" t="s">
        <v>18</v>
      </c>
      <c r="C276">
        <v>2019</v>
      </c>
      <c r="D276">
        <v>111.5</v>
      </c>
      <c r="E276" t="s">
        <v>9</v>
      </c>
      <c r="F276">
        <v>78.5</v>
      </c>
      <c r="G276" s="1">
        <f>DATE(C276, CHOOSE(MATCH(UPPER(B276), {"ENERO","FEBRERO","MARZO","ABRIL","MAYO","JUNIO","JULIO","AGOSTO","SEPTIEMBRE","OCTUBRE","NOVIEMBRE","DICIEMBRE"}, 0), 1,2,3,4,5,6,7,8,9,10,11,12), A276)</f>
        <v>43739</v>
      </c>
      <c r="H276">
        <v>33</v>
      </c>
      <c r="I276">
        <v>36000</v>
      </c>
      <c r="J276" s="1">
        <f t="shared" si="9"/>
        <v>43741</v>
      </c>
      <c r="K276">
        <f t="shared" si="8"/>
        <v>47.5</v>
      </c>
    </row>
    <row r="277" spans="1:11" x14ac:dyDescent="0.25">
      <c r="A277">
        <v>2</v>
      </c>
      <c r="B277" t="s">
        <v>18</v>
      </c>
      <c r="C277">
        <v>2019</v>
      </c>
      <c r="D277">
        <v>78.5</v>
      </c>
      <c r="E277">
        <v>150</v>
      </c>
      <c r="F277">
        <v>193.5</v>
      </c>
      <c r="G277" s="1">
        <f>DATE(C277, CHOOSE(MATCH(UPPER(B277), {"ENERO","FEBRERO","MARZO","ABRIL","MAYO","JUNIO","JULIO","AGOSTO","SEPTIEMBRE","OCTUBRE","NOVIEMBRE","DICIEMBRE"}, 0), 1,2,3,4,5,6,7,8,9,10,11,12), A277)</f>
        <v>43740</v>
      </c>
      <c r="H277">
        <v>35</v>
      </c>
      <c r="I277">
        <v>36000</v>
      </c>
      <c r="J277" s="1">
        <f t="shared" si="9"/>
        <v>43742</v>
      </c>
      <c r="K277">
        <f t="shared" si="8"/>
        <v>60</v>
      </c>
    </row>
    <row r="278" spans="1:11" x14ac:dyDescent="0.25">
      <c r="A278">
        <v>3</v>
      </c>
      <c r="B278" t="s">
        <v>18</v>
      </c>
      <c r="C278">
        <v>2019</v>
      </c>
      <c r="D278">
        <v>193.5</v>
      </c>
      <c r="E278">
        <v>51</v>
      </c>
      <c r="F278">
        <v>197</v>
      </c>
      <c r="G278" s="1">
        <f>DATE(C278, CHOOSE(MATCH(UPPER(B278), {"ENERO","FEBRERO","MARZO","ABRIL","MAYO","JUNIO","JULIO","AGOSTO","SEPTIEMBRE","OCTUBRE","NOVIEMBRE","DICIEMBRE"}, 0), 1,2,3,4,5,6,7,8,9,10,11,12), A278)</f>
        <v>43741</v>
      </c>
      <c r="H278">
        <v>47.5</v>
      </c>
      <c r="I278">
        <v>36000</v>
      </c>
      <c r="J278" s="1">
        <f t="shared" si="9"/>
        <v>43743</v>
      </c>
      <c r="K278">
        <f t="shared" si="8"/>
        <v>81</v>
      </c>
    </row>
    <row r="279" spans="1:11" x14ac:dyDescent="0.25">
      <c r="A279">
        <v>4</v>
      </c>
      <c r="B279" t="s">
        <v>18</v>
      </c>
      <c r="C279">
        <v>2019</v>
      </c>
      <c r="D279">
        <v>197</v>
      </c>
      <c r="E279" t="s">
        <v>9</v>
      </c>
      <c r="F279">
        <v>137</v>
      </c>
      <c r="G279" s="1">
        <f>DATE(C279, CHOOSE(MATCH(UPPER(B279), {"ENERO","FEBRERO","MARZO","ABRIL","MAYO","JUNIO","JULIO","AGOSTO","SEPTIEMBRE","OCTUBRE","NOVIEMBRE","DICIEMBRE"}, 0), 1,2,3,4,5,6,7,8,9,10,11,12), A279)</f>
        <v>43742</v>
      </c>
      <c r="H279">
        <v>60</v>
      </c>
      <c r="I279">
        <v>36000</v>
      </c>
      <c r="J279" s="1">
        <f t="shared" si="9"/>
        <v>43744</v>
      </c>
      <c r="K279">
        <f t="shared" si="8"/>
        <v>78</v>
      </c>
    </row>
    <row r="280" spans="1:11" x14ac:dyDescent="0.25">
      <c r="A280">
        <v>5</v>
      </c>
      <c r="B280" t="s">
        <v>18</v>
      </c>
      <c r="C280">
        <v>2019</v>
      </c>
      <c r="D280">
        <v>137</v>
      </c>
      <c r="E280">
        <v>50</v>
      </c>
      <c r="F280">
        <v>106</v>
      </c>
      <c r="G280" s="1">
        <f>DATE(C280, CHOOSE(MATCH(UPPER(B280), {"ENERO","FEBRERO","MARZO","ABRIL","MAYO","JUNIO","JULIO","AGOSTO","SEPTIEMBRE","OCTUBRE","NOVIEMBRE","DICIEMBRE"}, 0), 1,2,3,4,5,6,7,8,9,10,11,12), A280)</f>
        <v>43743</v>
      </c>
      <c r="H280">
        <v>81</v>
      </c>
      <c r="I280">
        <v>36000</v>
      </c>
      <c r="J280" s="1">
        <f t="shared" si="9"/>
        <v>43745</v>
      </c>
      <c r="K280">
        <f t="shared" si="8"/>
        <v>42</v>
      </c>
    </row>
    <row r="281" spans="1:11" x14ac:dyDescent="0.25">
      <c r="A281">
        <v>6</v>
      </c>
      <c r="B281" t="s">
        <v>18</v>
      </c>
      <c r="C281">
        <v>2019</v>
      </c>
      <c r="D281">
        <v>106</v>
      </c>
      <c r="E281">
        <v>88</v>
      </c>
      <c r="F281">
        <v>116</v>
      </c>
      <c r="G281" s="1">
        <f>DATE(C281, CHOOSE(MATCH(UPPER(B281), {"ENERO","FEBRERO","MARZO","ABRIL","MAYO","JUNIO","JULIO","AGOSTO","SEPTIEMBRE","OCTUBRE","NOVIEMBRE","DICIEMBRE"}, 0), 1,2,3,4,5,6,7,8,9,10,11,12), A281)</f>
        <v>43744</v>
      </c>
      <c r="H281">
        <v>78</v>
      </c>
      <c r="I281">
        <v>36000</v>
      </c>
      <c r="J281" s="1">
        <f t="shared" si="9"/>
        <v>43746</v>
      </c>
      <c r="K281">
        <f t="shared" si="8"/>
        <v>66</v>
      </c>
    </row>
    <row r="282" spans="1:11" x14ac:dyDescent="0.25">
      <c r="A282">
        <v>7</v>
      </c>
      <c r="B282" t="s">
        <v>18</v>
      </c>
      <c r="C282">
        <v>2019</v>
      </c>
      <c r="D282">
        <v>116</v>
      </c>
      <c r="E282">
        <v>11</v>
      </c>
      <c r="F282">
        <v>85</v>
      </c>
      <c r="G282" s="1">
        <f>DATE(C282, CHOOSE(MATCH(UPPER(B282), {"ENERO","FEBRERO","MARZO","ABRIL","MAYO","JUNIO","JULIO","AGOSTO","SEPTIEMBRE","OCTUBRE","NOVIEMBRE","DICIEMBRE"}, 0), 1,2,3,4,5,6,7,8,9,10,11,12), A282)</f>
        <v>43745</v>
      </c>
      <c r="H282">
        <v>42</v>
      </c>
      <c r="I282">
        <v>36000</v>
      </c>
      <c r="J282" s="1">
        <f t="shared" si="9"/>
        <v>43747</v>
      </c>
      <c r="K282">
        <f t="shared" si="8"/>
        <v>61.5</v>
      </c>
    </row>
    <row r="283" spans="1:11" x14ac:dyDescent="0.25">
      <c r="A283">
        <v>8</v>
      </c>
      <c r="B283" t="s">
        <v>18</v>
      </c>
      <c r="C283">
        <v>2019</v>
      </c>
      <c r="D283">
        <v>85</v>
      </c>
      <c r="E283" t="s">
        <v>9</v>
      </c>
      <c r="F283">
        <v>19</v>
      </c>
      <c r="G283" s="1">
        <f>DATE(C283, CHOOSE(MATCH(UPPER(B283), {"ENERO","FEBRERO","MARZO","ABRIL","MAYO","JUNIO","JULIO","AGOSTO","SEPTIEMBRE","OCTUBRE","NOVIEMBRE","DICIEMBRE"}, 0), 1,2,3,4,5,6,7,8,9,10,11,12), A283)</f>
        <v>43746</v>
      </c>
      <c r="H283">
        <v>66</v>
      </c>
      <c r="I283">
        <v>36000</v>
      </c>
      <c r="J283" s="1">
        <f t="shared" si="9"/>
        <v>43748</v>
      </c>
      <c r="K283">
        <f t="shared" si="8"/>
        <v>47</v>
      </c>
    </row>
    <row r="284" spans="1:11" x14ac:dyDescent="0.25">
      <c r="A284">
        <v>9</v>
      </c>
      <c r="B284" t="s">
        <v>18</v>
      </c>
      <c r="C284">
        <v>2019</v>
      </c>
      <c r="D284">
        <v>19</v>
      </c>
      <c r="E284">
        <v>90</v>
      </c>
      <c r="F284">
        <v>47.5</v>
      </c>
      <c r="G284" s="1">
        <f>DATE(C284, CHOOSE(MATCH(UPPER(B284), {"ENERO","FEBRERO","MARZO","ABRIL","MAYO","JUNIO","JULIO","AGOSTO","SEPTIEMBRE","OCTUBRE","NOVIEMBRE","DICIEMBRE"}, 0), 1,2,3,4,5,6,7,8,9,10,11,12), A284)</f>
        <v>43747</v>
      </c>
      <c r="H284">
        <v>61.5</v>
      </c>
      <c r="I284">
        <v>36000</v>
      </c>
      <c r="J284" s="1">
        <f t="shared" si="9"/>
        <v>43749</v>
      </c>
      <c r="K284">
        <f t="shared" si="8"/>
        <v>70</v>
      </c>
    </row>
    <row r="285" spans="1:11" x14ac:dyDescent="0.25">
      <c r="A285">
        <v>10</v>
      </c>
      <c r="B285" t="s">
        <v>18</v>
      </c>
      <c r="C285">
        <v>2019</v>
      </c>
      <c r="D285">
        <v>47.5</v>
      </c>
      <c r="E285">
        <v>140</v>
      </c>
      <c r="F285">
        <v>140.5</v>
      </c>
      <c r="G285" s="1">
        <f>DATE(C285, CHOOSE(MATCH(UPPER(B285), {"ENERO","FEBRERO","MARZO","ABRIL","MAYO","JUNIO","JULIO","AGOSTO","SEPTIEMBRE","OCTUBRE","NOVIEMBRE","DICIEMBRE"}, 0), 1,2,3,4,5,6,7,8,9,10,11,12), A285)</f>
        <v>43748</v>
      </c>
      <c r="H285">
        <v>47</v>
      </c>
      <c r="I285">
        <v>36000</v>
      </c>
      <c r="J285" s="1">
        <f t="shared" si="9"/>
        <v>43750</v>
      </c>
      <c r="K285">
        <f t="shared" si="8"/>
        <v>78.5</v>
      </c>
    </row>
    <row r="286" spans="1:11" x14ac:dyDescent="0.25">
      <c r="A286">
        <v>11</v>
      </c>
      <c r="B286" t="s">
        <v>18</v>
      </c>
      <c r="C286">
        <v>2019</v>
      </c>
      <c r="D286">
        <v>140.5</v>
      </c>
      <c r="E286">
        <v>151</v>
      </c>
      <c r="F286">
        <v>221.5</v>
      </c>
      <c r="G286" s="1">
        <f>DATE(C286, CHOOSE(MATCH(UPPER(B286), {"ENERO","FEBRERO","MARZO","ABRIL","MAYO","JUNIO","JULIO","AGOSTO","SEPTIEMBRE","OCTUBRE","NOVIEMBRE","DICIEMBRE"}, 0), 1,2,3,4,5,6,7,8,9,10,11,12), A286)</f>
        <v>43749</v>
      </c>
      <c r="H286">
        <v>70</v>
      </c>
      <c r="I286">
        <v>36000</v>
      </c>
      <c r="J286" s="1">
        <f t="shared" si="9"/>
        <v>43751</v>
      </c>
      <c r="K286">
        <f t="shared" si="8"/>
        <v>79</v>
      </c>
    </row>
    <row r="287" spans="1:11" x14ac:dyDescent="0.25">
      <c r="A287">
        <v>12</v>
      </c>
      <c r="B287" t="s">
        <v>18</v>
      </c>
      <c r="C287">
        <v>2019</v>
      </c>
      <c r="D287">
        <v>221.5</v>
      </c>
      <c r="E287" t="s">
        <v>9</v>
      </c>
      <c r="F287">
        <v>143</v>
      </c>
      <c r="G287" s="1">
        <f>DATE(C287, CHOOSE(MATCH(UPPER(B287), {"ENERO","FEBRERO","MARZO","ABRIL","MAYO","JUNIO","JULIO","AGOSTO","SEPTIEMBRE","OCTUBRE","NOVIEMBRE","DICIEMBRE"}, 0), 1,2,3,4,5,6,7,8,9,10,11,12), A287)</f>
        <v>43750</v>
      </c>
      <c r="H287">
        <v>78.5</v>
      </c>
      <c r="I287">
        <v>36000</v>
      </c>
      <c r="J287" s="1">
        <f t="shared" si="9"/>
        <v>43752</v>
      </c>
      <c r="K287">
        <f t="shared" si="8"/>
        <v>59</v>
      </c>
    </row>
    <row r="288" spans="1:11" x14ac:dyDescent="0.25">
      <c r="A288">
        <v>13</v>
      </c>
      <c r="B288" t="s">
        <v>18</v>
      </c>
      <c r="C288">
        <v>2019</v>
      </c>
      <c r="D288">
        <v>143</v>
      </c>
      <c r="E288">
        <v>90</v>
      </c>
      <c r="F288">
        <v>154</v>
      </c>
      <c r="G288" s="1">
        <f>DATE(C288, CHOOSE(MATCH(UPPER(B288), {"ENERO","FEBRERO","MARZO","ABRIL","MAYO","JUNIO","JULIO","AGOSTO","SEPTIEMBRE","OCTUBRE","NOVIEMBRE","DICIEMBRE"}, 0), 1,2,3,4,5,6,7,8,9,10,11,12), A288)</f>
        <v>43751</v>
      </c>
      <c r="H288">
        <v>79</v>
      </c>
      <c r="I288">
        <v>36000</v>
      </c>
      <c r="J288" s="1">
        <f t="shared" si="9"/>
        <v>43753</v>
      </c>
      <c r="K288">
        <f t="shared" si="8"/>
        <v>32</v>
      </c>
    </row>
    <row r="289" spans="1:11" x14ac:dyDescent="0.25">
      <c r="A289">
        <v>14</v>
      </c>
      <c r="B289" t="s">
        <v>18</v>
      </c>
      <c r="C289">
        <v>2019</v>
      </c>
      <c r="D289">
        <v>154</v>
      </c>
      <c r="E289">
        <v>-50</v>
      </c>
      <c r="F289">
        <v>45</v>
      </c>
      <c r="G289" s="1">
        <f>DATE(C289, CHOOSE(MATCH(UPPER(B289), {"ENERO","FEBRERO","MARZO","ABRIL","MAYO","JUNIO","JULIO","AGOSTO","SEPTIEMBRE","OCTUBRE","NOVIEMBRE","DICIEMBRE"}, 0), 1,2,3,4,5,6,7,8,9,10,11,12), A289)</f>
        <v>43752</v>
      </c>
      <c r="H289">
        <v>59</v>
      </c>
      <c r="I289">
        <v>36000</v>
      </c>
      <c r="J289" s="1">
        <f t="shared" si="9"/>
        <v>43754</v>
      </c>
      <c r="K289">
        <f t="shared" si="8"/>
        <v>40</v>
      </c>
    </row>
    <row r="290" spans="1:11" x14ac:dyDescent="0.25">
      <c r="A290">
        <v>15</v>
      </c>
      <c r="B290" t="s">
        <v>18</v>
      </c>
      <c r="C290">
        <v>2019</v>
      </c>
      <c r="D290">
        <v>45</v>
      </c>
      <c r="E290">
        <v>200</v>
      </c>
      <c r="F290">
        <v>213</v>
      </c>
      <c r="G290" s="1">
        <f>DATE(C290, CHOOSE(MATCH(UPPER(B290), {"ENERO","FEBRERO","MARZO","ABRIL","MAYO","JUNIO","JULIO","AGOSTO","SEPTIEMBRE","OCTUBRE","NOVIEMBRE","DICIEMBRE"}, 0), 1,2,3,4,5,6,7,8,9,10,11,12), A290)</f>
        <v>43753</v>
      </c>
      <c r="H290">
        <v>32</v>
      </c>
      <c r="I290">
        <v>36000</v>
      </c>
      <c r="J290" s="1">
        <f t="shared" si="9"/>
        <v>43755</v>
      </c>
      <c r="K290">
        <f t="shared" si="8"/>
        <v>33</v>
      </c>
    </row>
    <row r="291" spans="1:11" x14ac:dyDescent="0.25">
      <c r="A291">
        <v>16</v>
      </c>
      <c r="B291" t="s">
        <v>18</v>
      </c>
      <c r="C291">
        <v>2019</v>
      </c>
      <c r="D291">
        <v>213</v>
      </c>
      <c r="E291">
        <v>80</v>
      </c>
      <c r="F291">
        <v>253</v>
      </c>
      <c r="G291" s="1">
        <f>DATE(C291, CHOOSE(MATCH(UPPER(B291), {"ENERO","FEBRERO","MARZO","ABRIL","MAYO","JUNIO","JULIO","AGOSTO","SEPTIEMBRE","OCTUBRE","NOVIEMBRE","DICIEMBRE"}, 0), 1,2,3,4,5,6,7,8,9,10,11,12), A291)</f>
        <v>43754</v>
      </c>
      <c r="H291">
        <v>40</v>
      </c>
      <c r="I291">
        <v>36000</v>
      </c>
      <c r="J291" s="1">
        <f t="shared" si="9"/>
        <v>43756</v>
      </c>
      <c r="K291">
        <f t="shared" si="8"/>
        <v>54.25</v>
      </c>
    </row>
    <row r="292" spans="1:11" x14ac:dyDescent="0.25">
      <c r="A292">
        <v>17</v>
      </c>
      <c r="B292" t="s">
        <v>18</v>
      </c>
      <c r="C292">
        <v>2019</v>
      </c>
      <c r="D292">
        <v>253</v>
      </c>
      <c r="E292">
        <v>-120</v>
      </c>
      <c r="F292">
        <v>100</v>
      </c>
      <c r="G292" s="1">
        <f>DATE(C292, CHOOSE(MATCH(UPPER(B292), {"ENERO","FEBRERO","MARZO","ABRIL","MAYO","JUNIO","JULIO","AGOSTO","SEPTIEMBRE","OCTUBRE","NOVIEMBRE","DICIEMBRE"}, 0), 1,2,3,4,5,6,7,8,9,10,11,12), A292)</f>
        <v>43755</v>
      </c>
      <c r="H292">
        <v>33</v>
      </c>
      <c r="I292">
        <v>36000</v>
      </c>
      <c r="J292" s="1">
        <f t="shared" si="9"/>
        <v>43757</v>
      </c>
      <c r="K292">
        <f t="shared" si="8"/>
        <v>69.5</v>
      </c>
    </row>
    <row r="293" spans="1:11" x14ac:dyDescent="0.25">
      <c r="A293">
        <v>18</v>
      </c>
      <c r="B293" t="s">
        <v>18</v>
      </c>
      <c r="C293">
        <v>2019</v>
      </c>
      <c r="D293">
        <v>100</v>
      </c>
      <c r="E293">
        <v>150</v>
      </c>
      <c r="F293">
        <v>195.75</v>
      </c>
      <c r="G293" s="1">
        <f>DATE(C293, CHOOSE(MATCH(UPPER(B293), {"ENERO","FEBRERO","MARZO","ABRIL","MAYO","JUNIO","JULIO","AGOSTO","SEPTIEMBRE","OCTUBRE","NOVIEMBRE","DICIEMBRE"}, 0), 1,2,3,4,5,6,7,8,9,10,11,12), A293)</f>
        <v>43756</v>
      </c>
      <c r="H293">
        <v>54.25</v>
      </c>
      <c r="I293">
        <v>36000</v>
      </c>
      <c r="J293" s="1">
        <f t="shared" si="9"/>
        <v>43758</v>
      </c>
      <c r="K293">
        <f t="shared" si="8"/>
        <v>61.75</v>
      </c>
    </row>
    <row r="294" spans="1:11" x14ac:dyDescent="0.25">
      <c r="A294">
        <v>19</v>
      </c>
      <c r="B294" t="s">
        <v>18</v>
      </c>
      <c r="C294">
        <v>2019</v>
      </c>
      <c r="D294">
        <v>195.75</v>
      </c>
      <c r="E294">
        <v>150</v>
      </c>
      <c r="F294">
        <v>276.25</v>
      </c>
      <c r="G294" s="1">
        <f>DATE(C294, CHOOSE(MATCH(UPPER(B294), {"ENERO","FEBRERO","MARZO","ABRIL","MAYO","JUNIO","JULIO","AGOSTO","SEPTIEMBRE","OCTUBRE","NOVIEMBRE","DICIEMBRE"}, 0), 1,2,3,4,5,6,7,8,9,10,11,12), A294)</f>
        <v>43757</v>
      </c>
      <c r="H294">
        <v>69.5</v>
      </c>
      <c r="I294">
        <v>36000</v>
      </c>
      <c r="J294" s="1">
        <f t="shared" si="9"/>
        <v>43759</v>
      </c>
      <c r="K294">
        <f t="shared" si="8"/>
        <v>32</v>
      </c>
    </row>
    <row r="295" spans="1:11" x14ac:dyDescent="0.25">
      <c r="A295">
        <v>20</v>
      </c>
      <c r="B295" t="s">
        <v>18</v>
      </c>
      <c r="C295">
        <v>2019</v>
      </c>
      <c r="D295">
        <v>276.25</v>
      </c>
      <c r="E295">
        <v>-40</v>
      </c>
      <c r="F295">
        <v>174.5</v>
      </c>
      <c r="G295" s="1">
        <f>DATE(C295, CHOOSE(MATCH(UPPER(B295), {"ENERO","FEBRERO","MARZO","ABRIL","MAYO","JUNIO","JULIO","AGOSTO","SEPTIEMBRE","OCTUBRE","NOVIEMBRE","DICIEMBRE"}, 0), 1,2,3,4,5,6,7,8,9,10,11,12), A295)</f>
        <v>43758</v>
      </c>
      <c r="H295">
        <v>61.75</v>
      </c>
      <c r="I295">
        <v>36000</v>
      </c>
      <c r="J295" s="1">
        <f t="shared" si="9"/>
        <v>43760</v>
      </c>
      <c r="K295">
        <f t="shared" si="8"/>
        <v>28.5</v>
      </c>
    </row>
    <row r="296" spans="1:11" x14ac:dyDescent="0.25">
      <c r="A296">
        <v>21</v>
      </c>
      <c r="B296" t="s">
        <v>18</v>
      </c>
      <c r="C296">
        <v>2019</v>
      </c>
      <c r="D296">
        <v>174.5</v>
      </c>
      <c r="E296">
        <v>20</v>
      </c>
      <c r="F296">
        <v>162.5</v>
      </c>
      <c r="G296" s="1">
        <f>DATE(C296, CHOOSE(MATCH(UPPER(B296), {"ENERO","FEBRERO","MARZO","ABRIL","MAYO","JUNIO","JULIO","AGOSTO","SEPTIEMBRE","OCTUBRE","NOVIEMBRE","DICIEMBRE"}, 0), 1,2,3,4,5,6,7,8,9,10,11,12), A296)</f>
        <v>43759</v>
      </c>
      <c r="H296">
        <v>32</v>
      </c>
      <c r="I296">
        <v>36000</v>
      </c>
      <c r="J296" s="1">
        <f t="shared" si="9"/>
        <v>43761</v>
      </c>
      <c r="K296">
        <f t="shared" si="8"/>
        <v>40</v>
      </c>
    </row>
    <row r="297" spans="1:11" x14ac:dyDescent="0.25">
      <c r="A297">
        <v>22</v>
      </c>
      <c r="B297" t="s">
        <v>18</v>
      </c>
      <c r="C297">
        <v>2019</v>
      </c>
      <c r="D297">
        <v>162.5</v>
      </c>
      <c r="E297" t="s">
        <v>9</v>
      </c>
      <c r="F297">
        <v>134</v>
      </c>
      <c r="G297" s="1">
        <f>DATE(C297, CHOOSE(MATCH(UPPER(B297), {"ENERO","FEBRERO","MARZO","ABRIL","MAYO","JUNIO","JULIO","AGOSTO","SEPTIEMBRE","OCTUBRE","NOVIEMBRE","DICIEMBRE"}, 0), 1,2,3,4,5,6,7,8,9,10,11,12), A297)</f>
        <v>43760</v>
      </c>
      <c r="H297">
        <v>28.5</v>
      </c>
      <c r="I297">
        <v>36000</v>
      </c>
      <c r="J297" s="1">
        <f t="shared" si="9"/>
        <v>43762</v>
      </c>
      <c r="K297">
        <f t="shared" si="8"/>
        <v>47</v>
      </c>
    </row>
    <row r="298" spans="1:11" x14ac:dyDescent="0.25">
      <c r="A298">
        <v>23</v>
      </c>
      <c r="B298" t="s">
        <v>18</v>
      </c>
      <c r="C298">
        <v>2019</v>
      </c>
      <c r="D298">
        <v>134</v>
      </c>
      <c r="E298">
        <v>150</v>
      </c>
      <c r="F298">
        <v>244</v>
      </c>
      <c r="G298" s="1">
        <f>DATE(C298, CHOOSE(MATCH(UPPER(B298), {"ENERO","FEBRERO","MARZO","ABRIL","MAYO","JUNIO","JULIO","AGOSTO","SEPTIEMBRE","OCTUBRE","NOVIEMBRE","DICIEMBRE"}, 0), 1,2,3,4,5,6,7,8,9,10,11,12), A298)</f>
        <v>43761</v>
      </c>
      <c r="H298">
        <v>40</v>
      </c>
      <c r="I298">
        <v>36000</v>
      </c>
      <c r="J298" s="1">
        <f t="shared" si="9"/>
        <v>43763</v>
      </c>
      <c r="K298">
        <f t="shared" si="8"/>
        <v>52</v>
      </c>
    </row>
    <row r="299" spans="1:11" x14ac:dyDescent="0.25">
      <c r="A299">
        <v>24</v>
      </c>
      <c r="B299" t="s">
        <v>18</v>
      </c>
      <c r="C299">
        <v>2019</v>
      </c>
      <c r="D299">
        <v>244</v>
      </c>
      <c r="E299">
        <v>20</v>
      </c>
      <c r="F299">
        <v>217</v>
      </c>
      <c r="G299" s="1">
        <f>DATE(C299, CHOOSE(MATCH(UPPER(B299), {"ENERO","FEBRERO","MARZO","ABRIL","MAYO","JUNIO","JULIO","AGOSTO","SEPTIEMBRE","OCTUBRE","NOVIEMBRE","DICIEMBRE"}, 0), 1,2,3,4,5,6,7,8,9,10,11,12), A299)</f>
        <v>43762</v>
      </c>
      <c r="H299">
        <v>47</v>
      </c>
      <c r="I299">
        <v>36000</v>
      </c>
      <c r="J299" s="1">
        <f t="shared" si="9"/>
        <v>43764</v>
      </c>
      <c r="K299">
        <f t="shared" si="8"/>
        <v>85</v>
      </c>
    </row>
    <row r="300" spans="1:11" x14ac:dyDescent="0.25">
      <c r="A300">
        <v>25</v>
      </c>
      <c r="B300" t="s">
        <v>18</v>
      </c>
      <c r="C300">
        <v>2019</v>
      </c>
      <c r="D300">
        <v>217</v>
      </c>
      <c r="E300" t="s">
        <v>9</v>
      </c>
      <c r="F300">
        <v>165</v>
      </c>
      <c r="G300" s="1">
        <f>DATE(C300, CHOOSE(MATCH(UPPER(B300), {"ENERO","FEBRERO","MARZO","ABRIL","MAYO","JUNIO","JULIO","AGOSTO","SEPTIEMBRE","OCTUBRE","NOVIEMBRE","DICIEMBRE"}, 0), 1,2,3,4,5,6,7,8,9,10,11,12), A300)</f>
        <v>43763</v>
      </c>
      <c r="H300">
        <v>52</v>
      </c>
      <c r="I300">
        <v>36000</v>
      </c>
      <c r="J300" s="1">
        <f t="shared" si="9"/>
        <v>43765</v>
      </c>
      <c r="K300">
        <f t="shared" si="8"/>
        <v>73.5</v>
      </c>
    </row>
    <row r="301" spans="1:11" x14ac:dyDescent="0.25">
      <c r="A301">
        <v>26</v>
      </c>
      <c r="B301" t="s">
        <v>18</v>
      </c>
      <c r="C301">
        <v>2019</v>
      </c>
      <c r="D301">
        <v>165</v>
      </c>
      <c r="E301">
        <v>52</v>
      </c>
      <c r="F301">
        <v>132</v>
      </c>
      <c r="G301" s="1">
        <f>DATE(C301, CHOOSE(MATCH(UPPER(B301), {"ENERO","FEBRERO","MARZO","ABRIL","MAYO","JUNIO","JULIO","AGOSTO","SEPTIEMBRE","OCTUBRE","NOVIEMBRE","DICIEMBRE"}, 0), 1,2,3,4,5,6,7,8,9,10,11,12), A301)</f>
        <v>43764</v>
      </c>
      <c r="H301">
        <v>85</v>
      </c>
      <c r="I301">
        <v>36000</v>
      </c>
      <c r="J301" s="1">
        <f t="shared" si="9"/>
        <v>43766</v>
      </c>
      <c r="K301">
        <f t="shared" si="8"/>
        <v>40</v>
      </c>
    </row>
    <row r="302" spans="1:11" x14ac:dyDescent="0.25">
      <c r="A302">
        <v>27</v>
      </c>
      <c r="B302" t="s">
        <v>18</v>
      </c>
      <c r="C302">
        <v>2019</v>
      </c>
      <c r="D302">
        <v>132</v>
      </c>
      <c r="E302">
        <v>150</v>
      </c>
      <c r="F302">
        <v>208.5</v>
      </c>
      <c r="G302" s="1">
        <f>DATE(C302, CHOOSE(MATCH(UPPER(B302), {"ENERO","FEBRERO","MARZO","ABRIL","MAYO","JUNIO","JULIO","AGOSTO","SEPTIEMBRE","OCTUBRE","NOVIEMBRE","DICIEMBRE"}, 0), 1,2,3,4,5,6,7,8,9,10,11,12), A302)</f>
        <v>43765</v>
      </c>
      <c r="H302">
        <v>73.5</v>
      </c>
      <c r="I302">
        <v>36000</v>
      </c>
      <c r="J302" s="1">
        <f t="shared" si="9"/>
        <v>43767</v>
      </c>
      <c r="K302">
        <f t="shared" si="8"/>
        <v>34</v>
      </c>
    </row>
    <row r="303" spans="1:11" x14ac:dyDescent="0.25">
      <c r="A303">
        <v>28</v>
      </c>
      <c r="B303" t="s">
        <v>18</v>
      </c>
      <c r="C303">
        <v>2019</v>
      </c>
      <c r="D303">
        <v>208.5</v>
      </c>
      <c r="E303">
        <v>84</v>
      </c>
      <c r="F303">
        <v>252.5</v>
      </c>
      <c r="G303" s="1">
        <f>DATE(C303, CHOOSE(MATCH(UPPER(B303), {"ENERO","FEBRERO","MARZO","ABRIL","MAYO","JUNIO","JULIO","AGOSTO","SEPTIEMBRE","OCTUBRE","NOVIEMBRE","DICIEMBRE"}, 0), 1,2,3,4,5,6,7,8,9,10,11,12), A303)</f>
        <v>43766</v>
      </c>
      <c r="H303">
        <v>40</v>
      </c>
      <c r="I303">
        <v>36000</v>
      </c>
      <c r="J303" s="1">
        <f t="shared" si="9"/>
        <v>43768</v>
      </c>
      <c r="K303">
        <f t="shared" si="8"/>
        <v>45</v>
      </c>
    </row>
    <row r="304" spans="1:11" x14ac:dyDescent="0.25">
      <c r="A304">
        <v>29</v>
      </c>
      <c r="B304" t="s">
        <v>18</v>
      </c>
      <c r="C304">
        <v>2019</v>
      </c>
      <c r="D304">
        <v>252.5</v>
      </c>
      <c r="E304" t="s">
        <v>9</v>
      </c>
      <c r="F304">
        <v>218.5</v>
      </c>
      <c r="G304" s="1">
        <f>DATE(C304, CHOOSE(MATCH(UPPER(B304), {"ENERO","FEBRERO","MARZO","ABRIL","MAYO","JUNIO","JULIO","AGOSTO","SEPTIEMBRE","OCTUBRE","NOVIEMBRE","DICIEMBRE"}, 0), 1,2,3,4,5,6,7,8,9,10,11,12), A304)</f>
        <v>43767</v>
      </c>
      <c r="H304">
        <v>34</v>
      </c>
      <c r="I304">
        <v>36000</v>
      </c>
      <c r="J304" s="1">
        <f t="shared" si="9"/>
        <v>43769</v>
      </c>
      <c r="K304">
        <f t="shared" si="8"/>
        <v>144</v>
      </c>
    </row>
    <row r="305" spans="1:11" x14ac:dyDescent="0.25">
      <c r="A305">
        <v>30</v>
      </c>
      <c r="B305" t="s">
        <v>18</v>
      </c>
      <c r="C305">
        <v>2019</v>
      </c>
      <c r="D305">
        <v>218.5</v>
      </c>
      <c r="E305">
        <v>120</v>
      </c>
      <c r="F305">
        <v>293.5</v>
      </c>
      <c r="G305" s="1">
        <f>DATE(C305, CHOOSE(MATCH(UPPER(B305), {"ENERO","FEBRERO","MARZO","ABRIL","MAYO","JUNIO","JULIO","AGOSTO","SEPTIEMBRE","OCTUBRE","NOVIEMBRE","DICIEMBRE"}, 0), 1,2,3,4,5,6,7,8,9,10,11,12), A305)</f>
        <v>43768</v>
      </c>
      <c r="H305">
        <v>45</v>
      </c>
      <c r="I305">
        <v>36000</v>
      </c>
      <c r="J305" s="1">
        <f t="shared" si="9"/>
        <v>43770</v>
      </c>
      <c r="K305">
        <f t="shared" si="8"/>
        <v>46</v>
      </c>
    </row>
    <row r="306" spans="1:11" x14ac:dyDescent="0.25">
      <c r="A306">
        <v>31</v>
      </c>
      <c r="B306" t="s">
        <v>18</v>
      </c>
      <c r="C306">
        <v>2019</v>
      </c>
      <c r="D306">
        <v>293.5</v>
      </c>
      <c r="E306" t="s">
        <v>9</v>
      </c>
      <c r="F306">
        <v>149.5</v>
      </c>
      <c r="G306" s="1">
        <f>DATE(C306, CHOOSE(MATCH(UPPER(B306), {"ENERO","FEBRERO","MARZO","ABRIL","MAYO","JUNIO","JULIO","AGOSTO","SEPTIEMBRE","OCTUBRE","NOVIEMBRE","DICIEMBRE"}, 0), 1,2,3,4,5,6,7,8,9,10,11,12), A306)</f>
        <v>43769</v>
      </c>
      <c r="H306">
        <v>144</v>
      </c>
      <c r="I306">
        <v>36000</v>
      </c>
      <c r="J306" s="1">
        <f t="shared" si="9"/>
        <v>43771</v>
      </c>
      <c r="K306">
        <f t="shared" si="8"/>
        <v>85</v>
      </c>
    </row>
    <row r="307" spans="1:11" x14ac:dyDescent="0.25">
      <c r="A307">
        <v>1</v>
      </c>
      <c r="B307" t="s">
        <v>19</v>
      </c>
      <c r="C307">
        <v>2019</v>
      </c>
      <c r="D307">
        <v>149.5</v>
      </c>
      <c r="E307" t="s">
        <v>9</v>
      </c>
      <c r="F307">
        <v>103.5</v>
      </c>
      <c r="G307" s="1">
        <f>DATE(C307, CHOOSE(MATCH(UPPER(B307), {"ENERO","FEBRERO","MARZO","ABRIL","MAYO","JUNIO","JULIO","AGOSTO","SEPTIEMBRE","OCTUBRE","NOVIEMBRE","DICIEMBRE"}, 0), 1,2,3,4,5,6,7,8,9,10,11,12), A307)</f>
        <v>43770</v>
      </c>
      <c r="H307">
        <v>46</v>
      </c>
      <c r="I307">
        <v>36000</v>
      </c>
      <c r="J307" s="1">
        <f t="shared" si="9"/>
        <v>43772</v>
      </c>
      <c r="K307">
        <f t="shared" si="8"/>
        <v>78</v>
      </c>
    </row>
    <row r="308" spans="1:11" x14ac:dyDescent="0.25">
      <c r="A308">
        <v>2</v>
      </c>
      <c r="B308" t="s">
        <v>19</v>
      </c>
      <c r="C308">
        <v>2019</v>
      </c>
      <c r="D308">
        <v>103.5</v>
      </c>
      <c r="E308">
        <v>150</v>
      </c>
      <c r="F308">
        <v>168.5</v>
      </c>
      <c r="G308" s="1">
        <f>DATE(C308, CHOOSE(MATCH(UPPER(B308), {"ENERO","FEBRERO","MARZO","ABRIL","MAYO","JUNIO","JULIO","AGOSTO","SEPTIEMBRE","OCTUBRE","NOVIEMBRE","DICIEMBRE"}, 0), 1,2,3,4,5,6,7,8,9,10,11,12), A308)</f>
        <v>43771</v>
      </c>
      <c r="H308">
        <v>85</v>
      </c>
      <c r="I308">
        <v>36000</v>
      </c>
      <c r="J308" s="1">
        <f t="shared" si="9"/>
        <v>43773</v>
      </c>
      <c r="K308">
        <f t="shared" si="8"/>
        <v>59</v>
      </c>
    </row>
    <row r="309" spans="1:11" x14ac:dyDescent="0.25">
      <c r="A309">
        <v>3</v>
      </c>
      <c r="B309" t="s">
        <v>19</v>
      </c>
      <c r="C309">
        <v>2019</v>
      </c>
      <c r="D309">
        <v>168.5</v>
      </c>
      <c r="E309">
        <v>60</v>
      </c>
      <c r="F309">
        <v>150.5</v>
      </c>
      <c r="G309" s="1">
        <f>DATE(C309, CHOOSE(MATCH(UPPER(B309), {"ENERO","FEBRERO","MARZO","ABRIL","MAYO","JUNIO","JULIO","AGOSTO","SEPTIEMBRE","OCTUBRE","NOVIEMBRE","DICIEMBRE"}, 0), 1,2,3,4,5,6,7,8,9,10,11,12), A309)</f>
        <v>43772</v>
      </c>
      <c r="H309">
        <v>78</v>
      </c>
      <c r="I309">
        <v>36000</v>
      </c>
      <c r="J309" s="1">
        <f t="shared" si="9"/>
        <v>43774</v>
      </c>
      <c r="K309">
        <f t="shared" si="8"/>
        <v>41</v>
      </c>
    </row>
    <row r="310" spans="1:11" x14ac:dyDescent="0.25">
      <c r="A310">
        <v>4</v>
      </c>
      <c r="B310" t="s">
        <v>19</v>
      </c>
      <c r="C310">
        <v>2019</v>
      </c>
      <c r="D310">
        <v>150.5</v>
      </c>
      <c r="E310">
        <v>70</v>
      </c>
      <c r="F310">
        <v>161.5</v>
      </c>
      <c r="G310" s="1">
        <f>DATE(C310, CHOOSE(MATCH(UPPER(B310), {"ENERO","FEBRERO","MARZO","ABRIL","MAYO","JUNIO","JULIO","AGOSTO","SEPTIEMBRE","OCTUBRE","NOVIEMBRE","DICIEMBRE"}, 0), 1,2,3,4,5,6,7,8,9,10,11,12), A310)</f>
        <v>43773</v>
      </c>
      <c r="H310">
        <v>59</v>
      </c>
      <c r="I310">
        <v>36000</v>
      </c>
      <c r="J310" s="1">
        <f t="shared" si="9"/>
        <v>43775</v>
      </c>
      <c r="K310">
        <f t="shared" si="8"/>
        <v>44</v>
      </c>
    </row>
    <row r="311" spans="1:11" x14ac:dyDescent="0.25">
      <c r="A311">
        <v>5</v>
      </c>
      <c r="B311" t="s">
        <v>19</v>
      </c>
      <c r="C311">
        <v>2019</v>
      </c>
      <c r="D311">
        <v>161.5</v>
      </c>
      <c r="E311">
        <v>56</v>
      </c>
      <c r="F311">
        <v>176.5</v>
      </c>
      <c r="G311" s="1">
        <f>DATE(C311, CHOOSE(MATCH(UPPER(B311), {"ENERO","FEBRERO","MARZO","ABRIL","MAYO","JUNIO","JULIO","AGOSTO","SEPTIEMBRE","OCTUBRE","NOVIEMBRE","DICIEMBRE"}, 0), 1,2,3,4,5,6,7,8,9,10,11,12), A311)</f>
        <v>43774</v>
      </c>
      <c r="H311">
        <v>41</v>
      </c>
      <c r="I311">
        <v>36000</v>
      </c>
      <c r="J311" s="1">
        <f t="shared" si="9"/>
        <v>43776</v>
      </c>
      <c r="K311">
        <f t="shared" si="8"/>
        <v>43.5</v>
      </c>
    </row>
    <row r="312" spans="1:11" x14ac:dyDescent="0.25">
      <c r="A312">
        <v>6</v>
      </c>
      <c r="B312" t="s">
        <v>19</v>
      </c>
      <c r="C312">
        <v>2019</v>
      </c>
      <c r="D312">
        <v>176.5</v>
      </c>
      <c r="E312">
        <v>101</v>
      </c>
      <c r="F312">
        <v>233.5</v>
      </c>
      <c r="G312" s="1">
        <f>DATE(C312, CHOOSE(MATCH(UPPER(B312), {"ENERO","FEBRERO","MARZO","ABRIL","MAYO","JUNIO","JULIO","AGOSTO","SEPTIEMBRE","OCTUBRE","NOVIEMBRE","DICIEMBRE"}, 0), 1,2,3,4,5,6,7,8,9,10,11,12), A312)</f>
        <v>43775</v>
      </c>
      <c r="H312">
        <v>44</v>
      </c>
      <c r="I312">
        <v>36000</v>
      </c>
      <c r="J312" s="1">
        <f t="shared" si="9"/>
        <v>43777</v>
      </c>
      <c r="K312">
        <f t="shared" si="8"/>
        <v>63</v>
      </c>
    </row>
    <row r="313" spans="1:11" x14ac:dyDescent="0.25">
      <c r="A313">
        <v>7</v>
      </c>
      <c r="B313" t="s">
        <v>19</v>
      </c>
      <c r="C313">
        <v>2019</v>
      </c>
      <c r="D313">
        <v>233.5</v>
      </c>
      <c r="E313">
        <v>-27</v>
      </c>
      <c r="F313">
        <v>163</v>
      </c>
      <c r="G313" s="1">
        <f>DATE(C313, CHOOSE(MATCH(UPPER(B313), {"ENERO","FEBRERO","MARZO","ABRIL","MAYO","JUNIO","JULIO","AGOSTO","SEPTIEMBRE","OCTUBRE","NOVIEMBRE","DICIEMBRE"}, 0), 1,2,3,4,5,6,7,8,9,10,11,12), A313)</f>
        <v>43776</v>
      </c>
      <c r="H313">
        <v>43.5</v>
      </c>
      <c r="I313">
        <v>36000</v>
      </c>
      <c r="J313" s="1">
        <f t="shared" si="9"/>
        <v>43778</v>
      </c>
      <c r="K313">
        <f t="shared" si="8"/>
        <v>64</v>
      </c>
    </row>
    <row r="314" spans="1:11" x14ac:dyDescent="0.25">
      <c r="A314">
        <v>8</v>
      </c>
      <c r="B314" t="s">
        <v>19</v>
      </c>
      <c r="C314">
        <v>2019</v>
      </c>
      <c r="D314">
        <v>163</v>
      </c>
      <c r="E314">
        <v>92</v>
      </c>
      <c r="F314">
        <v>192</v>
      </c>
      <c r="G314" s="1">
        <f>DATE(C314, CHOOSE(MATCH(UPPER(B314), {"ENERO","FEBRERO","MARZO","ABRIL","MAYO","JUNIO","JULIO","AGOSTO","SEPTIEMBRE","OCTUBRE","NOVIEMBRE","DICIEMBRE"}, 0), 1,2,3,4,5,6,7,8,9,10,11,12), A314)</f>
        <v>43777</v>
      </c>
      <c r="H314">
        <v>63</v>
      </c>
      <c r="I314">
        <v>36000</v>
      </c>
      <c r="J314" s="1">
        <f t="shared" si="9"/>
        <v>43779</v>
      </c>
      <c r="K314">
        <f t="shared" si="8"/>
        <v>84</v>
      </c>
    </row>
    <row r="315" spans="1:11" x14ac:dyDescent="0.25">
      <c r="A315">
        <v>9</v>
      </c>
      <c r="B315" t="s">
        <v>19</v>
      </c>
      <c r="C315">
        <v>2019</v>
      </c>
      <c r="D315">
        <v>192</v>
      </c>
      <c r="E315">
        <v>-46</v>
      </c>
      <c r="F315">
        <v>82</v>
      </c>
      <c r="G315" s="1">
        <f>DATE(C315, CHOOSE(MATCH(UPPER(B315), {"ENERO","FEBRERO","MARZO","ABRIL","MAYO","JUNIO","JULIO","AGOSTO","SEPTIEMBRE","OCTUBRE","NOVIEMBRE","DICIEMBRE"}, 0), 1,2,3,4,5,6,7,8,9,10,11,12), A315)</f>
        <v>43778</v>
      </c>
      <c r="H315">
        <v>64</v>
      </c>
      <c r="I315">
        <v>36000</v>
      </c>
      <c r="J315" s="1">
        <f t="shared" si="9"/>
        <v>43780</v>
      </c>
      <c r="K315">
        <f t="shared" si="8"/>
        <v>60</v>
      </c>
    </row>
    <row r="316" spans="1:11" x14ac:dyDescent="0.25">
      <c r="A316">
        <v>10</v>
      </c>
      <c r="B316" t="s">
        <v>19</v>
      </c>
      <c r="C316">
        <v>2019</v>
      </c>
      <c r="D316">
        <v>82</v>
      </c>
      <c r="E316">
        <v>48</v>
      </c>
      <c r="F316">
        <v>46</v>
      </c>
      <c r="G316" s="1">
        <f>DATE(C316, CHOOSE(MATCH(UPPER(B316), {"ENERO","FEBRERO","MARZO","ABRIL","MAYO","JUNIO","JULIO","AGOSTO","SEPTIEMBRE","OCTUBRE","NOVIEMBRE","DICIEMBRE"}, 0), 1,2,3,4,5,6,7,8,9,10,11,12), A316)</f>
        <v>43779</v>
      </c>
      <c r="H316">
        <v>84</v>
      </c>
      <c r="I316">
        <v>36000</v>
      </c>
      <c r="J316" s="1">
        <f t="shared" si="9"/>
        <v>43781</v>
      </c>
      <c r="K316">
        <f t="shared" si="8"/>
        <v>42.5</v>
      </c>
    </row>
    <row r="317" spans="1:11" x14ac:dyDescent="0.25">
      <c r="A317">
        <v>11</v>
      </c>
      <c r="B317" t="s">
        <v>19</v>
      </c>
      <c r="C317">
        <v>2019</v>
      </c>
      <c r="D317">
        <v>46</v>
      </c>
      <c r="E317">
        <v>58</v>
      </c>
      <c r="F317">
        <v>44</v>
      </c>
      <c r="G317" s="1">
        <f>DATE(C317, CHOOSE(MATCH(UPPER(B317), {"ENERO","FEBRERO","MARZO","ABRIL","MAYO","JUNIO","JULIO","AGOSTO","SEPTIEMBRE","OCTUBRE","NOVIEMBRE","DICIEMBRE"}, 0), 1,2,3,4,5,6,7,8,9,10,11,12), A317)</f>
        <v>43780</v>
      </c>
      <c r="H317">
        <v>60</v>
      </c>
      <c r="I317">
        <v>36000</v>
      </c>
      <c r="J317" s="1">
        <f t="shared" si="9"/>
        <v>43782</v>
      </c>
      <c r="K317">
        <f t="shared" si="8"/>
        <v>43.5</v>
      </c>
    </row>
    <row r="318" spans="1:11" x14ac:dyDescent="0.25">
      <c r="A318">
        <v>12</v>
      </c>
      <c r="B318" t="s">
        <v>19</v>
      </c>
      <c r="C318">
        <v>2019</v>
      </c>
      <c r="D318">
        <v>44</v>
      </c>
      <c r="E318">
        <v>142</v>
      </c>
      <c r="F318">
        <v>143.5</v>
      </c>
      <c r="G318" s="1">
        <f>DATE(C318, CHOOSE(MATCH(UPPER(B318), {"ENERO","FEBRERO","MARZO","ABRIL","MAYO","JUNIO","JULIO","AGOSTO","SEPTIEMBRE","OCTUBRE","NOVIEMBRE","DICIEMBRE"}, 0), 1,2,3,4,5,6,7,8,9,10,11,12), A318)</f>
        <v>43781</v>
      </c>
      <c r="H318">
        <v>42.5</v>
      </c>
      <c r="I318">
        <v>36000</v>
      </c>
      <c r="J318" s="1">
        <f t="shared" si="9"/>
        <v>43783</v>
      </c>
      <c r="K318">
        <f t="shared" si="8"/>
        <v>41</v>
      </c>
    </row>
    <row r="319" spans="1:11" x14ac:dyDescent="0.25">
      <c r="A319">
        <v>13</v>
      </c>
      <c r="B319" t="s">
        <v>19</v>
      </c>
      <c r="C319">
        <v>2019</v>
      </c>
      <c r="D319">
        <v>143.5</v>
      </c>
      <c r="E319">
        <v>123</v>
      </c>
      <c r="F319">
        <v>223</v>
      </c>
      <c r="G319" s="1">
        <f>DATE(C319, CHOOSE(MATCH(UPPER(B319), {"ENERO","FEBRERO","MARZO","ABRIL","MAYO","JUNIO","JULIO","AGOSTO","SEPTIEMBRE","OCTUBRE","NOVIEMBRE","DICIEMBRE"}, 0), 1,2,3,4,5,6,7,8,9,10,11,12), A319)</f>
        <v>43782</v>
      </c>
      <c r="H319">
        <v>43.5</v>
      </c>
      <c r="I319">
        <v>36000</v>
      </c>
      <c r="J319" s="1">
        <f t="shared" si="9"/>
        <v>43784</v>
      </c>
      <c r="K319">
        <f t="shared" si="8"/>
        <v>59</v>
      </c>
    </row>
    <row r="320" spans="1:11" x14ac:dyDescent="0.25">
      <c r="A320">
        <v>14</v>
      </c>
      <c r="B320" t="s">
        <v>19</v>
      </c>
      <c r="C320">
        <v>2019</v>
      </c>
      <c r="D320">
        <v>223</v>
      </c>
      <c r="E320">
        <v>-88</v>
      </c>
      <c r="F320">
        <v>94</v>
      </c>
      <c r="G320" s="1">
        <f>DATE(C320, CHOOSE(MATCH(UPPER(B320), {"ENERO","FEBRERO","MARZO","ABRIL","MAYO","JUNIO","JULIO","AGOSTO","SEPTIEMBRE","OCTUBRE","NOVIEMBRE","DICIEMBRE"}, 0), 1,2,3,4,5,6,7,8,9,10,11,12), A320)</f>
        <v>43783</v>
      </c>
      <c r="H320">
        <v>41</v>
      </c>
      <c r="I320">
        <v>36000</v>
      </c>
      <c r="J320" s="1">
        <f t="shared" si="9"/>
        <v>43785</v>
      </c>
      <c r="K320">
        <f t="shared" si="8"/>
        <v>75</v>
      </c>
    </row>
    <row r="321" spans="1:11" x14ac:dyDescent="0.25">
      <c r="A321">
        <v>15</v>
      </c>
      <c r="B321" t="s">
        <v>19</v>
      </c>
      <c r="C321">
        <v>2019</v>
      </c>
      <c r="D321">
        <v>94</v>
      </c>
      <c r="E321" t="s">
        <v>9</v>
      </c>
      <c r="F321">
        <v>35</v>
      </c>
      <c r="G321" s="1">
        <f>DATE(C321, CHOOSE(MATCH(UPPER(B321), {"ENERO","FEBRERO","MARZO","ABRIL","MAYO","JUNIO","JULIO","AGOSTO","SEPTIEMBRE","OCTUBRE","NOVIEMBRE","DICIEMBRE"}, 0), 1,2,3,4,5,6,7,8,9,10,11,12), A321)</f>
        <v>43784</v>
      </c>
      <c r="H321">
        <v>59</v>
      </c>
      <c r="I321">
        <v>36000</v>
      </c>
      <c r="J321" s="1">
        <f t="shared" si="9"/>
        <v>43786</v>
      </c>
      <c r="K321">
        <f t="shared" si="8"/>
        <v>70</v>
      </c>
    </row>
    <row r="322" spans="1:11" x14ac:dyDescent="0.25">
      <c r="A322">
        <v>16</v>
      </c>
      <c r="B322" t="s">
        <v>19</v>
      </c>
      <c r="C322">
        <v>2019</v>
      </c>
      <c r="D322">
        <v>35</v>
      </c>
      <c r="E322">
        <v>82</v>
      </c>
      <c r="F322">
        <v>42</v>
      </c>
      <c r="G322" s="1">
        <f>DATE(C322, CHOOSE(MATCH(UPPER(B322), {"ENERO","FEBRERO","MARZO","ABRIL","MAYO","JUNIO","JULIO","AGOSTO","SEPTIEMBRE","OCTUBRE","NOVIEMBRE","DICIEMBRE"}, 0), 1,2,3,4,5,6,7,8,9,10,11,12), A322)</f>
        <v>43785</v>
      </c>
      <c r="H322">
        <v>75</v>
      </c>
      <c r="I322">
        <v>36000</v>
      </c>
      <c r="J322" s="1">
        <f t="shared" si="9"/>
        <v>43787</v>
      </c>
      <c r="K322">
        <f t="shared" si="8"/>
        <v>36</v>
      </c>
    </row>
    <row r="323" spans="1:11" x14ac:dyDescent="0.25">
      <c r="A323">
        <v>17</v>
      </c>
      <c r="B323" t="s">
        <v>19</v>
      </c>
      <c r="C323">
        <v>2019</v>
      </c>
      <c r="D323">
        <v>42</v>
      </c>
      <c r="E323">
        <v>154</v>
      </c>
      <c r="F323">
        <v>126</v>
      </c>
      <c r="G323" s="1">
        <f>DATE(C323, CHOOSE(MATCH(UPPER(B323), {"ENERO","FEBRERO","MARZO","ABRIL","MAYO","JUNIO","JULIO","AGOSTO","SEPTIEMBRE","OCTUBRE","NOVIEMBRE","DICIEMBRE"}, 0), 1,2,3,4,5,6,7,8,9,10,11,12), A323)</f>
        <v>43786</v>
      </c>
      <c r="H323">
        <v>70</v>
      </c>
      <c r="I323">
        <v>36000</v>
      </c>
      <c r="J323" s="1">
        <f t="shared" si="9"/>
        <v>43788</v>
      </c>
      <c r="K323">
        <f t="shared" ref="K323:K386" si="10">VLOOKUP(J323, G:H, 2, FALSE)</f>
        <v>37.5</v>
      </c>
    </row>
    <row r="324" spans="1:11" x14ac:dyDescent="0.25">
      <c r="A324">
        <v>18</v>
      </c>
      <c r="B324" t="s">
        <v>19</v>
      </c>
      <c r="C324">
        <v>2019</v>
      </c>
      <c r="D324">
        <v>126</v>
      </c>
      <c r="E324">
        <v>145</v>
      </c>
      <c r="F324">
        <v>235</v>
      </c>
      <c r="G324" s="1">
        <f>DATE(C324, CHOOSE(MATCH(UPPER(B324), {"ENERO","FEBRERO","MARZO","ABRIL","MAYO","JUNIO","JULIO","AGOSTO","SEPTIEMBRE","OCTUBRE","NOVIEMBRE","DICIEMBRE"}, 0), 1,2,3,4,5,6,7,8,9,10,11,12), A324)</f>
        <v>43787</v>
      </c>
      <c r="H324">
        <v>36</v>
      </c>
      <c r="I324">
        <v>36000</v>
      </c>
      <c r="J324" s="1">
        <f t="shared" si="9"/>
        <v>43789</v>
      </c>
      <c r="K324">
        <f t="shared" si="10"/>
        <v>41.125</v>
      </c>
    </row>
    <row r="325" spans="1:11" x14ac:dyDescent="0.25">
      <c r="A325">
        <v>19</v>
      </c>
      <c r="B325" t="s">
        <v>19</v>
      </c>
      <c r="C325">
        <v>2019</v>
      </c>
      <c r="D325">
        <v>235</v>
      </c>
      <c r="E325" t="s">
        <v>9</v>
      </c>
      <c r="F325">
        <v>197.5</v>
      </c>
      <c r="G325" s="1">
        <f>DATE(C325, CHOOSE(MATCH(UPPER(B325), {"ENERO","FEBRERO","MARZO","ABRIL","MAYO","JUNIO","JULIO","AGOSTO","SEPTIEMBRE","OCTUBRE","NOVIEMBRE","DICIEMBRE"}, 0), 1,2,3,4,5,6,7,8,9,10,11,12), A325)</f>
        <v>43788</v>
      </c>
      <c r="H325">
        <v>37.5</v>
      </c>
      <c r="I325">
        <v>36000</v>
      </c>
      <c r="J325" s="1">
        <f t="shared" ref="J325:J388" si="11">DATE(2019,1,1) + ROW()-1</f>
        <v>43790</v>
      </c>
      <c r="K325">
        <f t="shared" si="10"/>
        <v>35.375</v>
      </c>
    </row>
    <row r="326" spans="1:11" x14ac:dyDescent="0.25">
      <c r="A326">
        <v>20</v>
      </c>
      <c r="B326" t="s">
        <v>19</v>
      </c>
      <c r="C326">
        <v>2019</v>
      </c>
      <c r="D326">
        <v>197.5</v>
      </c>
      <c r="E326" t="s">
        <v>9</v>
      </c>
      <c r="F326">
        <v>156.375</v>
      </c>
      <c r="G326" s="1">
        <f>DATE(C326, CHOOSE(MATCH(UPPER(B326), {"ENERO","FEBRERO","MARZO","ABRIL","MAYO","JUNIO","JULIO","AGOSTO","SEPTIEMBRE","OCTUBRE","NOVIEMBRE","DICIEMBRE"}, 0), 1,2,3,4,5,6,7,8,9,10,11,12), A326)</f>
        <v>43789</v>
      </c>
      <c r="H326">
        <v>41.125</v>
      </c>
      <c r="I326">
        <v>36000</v>
      </c>
      <c r="J326" s="1">
        <f t="shared" si="11"/>
        <v>43791</v>
      </c>
      <c r="K326">
        <f t="shared" si="10"/>
        <v>59</v>
      </c>
    </row>
    <row r="327" spans="1:11" x14ac:dyDescent="0.25">
      <c r="A327">
        <v>21</v>
      </c>
      <c r="B327" t="s">
        <v>19</v>
      </c>
      <c r="C327">
        <v>2019</v>
      </c>
      <c r="D327">
        <v>156.375</v>
      </c>
      <c r="E327">
        <v>210</v>
      </c>
      <c r="F327">
        <v>331</v>
      </c>
      <c r="G327" s="1">
        <f>DATE(C327, CHOOSE(MATCH(UPPER(B327), {"ENERO","FEBRERO","MARZO","ABRIL","MAYO","JUNIO","JULIO","AGOSTO","SEPTIEMBRE","OCTUBRE","NOVIEMBRE","DICIEMBRE"}, 0), 1,2,3,4,5,6,7,8,9,10,11,12), A327)</f>
        <v>43790</v>
      </c>
      <c r="H327">
        <v>35.375</v>
      </c>
      <c r="I327">
        <v>36000</v>
      </c>
      <c r="J327" s="1">
        <f t="shared" si="11"/>
        <v>43792</v>
      </c>
      <c r="K327">
        <f t="shared" si="10"/>
        <v>73</v>
      </c>
    </row>
    <row r="328" spans="1:11" x14ac:dyDescent="0.25">
      <c r="A328">
        <v>22</v>
      </c>
      <c r="B328" t="s">
        <v>19</v>
      </c>
      <c r="C328">
        <v>2019</v>
      </c>
      <c r="D328">
        <v>331</v>
      </c>
      <c r="E328" t="s">
        <v>9</v>
      </c>
      <c r="F328">
        <v>272</v>
      </c>
      <c r="G328" s="1">
        <f>DATE(C328, CHOOSE(MATCH(UPPER(B328), {"ENERO","FEBRERO","MARZO","ABRIL","MAYO","JUNIO","JULIO","AGOSTO","SEPTIEMBRE","OCTUBRE","NOVIEMBRE","DICIEMBRE"}, 0), 1,2,3,4,5,6,7,8,9,10,11,12), A328)</f>
        <v>43791</v>
      </c>
      <c r="H328">
        <v>59</v>
      </c>
      <c r="I328">
        <v>36000</v>
      </c>
      <c r="J328" s="1">
        <f t="shared" si="11"/>
        <v>43793</v>
      </c>
      <c r="K328">
        <f t="shared" si="10"/>
        <v>68.5</v>
      </c>
    </row>
    <row r="329" spans="1:11" x14ac:dyDescent="0.25">
      <c r="A329">
        <v>23</v>
      </c>
      <c r="B329" t="s">
        <v>19</v>
      </c>
      <c r="C329">
        <v>2019</v>
      </c>
      <c r="D329">
        <v>272</v>
      </c>
      <c r="E329" t="s">
        <v>9</v>
      </c>
      <c r="F329">
        <v>199</v>
      </c>
      <c r="G329" s="1">
        <f>DATE(C329, CHOOSE(MATCH(UPPER(B329), {"ENERO","FEBRERO","MARZO","ABRIL","MAYO","JUNIO","JULIO","AGOSTO","SEPTIEMBRE","OCTUBRE","NOVIEMBRE","DICIEMBRE"}, 0), 1,2,3,4,5,6,7,8,9,10,11,12), A329)</f>
        <v>43792</v>
      </c>
      <c r="H329">
        <v>73</v>
      </c>
      <c r="I329">
        <v>36000</v>
      </c>
      <c r="J329" s="1">
        <f t="shared" si="11"/>
        <v>43794</v>
      </c>
      <c r="K329">
        <f t="shared" si="10"/>
        <v>45</v>
      </c>
    </row>
    <row r="330" spans="1:11" x14ac:dyDescent="0.25">
      <c r="A330">
        <v>24</v>
      </c>
      <c r="B330" t="s">
        <v>19</v>
      </c>
      <c r="C330">
        <v>2019</v>
      </c>
      <c r="D330">
        <v>199</v>
      </c>
      <c r="E330">
        <v>80</v>
      </c>
      <c r="F330">
        <v>210.5</v>
      </c>
      <c r="G330" s="1">
        <f>DATE(C330, CHOOSE(MATCH(UPPER(B330), {"ENERO","FEBRERO","MARZO","ABRIL","MAYO","JUNIO","JULIO","AGOSTO","SEPTIEMBRE","OCTUBRE","NOVIEMBRE","DICIEMBRE"}, 0), 1,2,3,4,5,6,7,8,9,10,11,12), A330)</f>
        <v>43793</v>
      </c>
      <c r="H330">
        <v>68.5</v>
      </c>
      <c r="I330">
        <v>36000</v>
      </c>
      <c r="J330" s="1">
        <f t="shared" si="11"/>
        <v>43795</v>
      </c>
      <c r="K330">
        <f t="shared" si="10"/>
        <v>51.5</v>
      </c>
    </row>
    <row r="331" spans="1:11" x14ac:dyDescent="0.25">
      <c r="A331">
        <v>25</v>
      </c>
      <c r="B331" t="s">
        <v>19</v>
      </c>
      <c r="C331">
        <v>2019</v>
      </c>
      <c r="D331">
        <v>210.5</v>
      </c>
      <c r="E331" t="s">
        <v>9</v>
      </c>
      <c r="F331">
        <v>165.5</v>
      </c>
      <c r="G331" s="1">
        <f>DATE(C331, CHOOSE(MATCH(UPPER(B331), {"ENERO","FEBRERO","MARZO","ABRIL","MAYO","JUNIO","JULIO","AGOSTO","SEPTIEMBRE","OCTUBRE","NOVIEMBRE","DICIEMBRE"}, 0), 1,2,3,4,5,6,7,8,9,10,11,12), A331)</f>
        <v>43794</v>
      </c>
      <c r="H331">
        <v>45</v>
      </c>
      <c r="I331">
        <v>36000</v>
      </c>
      <c r="J331" s="1">
        <f t="shared" si="11"/>
        <v>43796</v>
      </c>
      <c r="K331">
        <f t="shared" si="10"/>
        <v>44</v>
      </c>
    </row>
    <row r="332" spans="1:11" x14ac:dyDescent="0.25">
      <c r="A332">
        <v>26</v>
      </c>
      <c r="B332" t="s">
        <v>19</v>
      </c>
      <c r="C332">
        <v>2019</v>
      </c>
      <c r="D332">
        <v>165.5</v>
      </c>
      <c r="E332" t="s">
        <v>9</v>
      </c>
      <c r="F332">
        <v>114</v>
      </c>
      <c r="G332" s="1">
        <f>DATE(C332, CHOOSE(MATCH(UPPER(B332), {"ENERO","FEBRERO","MARZO","ABRIL","MAYO","JUNIO","JULIO","AGOSTO","SEPTIEMBRE","OCTUBRE","NOVIEMBRE","DICIEMBRE"}, 0), 1,2,3,4,5,6,7,8,9,10,11,12), A332)</f>
        <v>43795</v>
      </c>
      <c r="H332">
        <v>51.5</v>
      </c>
      <c r="I332">
        <v>36000</v>
      </c>
      <c r="J332" s="1">
        <f t="shared" si="11"/>
        <v>43797</v>
      </c>
      <c r="K332">
        <f t="shared" si="10"/>
        <v>49</v>
      </c>
    </row>
    <row r="333" spans="1:11" x14ac:dyDescent="0.25">
      <c r="A333">
        <v>27</v>
      </c>
      <c r="B333" t="s">
        <v>19</v>
      </c>
      <c r="C333">
        <v>2019</v>
      </c>
      <c r="D333">
        <v>114</v>
      </c>
      <c r="E333">
        <v>150</v>
      </c>
      <c r="F333">
        <v>220</v>
      </c>
      <c r="G333" s="1">
        <f>DATE(C333, CHOOSE(MATCH(UPPER(B333), {"ENERO","FEBRERO","MARZO","ABRIL","MAYO","JUNIO","JULIO","AGOSTO","SEPTIEMBRE","OCTUBRE","NOVIEMBRE","DICIEMBRE"}, 0), 1,2,3,4,5,6,7,8,9,10,11,12), A333)</f>
        <v>43796</v>
      </c>
      <c r="H333">
        <v>44</v>
      </c>
      <c r="I333">
        <v>36000</v>
      </c>
      <c r="J333" s="1">
        <f t="shared" si="11"/>
        <v>43798</v>
      </c>
      <c r="K333">
        <f t="shared" si="10"/>
        <v>101.5</v>
      </c>
    </row>
    <row r="334" spans="1:11" x14ac:dyDescent="0.25">
      <c r="A334">
        <v>28</v>
      </c>
      <c r="B334" t="s">
        <v>19</v>
      </c>
      <c r="C334">
        <v>2019</v>
      </c>
      <c r="D334">
        <v>220</v>
      </c>
      <c r="E334">
        <v>-100</v>
      </c>
      <c r="F334">
        <v>71</v>
      </c>
      <c r="G334" s="1">
        <f>DATE(C334, CHOOSE(MATCH(UPPER(B334), {"ENERO","FEBRERO","MARZO","ABRIL","MAYO","JUNIO","JULIO","AGOSTO","SEPTIEMBRE","OCTUBRE","NOVIEMBRE","DICIEMBRE"}, 0), 1,2,3,4,5,6,7,8,9,10,11,12), A334)</f>
        <v>43797</v>
      </c>
      <c r="H334">
        <v>49</v>
      </c>
      <c r="I334">
        <v>36000</v>
      </c>
      <c r="J334" s="1">
        <f t="shared" si="11"/>
        <v>43799</v>
      </c>
      <c r="K334">
        <f t="shared" si="10"/>
        <v>92</v>
      </c>
    </row>
    <row r="335" spans="1:11" x14ac:dyDescent="0.25">
      <c r="A335">
        <v>29</v>
      </c>
      <c r="B335" t="s">
        <v>19</v>
      </c>
      <c r="C335">
        <v>2019</v>
      </c>
      <c r="D335">
        <v>71</v>
      </c>
      <c r="E335">
        <v>150</v>
      </c>
      <c r="F335">
        <v>119.5</v>
      </c>
      <c r="G335" s="1">
        <f>DATE(C335, CHOOSE(MATCH(UPPER(B335), {"ENERO","FEBRERO","MARZO","ABRIL","MAYO","JUNIO","JULIO","AGOSTO","SEPTIEMBRE","OCTUBRE","NOVIEMBRE","DICIEMBRE"}, 0), 1,2,3,4,5,6,7,8,9,10,11,12), A335)</f>
        <v>43798</v>
      </c>
      <c r="H335">
        <v>101.5</v>
      </c>
      <c r="I335">
        <v>36000</v>
      </c>
      <c r="J335" s="1">
        <f t="shared" si="11"/>
        <v>43800</v>
      </c>
      <c r="K335">
        <f t="shared" si="10"/>
        <v>88</v>
      </c>
    </row>
    <row r="336" spans="1:11" x14ac:dyDescent="0.25">
      <c r="A336">
        <v>30</v>
      </c>
      <c r="B336" t="s">
        <v>19</v>
      </c>
      <c r="C336">
        <v>2019</v>
      </c>
      <c r="D336">
        <v>119.5</v>
      </c>
      <c r="E336">
        <v>100</v>
      </c>
      <c r="F336">
        <v>127.5</v>
      </c>
      <c r="G336" s="1">
        <f>DATE(C336, CHOOSE(MATCH(UPPER(B336), {"ENERO","FEBRERO","MARZO","ABRIL","MAYO","JUNIO","JULIO","AGOSTO","SEPTIEMBRE","OCTUBRE","NOVIEMBRE","DICIEMBRE"}, 0), 1,2,3,4,5,6,7,8,9,10,11,12), A336)</f>
        <v>43799</v>
      </c>
      <c r="H336">
        <v>92</v>
      </c>
      <c r="I336">
        <v>36000</v>
      </c>
      <c r="J336" s="1">
        <f t="shared" si="11"/>
        <v>43801</v>
      </c>
      <c r="K336">
        <f t="shared" si="10"/>
        <v>61</v>
      </c>
    </row>
    <row r="337" spans="1:11" x14ac:dyDescent="0.25">
      <c r="A337">
        <v>1</v>
      </c>
      <c r="B337" t="s">
        <v>20</v>
      </c>
      <c r="C337">
        <v>2019</v>
      </c>
      <c r="D337">
        <v>127.5</v>
      </c>
      <c r="E337">
        <v>60</v>
      </c>
      <c r="F337">
        <v>99.5</v>
      </c>
      <c r="G337" s="1">
        <f>DATE(C337, CHOOSE(MATCH(UPPER(B337), {"ENERO","FEBRERO","MARZO","ABRIL","MAYO","JUNIO","JULIO","AGOSTO","SEPTIEMBRE","OCTUBRE","NOVIEMBRE","DICIEMBRE"}, 0), 1,2,3,4,5,6,7,8,9,10,11,12), A337)</f>
        <v>43800</v>
      </c>
      <c r="H337">
        <v>88</v>
      </c>
      <c r="I337">
        <v>36000</v>
      </c>
      <c r="J337" s="1">
        <f t="shared" si="11"/>
        <v>43802</v>
      </c>
      <c r="K337">
        <f t="shared" si="10"/>
        <v>54.5</v>
      </c>
    </row>
    <row r="338" spans="1:11" x14ac:dyDescent="0.25">
      <c r="A338">
        <v>2</v>
      </c>
      <c r="B338" t="s">
        <v>20</v>
      </c>
      <c r="C338">
        <v>2019</v>
      </c>
      <c r="D338">
        <v>99.5</v>
      </c>
      <c r="E338">
        <v>20</v>
      </c>
      <c r="F338">
        <v>58.5</v>
      </c>
      <c r="G338" s="1">
        <f>DATE(C338, CHOOSE(MATCH(UPPER(B338), {"ENERO","FEBRERO","MARZO","ABRIL","MAYO","JUNIO","JULIO","AGOSTO","SEPTIEMBRE","OCTUBRE","NOVIEMBRE","DICIEMBRE"}, 0), 1,2,3,4,5,6,7,8,9,10,11,12), A338)</f>
        <v>43801</v>
      </c>
      <c r="H338">
        <v>61</v>
      </c>
      <c r="I338">
        <v>36000</v>
      </c>
      <c r="J338" s="1">
        <f t="shared" si="11"/>
        <v>43803</v>
      </c>
      <c r="K338">
        <f t="shared" si="10"/>
        <v>54.125</v>
      </c>
    </row>
    <row r="339" spans="1:11" x14ac:dyDescent="0.25">
      <c r="A339">
        <v>3</v>
      </c>
      <c r="B339" t="s">
        <v>20</v>
      </c>
      <c r="C339">
        <v>2019</v>
      </c>
      <c r="D339">
        <v>58.5</v>
      </c>
      <c r="E339">
        <v>300</v>
      </c>
      <c r="F339">
        <v>304</v>
      </c>
      <c r="G339" s="1">
        <f>DATE(C339, CHOOSE(MATCH(UPPER(B339), {"ENERO","FEBRERO","MARZO","ABRIL","MAYO","JUNIO","JULIO","AGOSTO","SEPTIEMBRE","OCTUBRE","NOVIEMBRE","DICIEMBRE"}, 0), 1,2,3,4,5,6,7,8,9,10,11,12), A339)</f>
        <v>43802</v>
      </c>
      <c r="H339">
        <v>54.5</v>
      </c>
      <c r="I339">
        <v>36000</v>
      </c>
      <c r="J339" s="1">
        <f t="shared" si="11"/>
        <v>43804</v>
      </c>
      <c r="K339">
        <f t="shared" si="10"/>
        <v>69</v>
      </c>
    </row>
    <row r="340" spans="1:11" x14ac:dyDescent="0.25">
      <c r="A340">
        <v>4</v>
      </c>
      <c r="B340" t="s">
        <v>20</v>
      </c>
      <c r="C340">
        <v>2019</v>
      </c>
      <c r="D340">
        <v>304</v>
      </c>
      <c r="E340" t="s">
        <v>9</v>
      </c>
      <c r="F340">
        <v>249.875</v>
      </c>
      <c r="G340" s="1">
        <f>DATE(C340, CHOOSE(MATCH(UPPER(B340), {"ENERO","FEBRERO","MARZO","ABRIL","MAYO","JUNIO","JULIO","AGOSTO","SEPTIEMBRE","OCTUBRE","NOVIEMBRE","DICIEMBRE"}, 0), 1,2,3,4,5,6,7,8,9,10,11,12), A340)</f>
        <v>43803</v>
      </c>
      <c r="H340">
        <v>54.125</v>
      </c>
      <c r="I340">
        <v>36000</v>
      </c>
      <c r="J340" s="1">
        <f t="shared" si="11"/>
        <v>43805</v>
      </c>
      <c r="K340">
        <f t="shared" si="10"/>
        <v>62.875</v>
      </c>
    </row>
    <row r="341" spans="1:11" x14ac:dyDescent="0.25">
      <c r="A341">
        <v>5</v>
      </c>
      <c r="B341" t="s">
        <v>20</v>
      </c>
      <c r="C341">
        <v>2019</v>
      </c>
      <c r="D341">
        <v>249.875</v>
      </c>
      <c r="E341">
        <v>-150</v>
      </c>
      <c r="F341">
        <v>30.875</v>
      </c>
      <c r="G341" s="1">
        <f>DATE(C341, CHOOSE(MATCH(UPPER(B341), {"ENERO","FEBRERO","MARZO","ABRIL","MAYO","JUNIO","JULIO","AGOSTO","SEPTIEMBRE","OCTUBRE","NOVIEMBRE","DICIEMBRE"}, 0), 1,2,3,4,5,6,7,8,9,10,11,12), A341)</f>
        <v>43804</v>
      </c>
      <c r="H341">
        <v>69</v>
      </c>
      <c r="I341">
        <v>36000</v>
      </c>
      <c r="J341" s="1">
        <f t="shared" si="11"/>
        <v>43806</v>
      </c>
      <c r="K341">
        <f t="shared" si="10"/>
        <v>96</v>
      </c>
    </row>
    <row r="342" spans="1:11" x14ac:dyDescent="0.25">
      <c r="A342">
        <v>6</v>
      </c>
      <c r="B342" t="s">
        <v>20</v>
      </c>
      <c r="C342">
        <v>2019</v>
      </c>
      <c r="D342">
        <v>30.875</v>
      </c>
      <c r="E342">
        <v>200</v>
      </c>
      <c r="F342">
        <v>168</v>
      </c>
      <c r="G342" s="1">
        <f>DATE(C342, CHOOSE(MATCH(UPPER(B342), {"ENERO","FEBRERO","MARZO","ABRIL","MAYO","JUNIO","JULIO","AGOSTO","SEPTIEMBRE","OCTUBRE","NOVIEMBRE","DICIEMBRE"}, 0), 1,2,3,4,5,6,7,8,9,10,11,12), A342)</f>
        <v>43805</v>
      </c>
      <c r="H342">
        <v>62.875</v>
      </c>
      <c r="I342">
        <v>36000</v>
      </c>
      <c r="J342" s="1">
        <f t="shared" si="11"/>
        <v>43807</v>
      </c>
      <c r="K342">
        <f t="shared" si="10"/>
        <v>78.5</v>
      </c>
    </row>
    <row r="343" spans="1:11" x14ac:dyDescent="0.25">
      <c r="A343">
        <v>7</v>
      </c>
      <c r="B343" t="s">
        <v>20</v>
      </c>
      <c r="C343">
        <v>2019</v>
      </c>
      <c r="D343">
        <v>168</v>
      </c>
      <c r="E343" t="s">
        <v>9</v>
      </c>
      <c r="F343">
        <v>72</v>
      </c>
      <c r="G343" s="1">
        <f>DATE(C343, CHOOSE(MATCH(UPPER(B343), {"ENERO","FEBRERO","MARZO","ABRIL","MAYO","JUNIO","JULIO","AGOSTO","SEPTIEMBRE","OCTUBRE","NOVIEMBRE","DICIEMBRE"}, 0), 1,2,3,4,5,6,7,8,9,10,11,12), A343)</f>
        <v>43806</v>
      </c>
      <c r="H343">
        <v>96</v>
      </c>
      <c r="I343">
        <v>36000</v>
      </c>
      <c r="J343" s="1">
        <f t="shared" si="11"/>
        <v>43808</v>
      </c>
      <c r="K343">
        <f t="shared" si="10"/>
        <v>50</v>
      </c>
    </row>
    <row r="344" spans="1:11" x14ac:dyDescent="0.25">
      <c r="A344">
        <v>8</v>
      </c>
      <c r="B344" t="s">
        <v>20</v>
      </c>
      <c r="C344">
        <v>2019</v>
      </c>
      <c r="D344">
        <v>72</v>
      </c>
      <c r="E344">
        <v>128</v>
      </c>
      <c r="F344">
        <v>121.5</v>
      </c>
      <c r="G344" s="1">
        <f>DATE(C344, CHOOSE(MATCH(UPPER(B344), {"ENERO","FEBRERO","MARZO","ABRIL","MAYO","JUNIO","JULIO","AGOSTO","SEPTIEMBRE","OCTUBRE","NOVIEMBRE","DICIEMBRE"}, 0), 1,2,3,4,5,6,7,8,9,10,11,12), A344)</f>
        <v>43807</v>
      </c>
      <c r="H344">
        <v>78.5</v>
      </c>
      <c r="I344">
        <v>36000</v>
      </c>
      <c r="J344" s="1">
        <f t="shared" si="11"/>
        <v>43809</v>
      </c>
      <c r="K344">
        <f t="shared" si="10"/>
        <v>51.5</v>
      </c>
    </row>
    <row r="345" spans="1:11" x14ac:dyDescent="0.25">
      <c r="A345">
        <v>9</v>
      </c>
      <c r="B345" t="s">
        <v>20</v>
      </c>
      <c r="C345">
        <v>2019</v>
      </c>
      <c r="D345">
        <v>121.5</v>
      </c>
      <c r="E345">
        <v>184</v>
      </c>
      <c r="F345">
        <v>255.5</v>
      </c>
      <c r="G345" s="1">
        <f>DATE(C345, CHOOSE(MATCH(UPPER(B345), {"ENERO","FEBRERO","MARZO","ABRIL","MAYO","JUNIO","JULIO","AGOSTO","SEPTIEMBRE","OCTUBRE","NOVIEMBRE","DICIEMBRE"}, 0), 1,2,3,4,5,6,7,8,9,10,11,12), A345)</f>
        <v>43808</v>
      </c>
      <c r="H345">
        <v>50</v>
      </c>
      <c r="I345">
        <v>36000</v>
      </c>
      <c r="J345" s="1">
        <f t="shared" si="11"/>
        <v>43810</v>
      </c>
      <c r="K345">
        <f t="shared" si="10"/>
        <v>57</v>
      </c>
    </row>
    <row r="346" spans="1:11" x14ac:dyDescent="0.25">
      <c r="A346">
        <v>10</v>
      </c>
      <c r="B346" t="s">
        <v>20</v>
      </c>
      <c r="C346">
        <v>2019</v>
      </c>
      <c r="D346">
        <v>255.5</v>
      </c>
      <c r="E346">
        <v>3</v>
      </c>
      <c r="F346">
        <v>207</v>
      </c>
      <c r="G346" s="1">
        <f>DATE(C346, CHOOSE(MATCH(UPPER(B346), {"ENERO","FEBRERO","MARZO","ABRIL","MAYO","JUNIO","JULIO","AGOSTO","SEPTIEMBRE","OCTUBRE","NOVIEMBRE","DICIEMBRE"}, 0), 1,2,3,4,5,6,7,8,9,10,11,12), A346)</f>
        <v>43809</v>
      </c>
      <c r="H346">
        <v>51.5</v>
      </c>
      <c r="I346">
        <v>36000</v>
      </c>
      <c r="J346" s="1">
        <f t="shared" si="11"/>
        <v>43811</v>
      </c>
      <c r="K346">
        <f t="shared" si="10"/>
        <v>68</v>
      </c>
    </row>
    <row r="347" spans="1:11" x14ac:dyDescent="0.25">
      <c r="A347">
        <v>11</v>
      </c>
      <c r="B347" t="s">
        <v>20</v>
      </c>
      <c r="C347">
        <v>2019</v>
      </c>
      <c r="D347">
        <v>207</v>
      </c>
      <c r="E347" t="s">
        <v>9</v>
      </c>
      <c r="F347">
        <v>150</v>
      </c>
      <c r="G347" s="1">
        <f>DATE(C347, CHOOSE(MATCH(UPPER(B347), {"ENERO","FEBRERO","MARZO","ABRIL","MAYO","JUNIO","JULIO","AGOSTO","SEPTIEMBRE","OCTUBRE","NOVIEMBRE","DICIEMBRE"}, 0), 1,2,3,4,5,6,7,8,9,10,11,12), A347)</f>
        <v>43810</v>
      </c>
      <c r="H347">
        <v>57</v>
      </c>
      <c r="I347">
        <v>36000</v>
      </c>
      <c r="J347" s="1">
        <f t="shared" si="11"/>
        <v>43812</v>
      </c>
      <c r="K347">
        <f t="shared" si="10"/>
        <v>59</v>
      </c>
    </row>
    <row r="348" spans="1:11" x14ac:dyDescent="0.25">
      <c r="A348">
        <v>12</v>
      </c>
      <c r="B348" t="s">
        <v>20</v>
      </c>
      <c r="C348">
        <v>2019</v>
      </c>
      <c r="D348">
        <v>150</v>
      </c>
      <c r="E348">
        <v>50</v>
      </c>
      <c r="F348">
        <v>132</v>
      </c>
      <c r="G348" s="1">
        <f>DATE(C348, CHOOSE(MATCH(UPPER(B348), {"ENERO","FEBRERO","MARZO","ABRIL","MAYO","JUNIO","JULIO","AGOSTO","SEPTIEMBRE","OCTUBRE","NOVIEMBRE","DICIEMBRE"}, 0), 1,2,3,4,5,6,7,8,9,10,11,12), A348)</f>
        <v>43811</v>
      </c>
      <c r="H348">
        <v>68</v>
      </c>
      <c r="I348">
        <v>36000</v>
      </c>
      <c r="J348" s="1">
        <f t="shared" si="11"/>
        <v>43813</v>
      </c>
      <c r="K348">
        <f t="shared" si="10"/>
        <v>87</v>
      </c>
    </row>
    <row r="349" spans="1:11" x14ac:dyDescent="0.25">
      <c r="A349">
        <v>13</v>
      </c>
      <c r="B349" t="s">
        <v>20</v>
      </c>
      <c r="C349">
        <v>2019</v>
      </c>
      <c r="D349">
        <v>132</v>
      </c>
      <c r="E349">
        <v>160</v>
      </c>
      <c r="F349">
        <v>233</v>
      </c>
      <c r="G349" s="1">
        <f>DATE(C349, CHOOSE(MATCH(UPPER(B349), {"ENERO","FEBRERO","MARZO","ABRIL","MAYO","JUNIO","JULIO","AGOSTO","SEPTIEMBRE","OCTUBRE","NOVIEMBRE","DICIEMBRE"}, 0), 1,2,3,4,5,6,7,8,9,10,11,12), A349)</f>
        <v>43812</v>
      </c>
      <c r="H349">
        <v>59</v>
      </c>
      <c r="I349">
        <v>36000</v>
      </c>
      <c r="J349" s="1">
        <f t="shared" si="11"/>
        <v>43814</v>
      </c>
      <c r="K349">
        <f t="shared" si="10"/>
        <v>93</v>
      </c>
    </row>
    <row r="350" spans="1:11" x14ac:dyDescent="0.25">
      <c r="A350">
        <v>14</v>
      </c>
      <c r="B350" t="s">
        <v>20</v>
      </c>
      <c r="C350">
        <v>2019</v>
      </c>
      <c r="D350">
        <v>233</v>
      </c>
      <c r="E350">
        <v>-20</v>
      </c>
      <c r="F350">
        <v>126</v>
      </c>
      <c r="G350" s="1">
        <f>DATE(C350, CHOOSE(MATCH(UPPER(B350), {"ENERO","FEBRERO","MARZO","ABRIL","MAYO","JUNIO","JULIO","AGOSTO","SEPTIEMBRE","OCTUBRE","NOVIEMBRE","DICIEMBRE"}, 0), 1,2,3,4,5,6,7,8,9,10,11,12), A350)</f>
        <v>43813</v>
      </c>
      <c r="H350">
        <v>87</v>
      </c>
      <c r="I350">
        <v>36000</v>
      </c>
      <c r="J350" s="1">
        <f t="shared" si="11"/>
        <v>43815</v>
      </c>
      <c r="K350">
        <f t="shared" si="10"/>
        <v>60</v>
      </c>
    </row>
    <row r="351" spans="1:11" x14ac:dyDescent="0.25">
      <c r="A351">
        <v>15</v>
      </c>
      <c r="B351" t="s">
        <v>20</v>
      </c>
      <c r="C351">
        <v>2019</v>
      </c>
      <c r="D351">
        <v>126</v>
      </c>
      <c r="E351">
        <v>62</v>
      </c>
      <c r="F351">
        <v>95</v>
      </c>
      <c r="G351" s="1">
        <f>DATE(C351, CHOOSE(MATCH(UPPER(B351), {"ENERO","FEBRERO","MARZO","ABRIL","MAYO","JUNIO","JULIO","AGOSTO","SEPTIEMBRE","OCTUBRE","NOVIEMBRE","DICIEMBRE"}, 0), 1,2,3,4,5,6,7,8,9,10,11,12), A351)</f>
        <v>43814</v>
      </c>
      <c r="H351">
        <v>93</v>
      </c>
      <c r="I351">
        <v>36000</v>
      </c>
      <c r="J351" s="1">
        <f t="shared" si="11"/>
        <v>43816</v>
      </c>
      <c r="K351">
        <f t="shared" si="10"/>
        <v>65</v>
      </c>
    </row>
    <row r="352" spans="1:11" x14ac:dyDescent="0.25">
      <c r="A352">
        <v>16</v>
      </c>
      <c r="B352" t="s">
        <v>20</v>
      </c>
      <c r="C352">
        <v>2019</v>
      </c>
      <c r="D352">
        <v>95</v>
      </c>
      <c r="E352">
        <v>180</v>
      </c>
      <c r="F352">
        <v>215</v>
      </c>
      <c r="G352" s="1">
        <f>DATE(C352, CHOOSE(MATCH(UPPER(B352), {"ENERO","FEBRERO","MARZO","ABRIL","MAYO","JUNIO","JULIO","AGOSTO","SEPTIEMBRE","OCTUBRE","NOVIEMBRE","DICIEMBRE"}, 0), 1,2,3,4,5,6,7,8,9,10,11,12), A352)</f>
        <v>43815</v>
      </c>
      <c r="H352">
        <v>60</v>
      </c>
      <c r="I352">
        <v>36000</v>
      </c>
      <c r="J352" s="1">
        <f t="shared" si="11"/>
        <v>43817</v>
      </c>
      <c r="K352">
        <f t="shared" si="10"/>
        <v>70</v>
      </c>
    </row>
    <row r="353" spans="1:11" x14ac:dyDescent="0.25">
      <c r="A353">
        <v>17</v>
      </c>
      <c r="B353" t="s">
        <v>20</v>
      </c>
      <c r="C353">
        <v>2019</v>
      </c>
      <c r="D353">
        <v>215</v>
      </c>
      <c r="E353" t="s">
        <v>9</v>
      </c>
      <c r="F353">
        <v>150</v>
      </c>
      <c r="G353" s="1">
        <f>DATE(C353, CHOOSE(MATCH(UPPER(B353), {"ENERO","FEBRERO","MARZO","ABRIL","MAYO","JUNIO","JULIO","AGOSTO","SEPTIEMBRE","OCTUBRE","NOVIEMBRE","DICIEMBRE"}, 0), 1,2,3,4,5,6,7,8,9,10,11,12), A353)</f>
        <v>43816</v>
      </c>
      <c r="H353">
        <v>65</v>
      </c>
      <c r="I353">
        <v>36000</v>
      </c>
      <c r="J353" s="1">
        <f t="shared" si="11"/>
        <v>43818</v>
      </c>
      <c r="K353">
        <f t="shared" si="10"/>
        <v>76</v>
      </c>
    </row>
    <row r="354" spans="1:11" x14ac:dyDescent="0.25">
      <c r="A354">
        <v>18</v>
      </c>
      <c r="B354" t="s">
        <v>20</v>
      </c>
      <c r="C354">
        <v>2019</v>
      </c>
      <c r="D354">
        <v>150</v>
      </c>
      <c r="E354">
        <v>389</v>
      </c>
      <c r="F354">
        <v>469</v>
      </c>
      <c r="G354" s="1">
        <f>DATE(C354, CHOOSE(MATCH(UPPER(B354), {"ENERO","FEBRERO","MARZO","ABRIL","MAYO","JUNIO","JULIO","AGOSTO","SEPTIEMBRE","OCTUBRE","NOVIEMBRE","DICIEMBRE"}, 0), 1,2,3,4,5,6,7,8,9,10,11,12), A354)</f>
        <v>43817</v>
      </c>
      <c r="H354">
        <v>70</v>
      </c>
      <c r="I354">
        <v>36000</v>
      </c>
      <c r="J354" s="1">
        <f t="shared" si="11"/>
        <v>43819</v>
      </c>
      <c r="K354">
        <f t="shared" si="10"/>
        <v>94</v>
      </c>
    </row>
    <row r="355" spans="1:11" x14ac:dyDescent="0.25">
      <c r="A355">
        <v>19</v>
      </c>
      <c r="B355" t="s">
        <v>20</v>
      </c>
      <c r="C355">
        <v>2019</v>
      </c>
      <c r="D355">
        <v>469</v>
      </c>
      <c r="E355">
        <v>-120</v>
      </c>
      <c r="F355">
        <v>273</v>
      </c>
      <c r="G355" s="1">
        <f>DATE(C355, CHOOSE(MATCH(UPPER(B355), {"ENERO","FEBRERO","MARZO","ABRIL","MAYO","JUNIO","JULIO","AGOSTO","SEPTIEMBRE","OCTUBRE","NOVIEMBRE","DICIEMBRE"}, 0), 1,2,3,4,5,6,7,8,9,10,11,12), A355)</f>
        <v>43818</v>
      </c>
      <c r="H355">
        <v>76</v>
      </c>
      <c r="I355">
        <v>36000</v>
      </c>
      <c r="J355" s="1">
        <f t="shared" si="11"/>
        <v>43820</v>
      </c>
      <c r="K355">
        <f t="shared" si="10"/>
        <v>85</v>
      </c>
    </row>
    <row r="356" spans="1:11" x14ac:dyDescent="0.25">
      <c r="A356">
        <v>20</v>
      </c>
      <c r="B356" t="s">
        <v>20</v>
      </c>
      <c r="C356">
        <v>2019</v>
      </c>
      <c r="D356">
        <v>273</v>
      </c>
      <c r="E356" t="s">
        <v>9</v>
      </c>
      <c r="F356">
        <v>179</v>
      </c>
      <c r="G356" s="1">
        <f>DATE(C356, CHOOSE(MATCH(UPPER(B356), {"ENERO","FEBRERO","MARZO","ABRIL","MAYO","JUNIO","JULIO","AGOSTO","SEPTIEMBRE","OCTUBRE","NOVIEMBRE","DICIEMBRE"}, 0), 1,2,3,4,5,6,7,8,9,10,11,12), A356)</f>
        <v>43819</v>
      </c>
      <c r="H356">
        <v>94</v>
      </c>
      <c r="I356">
        <v>36000</v>
      </c>
      <c r="J356" s="1">
        <f t="shared" si="11"/>
        <v>43821</v>
      </c>
      <c r="K356">
        <f t="shared" si="10"/>
        <v>110</v>
      </c>
    </row>
    <row r="357" spans="1:11" x14ac:dyDescent="0.25">
      <c r="A357">
        <v>21</v>
      </c>
      <c r="B357" t="s">
        <v>20</v>
      </c>
      <c r="C357">
        <v>2019</v>
      </c>
      <c r="D357">
        <v>179</v>
      </c>
      <c r="E357" t="s">
        <v>9</v>
      </c>
      <c r="F357">
        <v>94</v>
      </c>
      <c r="G357" s="1">
        <f>DATE(C357, CHOOSE(MATCH(UPPER(B357), {"ENERO","FEBRERO","MARZO","ABRIL","MAYO","JUNIO","JULIO","AGOSTO","SEPTIEMBRE","OCTUBRE","NOVIEMBRE","DICIEMBRE"}, 0), 1,2,3,4,5,6,7,8,9,10,11,12), A357)</f>
        <v>43820</v>
      </c>
      <c r="H357">
        <v>85</v>
      </c>
      <c r="I357">
        <v>36000</v>
      </c>
      <c r="J357" s="1">
        <f t="shared" si="11"/>
        <v>43822</v>
      </c>
      <c r="K357">
        <f t="shared" si="10"/>
        <v>88</v>
      </c>
    </row>
    <row r="358" spans="1:11" x14ac:dyDescent="0.25">
      <c r="A358">
        <v>22</v>
      </c>
      <c r="B358" t="s">
        <v>20</v>
      </c>
      <c r="C358">
        <v>2019</v>
      </c>
      <c r="D358">
        <v>94</v>
      </c>
      <c r="E358">
        <v>310</v>
      </c>
      <c r="F358">
        <v>294</v>
      </c>
      <c r="G358" s="1">
        <f>DATE(C358, CHOOSE(MATCH(UPPER(B358), {"ENERO","FEBRERO","MARZO","ABRIL","MAYO","JUNIO","JULIO","AGOSTO","SEPTIEMBRE","OCTUBRE","NOVIEMBRE","DICIEMBRE"}, 0), 1,2,3,4,5,6,7,8,9,10,11,12), A358)</f>
        <v>43821</v>
      </c>
      <c r="H358">
        <v>110</v>
      </c>
      <c r="I358">
        <v>36000</v>
      </c>
      <c r="J358" s="1">
        <f t="shared" si="11"/>
        <v>43823</v>
      </c>
      <c r="K358">
        <f t="shared" si="10"/>
        <v>47</v>
      </c>
    </row>
    <row r="359" spans="1:11" x14ac:dyDescent="0.25">
      <c r="A359">
        <v>23</v>
      </c>
      <c r="B359" t="s">
        <v>20</v>
      </c>
      <c r="C359">
        <v>2019</v>
      </c>
      <c r="D359">
        <v>294</v>
      </c>
      <c r="E359">
        <v>-100</v>
      </c>
      <c r="F359">
        <v>106</v>
      </c>
      <c r="G359" s="1">
        <f>DATE(C359, CHOOSE(MATCH(UPPER(B359), {"ENERO","FEBRERO","MARZO","ABRIL","MAYO","JUNIO","JULIO","AGOSTO","SEPTIEMBRE","OCTUBRE","NOVIEMBRE","DICIEMBRE"}, 0), 1,2,3,4,5,6,7,8,9,10,11,12), A359)</f>
        <v>43822</v>
      </c>
      <c r="H359">
        <v>88</v>
      </c>
      <c r="I359">
        <v>36000</v>
      </c>
      <c r="J359" s="1">
        <f t="shared" si="11"/>
        <v>43824</v>
      </c>
      <c r="K359">
        <f t="shared" si="10"/>
        <v>92</v>
      </c>
    </row>
    <row r="360" spans="1:11" x14ac:dyDescent="0.25">
      <c r="A360">
        <v>24</v>
      </c>
      <c r="B360" t="s">
        <v>20</v>
      </c>
      <c r="C360">
        <v>2019</v>
      </c>
      <c r="D360">
        <v>106</v>
      </c>
      <c r="E360">
        <v>399</v>
      </c>
      <c r="F360">
        <v>458</v>
      </c>
      <c r="G360" s="1">
        <f>DATE(C360, CHOOSE(MATCH(UPPER(B360), {"ENERO","FEBRERO","MARZO","ABRIL","MAYO","JUNIO","JULIO","AGOSTO","SEPTIEMBRE","OCTUBRE","NOVIEMBRE","DICIEMBRE"}, 0), 1,2,3,4,5,6,7,8,9,10,11,12), A360)</f>
        <v>43823</v>
      </c>
      <c r="H360">
        <v>47</v>
      </c>
      <c r="I360">
        <v>36000</v>
      </c>
      <c r="J360" s="1">
        <f t="shared" si="11"/>
        <v>43825</v>
      </c>
      <c r="K360">
        <f t="shared" si="10"/>
        <v>60</v>
      </c>
    </row>
    <row r="361" spans="1:11" x14ac:dyDescent="0.25">
      <c r="A361">
        <v>25</v>
      </c>
      <c r="B361" t="s">
        <v>20</v>
      </c>
      <c r="C361">
        <v>2019</v>
      </c>
      <c r="D361">
        <v>458</v>
      </c>
      <c r="E361" t="s">
        <v>9</v>
      </c>
      <c r="F361">
        <v>366</v>
      </c>
      <c r="G361" s="1">
        <f>DATE(C361, CHOOSE(MATCH(UPPER(B361), {"ENERO","FEBRERO","MARZO","ABRIL","MAYO","JUNIO","JULIO","AGOSTO","SEPTIEMBRE","OCTUBRE","NOVIEMBRE","DICIEMBRE"}, 0), 1,2,3,4,5,6,7,8,9,10,11,12), A361)</f>
        <v>43824</v>
      </c>
      <c r="H361">
        <v>92</v>
      </c>
      <c r="I361">
        <v>36000</v>
      </c>
      <c r="J361" s="1">
        <f t="shared" si="11"/>
        <v>43826</v>
      </c>
      <c r="K361">
        <f t="shared" si="10"/>
        <v>75.5</v>
      </c>
    </row>
    <row r="362" spans="1:11" x14ac:dyDescent="0.25">
      <c r="A362">
        <v>26</v>
      </c>
      <c r="B362" t="s">
        <v>20</v>
      </c>
      <c r="C362">
        <v>2019</v>
      </c>
      <c r="D362">
        <v>366</v>
      </c>
      <c r="E362">
        <v>-120</v>
      </c>
      <c r="F362">
        <v>186</v>
      </c>
      <c r="G362" s="1">
        <f>DATE(C362, CHOOSE(MATCH(UPPER(B362), {"ENERO","FEBRERO","MARZO","ABRIL","MAYO","JUNIO","JULIO","AGOSTO","SEPTIEMBRE","OCTUBRE","NOVIEMBRE","DICIEMBRE"}, 0), 1,2,3,4,5,6,7,8,9,10,11,12), A362)</f>
        <v>43825</v>
      </c>
      <c r="H362">
        <v>60</v>
      </c>
      <c r="I362">
        <v>36000</v>
      </c>
      <c r="J362" s="1">
        <f t="shared" si="11"/>
        <v>43827</v>
      </c>
      <c r="K362">
        <f t="shared" si="10"/>
        <v>80.5</v>
      </c>
    </row>
    <row r="363" spans="1:11" x14ac:dyDescent="0.25">
      <c r="A363">
        <v>27</v>
      </c>
      <c r="B363" t="s">
        <v>20</v>
      </c>
      <c r="C363">
        <v>2019</v>
      </c>
      <c r="D363">
        <v>186</v>
      </c>
      <c r="E363" t="s">
        <v>9</v>
      </c>
      <c r="F363">
        <v>110.5</v>
      </c>
      <c r="G363" s="1">
        <f>DATE(C363, CHOOSE(MATCH(UPPER(B363), {"ENERO","FEBRERO","MARZO","ABRIL","MAYO","JUNIO","JULIO","AGOSTO","SEPTIEMBRE","OCTUBRE","NOVIEMBRE","DICIEMBRE"}, 0), 1,2,3,4,5,6,7,8,9,10,11,12), A363)</f>
        <v>43826</v>
      </c>
      <c r="H363">
        <v>75.5</v>
      </c>
      <c r="I363">
        <v>36000</v>
      </c>
      <c r="J363" s="1">
        <f t="shared" si="11"/>
        <v>43828</v>
      </c>
      <c r="K363">
        <f t="shared" si="10"/>
        <v>64</v>
      </c>
    </row>
    <row r="364" spans="1:11" x14ac:dyDescent="0.25">
      <c r="A364">
        <v>28</v>
      </c>
      <c r="B364" t="s">
        <v>20</v>
      </c>
      <c r="C364">
        <v>2019</v>
      </c>
      <c r="D364">
        <v>110.5</v>
      </c>
      <c r="E364">
        <v>400</v>
      </c>
      <c r="F364">
        <v>430</v>
      </c>
      <c r="G364" s="1">
        <f>DATE(C364, CHOOSE(MATCH(UPPER(B364), {"ENERO","FEBRERO","MARZO","ABRIL","MAYO","JUNIO","JULIO","AGOSTO","SEPTIEMBRE","OCTUBRE","NOVIEMBRE","DICIEMBRE"}, 0), 1,2,3,4,5,6,7,8,9,10,11,12), A364)</f>
        <v>43827</v>
      </c>
      <c r="H364">
        <v>80.5</v>
      </c>
      <c r="I364">
        <v>36000</v>
      </c>
      <c r="J364" s="1">
        <f t="shared" si="11"/>
        <v>43829</v>
      </c>
      <c r="K364">
        <f t="shared" si="10"/>
        <v>70</v>
      </c>
    </row>
    <row r="365" spans="1:11" x14ac:dyDescent="0.25">
      <c r="A365">
        <v>29</v>
      </c>
      <c r="B365" t="s">
        <v>20</v>
      </c>
      <c r="C365">
        <v>2019</v>
      </c>
      <c r="D365">
        <v>430</v>
      </c>
      <c r="E365">
        <v>-150</v>
      </c>
      <c r="F365">
        <v>216</v>
      </c>
      <c r="G365" s="1">
        <f>DATE(C365, CHOOSE(MATCH(UPPER(B365), {"ENERO","FEBRERO","MARZO","ABRIL","MAYO","JUNIO","JULIO","AGOSTO","SEPTIEMBRE","OCTUBRE","NOVIEMBRE","DICIEMBRE"}, 0), 1,2,3,4,5,6,7,8,9,10,11,12), A365)</f>
        <v>43828</v>
      </c>
      <c r="H365">
        <v>64</v>
      </c>
      <c r="I365">
        <v>36000</v>
      </c>
      <c r="J365" s="1">
        <f t="shared" si="11"/>
        <v>43830</v>
      </c>
      <c r="K365">
        <f t="shared" si="10"/>
        <v>224</v>
      </c>
    </row>
    <row r="366" spans="1:11" x14ac:dyDescent="0.25">
      <c r="A366">
        <v>30</v>
      </c>
      <c r="B366" t="s">
        <v>20</v>
      </c>
      <c r="C366">
        <v>2019</v>
      </c>
      <c r="D366">
        <v>216</v>
      </c>
      <c r="E366">
        <v>78</v>
      </c>
      <c r="F366">
        <v>224</v>
      </c>
      <c r="G366" s="1">
        <f>DATE(C366, CHOOSE(MATCH(UPPER(B366), {"ENERO","FEBRERO","MARZO","ABRIL","MAYO","JUNIO","JULIO","AGOSTO","SEPTIEMBRE","OCTUBRE","NOVIEMBRE","DICIEMBRE"}, 0), 1,2,3,4,5,6,7,8,9,10,11,12), A366)</f>
        <v>43829</v>
      </c>
      <c r="H366">
        <v>70</v>
      </c>
      <c r="I366">
        <v>36000</v>
      </c>
      <c r="J366" s="1">
        <f t="shared" si="11"/>
        <v>43831</v>
      </c>
      <c r="K366">
        <f t="shared" si="10"/>
        <v>84</v>
      </c>
    </row>
    <row r="367" spans="1:11" x14ac:dyDescent="0.25">
      <c r="A367">
        <v>31</v>
      </c>
      <c r="B367" t="s">
        <v>20</v>
      </c>
      <c r="C367">
        <v>2019</v>
      </c>
      <c r="D367">
        <v>224</v>
      </c>
      <c r="E367" t="s">
        <v>9</v>
      </c>
      <c r="F367" t="s">
        <v>9</v>
      </c>
      <c r="G367" s="1">
        <f>DATE(C367, CHOOSE(MATCH(UPPER(B367), {"ENERO","FEBRERO","MARZO","ABRIL","MAYO","JUNIO","JULIO","AGOSTO","SEPTIEMBRE","OCTUBRE","NOVIEMBRE","DICIEMBRE"}, 0), 1,2,3,4,5,6,7,8,9,10,11,12), A367)</f>
        <v>43830</v>
      </c>
      <c r="H367">
        <v>224</v>
      </c>
      <c r="I367">
        <v>36000</v>
      </c>
      <c r="J367" s="1">
        <f t="shared" si="11"/>
        <v>43832</v>
      </c>
      <c r="K367">
        <f t="shared" si="10"/>
        <v>74</v>
      </c>
    </row>
    <row r="368" spans="1:11" x14ac:dyDescent="0.25">
      <c r="A368">
        <v>1</v>
      </c>
      <c r="B368" t="s">
        <v>8</v>
      </c>
      <c r="C368">
        <v>2020</v>
      </c>
      <c r="D368">
        <v>224</v>
      </c>
      <c r="E368">
        <v>-20</v>
      </c>
      <c r="F368">
        <v>120</v>
      </c>
      <c r="G368" s="1">
        <f>DATE(C368, CHOOSE(MATCH(UPPER(B368), {"ENERO","FEBRERO","MARZO","ABRIL","MAYO","JUNIO","JULIO","AGOSTO","SEPTIEMBRE","OCTUBRE","NOVIEMBRE","DICIEMBRE"}, 0), 1,2,3,4,5,6,7,8,9,10,11,12), A368)</f>
        <v>43831</v>
      </c>
      <c r="H368">
        <v>84</v>
      </c>
      <c r="I368">
        <v>36000</v>
      </c>
      <c r="J368" s="1">
        <f t="shared" si="11"/>
        <v>43833</v>
      </c>
      <c r="K368">
        <f t="shared" si="10"/>
        <v>71</v>
      </c>
    </row>
    <row r="369" spans="1:11" x14ac:dyDescent="0.25">
      <c r="A369">
        <v>2</v>
      </c>
      <c r="B369" t="s">
        <v>8</v>
      </c>
      <c r="C369">
        <v>2020</v>
      </c>
      <c r="D369">
        <v>120</v>
      </c>
      <c r="E369">
        <v>160</v>
      </c>
      <c r="F369">
        <v>206</v>
      </c>
      <c r="G369" s="1">
        <f>DATE(C369, CHOOSE(MATCH(UPPER(B369), {"ENERO","FEBRERO","MARZO","ABRIL","MAYO","JUNIO","JULIO","AGOSTO","SEPTIEMBRE","OCTUBRE","NOVIEMBRE","DICIEMBRE"}, 0), 1,2,3,4,5,6,7,8,9,10,11,12), A369)</f>
        <v>43832</v>
      </c>
      <c r="H369">
        <v>74</v>
      </c>
      <c r="I369">
        <v>36000</v>
      </c>
      <c r="J369" s="1">
        <f t="shared" si="11"/>
        <v>43834</v>
      </c>
      <c r="K369">
        <f t="shared" si="10"/>
        <v>77</v>
      </c>
    </row>
    <row r="370" spans="1:11" x14ac:dyDescent="0.25">
      <c r="A370">
        <v>3</v>
      </c>
      <c r="B370" t="s">
        <v>8</v>
      </c>
      <c r="C370">
        <v>2020</v>
      </c>
      <c r="D370">
        <v>206</v>
      </c>
      <c r="E370" t="s">
        <v>9</v>
      </c>
      <c r="F370">
        <v>135</v>
      </c>
      <c r="G370" s="1">
        <f>DATE(C370, CHOOSE(MATCH(UPPER(B370), {"ENERO","FEBRERO","MARZO","ABRIL","MAYO","JUNIO","JULIO","AGOSTO","SEPTIEMBRE","OCTUBRE","NOVIEMBRE","DICIEMBRE"}, 0), 1,2,3,4,5,6,7,8,9,10,11,12), A370)</f>
        <v>43833</v>
      </c>
      <c r="H370">
        <v>71</v>
      </c>
      <c r="I370">
        <v>36000</v>
      </c>
      <c r="J370" s="1">
        <f t="shared" si="11"/>
        <v>43835</v>
      </c>
      <c r="K370">
        <f t="shared" si="10"/>
        <v>72</v>
      </c>
    </row>
    <row r="371" spans="1:11" x14ac:dyDescent="0.25">
      <c r="A371">
        <v>4</v>
      </c>
      <c r="B371" t="s">
        <v>8</v>
      </c>
      <c r="C371">
        <v>2020</v>
      </c>
      <c r="D371">
        <v>135</v>
      </c>
      <c r="E371">
        <v>385</v>
      </c>
      <c r="F371">
        <v>443</v>
      </c>
      <c r="G371" s="1">
        <f>DATE(C371, CHOOSE(MATCH(UPPER(B371), {"ENERO","FEBRERO","MARZO","ABRIL","MAYO","JUNIO","JULIO","AGOSTO","SEPTIEMBRE","OCTUBRE","NOVIEMBRE","DICIEMBRE"}, 0), 1,2,3,4,5,6,7,8,9,10,11,12), A371)</f>
        <v>43834</v>
      </c>
      <c r="H371">
        <v>77</v>
      </c>
      <c r="I371">
        <v>36000</v>
      </c>
      <c r="J371" s="1">
        <f t="shared" si="11"/>
        <v>43836</v>
      </c>
      <c r="K371">
        <f t="shared" si="10"/>
        <v>81</v>
      </c>
    </row>
    <row r="372" spans="1:11" x14ac:dyDescent="0.25">
      <c r="A372">
        <v>5</v>
      </c>
      <c r="B372" t="s">
        <v>8</v>
      </c>
      <c r="C372">
        <v>2020</v>
      </c>
      <c r="D372">
        <v>443</v>
      </c>
      <c r="E372" t="s">
        <v>9</v>
      </c>
      <c r="F372">
        <v>371</v>
      </c>
      <c r="G372" s="1">
        <f>DATE(C372, CHOOSE(MATCH(UPPER(B372), {"ENERO","FEBRERO","MARZO","ABRIL","MAYO","JUNIO","JULIO","AGOSTO","SEPTIEMBRE","OCTUBRE","NOVIEMBRE","DICIEMBRE"}, 0), 1,2,3,4,5,6,7,8,9,10,11,12), A372)</f>
        <v>43835</v>
      </c>
      <c r="H372">
        <v>72</v>
      </c>
      <c r="I372">
        <v>36000</v>
      </c>
      <c r="J372" s="1">
        <f t="shared" si="11"/>
        <v>43837</v>
      </c>
      <c r="K372">
        <f t="shared" si="10"/>
        <v>76</v>
      </c>
    </row>
    <row r="373" spans="1:11" x14ac:dyDescent="0.25">
      <c r="A373">
        <v>6</v>
      </c>
      <c r="B373" t="s">
        <v>8</v>
      </c>
      <c r="C373">
        <v>2020</v>
      </c>
      <c r="D373">
        <v>371</v>
      </c>
      <c r="E373">
        <v>-120</v>
      </c>
      <c r="F373">
        <v>170</v>
      </c>
      <c r="G373" s="1">
        <f>DATE(C373, CHOOSE(MATCH(UPPER(B373), {"ENERO","FEBRERO","MARZO","ABRIL","MAYO","JUNIO","JULIO","AGOSTO","SEPTIEMBRE","OCTUBRE","NOVIEMBRE","DICIEMBRE"}, 0), 1,2,3,4,5,6,7,8,9,10,11,12), A373)</f>
        <v>43836</v>
      </c>
      <c r="H373">
        <v>81</v>
      </c>
      <c r="I373">
        <v>36000</v>
      </c>
      <c r="J373" s="1">
        <f t="shared" si="11"/>
        <v>43838</v>
      </c>
      <c r="K373">
        <f t="shared" si="10"/>
        <v>62</v>
      </c>
    </row>
    <row r="374" spans="1:11" x14ac:dyDescent="0.25">
      <c r="A374">
        <v>7</v>
      </c>
      <c r="B374" t="s">
        <v>8</v>
      </c>
      <c r="C374">
        <v>2020</v>
      </c>
      <c r="D374">
        <v>170</v>
      </c>
      <c r="E374" t="s">
        <v>9</v>
      </c>
      <c r="F374">
        <v>94</v>
      </c>
      <c r="G374" s="1">
        <f>DATE(C374, CHOOSE(MATCH(UPPER(B374), {"ENERO","FEBRERO","MARZO","ABRIL","MAYO","JUNIO","JULIO","AGOSTO","SEPTIEMBRE","OCTUBRE","NOVIEMBRE","DICIEMBRE"}, 0), 1,2,3,4,5,6,7,8,9,10,11,12), A374)</f>
        <v>43837</v>
      </c>
      <c r="H374">
        <v>76</v>
      </c>
      <c r="I374">
        <v>36000</v>
      </c>
      <c r="J374" s="1">
        <f t="shared" si="11"/>
        <v>43839</v>
      </c>
      <c r="K374">
        <f t="shared" si="10"/>
        <v>49</v>
      </c>
    </row>
    <row r="375" spans="1:11" x14ac:dyDescent="0.25">
      <c r="A375">
        <v>8</v>
      </c>
      <c r="B375" t="s">
        <v>8</v>
      </c>
      <c r="C375">
        <v>2020</v>
      </c>
      <c r="D375">
        <v>94</v>
      </c>
      <c r="E375">
        <v>400</v>
      </c>
      <c r="F375">
        <v>432</v>
      </c>
      <c r="G375" s="1">
        <f>DATE(C375, CHOOSE(MATCH(UPPER(B375), {"ENERO","FEBRERO","MARZO","ABRIL","MAYO","JUNIO","JULIO","AGOSTO","SEPTIEMBRE","OCTUBRE","NOVIEMBRE","DICIEMBRE"}, 0), 1,2,3,4,5,6,7,8,9,10,11,12), A375)</f>
        <v>43838</v>
      </c>
      <c r="H375">
        <v>62</v>
      </c>
      <c r="I375">
        <v>36000</v>
      </c>
      <c r="J375" s="1">
        <f t="shared" si="11"/>
        <v>43840</v>
      </c>
      <c r="K375">
        <f t="shared" si="10"/>
        <v>51</v>
      </c>
    </row>
    <row r="376" spans="1:11" x14ac:dyDescent="0.25">
      <c r="A376">
        <v>9</v>
      </c>
      <c r="B376" t="s">
        <v>8</v>
      </c>
      <c r="C376">
        <v>2020</v>
      </c>
      <c r="D376">
        <v>432</v>
      </c>
      <c r="E376">
        <v>-120</v>
      </c>
      <c r="F376">
        <v>263</v>
      </c>
      <c r="G376" s="1">
        <f>DATE(C376, CHOOSE(MATCH(UPPER(B376), {"ENERO","FEBRERO","MARZO","ABRIL","MAYO","JUNIO","JULIO","AGOSTO","SEPTIEMBRE","OCTUBRE","NOVIEMBRE","DICIEMBRE"}, 0), 1,2,3,4,5,6,7,8,9,10,11,12), A376)</f>
        <v>43839</v>
      </c>
      <c r="H376">
        <v>49</v>
      </c>
      <c r="I376">
        <v>36000</v>
      </c>
      <c r="J376" s="1">
        <f t="shared" si="11"/>
        <v>43841</v>
      </c>
      <c r="K376">
        <f t="shared" si="10"/>
        <v>79</v>
      </c>
    </row>
    <row r="377" spans="1:11" x14ac:dyDescent="0.25">
      <c r="A377">
        <v>10</v>
      </c>
      <c r="B377" t="s">
        <v>8</v>
      </c>
      <c r="C377">
        <v>2020</v>
      </c>
      <c r="D377">
        <v>263</v>
      </c>
      <c r="E377" t="s">
        <v>9</v>
      </c>
      <c r="F377">
        <v>212</v>
      </c>
      <c r="G377" s="1">
        <f>DATE(C377, CHOOSE(MATCH(UPPER(B377), {"ENERO","FEBRERO","MARZO","ABRIL","MAYO","JUNIO","JULIO","AGOSTO","SEPTIEMBRE","OCTUBRE","NOVIEMBRE","DICIEMBRE"}, 0), 1,2,3,4,5,6,7,8,9,10,11,12), A377)</f>
        <v>43840</v>
      </c>
      <c r="H377">
        <v>51</v>
      </c>
      <c r="I377">
        <v>36000</v>
      </c>
      <c r="J377" s="1">
        <f t="shared" si="11"/>
        <v>43842</v>
      </c>
      <c r="K377">
        <f t="shared" si="10"/>
        <v>67</v>
      </c>
    </row>
    <row r="378" spans="1:11" x14ac:dyDescent="0.25">
      <c r="A378">
        <v>11</v>
      </c>
      <c r="B378" t="s">
        <v>8</v>
      </c>
      <c r="C378">
        <v>2020</v>
      </c>
      <c r="D378">
        <v>212</v>
      </c>
      <c r="E378">
        <v>202</v>
      </c>
      <c r="F378">
        <v>335</v>
      </c>
      <c r="G378" s="1">
        <f>DATE(C378, CHOOSE(MATCH(UPPER(B378), {"ENERO","FEBRERO","MARZO","ABRIL","MAYO","JUNIO","JULIO","AGOSTO","SEPTIEMBRE","OCTUBRE","NOVIEMBRE","DICIEMBRE"}, 0), 1,2,3,4,5,6,7,8,9,10,11,12), A378)</f>
        <v>43841</v>
      </c>
      <c r="H378">
        <v>79</v>
      </c>
      <c r="I378">
        <v>36000</v>
      </c>
      <c r="J378" s="1">
        <f t="shared" si="11"/>
        <v>43843</v>
      </c>
      <c r="K378">
        <f t="shared" si="10"/>
        <v>42.5</v>
      </c>
    </row>
    <row r="379" spans="1:11" x14ac:dyDescent="0.25">
      <c r="A379">
        <v>12</v>
      </c>
      <c r="B379" t="s">
        <v>8</v>
      </c>
      <c r="C379">
        <v>2020</v>
      </c>
      <c r="D379">
        <v>335</v>
      </c>
      <c r="E379" t="s">
        <v>9</v>
      </c>
      <c r="F379">
        <v>268</v>
      </c>
      <c r="G379" s="1">
        <f>DATE(C379, CHOOSE(MATCH(UPPER(B379), {"ENERO","FEBRERO","MARZO","ABRIL","MAYO","JUNIO","JULIO","AGOSTO","SEPTIEMBRE","OCTUBRE","NOVIEMBRE","DICIEMBRE"}, 0), 1,2,3,4,5,6,7,8,9,10,11,12), A379)</f>
        <v>43842</v>
      </c>
      <c r="H379">
        <v>67</v>
      </c>
      <c r="I379">
        <v>36000</v>
      </c>
      <c r="J379" s="1">
        <f t="shared" si="11"/>
        <v>43844</v>
      </c>
      <c r="K379">
        <f t="shared" si="10"/>
        <v>48.5</v>
      </c>
    </row>
    <row r="380" spans="1:11" x14ac:dyDescent="0.25">
      <c r="A380">
        <v>13</v>
      </c>
      <c r="B380" t="s">
        <v>8</v>
      </c>
      <c r="C380">
        <v>2020</v>
      </c>
      <c r="D380">
        <v>268</v>
      </c>
      <c r="E380">
        <v>-100</v>
      </c>
      <c r="F380">
        <v>125.5</v>
      </c>
      <c r="G380" s="1">
        <f>DATE(C380, CHOOSE(MATCH(UPPER(B380), {"ENERO","FEBRERO","MARZO","ABRIL","MAYO","JUNIO","JULIO","AGOSTO","SEPTIEMBRE","OCTUBRE","NOVIEMBRE","DICIEMBRE"}, 0), 1,2,3,4,5,6,7,8,9,10,11,12), A380)</f>
        <v>43843</v>
      </c>
      <c r="H380">
        <v>42.5</v>
      </c>
      <c r="I380">
        <v>36000</v>
      </c>
      <c r="J380" s="1">
        <f t="shared" si="11"/>
        <v>43845</v>
      </c>
      <c r="K380">
        <f t="shared" si="10"/>
        <v>43</v>
      </c>
    </row>
    <row r="381" spans="1:11" x14ac:dyDescent="0.25">
      <c r="A381">
        <v>14</v>
      </c>
      <c r="B381" t="s">
        <v>8</v>
      </c>
      <c r="C381">
        <v>2020</v>
      </c>
      <c r="D381">
        <v>125.5</v>
      </c>
      <c r="E381">
        <v>300</v>
      </c>
      <c r="F381">
        <v>377</v>
      </c>
      <c r="G381" s="1">
        <f>DATE(C381, CHOOSE(MATCH(UPPER(B381), {"ENERO","FEBRERO","MARZO","ABRIL","MAYO","JUNIO","JULIO","AGOSTO","SEPTIEMBRE","OCTUBRE","NOVIEMBRE","DICIEMBRE"}, 0), 1,2,3,4,5,6,7,8,9,10,11,12), A381)</f>
        <v>43844</v>
      </c>
      <c r="H381">
        <v>48.5</v>
      </c>
      <c r="I381">
        <v>36000</v>
      </c>
      <c r="J381" s="1">
        <f t="shared" si="11"/>
        <v>43846</v>
      </c>
      <c r="K381">
        <f t="shared" si="10"/>
        <v>45</v>
      </c>
    </row>
    <row r="382" spans="1:11" x14ac:dyDescent="0.25">
      <c r="A382">
        <v>15</v>
      </c>
      <c r="B382" t="s">
        <v>8</v>
      </c>
      <c r="C382">
        <v>2020</v>
      </c>
      <c r="D382">
        <v>377</v>
      </c>
      <c r="E382" t="s">
        <v>9</v>
      </c>
      <c r="F382">
        <v>334</v>
      </c>
      <c r="G382" s="1">
        <f>DATE(C382, CHOOSE(MATCH(UPPER(B382), {"ENERO","FEBRERO","MARZO","ABRIL","MAYO","JUNIO","JULIO","AGOSTO","SEPTIEMBRE","OCTUBRE","NOVIEMBRE","DICIEMBRE"}, 0), 1,2,3,4,5,6,7,8,9,10,11,12), A382)</f>
        <v>43845</v>
      </c>
      <c r="H382">
        <v>43</v>
      </c>
      <c r="I382">
        <v>36000</v>
      </c>
      <c r="J382" s="1">
        <f t="shared" si="11"/>
        <v>43847</v>
      </c>
      <c r="K382">
        <f t="shared" si="10"/>
        <v>57</v>
      </c>
    </row>
    <row r="383" spans="1:11" x14ac:dyDescent="0.25">
      <c r="A383">
        <v>16</v>
      </c>
      <c r="B383" t="s">
        <v>8</v>
      </c>
      <c r="C383">
        <v>2020</v>
      </c>
      <c r="D383">
        <v>334</v>
      </c>
      <c r="E383" t="s">
        <v>9</v>
      </c>
      <c r="F383">
        <v>289</v>
      </c>
      <c r="G383" s="1">
        <f>DATE(C383, CHOOSE(MATCH(UPPER(B383), {"ENERO","FEBRERO","MARZO","ABRIL","MAYO","JUNIO","JULIO","AGOSTO","SEPTIEMBRE","OCTUBRE","NOVIEMBRE","DICIEMBRE"}, 0), 1,2,3,4,5,6,7,8,9,10,11,12), A383)</f>
        <v>43846</v>
      </c>
      <c r="H383">
        <v>45</v>
      </c>
      <c r="I383">
        <v>36000</v>
      </c>
      <c r="J383" s="1">
        <f t="shared" si="11"/>
        <v>43848</v>
      </c>
      <c r="K383">
        <f t="shared" si="10"/>
        <v>72</v>
      </c>
    </row>
    <row r="384" spans="1:11" x14ac:dyDescent="0.25">
      <c r="A384">
        <v>17</v>
      </c>
      <c r="B384" t="s">
        <v>8</v>
      </c>
      <c r="C384">
        <v>2020</v>
      </c>
      <c r="D384">
        <v>289</v>
      </c>
      <c r="E384">
        <v>299</v>
      </c>
      <c r="F384">
        <v>531</v>
      </c>
      <c r="G384" s="1">
        <f>DATE(C384, CHOOSE(MATCH(UPPER(B384), {"ENERO","FEBRERO","MARZO","ABRIL","MAYO","JUNIO","JULIO","AGOSTO","SEPTIEMBRE","OCTUBRE","NOVIEMBRE","DICIEMBRE"}, 0), 1,2,3,4,5,6,7,8,9,10,11,12), A384)</f>
        <v>43847</v>
      </c>
      <c r="H384">
        <v>57</v>
      </c>
      <c r="I384">
        <v>36000</v>
      </c>
      <c r="J384" s="1">
        <f t="shared" si="11"/>
        <v>43849</v>
      </c>
      <c r="K384">
        <f t="shared" si="10"/>
        <v>64</v>
      </c>
    </row>
    <row r="385" spans="1:11" x14ac:dyDescent="0.25">
      <c r="A385">
        <v>18</v>
      </c>
      <c r="B385" t="s">
        <v>8</v>
      </c>
      <c r="C385">
        <v>2020</v>
      </c>
      <c r="D385">
        <v>531</v>
      </c>
      <c r="E385">
        <v>-120</v>
      </c>
      <c r="F385">
        <v>339</v>
      </c>
      <c r="G385" s="1">
        <f>DATE(C385, CHOOSE(MATCH(UPPER(B385), {"ENERO","FEBRERO","MARZO","ABRIL","MAYO","JUNIO","JULIO","AGOSTO","SEPTIEMBRE","OCTUBRE","NOVIEMBRE","DICIEMBRE"}, 0), 1,2,3,4,5,6,7,8,9,10,11,12), A385)</f>
        <v>43848</v>
      </c>
      <c r="H385">
        <v>72</v>
      </c>
      <c r="I385">
        <v>36000</v>
      </c>
      <c r="J385" s="1">
        <f t="shared" si="11"/>
        <v>43850</v>
      </c>
      <c r="K385">
        <f t="shared" si="10"/>
        <v>39</v>
      </c>
    </row>
    <row r="386" spans="1:11" x14ac:dyDescent="0.25">
      <c r="A386">
        <v>19</v>
      </c>
      <c r="B386" t="s">
        <v>8</v>
      </c>
      <c r="C386">
        <v>2020</v>
      </c>
      <c r="D386">
        <v>339</v>
      </c>
      <c r="E386" t="s">
        <v>9</v>
      </c>
      <c r="F386">
        <v>275</v>
      </c>
      <c r="G386" s="1">
        <f>DATE(C386, CHOOSE(MATCH(UPPER(B386), {"ENERO","FEBRERO","MARZO","ABRIL","MAYO","JUNIO","JULIO","AGOSTO","SEPTIEMBRE","OCTUBRE","NOVIEMBRE","DICIEMBRE"}, 0), 1,2,3,4,5,6,7,8,9,10,11,12), A386)</f>
        <v>43849</v>
      </c>
      <c r="H386">
        <v>64</v>
      </c>
      <c r="I386">
        <v>36000</v>
      </c>
      <c r="J386" s="1">
        <f t="shared" si="11"/>
        <v>43851</v>
      </c>
      <c r="K386">
        <f t="shared" si="10"/>
        <v>49</v>
      </c>
    </row>
    <row r="387" spans="1:11" x14ac:dyDescent="0.25">
      <c r="A387">
        <v>20</v>
      </c>
      <c r="B387" t="s">
        <v>8</v>
      </c>
      <c r="C387">
        <v>2020</v>
      </c>
      <c r="D387">
        <v>275</v>
      </c>
      <c r="E387">
        <v>-100</v>
      </c>
      <c r="F387">
        <v>136</v>
      </c>
      <c r="G387" s="1">
        <f>DATE(C387, CHOOSE(MATCH(UPPER(B387), {"ENERO","FEBRERO","MARZO","ABRIL","MAYO","JUNIO","JULIO","AGOSTO","SEPTIEMBRE","OCTUBRE","NOVIEMBRE","DICIEMBRE"}, 0), 1,2,3,4,5,6,7,8,9,10,11,12), A387)</f>
        <v>43850</v>
      </c>
      <c r="H387">
        <v>39</v>
      </c>
      <c r="I387">
        <v>36000</v>
      </c>
      <c r="J387" s="1">
        <f t="shared" si="11"/>
        <v>43852</v>
      </c>
      <c r="K387">
        <f t="shared" ref="K387:K450" si="12">VLOOKUP(J387, G:H, 2, FALSE)</f>
        <v>47</v>
      </c>
    </row>
    <row r="388" spans="1:11" x14ac:dyDescent="0.25">
      <c r="A388">
        <v>21</v>
      </c>
      <c r="B388" t="s">
        <v>8</v>
      </c>
      <c r="C388">
        <v>2020</v>
      </c>
      <c r="D388">
        <v>136</v>
      </c>
      <c r="E388" t="s">
        <v>9</v>
      </c>
      <c r="F388">
        <v>87</v>
      </c>
      <c r="G388" s="1">
        <f>DATE(C388, CHOOSE(MATCH(UPPER(B388), {"ENERO","FEBRERO","MARZO","ABRIL","MAYO","JUNIO","JULIO","AGOSTO","SEPTIEMBRE","OCTUBRE","NOVIEMBRE","DICIEMBRE"}, 0), 1,2,3,4,5,6,7,8,9,10,11,12), A388)</f>
        <v>43851</v>
      </c>
      <c r="H388">
        <v>49</v>
      </c>
      <c r="I388">
        <v>36000</v>
      </c>
      <c r="J388" s="1">
        <f t="shared" si="11"/>
        <v>43853</v>
      </c>
      <c r="K388">
        <f t="shared" si="12"/>
        <v>33</v>
      </c>
    </row>
    <row r="389" spans="1:11" x14ac:dyDescent="0.25">
      <c r="A389">
        <v>22</v>
      </c>
      <c r="B389" t="s">
        <v>8</v>
      </c>
      <c r="C389">
        <v>2020</v>
      </c>
      <c r="D389">
        <v>87</v>
      </c>
      <c r="E389">
        <v>150</v>
      </c>
      <c r="F389">
        <v>190</v>
      </c>
      <c r="G389" s="1">
        <f>DATE(C389, CHOOSE(MATCH(UPPER(B389), {"ENERO","FEBRERO","MARZO","ABRIL","MAYO","JUNIO","JULIO","AGOSTO","SEPTIEMBRE","OCTUBRE","NOVIEMBRE","DICIEMBRE"}, 0), 1,2,3,4,5,6,7,8,9,10,11,12), A389)</f>
        <v>43852</v>
      </c>
      <c r="H389">
        <v>47</v>
      </c>
      <c r="I389">
        <v>36000</v>
      </c>
      <c r="J389" s="1">
        <f t="shared" ref="J389:J452" si="13">DATE(2019,1,1) + ROW()-1</f>
        <v>43854</v>
      </c>
      <c r="K389">
        <f t="shared" si="12"/>
        <v>58</v>
      </c>
    </row>
    <row r="390" spans="1:11" x14ac:dyDescent="0.25">
      <c r="A390">
        <v>23</v>
      </c>
      <c r="B390" t="s">
        <v>8</v>
      </c>
      <c r="C390">
        <v>2020</v>
      </c>
      <c r="D390">
        <v>190</v>
      </c>
      <c r="E390" t="s">
        <v>9</v>
      </c>
      <c r="F390">
        <v>157</v>
      </c>
      <c r="G390" s="1">
        <f>DATE(C390, CHOOSE(MATCH(UPPER(B390), {"ENERO","FEBRERO","MARZO","ABRIL","MAYO","JUNIO","JULIO","AGOSTO","SEPTIEMBRE","OCTUBRE","NOVIEMBRE","DICIEMBRE"}, 0), 1,2,3,4,5,6,7,8,9,10,11,12), A390)</f>
        <v>43853</v>
      </c>
      <c r="H390">
        <v>33</v>
      </c>
      <c r="I390">
        <v>36000</v>
      </c>
      <c r="J390" s="1">
        <f t="shared" si="13"/>
        <v>43855</v>
      </c>
      <c r="K390">
        <f t="shared" si="12"/>
        <v>67</v>
      </c>
    </row>
    <row r="391" spans="1:11" x14ac:dyDescent="0.25">
      <c r="A391">
        <v>24</v>
      </c>
      <c r="B391" t="s">
        <v>8</v>
      </c>
      <c r="C391">
        <v>2020</v>
      </c>
      <c r="D391">
        <v>157</v>
      </c>
      <c r="E391">
        <v>363</v>
      </c>
      <c r="F391">
        <v>462</v>
      </c>
      <c r="G391" s="1">
        <f>DATE(C391, CHOOSE(MATCH(UPPER(B391), {"ENERO","FEBRERO","MARZO","ABRIL","MAYO","JUNIO","JULIO","AGOSTO","SEPTIEMBRE","OCTUBRE","NOVIEMBRE","DICIEMBRE"}, 0), 1,2,3,4,5,6,7,8,9,10,11,12), A391)</f>
        <v>43854</v>
      </c>
      <c r="H391">
        <v>58</v>
      </c>
      <c r="I391">
        <v>36000</v>
      </c>
      <c r="J391" s="1">
        <f t="shared" si="13"/>
        <v>43856</v>
      </c>
      <c r="K391">
        <f t="shared" si="12"/>
        <v>73</v>
      </c>
    </row>
    <row r="392" spans="1:11" x14ac:dyDescent="0.25">
      <c r="A392">
        <v>25</v>
      </c>
      <c r="B392" t="s">
        <v>8</v>
      </c>
      <c r="C392">
        <v>2020</v>
      </c>
      <c r="D392">
        <v>462</v>
      </c>
      <c r="E392">
        <v>-30</v>
      </c>
      <c r="F392">
        <v>365</v>
      </c>
      <c r="G392" s="1">
        <f>DATE(C392, CHOOSE(MATCH(UPPER(B392), {"ENERO","FEBRERO","MARZO","ABRIL","MAYO","JUNIO","JULIO","AGOSTO","SEPTIEMBRE","OCTUBRE","NOVIEMBRE","DICIEMBRE"}, 0), 1,2,3,4,5,6,7,8,9,10,11,12), A392)</f>
        <v>43855</v>
      </c>
      <c r="H392">
        <v>67</v>
      </c>
      <c r="I392">
        <v>36000</v>
      </c>
      <c r="J392" s="1">
        <f t="shared" si="13"/>
        <v>43857</v>
      </c>
      <c r="K392">
        <f t="shared" si="12"/>
        <v>41.5</v>
      </c>
    </row>
    <row r="393" spans="1:11" x14ac:dyDescent="0.25">
      <c r="A393">
        <v>26</v>
      </c>
      <c r="B393" t="s">
        <v>8</v>
      </c>
      <c r="C393">
        <v>2020</v>
      </c>
      <c r="D393">
        <v>365</v>
      </c>
      <c r="E393" t="s">
        <v>9</v>
      </c>
      <c r="F393">
        <v>292</v>
      </c>
      <c r="G393" s="1">
        <f>DATE(C393, CHOOSE(MATCH(UPPER(B393), {"ENERO","FEBRERO","MARZO","ABRIL","MAYO","JUNIO","JULIO","AGOSTO","SEPTIEMBRE","OCTUBRE","NOVIEMBRE","DICIEMBRE"}, 0), 1,2,3,4,5,6,7,8,9,10,11,12), A393)</f>
        <v>43856</v>
      </c>
      <c r="H393">
        <v>73</v>
      </c>
      <c r="I393">
        <v>36000</v>
      </c>
      <c r="J393" s="1">
        <f t="shared" si="13"/>
        <v>43858</v>
      </c>
      <c r="K393">
        <f t="shared" si="12"/>
        <v>39.5</v>
      </c>
    </row>
    <row r="394" spans="1:11" x14ac:dyDescent="0.25">
      <c r="A394">
        <v>27</v>
      </c>
      <c r="B394" t="s">
        <v>8</v>
      </c>
      <c r="C394">
        <v>2020</v>
      </c>
      <c r="D394">
        <v>292</v>
      </c>
      <c r="E394" t="s">
        <v>9</v>
      </c>
      <c r="F394">
        <v>250.5</v>
      </c>
      <c r="G394" s="1">
        <f>DATE(C394, CHOOSE(MATCH(UPPER(B394), {"ENERO","FEBRERO","MARZO","ABRIL","MAYO","JUNIO","JULIO","AGOSTO","SEPTIEMBRE","OCTUBRE","NOVIEMBRE","DICIEMBRE"}, 0), 1,2,3,4,5,6,7,8,9,10,11,12), A394)</f>
        <v>43857</v>
      </c>
      <c r="H394">
        <v>41.5</v>
      </c>
      <c r="I394">
        <v>36000</v>
      </c>
      <c r="J394" s="1">
        <f t="shared" si="13"/>
        <v>43859</v>
      </c>
      <c r="K394">
        <f t="shared" si="12"/>
        <v>40</v>
      </c>
    </row>
    <row r="395" spans="1:11" x14ac:dyDescent="0.25">
      <c r="A395">
        <v>28</v>
      </c>
      <c r="B395" t="s">
        <v>8</v>
      </c>
      <c r="C395">
        <v>2020</v>
      </c>
      <c r="D395">
        <v>250.5</v>
      </c>
      <c r="E395">
        <v>-20</v>
      </c>
      <c r="F395">
        <v>191</v>
      </c>
      <c r="G395" s="1">
        <f>DATE(C395, CHOOSE(MATCH(UPPER(B395), {"ENERO","FEBRERO","MARZO","ABRIL","MAYO","JUNIO","JULIO","AGOSTO","SEPTIEMBRE","OCTUBRE","NOVIEMBRE","DICIEMBRE"}, 0), 1,2,3,4,5,6,7,8,9,10,11,12), A395)</f>
        <v>43858</v>
      </c>
      <c r="H395">
        <v>39.5</v>
      </c>
      <c r="I395">
        <v>36000</v>
      </c>
      <c r="J395" s="1">
        <f t="shared" si="13"/>
        <v>43860</v>
      </c>
      <c r="K395">
        <f t="shared" si="12"/>
        <v>35.5</v>
      </c>
    </row>
    <row r="396" spans="1:11" x14ac:dyDescent="0.25">
      <c r="A396">
        <v>29</v>
      </c>
      <c r="B396" t="s">
        <v>8</v>
      </c>
      <c r="C396">
        <v>2020</v>
      </c>
      <c r="D396">
        <v>191</v>
      </c>
      <c r="E396">
        <v>-100</v>
      </c>
      <c r="F396">
        <v>51</v>
      </c>
      <c r="G396" s="1">
        <f>DATE(C396, CHOOSE(MATCH(UPPER(B396), {"ENERO","FEBRERO","MARZO","ABRIL","MAYO","JUNIO","JULIO","AGOSTO","SEPTIEMBRE","OCTUBRE","NOVIEMBRE","DICIEMBRE"}, 0), 1,2,3,4,5,6,7,8,9,10,11,12), A396)</f>
        <v>43859</v>
      </c>
      <c r="H396">
        <v>40</v>
      </c>
      <c r="I396">
        <v>36000</v>
      </c>
      <c r="J396" s="1">
        <f t="shared" si="13"/>
        <v>43861</v>
      </c>
      <c r="K396">
        <f t="shared" si="12"/>
        <v>56</v>
      </c>
    </row>
    <row r="397" spans="1:11" x14ac:dyDescent="0.25">
      <c r="A397">
        <v>30</v>
      </c>
      <c r="B397" t="s">
        <v>8</v>
      </c>
      <c r="C397">
        <v>2020</v>
      </c>
      <c r="D397">
        <v>51</v>
      </c>
      <c r="E397">
        <v>298</v>
      </c>
      <c r="F397">
        <v>313.5</v>
      </c>
      <c r="G397" s="1">
        <f>DATE(C397, CHOOSE(MATCH(UPPER(B397), {"ENERO","FEBRERO","MARZO","ABRIL","MAYO","JUNIO","JULIO","AGOSTO","SEPTIEMBRE","OCTUBRE","NOVIEMBRE","DICIEMBRE"}, 0), 1,2,3,4,5,6,7,8,9,10,11,12), A397)</f>
        <v>43860</v>
      </c>
      <c r="H397">
        <v>35.5</v>
      </c>
      <c r="I397">
        <v>36000</v>
      </c>
      <c r="J397" s="1">
        <f t="shared" si="13"/>
        <v>43862</v>
      </c>
      <c r="K397">
        <f t="shared" si="12"/>
        <v>86.5</v>
      </c>
    </row>
    <row r="398" spans="1:11" x14ac:dyDescent="0.25">
      <c r="A398">
        <v>31</v>
      </c>
      <c r="B398" t="s">
        <v>8</v>
      </c>
      <c r="C398">
        <v>2020</v>
      </c>
      <c r="D398">
        <v>313.5</v>
      </c>
      <c r="E398" t="s">
        <v>9</v>
      </c>
      <c r="F398">
        <v>257.5</v>
      </c>
      <c r="G398" s="1">
        <f>DATE(C398, CHOOSE(MATCH(UPPER(B398), {"ENERO","FEBRERO","MARZO","ABRIL","MAYO","JUNIO","JULIO","AGOSTO","SEPTIEMBRE","OCTUBRE","NOVIEMBRE","DICIEMBRE"}, 0), 1,2,3,4,5,6,7,8,9,10,11,12), A398)</f>
        <v>43861</v>
      </c>
      <c r="H398">
        <v>56</v>
      </c>
      <c r="I398">
        <v>36000</v>
      </c>
      <c r="J398" s="1">
        <f t="shared" si="13"/>
        <v>43863</v>
      </c>
      <c r="K398">
        <f t="shared" si="12"/>
        <v>78</v>
      </c>
    </row>
    <row r="399" spans="1:11" x14ac:dyDescent="0.25">
      <c r="A399">
        <v>1</v>
      </c>
      <c r="B399" t="s">
        <v>11</v>
      </c>
      <c r="C399">
        <v>2020</v>
      </c>
      <c r="D399">
        <v>257.5</v>
      </c>
      <c r="E399" t="s">
        <v>9</v>
      </c>
      <c r="F399">
        <v>171</v>
      </c>
      <c r="G399" s="1">
        <f>DATE(C399, CHOOSE(MATCH(UPPER(B399), {"ENERO","FEBRERO","MARZO","ABRIL","MAYO","JUNIO","JULIO","AGOSTO","SEPTIEMBRE","OCTUBRE","NOVIEMBRE","DICIEMBRE"}, 0), 1,2,3,4,5,6,7,8,9,10,11,12), A399)</f>
        <v>43862</v>
      </c>
      <c r="H399">
        <v>86.5</v>
      </c>
      <c r="I399">
        <v>36000</v>
      </c>
      <c r="J399" s="1">
        <f t="shared" si="13"/>
        <v>43864</v>
      </c>
      <c r="K399">
        <f t="shared" si="12"/>
        <v>38.5</v>
      </c>
    </row>
    <row r="400" spans="1:11" x14ac:dyDescent="0.25">
      <c r="A400">
        <v>2</v>
      </c>
      <c r="B400" t="s">
        <v>11</v>
      </c>
      <c r="C400">
        <v>2020</v>
      </c>
      <c r="D400">
        <v>171</v>
      </c>
      <c r="E400">
        <v>-40</v>
      </c>
      <c r="F400">
        <v>53</v>
      </c>
      <c r="G400" s="1">
        <f>DATE(C400, CHOOSE(MATCH(UPPER(B400), {"ENERO","FEBRERO","MARZO","ABRIL","MAYO","JUNIO","JULIO","AGOSTO","SEPTIEMBRE","OCTUBRE","NOVIEMBRE","DICIEMBRE"}, 0), 1,2,3,4,5,6,7,8,9,10,11,12), A400)</f>
        <v>43863</v>
      </c>
      <c r="H400">
        <v>78</v>
      </c>
      <c r="I400">
        <v>36000</v>
      </c>
      <c r="J400" s="1">
        <f t="shared" si="13"/>
        <v>43865</v>
      </c>
      <c r="K400">
        <f t="shared" si="12"/>
        <v>36.5</v>
      </c>
    </row>
    <row r="401" spans="1:11" x14ac:dyDescent="0.25">
      <c r="A401">
        <v>3</v>
      </c>
      <c r="B401" t="s">
        <v>11</v>
      </c>
      <c r="C401">
        <v>2020</v>
      </c>
      <c r="D401">
        <v>53</v>
      </c>
      <c r="E401">
        <v>249</v>
      </c>
      <c r="F401">
        <v>263.5</v>
      </c>
      <c r="G401" s="1">
        <f>DATE(C401, CHOOSE(MATCH(UPPER(B401), {"ENERO","FEBRERO","MARZO","ABRIL","MAYO","JUNIO","JULIO","AGOSTO","SEPTIEMBRE","OCTUBRE","NOVIEMBRE","DICIEMBRE"}, 0), 1,2,3,4,5,6,7,8,9,10,11,12), A401)</f>
        <v>43864</v>
      </c>
      <c r="H401">
        <v>38.5</v>
      </c>
      <c r="I401">
        <v>36000</v>
      </c>
      <c r="J401" s="1">
        <f t="shared" si="13"/>
        <v>43866</v>
      </c>
      <c r="K401">
        <f t="shared" si="12"/>
        <v>43</v>
      </c>
    </row>
    <row r="402" spans="1:11" x14ac:dyDescent="0.25">
      <c r="A402">
        <v>4</v>
      </c>
      <c r="B402" t="s">
        <v>11</v>
      </c>
      <c r="C402">
        <v>2020</v>
      </c>
      <c r="D402">
        <v>263.5</v>
      </c>
      <c r="E402" t="s">
        <v>9</v>
      </c>
      <c r="F402">
        <v>227</v>
      </c>
      <c r="G402" s="1">
        <f>DATE(C402, CHOOSE(MATCH(UPPER(B402), {"ENERO","FEBRERO","MARZO","ABRIL","MAYO","JUNIO","JULIO","AGOSTO","SEPTIEMBRE","OCTUBRE","NOVIEMBRE","DICIEMBRE"}, 0), 1,2,3,4,5,6,7,8,9,10,11,12), A402)</f>
        <v>43865</v>
      </c>
      <c r="H402">
        <v>36.5</v>
      </c>
      <c r="I402">
        <v>36000</v>
      </c>
      <c r="J402" s="1">
        <f t="shared" si="13"/>
        <v>43867</v>
      </c>
      <c r="K402">
        <f t="shared" si="12"/>
        <v>37.5</v>
      </c>
    </row>
    <row r="403" spans="1:11" x14ac:dyDescent="0.25">
      <c r="A403">
        <v>5</v>
      </c>
      <c r="B403" t="s">
        <v>11</v>
      </c>
      <c r="C403">
        <v>2020</v>
      </c>
      <c r="D403">
        <v>227</v>
      </c>
      <c r="E403" t="s">
        <v>9</v>
      </c>
      <c r="F403">
        <v>184</v>
      </c>
      <c r="G403" s="1">
        <f>DATE(C403, CHOOSE(MATCH(UPPER(B403), {"ENERO","FEBRERO","MARZO","ABRIL","MAYO","JUNIO","JULIO","AGOSTO","SEPTIEMBRE","OCTUBRE","NOVIEMBRE","DICIEMBRE"}, 0), 1,2,3,4,5,6,7,8,9,10,11,12), A403)</f>
        <v>43866</v>
      </c>
      <c r="H403">
        <v>43</v>
      </c>
      <c r="I403">
        <v>36000</v>
      </c>
      <c r="J403" s="1">
        <f t="shared" si="13"/>
        <v>43868</v>
      </c>
      <c r="K403">
        <f t="shared" si="12"/>
        <v>52</v>
      </c>
    </row>
    <row r="404" spans="1:11" x14ac:dyDescent="0.25">
      <c r="A404">
        <v>6</v>
      </c>
      <c r="B404" t="s">
        <v>11</v>
      </c>
      <c r="C404">
        <v>2020</v>
      </c>
      <c r="D404">
        <v>184</v>
      </c>
      <c r="E404" t="s">
        <v>9</v>
      </c>
      <c r="F404">
        <v>146.5</v>
      </c>
      <c r="G404" s="1">
        <f>DATE(C404, CHOOSE(MATCH(UPPER(B404), {"ENERO","FEBRERO","MARZO","ABRIL","MAYO","JUNIO","JULIO","AGOSTO","SEPTIEMBRE","OCTUBRE","NOVIEMBRE","DICIEMBRE"}, 0), 1,2,3,4,5,6,7,8,9,10,11,12), A404)</f>
        <v>43867</v>
      </c>
      <c r="H404">
        <v>37.5</v>
      </c>
      <c r="I404">
        <v>36000</v>
      </c>
      <c r="J404" s="1">
        <f t="shared" si="13"/>
        <v>43869</v>
      </c>
      <c r="K404">
        <f t="shared" si="12"/>
        <v>70</v>
      </c>
    </row>
    <row r="405" spans="1:11" x14ac:dyDescent="0.25">
      <c r="A405">
        <v>7</v>
      </c>
      <c r="B405" t="s">
        <v>11</v>
      </c>
      <c r="C405">
        <v>2020</v>
      </c>
      <c r="D405">
        <v>146.5</v>
      </c>
      <c r="E405" t="s">
        <v>9</v>
      </c>
      <c r="F405">
        <v>94.5</v>
      </c>
      <c r="G405" s="1">
        <f>DATE(C405, CHOOSE(MATCH(UPPER(B405), {"ENERO","FEBRERO","MARZO","ABRIL","MAYO","JUNIO","JULIO","AGOSTO","SEPTIEMBRE","OCTUBRE","NOVIEMBRE","DICIEMBRE"}, 0), 1,2,3,4,5,6,7,8,9,10,11,12), A405)</f>
        <v>43868</v>
      </c>
      <c r="H405">
        <v>52</v>
      </c>
      <c r="I405">
        <v>36000</v>
      </c>
      <c r="J405" s="1">
        <f t="shared" si="13"/>
        <v>43870</v>
      </c>
      <c r="K405">
        <f t="shared" si="12"/>
        <v>75.5</v>
      </c>
    </row>
    <row r="406" spans="1:11" x14ac:dyDescent="0.25">
      <c r="A406">
        <v>8</v>
      </c>
      <c r="B406" t="s">
        <v>11</v>
      </c>
      <c r="C406">
        <v>2020</v>
      </c>
      <c r="D406">
        <v>94.5</v>
      </c>
      <c r="E406">
        <v>199</v>
      </c>
      <c r="F406">
        <v>223.5</v>
      </c>
      <c r="G406" s="1">
        <f>DATE(C406, CHOOSE(MATCH(UPPER(B406), {"ENERO","FEBRERO","MARZO","ABRIL","MAYO","JUNIO","JULIO","AGOSTO","SEPTIEMBRE","OCTUBRE","NOVIEMBRE","DICIEMBRE"}, 0), 1,2,3,4,5,6,7,8,9,10,11,12), A406)</f>
        <v>43869</v>
      </c>
      <c r="H406">
        <v>70</v>
      </c>
      <c r="I406">
        <v>36000</v>
      </c>
      <c r="J406" s="1">
        <f t="shared" si="13"/>
        <v>43871</v>
      </c>
      <c r="K406">
        <f t="shared" si="12"/>
        <v>30</v>
      </c>
    </row>
    <row r="407" spans="1:11" x14ac:dyDescent="0.25">
      <c r="A407">
        <v>9</v>
      </c>
      <c r="B407" t="s">
        <v>11</v>
      </c>
      <c r="C407">
        <v>2020</v>
      </c>
      <c r="D407">
        <v>223.5</v>
      </c>
      <c r="E407">
        <v>-25</v>
      </c>
      <c r="F407">
        <v>123</v>
      </c>
      <c r="G407" s="1">
        <f>DATE(C407, CHOOSE(MATCH(UPPER(B407), {"ENERO","FEBRERO","MARZO","ABRIL","MAYO","JUNIO","JULIO","AGOSTO","SEPTIEMBRE","OCTUBRE","NOVIEMBRE","DICIEMBRE"}, 0), 1,2,3,4,5,6,7,8,9,10,11,12), A407)</f>
        <v>43870</v>
      </c>
      <c r="H407">
        <v>75.5</v>
      </c>
      <c r="I407">
        <v>36000</v>
      </c>
      <c r="J407" s="1">
        <f t="shared" si="13"/>
        <v>43872</v>
      </c>
      <c r="K407">
        <f t="shared" si="12"/>
        <v>38.5</v>
      </c>
    </row>
    <row r="408" spans="1:11" x14ac:dyDescent="0.25">
      <c r="A408">
        <v>10</v>
      </c>
      <c r="B408" t="s">
        <v>11</v>
      </c>
      <c r="C408">
        <v>2020</v>
      </c>
      <c r="D408">
        <v>123</v>
      </c>
      <c r="E408">
        <v>250</v>
      </c>
      <c r="F408">
        <v>343</v>
      </c>
      <c r="G408" s="1">
        <f>DATE(C408, CHOOSE(MATCH(UPPER(B408), {"ENERO","FEBRERO","MARZO","ABRIL","MAYO","JUNIO","JULIO","AGOSTO","SEPTIEMBRE","OCTUBRE","NOVIEMBRE","DICIEMBRE"}, 0), 1,2,3,4,5,6,7,8,9,10,11,12), A408)</f>
        <v>43871</v>
      </c>
      <c r="H408">
        <v>30</v>
      </c>
      <c r="I408">
        <v>36000</v>
      </c>
      <c r="J408" s="1">
        <f t="shared" si="13"/>
        <v>43873</v>
      </c>
      <c r="K408">
        <f t="shared" si="12"/>
        <v>35.5</v>
      </c>
    </row>
    <row r="409" spans="1:11" x14ac:dyDescent="0.25">
      <c r="A409">
        <v>11</v>
      </c>
      <c r="B409" t="s">
        <v>11</v>
      </c>
      <c r="C409">
        <v>2020</v>
      </c>
      <c r="D409">
        <v>343</v>
      </c>
      <c r="E409">
        <v>-20</v>
      </c>
      <c r="F409">
        <v>284.5</v>
      </c>
      <c r="G409" s="1">
        <f>DATE(C409, CHOOSE(MATCH(UPPER(B409), {"ENERO","FEBRERO","MARZO","ABRIL","MAYO","JUNIO","JULIO","AGOSTO","SEPTIEMBRE","OCTUBRE","NOVIEMBRE","DICIEMBRE"}, 0), 1,2,3,4,5,6,7,8,9,10,11,12), A409)</f>
        <v>43872</v>
      </c>
      <c r="H409">
        <v>38.5</v>
      </c>
      <c r="I409">
        <v>36000</v>
      </c>
      <c r="J409" s="1">
        <f t="shared" si="13"/>
        <v>43874</v>
      </c>
      <c r="K409">
        <f t="shared" si="12"/>
        <v>34.5</v>
      </c>
    </row>
    <row r="410" spans="1:11" x14ac:dyDescent="0.25">
      <c r="A410">
        <v>12</v>
      </c>
      <c r="B410" t="s">
        <v>11</v>
      </c>
      <c r="C410">
        <v>2020</v>
      </c>
      <c r="D410">
        <v>284.5</v>
      </c>
      <c r="E410">
        <v>-20</v>
      </c>
      <c r="F410">
        <v>229</v>
      </c>
      <c r="G410" s="1">
        <f>DATE(C410, CHOOSE(MATCH(UPPER(B410), {"ENERO","FEBRERO","MARZO","ABRIL","MAYO","JUNIO","JULIO","AGOSTO","SEPTIEMBRE","OCTUBRE","NOVIEMBRE","DICIEMBRE"}, 0), 1,2,3,4,5,6,7,8,9,10,11,12), A410)</f>
        <v>43873</v>
      </c>
      <c r="H410">
        <v>35.5</v>
      </c>
      <c r="I410">
        <v>36000</v>
      </c>
      <c r="J410" s="1">
        <f t="shared" si="13"/>
        <v>43875</v>
      </c>
      <c r="K410">
        <f t="shared" si="12"/>
        <v>46</v>
      </c>
    </row>
    <row r="411" spans="1:11" x14ac:dyDescent="0.25">
      <c r="A411">
        <v>13</v>
      </c>
      <c r="B411" t="s">
        <v>11</v>
      </c>
      <c r="C411">
        <v>2020</v>
      </c>
      <c r="D411">
        <v>229</v>
      </c>
      <c r="E411">
        <v>140</v>
      </c>
      <c r="F411">
        <v>334.5</v>
      </c>
      <c r="G411" s="1">
        <f>DATE(C411, CHOOSE(MATCH(UPPER(B411), {"ENERO","FEBRERO","MARZO","ABRIL","MAYO","JUNIO","JULIO","AGOSTO","SEPTIEMBRE","OCTUBRE","NOVIEMBRE","DICIEMBRE"}, 0), 1,2,3,4,5,6,7,8,9,10,11,12), A411)</f>
        <v>43874</v>
      </c>
      <c r="H411">
        <v>34.5</v>
      </c>
      <c r="I411">
        <v>36000</v>
      </c>
      <c r="J411" s="1">
        <f t="shared" si="13"/>
        <v>43876</v>
      </c>
      <c r="K411">
        <f t="shared" si="12"/>
        <v>70.5</v>
      </c>
    </row>
    <row r="412" spans="1:11" x14ac:dyDescent="0.25">
      <c r="A412">
        <v>14</v>
      </c>
      <c r="B412" t="s">
        <v>11</v>
      </c>
      <c r="C412">
        <v>2020</v>
      </c>
      <c r="D412">
        <v>334.5</v>
      </c>
      <c r="E412">
        <v>-40</v>
      </c>
      <c r="F412">
        <v>248.5</v>
      </c>
      <c r="G412" s="1">
        <f>DATE(C412, CHOOSE(MATCH(UPPER(B412), {"ENERO","FEBRERO","MARZO","ABRIL","MAYO","JUNIO","JULIO","AGOSTO","SEPTIEMBRE","OCTUBRE","NOVIEMBRE","DICIEMBRE"}, 0), 1,2,3,4,5,6,7,8,9,10,11,12), A412)</f>
        <v>43875</v>
      </c>
      <c r="H412">
        <v>46</v>
      </c>
      <c r="I412">
        <v>36000</v>
      </c>
      <c r="J412" s="1">
        <f t="shared" si="13"/>
        <v>43877</v>
      </c>
      <c r="K412">
        <f t="shared" si="12"/>
        <v>70</v>
      </c>
    </row>
    <row r="413" spans="1:11" x14ac:dyDescent="0.25">
      <c r="A413">
        <v>15</v>
      </c>
      <c r="B413" t="s">
        <v>11</v>
      </c>
      <c r="C413">
        <v>2020</v>
      </c>
      <c r="D413">
        <v>248.5</v>
      </c>
      <c r="E413">
        <v>-30</v>
      </c>
      <c r="F413">
        <v>148</v>
      </c>
      <c r="G413" s="1">
        <f>DATE(C413, CHOOSE(MATCH(UPPER(B413), {"ENERO","FEBRERO","MARZO","ABRIL","MAYO","JUNIO","JULIO","AGOSTO","SEPTIEMBRE","OCTUBRE","NOVIEMBRE","DICIEMBRE"}, 0), 1,2,3,4,5,6,7,8,9,10,11,12), A413)</f>
        <v>43876</v>
      </c>
      <c r="H413">
        <v>70.5</v>
      </c>
      <c r="I413">
        <v>36000</v>
      </c>
      <c r="J413" s="1">
        <f t="shared" si="13"/>
        <v>43878</v>
      </c>
      <c r="K413">
        <f t="shared" si="12"/>
        <v>18.5</v>
      </c>
    </row>
    <row r="414" spans="1:11" x14ac:dyDescent="0.25">
      <c r="A414">
        <v>16</v>
      </c>
      <c r="B414" t="s">
        <v>11</v>
      </c>
      <c r="C414">
        <v>2020</v>
      </c>
      <c r="D414">
        <v>148</v>
      </c>
      <c r="E414">
        <v>-40</v>
      </c>
      <c r="F414">
        <v>38</v>
      </c>
      <c r="G414" s="1">
        <f>DATE(C414, CHOOSE(MATCH(UPPER(B414), {"ENERO","FEBRERO","MARZO","ABRIL","MAYO","JUNIO","JULIO","AGOSTO","SEPTIEMBRE","OCTUBRE","NOVIEMBRE","DICIEMBRE"}, 0), 1,2,3,4,5,6,7,8,9,10,11,12), A414)</f>
        <v>43877</v>
      </c>
      <c r="H414">
        <v>70</v>
      </c>
      <c r="I414">
        <v>36000</v>
      </c>
      <c r="J414" s="1">
        <f t="shared" si="13"/>
        <v>43879</v>
      </c>
      <c r="K414">
        <f t="shared" si="12"/>
        <v>34.5</v>
      </c>
    </row>
    <row r="415" spans="1:11" x14ac:dyDescent="0.25">
      <c r="A415">
        <v>17</v>
      </c>
      <c r="B415" t="s">
        <v>11</v>
      </c>
      <c r="C415">
        <v>2020</v>
      </c>
      <c r="D415">
        <v>38</v>
      </c>
      <c r="E415">
        <v>291</v>
      </c>
      <c r="F415">
        <v>310.5</v>
      </c>
      <c r="G415" s="1">
        <f>DATE(C415, CHOOSE(MATCH(UPPER(B415), {"ENERO","FEBRERO","MARZO","ABRIL","MAYO","JUNIO","JULIO","AGOSTO","SEPTIEMBRE","OCTUBRE","NOVIEMBRE","DICIEMBRE"}, 0), 1,2,3,4,5,6,7,8,9,10,11,12), A415)</f>
        <v>43878</v>
      </c>
      <c r="H415">
        <v>18.5</v>
      </c>
      <c r="I415">
        <v>36000</v>
      </c>
      <c r="J415" s="1">
        <f t="shared" si="13"/>
        <v>43880</v>
      </c>
      <c r="K415">
        <f t="shared" si="12"/>
        <v>35</v>
      </c>
    </row>
    <row r="416" spans="1:11" x14ac:dyDescent="0.25">
      <c r="A416">
        <v>18</v>
      </c>
      <c r="B416" t="s">
        <v>11</v>
      </c>
      <c r="C416">
        <v>2020</v>
      </c>
      <c r="D416">
        <v>310.5</v>
      </c>
      <c r="E416">
        <v>-20</v>
      </c>
      <c r="F416">
        <v>256</v>
      </c>
      <c r="G416" s="1">
        <f>DATE(C416, CHOOSE(MATCH(UPPER(B416), {"ENERO","FEBRERO","MARZO","ABRIL","MAYO","JUNIO","JULIO","AGOSTO","SEPTIEMBRE","OCTUBRE","NOVIEMBRE","DICIEMBRE"}, 0), 1,2,3,4,5,6,7,8,9,10,11,12), A416)</f>
        <v>43879</v>
      </c>
      <c r="H416">
        <v>34.5</v>
      </c>
      <c r="I416">
        <v>36000</v>
      </c>
      <c r="J416" s="1">
        <f t="shared" si="13"/>
        <v>43881</v>
      </c>
      <c r="K416">
        <f t="shared" si="12"/>
        <v>35</v>
      </c>
    </row>
    <row r="417" spans="1:11" x14ac:dyDescent="0.25">
      <c r="A417">
        <v>19</v>
      </c>
      <c r="B417" t="s">
        <v>11</v>
      </c>
      <c r="C417">
        <v>2020</v>
      </c>
      <c r="D417">
        <v>256</v>
      </c>
      <c r="E417">
        <v>-10</v>
      </c>
      <c r="F417">
        <v>211</v>
      </c>
      <c r="G417" s="1">
        <f>DATE(C417, CHOOSE(MATCH(UPPER(B417), {"ENERO","FEBRERO","MARZO","ABRIL","MAYO","JUNIO","JULIO","AGOSTO","SEPTIEMBRE","OCTUBRE","NOVIEMBRE","DICIEMBRE"}, 0), 1,2,3,4,5,6,7,8,9,10,11,12), A417)</f>
        <v>43880</v>
      </c>
      <c r="H417">
        <v>35</v>
      </c>
      <c r="I417">
        <v>36000</v>
      </c>
      <c r="J417" s="1">
        <f t="shared" si="13"/>
        <v>43882</v>
      </c>
      <c r="K417">
        <f t="shared" si="12"/>
        <v>50</v>
      </c>
    </row>
    <row r="418" spans="1:11" x14ac:dyDescent="0.25">
      <c r="A418">
        <v>20</v>
      </c>
      <c r="B418" t="s">
        <v>11</v>
      </c>
      <c r="C418">
        <v>2020</v>
      </c>
      <c r="D418">
        <v>211</v>
      </c>
      <c r="E418">
        <v>-20</v>
      </c>
      <c r="F418">
        <v>156</v>
      </c>
      <c r="G418" s="1">
        <f>DATE(C418, CHOOSE(MATCH(UPPER(B418), {"ENERO","FEBRERO","MARZO","ABRIL","MAYO","JUNIO","JULIO","AGOSTO","SEPTIEMBRE","OCTUBRE","NOVIEMBRE","DICIEMBRE"}, 0), 1,2,3,4,5,6,7,8,9,10,11,12), A418)</f>
        <v>43881</v>
      </c>
      <c r="H418">
        <v>35</v>
      </c>
      <c r="I418">
        <v>36000</v>
      </c>
      <c r="J418" s="1">
        <f t="shared" si="13"/>
        <v>43883</v>
      </c>
      <c r="K418">
        <f t="shared" si="12"/>
        <v>62</v>
      </c>
    </row>
    <row r="419" spans="1:11" x14ac:dyDescent="0.25">
      <c r="A419">
        <v>21</v>
      </c>
      <c r="B419" t="s">
        <v>11</v>
      </c>
      <c r="C419">
        <v>2020</v>
      </c>
      <c r="D419">
        <v>156</v>
      </c>
      <c r="E419">
        <v>-20</v>
      </c>
      <c r="F419">
        <v>86</v>
      </c>
      <c r="G419" s="1">
        <f>DATE(C419, CHOOSE(MATCH(UPPER(B419), {"ENERO","FEBRERO","MARZO","ABRIL","MAYO","JUNIO","JULIO","AGOSTO","SEPTIEMBRE","OCTUBRE","NOVIEMBRE","DICIEMBRE"}, 0), 1,2,3,4,5,6,7,8,9,10,11,12), A419)</f>
        <v>43882</v>
      </c>
      <c r="H419">
        <v>50</v>
      </c>
      <c r="I419">
        <v>36000</v>
      </c>
      <c r="J419" s="1">
        <f t="shared" si="13"/>
        <v>43884</v>
      </c>
      <c r="K419">
        <f t="shared" si="12"/>
        <v>81</v>
      </c>
    </row>
    <row r="420" spans="1:11" x14ac:dyDescent="0.25">
      <c r="A420">
        <v>22</v>
      </c>
      <c r="B420" t="s">
        <v>11</v>
      </c>
      <c r="C420">
        <v>2020</v>
      </c>
      <c r="D420">
        <v>86</v>
      </c>
      <c r="E420">
        <v>260</v>
      </c>
      <c r="F420">
        <v>284</v>
      </c>
      <c r="G420" s="1">
        <f>DATE(C420, CHOOSE(MATCH(UPPER(B420), {"ENERO","FEBRERO","MARZO","ABRIL","MAYO","JUNIO","JULIO","AGOSTO","SEPTIEMBRE","OCTUBRE","NOVIEMBRE","DICIEMBRE"}, 0), 1,2,3,4,5,6,7,8,9,10,11,12), A420)</f>
        <v>43883</v>
      </c>
      <c r="H420">
        <v>62</v>
      </c>
      <c r="I420">
        <v>36000</v>
      </c>
      <c r="J420" s="1">
        <f t="shared" si="13"/>
        <v>43885</v>
      </c>
      <c r="K420">
        <f t="shared" si="12"/>
        <v>24</v>
      </c>
    </row>
    <row r="421" spans="1:11" x14ac:dyDescent="0.25">
      <c r="A421">
        <v>23</v>
      </c>
      <c r="B421" t="s">
        <v>11</v>
      </c>
      <c r="C421">
        <v>2020</v>
      </c>
      <c r="D421">
        <v>284</v>
      </c>
      <c r="E421">
        <v>-40</v>
      </c>
      <c r="F421">
        <v>163</v>
      </c>
      <c r="G421" s="1">
        <f>DATE(C421, CHOOSE(MATCH(UPPER(B421), {"ENERO","FEBRERO","MARZO","ABRIL","MAYO","JUNIO","JULIO","AGOSTO","SEPTIEMBRE","OCTUBRE","NOVIEMBRE","DICIEMBRE"}, 0), 1,2,3,4,5,6,7,8,9,10,11,12), A421)</f>
        <v>43884</v>
      </c>
      <c r="H421">
        <v>81</v>
      </c>
      <c r="I421">
        <v>36000</v>
      </c>
      <c r="J421" s="1">
        <f t="shared" si="13"/>
        <v>43886</v>
      </c>
      <c r="K421">
        <f t="shared" si="12"/>
        <v>44.5</v>
      </c>
    </row>
    <row r="422" spans="1:11" x14ac:dyDescent="0.25">
      <c r="A422">
        <v>24</v>
      </c>
      <c r="B422" t="s">
        <v>11</v>
      </c>
      <c r="C422">
        <v>2020</v>
      </c>
      <c r="D422">
        <v>163</v>
      </c>
      <c r="E422">
        <v>190</v>
      </c>
      <c r="F422">
        <v>329</v>
      </c>
      <c r="G422" s="1">
        <f>DATE(C422, CHOOSE(MATCH(UPPER(B422), {"ENERO","FEBRERO","MARZO","ABRIL","MAYO","JUNIO","JULIO","AGOSTO","SEPTIEMBRE","OCTUBRE","NOVIEMBRE","DICIEMBRE"}, 0), 1,2,3,4,5,6,7,8,9,10,11,12), A422)</f>
        <v>43885</v>
      </c>
      <c r="H422">
        <v>24</v>
      </c>
      <c r="I422">
        <v>36000</v>
      </c>
      <c r="J422" s="1">
        <f t="shared" si="13"/>
        <v>43887</v>
      </c>
      <c r="K422">
        <f t="shared" si="12"/>
        <v>31</v>
      </c>
    </row>
    <row r="423" spans="1:11" x14ac:dyDescent="0.25">
      <c r="A423">
        <v>25</v>
      </c>
      <c r="B423" t="s">
        <v>11</v>
      </c>
      <c r="C423">
        <v>2020</v>
      </c>
      <c r="D423">
        <v>329</v>
      </c>
      <c r="E423">
        <v>-20</v>
      </c>
      <c r="F423">
        <v>264.5</v>
      </c>
      <c r="G423" s="1">
        <f>DATE(C423, CHOOSE(MATCH(UPPER(B423), {"ENERO","FEBRERO","MARZO","ABRIL","MAYO","JUNIO","JULIO","AGOSTO","SEPTIEMBRE","OCTUBRE","NOVIEMBRE","DICIEMBRE"}, 0), 1,2,3,4,5,6,7,8,9,10,11,12), A423)</f>
        <v>43886</v>
      </c>
      <c r="H423">
        <v>44.5</v>
      </c>
      <c r="I423">
        <v>36000</v>
      </c>
      <c r="J423" s="1">
        <f t="shared" si="13"/>
        <v>43888</v>
      </c>
      <c r="K423">
        <f t="shared" si="12"/>
        <v>45.5</v>
      </c>
    </row>
    <row r="424" spans="1:11" x14ac:dyDescent="0.25">
      <c r="A424">
        <v>26</v>
      </c>
      <c r="B424" t="s">
        <v>11</v>
      </c>
      <c r="C424">
        <v>2020</v>
      </c>
      <c r="D424">
        <v>264.5</v>
      </c>
      <c r="E424" t="s">
        <v>9</v>
      </c>
      <c r="F424">
        <v>233.5</v>
      </c>
      <c r="G424" s="1">
        <f>DATE(C424, CHOOSE(MATCH(UPPER(B424), {"ENERO","FEBRERO","MARZO","ABRIL","MAYO","JUNIO","JULIO","AGOSTO","SEPTIEMBRE","OCTUBRE","NOVIEMBRE","DICIEMBRE"}, 0), 1,2,3,4,5,6,7,8,9,10,11,12), A424)</f>
        <v>43887</v>
      </c>
      <c r="H424">
        <v>31</v>
      </c>
      <c r="I424">
        <v>36000</v>
      </c>
      <c r="J424" s="1">
        <f t="shared" si="13"/>
        <v>43889</v>
      </c>
      <c r="K424">
        <f t="shared" si="12"/>
        <v>55</v>
      </c>
    </row>
    <row r="425" spans="1:11" x14ac:dyDescent="0.25">
      <c r="A425">
        <v>27</v>
      </c>
      <c r="B425" t="s">
        <v>11</v>
      </c>
      <c r="C425">
        <v>2020</v>
      </c>
      <c r="D425">
        <v>233.5</v>
      </c>
      <c r="E425">
        <v>280</v>
      </c>
      <c r="F425">
        <v>468</v>
      </c>
      <c r="G425" s="1">
        <f>DATE(C425, CHOOSE(MATCH(UPPER(B425), {"ENERO","FEBRERO","MARZO","ABRIL","MAYO","JUNIO","JULIO","AGOSTO","SEPTIEMBRE","OCTUBRE","NOVIEMBRE","DICIEMBRE"}, 0), 1,2,3,4,5,6,7,8,9,10,11,12), A425)</f>
        <v>43888</v>
      </c>
      <c r="H425">
        <v>45.5</v>
      </c>
      <c r="I425">
        <v>36000</v>
      </c>
      <c r="J425" s="1">
        <f t="shared" si="13"/>
        <v>43890</v>
      </c>
      <c r="K425">
        <f t="shared" si="12"/>
        <v>65</v>
      </c>
    </row>
    <row r="426" spans="1:11" x14ac:dyDescent="0.25">
      <c r="A426">
        <v>28</v>
      </c>
      <c r="B426" t="s">
        <v>11</v>
      </c>
      <c r="C426">
        <v>2020</v>
      </c>
      <c r="D426">
        <v>468</v>
      </c>
      <c r="E426">
        <v>-30</v>
      </c>
      <c r="F426">
        <v>383</v>
      </c>
      <c r="G426" s="1">
        <f>DATE(C426, CHOOSE(MATCH(UPPER(B426), {"ENERO","FEBRERO","MARZO","ABRIL","MAYO","JUNIO","JULIO","AGOSTO","SEPTIEMBRE","OCTUBRE","NOVIEMBRE","DICIEMBRE"}, 0), 1,2,3,4,5,6,7,8,9,10,11,12), A426)</f>
        <v>43889</v>
      </c>
      <c r="H426">
        <v>55</v>
      </c>
      <c r="I426">
        <v>36000</v>
      </c>
      <c r="J426" s="1">
        <f t="shared" si="13"/>
        <v>43891</v>
      </c>
      <c r="K426">
        <f t="shared" si="12"/>
        <v>70</v>
      </c>
    </row>
    <row r="427" spans="1:11" x14ac:dyDescent="0.25">
      <c r="A427">
        <v>29</v>
      </c>
      <c r="B427" t="s">
        <v>11</v>
      </c>
      <c r="C427">
        <v>2020</v>
      </c>
      <c r="D427">
        <v>383</v>
      </c>
      <c r="E427">
        <v>-50</v>
      </c>
      <c r="F427">
        <v>268</v>
      </c>
      <c r="G427" s="1">
        <f>DATE(C427, CHOOSE(MATCH(UPPER(B427), {"ENERO","FEBRERO","MARZO","ABRIL","MAYO","JUNIO","JULIO","AGOSTO","SEPTIEMBRE","OCTUBRE","NOVIEMBRE","DICIEMBRE"}, 0), 1,2,3,4,5,6,7,8,9,10,11,12), A427)</f>
        <v>43890</v>
      </c>
      <c r="H427">
        <v>65</v>
      </c>
      <c r="I427">
        <v>36000</v>
      </c>
      <c r="J427" s="1">
        <f t="shared" si="13"/>
        <v>43892</v>
      </c>
      <c r="K427">
        <f t="shared" si="12"/>
        <v>29</v>
      </c>
    </row>
    <row r="428" spans="1:11" x14ac:dyDescent="0.25">
      <c r="A428">
        <v>1</v>
      </c>
      <c r="B428" t="s">
        <v>12</v>
      </c>
      <c r="C428">
        <v>2020</v>
      </c>
      <c r="D428">
        <v>268</v>
      </c>
      <c r="E428">
        <v>-10</v>
      </c>
      <c r="F428">
        <v>188</v>
      </c>
      <c r="G428" s="1">
        <f>DATE(C428, CHOOSE(MATCH(UPPER(B428), {"ENERO","FEBRERO","MARZO","ABRIL","MAYO","JUNIO","JULIO","AGOSTO","SEPTIEMBRE","OCTUBRE","NOVIEMBRE","DICIEMBRE"}, 0), 1,2,3,4,5,6,7,8,9,10,11,12), A428)</f>
        <v>43891</v>
      </c>
      <c r="H428">
        <v>70</v>
      </c>
      <c r="I428">
        <v>36000</v>
      </c>
      <c r="J428" s="1">
        <f t="shared" si="13"/>
        <v>43893</v>
      </c>
      <c r="K428">
        <f t="shared" si="12"/>
        <v>28</v>
      </c>
    </row>
    <row r="429" spans="1:11" x14ac:dyDescent="0.25">
      <c r="A429">
        <v>2</v>
      </c>
      <c r="B429" t="s">
        <v>12</v>
      </c>
      <c r="C429">
        <v>2020</v>
      </c>
      <c r="D429">
        <v>188</v>
      </c>
      <c r="E429" t="s">
        <v>9</v>
      </c>
      <c r="F429">
        <v>159</v>
      </c>
      <c r="G429" s="1">
        <f>DATE(C429, CHOOSE(MATCH(UPPER(B429), {"ENERO","FEBRERO","MARZO","ABRIL","MAYO","JUNIO","JULIO","AGOSTO","SEPTIEMBRE","OCTUBRE","NOVIEMBRE","DICIEMBRE"}, 0), 1,2,3,4,5,6,7,8,9,10,11,12), A429)</f>
        <v>43892</v>
      </c>
      <c r="H429">
        <v>29</v>
      </c>
      <c r="I429">
        <v>36000</v>
      </c>
      <c r="J429" s="1">
        <f t="shared" si="13"/>
        <v>43894</v>
      </c>
      <c r="K429">
        <f t="shared" si="12"/>
        <v>35.5</v>
      </c>
    </row>
    <row r="430" spans="1:11" x14ac:dyDescent="0.25">
      <c r="A430">
        <v>3</v>
      </c>
      <c r="B430" t="s">
        <v>12</v>
      </c>
      <c r="C430">
        <v>2020</v>
      </c>
      <c r="D430">
        <v>159</v>
      </c>
      <c r="E430">
        <v>19</v>
      </c>
      <c r="F430">
        <v>150</v>
      </c>
      <c r="G430" s="1">
        <f>DATE(C430, CHOOSE(MATCH(UPPER(B430), {"ENERO","FEBRERO","MARZO","ABRIL","MAYO","JUNIO","JULIO","AGOSTO","SEPTIEMBRE","OCTUBRE","NOVIEMBRE","DICIEMBRE"}, 0), 1,2,3,4,5,6,7,8,9,10,11,12), A430)</f>
        <v>43893</v>
      </c>
      <c r="H430">
        <v>28</v>
      </c>
      <c r="I430">
        <v>36000</v>
      </c>
      <c r="J430" s="1">
        <f t="shared" si="13"/>
        <v>43895</v>
      </c>
      <c r="K430">
        <f t="shared" si="12"/>
        <v>35</v>
      </c>
    </row>
    <row r="431" spans="1:11" x14ac:dyDescent="0.25">
      <c r="A431">
        <v>4</v>
      </c>
      <c r="B431" t="s">
        <v>12</v>
      </c>
      <c r="C431">
        <v>2020</v>
      </c>
      <c r="D431">
        <v>150</v>
      </c>
      <c r="E431" t="s">
        <v>9</v>
      </c>
      <c r="F431">
        <v>114.5</v>
      </c>
      <c r="G431" s="1">
        <f>DATE(C431, CHOOSE(MATCH(UPPER(B431), {"ENERO","FEBRERO","MARZO","ABRIL","MAYO","JUNIO","JULIO","AGOSTO","SEPTIEMBRE","OCTUBRE","NOVIEMBRE","DICIEMBRE"}, 0), 1,2,3,4,5,6,7,8,9,10,11,12), A431)</f>
        <v>43894</v>
      </c>
      <c r="H431">
        <v>35.5</v>
      </c>
      <c r="I431">
        <v>36000</v>
      </c>
      <c r="J431" s="1">
        <f t="shared" si="13"/>
        <v>43896</v>
      </c>
      <c r="K431">
        <f t="shared" si="12"/>
        <v>56</v>
      </c>
    </row>
    <row r="432" spans="1:11" x14ac:dyDescent="0.25">
      <c r="A432">
        <v>5</v>
      </c>
      <c r="B432" t="s">
        <v>12</v>
      </c>
      <c r="C432">
        <v>2020</v>
      </c>
      <c r="D432">
        <v>114.5</v>
      </c>
      <c r="E432">
        <v>210</v>
      </c>
      <c r="F432">
        <v>289.5</v>
      </c>
      <c r="G432" s="1">
        <f>DATE(C432, CHOOSE(MATCH(UPPER(B432), {"ENERO","FEBRERO","MARZO","ABRIL","MAYO","JUNIO","JULIO","AGOSTO","SEPTIEMBRE","OCTUBRE","NOVIEMBRE","DICIEMBRE"}, 0), 1,2,3,4,5,6,7,8,9,10,11,12), A432)</f>
        <v>43895</v>
      </c>
      <c r="H432">
        <v>35</v>
      </c>
      <c r="I432">
        <v>36000</v>
      </c>
      <c r="J432" s="1">
        <f t="shared" si="13"/>
        <v>43897</v>
      </c>
      <c r="K432">
        <f t="shared" si="12"/>
        <v>74</v>
      </c>
    </row>
    <row r="433" spans="1:11" x14ac:dyDescent="0.25">
      <c r="A433">
        <v>6</v>
      </c>
      <c r="B433" t="s">
        <v>12</v>
      </c>
      <c r="C433">
        <v>2020</v>
      </c>
      <c r="D433">
        <v>289.5</v>
      </c>
      <c r="E433">
        <v>-20</v>
      </c>
      <c r="F433">
        <v>213.5</v>
      </c>
      <c r="G433" s="1">
        <f>DATE(C433, CHOOSE(MATCH(UPPER(B433), {"ENERO","FEBRERO","MARZO","ABRIL","MAYO","JUNIO","JULIO","AGOSTO","SEPTIEMBRE","OCTUBRE","NOVIEMBRE","DICIEMBRE"}, 0), 1,2,3,4,5,6,7,8,9,10,11,12), A433)</f>
        <v>43896</v>
      </c>
      <c r="H433">
        <v>56</v>
      </c>
      <c r="I433">
        <v>36000</v>
      </c>
      <c r="J433" s="1">
        <f t="shared" si="13"/>
        <v>43898</v>
      </c>
      <c r="K433">
        <f t="shared" si="12"/>
        <v>69.5</v>
      </c>
    </row>
    <row r="434" spans="1:11" x14ac:dyDescent="0.25">
      <c r="A434">
        <v>7</v>
      </c>
      <c r="B434" t="s">
        <v>12</v>
      </c>
      <c r="C434">
        <v>2020</v>
      </c>
      <c r="D434">
        <v>213.5</v>
      </c>
      <c r="E434">
        <v>8</v>
      </c>
      <c r="F434">
        <v>147.5</v>
      </c>
      <c r="G434" s="1">
        <f>DATE(C434, CHOOSE(MATCH(UPPER(B434), {"ENERO","FEBRERO","MARZO","ABRIL","MAYO","JUNIO","JULIO","AGOSTO","SEPTIEMBRE","OCTUBRE","NOVIEMBRE","DICIEMBRE"}, 0), 1,2,3,4,5,6,7,8,9,10,11,12), A434)</f>
        <v>43897</v>
      </c>
      <c r="H434">
        <v>74</v>
      </c>
      <c r="I434">
        <v>36000</v>
      </c>
      <c r="J434" s="1">
        <f t="shared" si="13"/>
        <v>43899</v>
      </c>
      <c r="K434">
        <f t="shared" si="12"/>
        <v>36</v>
      </c>
    </row>
    <row r="435" spans="1:11" x14ac:dyDescent="0.25">
      <c r="A435">
        <v>8</v>
      </c>
      <c r="B435" t="s">
        <v>12</v>
      </c>
      <c r="C435">
        <v>2020</v>
      </c>
      <c r="D435">
        <v>147.5</v>
      </c>
      <c r="E435">
        <v>70</v>
      </c>
      <c r="F435">
        <v>148</v>
      </c>
      <c r="G435" s="1">
        <f>DATE(C435, CHOOSE(MATCH(UPPER(B435), {"ENERO","FEBRERO","MARZO","ABRIL","MAYO","JUNIO","JULIO","AGOSTO","SEPTIEMBRE","OCTUBRE","NOVIEMBRE","DICIEMBRE"}, 0), 1,2,3,4,5,6,7,8,9,10,11,12), A435)</f>
        <v>43898</v>
      </c>
      <c r="H435">
        <v>69.5</v>
      </c>
      <c r="I435">
        <v>36000</v>
      </c>
      <c r="J435" s="1">
        <f t="shared" si="13"/>
        <v>43900</v>
      </c>
      <c r="K435">
        <f t="shared" si="12"/>
        <v>30</v>
      </c>
    </row>
    <row r="436" spans="1:11" x14ac:dyDescent="0.25">
      <c r="A436">
        <v>9</v>
      </c>
      <c r="B436" t="s">
        <v>12</v>
      </c>
      <c r="C436">
        <v>2020</v>
      </c>
      <c r="D436">
        <v>148</v>
      </c>
      <c r="E436" t="s">
        <v>9</v>
      </c>
      <c r="F436">
        <v>112</v>
      </c>
      <c r="G436" s="1">
        <f>DATE(C436, CHOOSE(MATCH(UPPER(B436), {"ENERO","FEBRERO","MARZO","ABRIL","MAYO","JUNIO","JULIO","AGOSTO","SEPTIEMBRE","OCTUBRE","NOVIEMBRE","DICIEMBRE"}, 0), 1,2,3,4,5,6,7,8,9,10,11,12), A436)</f>
        <v>43899</v>
      </c>
      <c r="H436">
        <v>36</v>
      </c>
      <c r="I436">
        <v>36000</v>
      </c>
      <c r="J436" s="1">
        <f t="shared" si="13"/>
        <v>43901</v>
      </c>
      <c r="K436">
        <f t="shared" si="12"/>
        <v>35.5</v>
      </c>
    </row>
    <row r="437" spans="1:11" x14ac:dyDescent="0.25">
      <c r="A437">
        <v>10</v>
      </c>
      <c r="B437" t="s">
        <v>12</v>
      </c>
      <c r="C437">
        <v>2020</v>
      </c>
      <c r="D437">
        <v>112</v>
      </c>
      <c r="E437">
        <v>277</v>
      </c>
      <c r="F437">
        <v>359</v>
      </c>
      <c r="G437" s="1">
        <f>DATE(C437, CHOOSE(MATCH(UPPER(B437), {"ENERO","FEBRERO","MARZO","ABRIL","MAYO","JUNIO","JULIO","AGOSTO","SEPTIEMBRE","OCTUBRE","NOVIEMBRE","DICIEMBRE"}, 0), 1,2,3,4,5,6,7,8,9,10,11,12), A437)</f>
        <v>43900</v>
      </c>
      <c r="H437">
        <v>30</v>
      </c>
      <c r="I437">
        <v>36000</v>
      </c>
      <c r="J437" s="1">
        <f t="shared" si="13"/>
        <v>43902</v>
      </c>
      <c r="K437">
        <f t="shared" si="12"/>
        <v>29</v>
      </c>
    </row>
    <row r="438" spans="1:11" x14ac:dyDescent="0.25">
      <c r="A438">
        <v>11</v>
      </c>
      <c r="B438" t="s">
        <v>12</v>
      </c>
      <c r="C438">
        <v>2020</v>
      </c>
      <c r="D438">
        <v>359</v>
      </c>
      <c r="E438">
        <v>-104</v>
      </c>
      <c r="F438">
        <v>219.5</v>
      </c>
      <c r="G438" s="1">
        <f>DATE(C438, CHOOSE(MATCH(UPPER(B438), {"ENERO","FEBRERO","MARZO","ABRIL","MAYO","JUNIO","JULIO","AGOSTO","SEPTIEMBRE","OCTUBRE","NOVIEMBRE","DICIEMBRE"}, 0), 1,2,3,4,5,6,7,8,9,10,11,12), A438)</f>
        <v>43901</v>
      </c>
      <c r="H438">
        <v>35.5</v>
      </c>
      <c r="I438">
        <v>36000</v>
      </c>
      <c r="J438" s="1">
        <f t="shared" si="13"/>
        <v>43903</v>
      </c>
      <c r="K438">
        <f t="shared" si="12"/>
        <v>48.5</v>
      </c>
    </row>
    <row r="439" spans="1:11" x14ac:dyDescent="0.25">
      <c r="A439">
        <v>12</v>
      </c>
      <c r="B439" t="s">
        <v>12</v>
      </c>
      <c r="C439">
        <v>2020</v>
      </c>
      <c r="D439">
        <v>219.5</v>
      </c>
      <c r="E439" t="s">
        <v>9</v>
      </c>
      <c r="F439">
        <v>190.5</v>
      </c>
      <c r="G439" s="1">
        <f>DATE(C439, CHOOSE(MATCH(UPPER(B439), {"ENERO","FEBRERO","MARZO","ABRIL","MAYO","JUNIO","JULIO","AGOSTO","SEPTIEMBRE","OCTUBRE","NOVIEMBRE","DICIEMBRE"}, 0), 1,2,3,4,5,6,7,8,9,10,11,12), A439)</f>
        <v>43902</v>
      </c>
      <c r="H439">
        <v>29</v>
      </c>
      <c r="I439">
        <v>36000</v>
      </c>
      <c r="J439" s="1">
        <f t="shared" si="13"/>
        <v>43904</v>
      </c>
      <c r="K439">
        <f t="shared" si="12"/>
        <v>67</v>
      </c>
    </row>
    <row r="440" spans="1:11" x14ac:dyDescent="0.25">
      <c r="A440">
        <v>13</v>
      </c>
      <c r="B440" t="s">
        <v>12</v>
      </c>
      <c r="C440">
        <v>2020</v>
      </c>
      <c r="D440">
        <v>190.5</v>
      </c>
      <c r="E440" t="s">
        <v>9</v>
      </c>
      <c r="F440">
        <v>142</v>
      </c>
      <c r="G440" s="1">
        <f>DATE(C440, CHOOSE(MATCH(UPPER(B440), {"ENERO","FEBRERO","MARZO","ABRIL","MAYO","JUNIO","JULIO","AGOSTO","SEPTIEMBRE","OCTUBRE","NOVIEMBRE","DICIEMBRE"}, 0), 1,2,3,4,5,6,7,8,9,10,11,12), A440)</f>
        <v>43903</v>
      </c>
      <c r="H440">
        <v>48.5</v>
      </c>
      <c r="I440">
        <v>36000</v>
      </c>
      <c r="J440" s="1">
        <f t="shared" si="13"/>
        <v>43905</v>
      </c>
      <c r="K440">
        <f t="shared" si="12"/>
        <v>52</v>
      </c>
    </row>
    <row r="441" spans="1:11" x14ac:dyDescent="0.25">
      <c r="A441">
        <v>14</v>
      </c>
      <c r="B441" t="s">
        <v>12</v>
      </c>
      <c r="C441">
        <v>2020</v>
      </c>
      <c r="D441">
        <v>142</v>
      </c>
      <c r="E441" t="s">
        <v>9</v>
      </c>
      <c r="F441">
        <v>75</v>
      </c>
      <c r="G441" s="1">
        <f>DATE(C441, CHOOSE(MATCH(UPPER(B441), {"ENERO","FEBRERO","MARZO","ABRIL","MAYO","JUNIO","JULIO","AGOSTO","SEPTIEMBRE","OCTUBRE","NOVIEMBRE","DICIEMBRE"}, 0), 1,2,3,4,5,6,7,8,9,10,11,12), A441)</f>
        <v>43904</v>
      </c>
      <c r="H441">
        <v>67</v>
      </c>
      <c r="I441">
        <v>36000</v>
      </c>
      <c r="J441" s="1">
        <f t="shared" si="13"/>
        <v>43906</v>
      </c>
      <c r="K441">
        <f t="shared" si="12"/>
        <v>28</v>
      </c>
    </row>
    <row r="442" spans="1:11" x14ac:dyDescent="0.25">
      <c r="A442">
        <v>15</v>
      </c>
      <c r="B442" t="s">
        <v>12</v>
      </c>
      <c r="C442">
        <v>2020</v>
      </c>
      <c r="D442">
        <v>75</v>
      </c>
      <c r="E442">
        <v>200</v>
      </c>
      <c r="F442">
        <v>223</v>
      </c>
      <c r="G442" s="1">
        <f>DATE(C442, CHOOSE(MATCH(UPPER(B442), {"ENERO","FEBRERO","MARZO","ABRIL","MAYO","JUNIO","JULIO","AGOSTO","SEPTIEMBRE","OCTUBRE","NOVIEMBRE","DICIEMBRE"}, 0), 1,2,3,4,5,6,7,8,9,10,11,12), A442)</f>
        <v>43905</v>
      </c>
      <c r="H442">
        <v>52</v>
      </c>
      <c r="I442">
        <v>36000</v>
      </c>
      <c r="J442" s="1">
        <f t="shared" si="13"/>
        <v>43907</v>
      </c>
      <c r="K442">
        <f t="shared" si="12"/>
        <v>27</v>
      </c>
    </row>
    <row r="443" spans="1:11" x14ac:dyDescent="0.25">
      <c r="A443">
        <v>16</v>
      </c>
      <c r="B443" t="s">
        <v>12</v>
      </c>
      <c r="C443">
        <v>2020</v>
      </c>
      <c r="D443">
        <v>223</v>
      </c>
      <c r="E443" t="s">
        <v>9</v>
      </c>
      <c r="F443">
        <v>195</v>
      </c>
      <c r="G443" s="1">
        <f>DATE(C443, CHOOSE(MATCH(UPPER(B443), {"ENERO","FEBRERO","MARZO","ABRIL","MAYO","JUNIO","JULIO","AGOSTO","SEPTIEMBRE","OCTUBRE","NOVIEMBRE","DICIEMBRE"}, 0), 1,2,3,4,5,6,7,8,9,10,11,12), A443)</f>
        <v>43906</v>
      </c>
      <c r="H443">
        <v>28</v>
      </c>
      <c r="I443">
        <v>36000</v>
      </c>
      <c r="J443" s="1">
        <f t="shared" si="13"/>
        <v>43908</v>
      </c>
      <c r="K443">
        <f t="shared" si="12"/>
        <v>22.5</v>
      </c>
    </row>
    <row r="444" spans="1:11" x14ac:dyDescent="0.25">
      <c r="A444">
        <v>17</v>
      </c>
      <c r="B444" t="s">
        <v>12</v>
      </c>
      <c r="C444">
        <v>2020</v>
      </c>
      <c r="D444">
        <v>195</v>
      </c>
      <c r="E444" t="s">
        <v>9</v>
      </c>
      <c r="F444">
        <v>168</v>
      </c>
      <c r="G444" s="1">
        <f>DATE(C444, CHOOSE(MATCH(UPPER(B444), {"ENERO","FEBRERO","MARZO","ABRIL","MAYO","JUNIO","JULIO","AGOSTO","SEPTIEMBRE","OCTUBRE","NOVIEMBRE","DICIEMBRE"}, 0), 1,2,3,4,5,6,7,8,9,10,11,12), A444)</f>
        <v>43907</v>
      </c>
      <c r="H444">
        <v>27</v>
      </c>
      <c r="I444">
        <v>36000</v>
      </c>
      <c r="J444" s="1">
        <f t="shared" si="13"/>
        <v>43909</v>
      </c>
      <c r="K444">
        <f t="shared" si="12"/>
        <v>25</v>
      </c>
    </row>
    <row r="445" spans="1:11" x14ac:dyDescent="0.25">
      <c r="A445">
        <v>18</v>
      </c>
      <c r="B445" t="s">
        <v>12</v>
      </c>
      <c r="C445">
        <v>2020</v>
      </c>
      <c r="D445">
        <v>168</v>
      </c>
      <c r="E445" t="s">
        <v>9</v>
      </c>
      <c r="F445">
        <v>145.5</v>
      </c>
      <c r="G445" s="1">
        <f>DATE(C445, CHOOSE(MATCH(UPPER(B445), {"ENERO","FEBRERO","MARZO","ABRIL","MAYO","JUNIO","JULIO","AGOSTO","SEPTIEMBRE","OCTUBRE","NOVIEMBRE","DICIEMBRE"}, 0), 1,2,3,4,5,6,7,8,9,10,11,12), A445)</f>
        <v>43908</v>
      </c>
      <c r="H445">
        <v>22.5</v>
      </c>
      <c r="I445">
        <v>36000</v>
      </c>
      <c r="J445" s="1">
        <f t="shared" si="13"/>
        <v>43910</v>
      </c>
      <c r="K445">
        <f t="shared" si="12"/>
        <v>25.5</v>
      </c>
    </row>
    <row r="446" spans="1:11" x14ac:dyDescent="0.25">
      <c r="A446">
        <v>19</v>
      </c>
      <c r="B446" t="s">
        <v>12</v>
      </c>
      <c r="C446">
        <v>2020</v>
      </c>
      <c r="D446">
        <v>145.5</v>
      </c>
      <c r="E446">
        <v>50</v>
      </c>
      <c r="F446">
        <v>170.5</v>
      </c>
      <c r="G446" s="1">
        <f>DATE(C446, CHOOSE(MATCH(UPPER(B446), {"ENERO","FEBRERO","MARZO","ABRIL","MAYO","JUNIO","JULIO","AGOSTO","SEPTIEMBRE","OCTUBRE","NOVIEMBRE","DICIEMBRE"}, 0), 1,2,3,4,5,6,7,8,9,10,11,12), A446)</f>
        <v>43909</v>
      </c>
      <c r="H446">
        <v>25</v>
      </c>
      <c r="I446">
        <v>36000</v>
      </c>
      <c r="J446" s="1">
        <f t="shared" si="13"/>
        <v>43911</v>
      </c>
      <c r="K446">
        <f t="shared" si="12"/>
        <v>24</v>
      </c>
    </row>
    <row r="447" spans="1:11" x14ac:dyDescent="0.25">
      <c r="A447">
        <v>20</v>
      </c>
      <c r="B447" t="s">
        <v>12</v>
      </c>
      <c r="C447">
        <v>2020</v>
      </c>
      <c r="D447">
        <v>170.5</v>
      </c>
      <c r="E447" t="s">
        <v>9</v>
      </c>
      <c r="F447">
        <v>145</v>
      </c>
      <c r="G447" s="1">
        <f>DATE(C447, CHOOSE(MATCH(UPPER(B447), {"ENERO","FEBRERO","MARZO","ABRIL","MAYO","JUNIO","JULIO","AGOSTO","SEPTIEMBRE","OCTUBRE","NOVIEMBRE","DICIEMBRE"}, 0), 1,2,3,4,5,6,7,8,9,10,11,12), A447)</f>
        <v>43910</v>
      </c>
      <c r="H447">
        <v>25.5</v>
      </c>
      <c r="I447">
        <v>36000</v>
      </c>
      <c r="J447" s="1">
        <f t="shared" si="13"/>
        <v>43912</v>
      </c>
      <c r="K447">
        <f t="shared" si="12"/>
        <v>31.5</v>
      </c>
    </row>
    <row r="448" spans="1:11" x14ac:dyDescent="0.25">
      <c r="A448">
        <v>21</v>
      </c>
      <c r="B448" t="s">
        <v>12</v>
      </c>
      <c r="C448">
        <v>2020</v>
      </c>
      <c r="D448">
        <v>145</v>
      </c>
      <c r="E448" t="s">
        <v>9</v>
      </c>
      <c r="F448">
        <v>121</v>
      </c>
      <c r="G448" s="1">
        <f>DATE(C448, CHOOSE(MATCH(UPPER(B448), {"ENERO","FEBRERO","MARZO","ABRIL","MAYO","JUNIO","JULIO","AGOSTO","SEPTIEMBRE","OCTUBRE","NOVIEMBRE","DICIEMBRE"}, 0), 1,2,3,4,5,6,7,8,9,10,11,12), A448)</f>
        <v>43911</v>
      </c>
      <c r="H448">
        <v>24</v>
      </c>
      <c r="I448">
        <v>36000</v>
      </c>
      <c r="J448" s="1">
        <f t="shared" si="13"/>
        <v>43913</v>
      </c>
      <c r="K448">
        <f t="shared" si="12"/>
        <v>31</v>
      </c>
    </row>
    <row r="449" spans="1:11" x14ac:dyDescent="0.25">
      <c r="A449">
        <v>22</v>
      </c>
      <c r="B449" t="s">
        <v>12</v>
      </c>
      <c r="C449">
        <v>2020</v>
      </c>
      <c r="D449">
        <v>121</v>
      </c>
      <c r="E449" t="s">
        <v>9</v>
      </c>
      <c r="F449">
        <v>89.5</v>
      </c>
      <c r="G449" s="1">
        <f>DATE(C449, CHOOSE(MATCH(UPPER(B449), {"ENERO","FEBRERO","MARZO","ABRIL","MAYO","JUNIO","JULIO","AGOSTO","SEPTIEMBRE","OCTUBRE","NOVIEMBRE","DICIEMBRE"}, 0), 1,2,3,4,5,6,7,8,9,10,11,12), A449)</f>
        <v>43912</v>
      </c>
      <c r="H449">
        <v>31.5</v>
      </c>
      <c r="I449">
        <v>36000</v>
      </c>
      <c r="J449" s="1">
        <f t="shared" si="13"/>
        <v>43914</v>
      </c>
      <c r="K449">
        <f t="shared" si="12"/>
        <v>29</v>
      </c>
    </row>
    <row r="450" spans="1:11" x14ac:dyDescent="0.25">
      <c r="A450">
        <v>23</v>
      </c>
      <c r="B450" t="s">
        <v>12</v>
      </c>
      <c r="C450">
        <v>2020</v>
      </c>
      <c r="D450">
        <v>89.5</v>
      </c>
      <c r="E450" t="s">
        <v>9</v>
      </c>
      <c r="F450">
        <v>58.5</v>
      </c>
      <c r="G450" s="1">
        <f>DATE(C450, CHOOSE(MATCH(UPPER(B450), {"ENERO","FEBRERO","MARZO","ABRIL","MAYO","JUNIO","JULIO","AGOSTO","SEPTIEMBRE","OCTUBRE","NOVIEMBRE","DICIEMBRE"}, 0), 1,2,3,4,5,6,7,8,9,10,11,12), A450)</f>
        <v>43913</v>
      </c>
      <c r="H450">
        <v>31</v>
      </c>
      <c r="I450">
        <v>36000</v>
      </c>
      <c r="J450" s="1">
        <f t="shared" si="13"/>
        <v>43915</v>
      </c>
      <c r="K450">
        <f t="shared" si="12"/>
        <v>35.5</v>
      </c>
    </row>
    <row r="451" spans="1:11" x14ac:dyDescent="0.25">
      <c r="A451">
        <v>24</v>
      </c>
      <c r="B451" t="s">
        <v>12</v>
      </c>
      <c r="C451">
        <v>2020</v>
      </c>
      <c r="D451">
        <v>58.5</v>
      </c>
      <c r="E451" t="s">
        <v>9</v>
      </c>
      <c r="F451">
        <v>29.5</v>
      </c>
      <c r="G451" s="1">
        <f>DATE(C451, CHOOSE(MATCH(UPPER(B451), {"ENERO","FEBRERO","MARZO","ABRIL","MAYO","JUNIO","JULIO","AGOSTO","SEPTIEMBRE","OCTUBRE","NOVIEMBRE","DICIEMBRE"}, 0), 1,2,3,4,5,6,7,8,9,10,11,12), A451)</f>
        <v>43914</v>
      </c>
      <c r="H451">
        <v>29</v>
      </c>
      <c r="I451">
        <v>36000</v>
      </c>
      <c r="J451" s="1">
        <f t="shared" si="13"/>
        <v>43916</v>
      </c>
      <c r="K451">
        <f t="shared" ref="K451:K514" si="14">VLOOKUP(J451, G:H, 2, FALSE)</f>
        <v>25</v>
      </c>
    </row>
    <row r="452" spans="1:11" x14ac:dyDescent="0.25">
      <c r="A452">
        <v>25</v>
      </c>
      <c r="B452" t="s">
        <v>12</v>
      </c>
      <c r="C452">
        <v>2020</v>
      </c>
      <c r="D452">
        <v>29.5</v>
      </c>
      <c r="E452">
        <v>208</v>
      </c>
      <c r="F452">
        <v>202</v>
      </c>
      <c r="G452" s="1">
        <f>DATE(C452, CHOOSE(MATCH(UPPER(B452), {"ENERO","FEBRERO","MARZO","ABRIL","MAYO","JUNIO","JULIO","AGOSTO","SEPTIEMBRE","OCTUBRE","NOVIEMBRE","DICIEMBRE"}, 0), 1,2,3,4,5,6,7,8,9,10,11,12), A452)</f>
        <v>43915</v>
      </c>
      <c r="H452">
        <v>35.5</v>
      </c>
      <c r="I452">
        <v>36000</v>
      </c>
      <c r="J452" s="1">
        <f t="shared" si="13"/>
        <v>43917</v>
      </c>
      <c r="K452">
        <f t="shared" si="14"/>
        <v>49.5</v>
      </c>
    </row>
    <row r="453" spans="1:11" x14ac:dyDescent="0.25">
      <c r="A453">
        <v>26</v>
      </c>
      <c r="B453" t="s">
        <v>12</v>
      </c>
      <c r="C453">
        <v>2020</v>
      </c>
      <c r="D453">
        <v>202</v>
      </c>
      <c r="E453" t="s">
        <v>9</v>
      </c>
      <c r="F453">
        <v>177</v>
      </c>
      <c r="G453" s="1">
        <f>DATE(C453, CHOOSE(MATCH(UPPER(B453), {"ENERO","FEBRERO","MARZO","ABRIL","MAYO","JUNIO","JULIO","AGOSTO","SEPTIEMBRE","OCTUBRE","NOVIEMBRE","DICIEMBRE"}, 0), 1,2,3,4,5,6,7,8,9,10,11,12), A453)</f>
        <v>43916</v>
      </c>
      <c r="H453">
        <v>25</v>
      </c>
      <c r="I453">
        <v>36000</v>
      </c>
      <c r="J453" s="1">
        <f t="shared" ref="J453:J516" si="15">DATE(2019,1,1) + ROW()-1</f>
        <v>43918</v>
      </c>
      <c r="K453">
        <f t="shared" si="14"/>
        <v>60.5</v>
      </c>
    </row>
    <row r="454" spans="1:11" x14ac:dyDescent="0.25">
      <c r="A454">
        <v>27</v>
      </c>
      <c r="B454" t="s">
        <v>12</v>
      </c>
      <c r="C454">
        <v>2020</v>
      </c>
      <c r="D454">
        <v>177</v>
      </c>
      <c r="E454" t="s">
        <v>9</v>
      </c>
      <c r="F454">
        <v>127.5</v>
      </c>
      <c r="G454" s="1">
        <f>DATE(C454, CHOOSE(MATCH(UPPER(B454), {"ENERO","FEBRERO","MARZO","ABRIL","MAYO","JUNIO","JULIO","AGOSTO","SEPTIEMBRE","OCTUBRE","NOVIEMBRE","DICIEMBRE"}, 0), 1,2,3,4,5,6,7,8,9,10,11,12), A454)</f>
        <v>43917</v>
      </c>
      <c r="H454">
        <v>49.5</v>
      </c>
      <c r="I454">
        <v>36000</v>
      </c>
      <c r="J454" s="1">
        <f t="shared" si="15"/>
        <v>43919</v>
      </c>
      <c r="K454">
        <f t="shared" si="14"/>
        <v>51.25</v>
      </c>
    </row>
    <row r="455" spans="1:11" x14ac:dyDescent="0.25">
      <c r="A455">
        <v>28</v>
      </c>
      <c r="B455" t="s">
        <v>12</v>
      </c>
      <c r="C455">
        <v>2020</v>
      </c>
      <c r="D455">
        <v>127.5</v>
      </c>
      <c r="E455" t="s">
        <v>9</v>
      </c>
      <c r="F455">
        <v>67</v>
      </c>
      <c r="G455" s="1">
        <f>DATE(C455, CHOOSE(MATCH(UPPER(B455), {"ENERO","FEBRERO","MARZO","ABRIL","MAYO","JUNIO","JULIO","AGOSTO","SEPTIEMBRE","OCTUBRE","NOVIEMBRE","DICIEMBRE"}, 0), 1,2,3,4,5,6,7,8,9,10,11,12), A455)</f>
        <v>43918</v>
      </c>
      <c r="H455">
        <v>60.5</v>
      </c>
      <c r="I455">
        <v>36000</v>
      </c>
      <c r="J455" s="1">
        <f t="shared" si="15"/>
        <v>43920</v>
      </c>
      <c r="K455">
        <f t="shared" si="14"/>
        <v>39.75</v>
      </c>
    </row>
    <row r="456" spans="1:11" x14ac:dyDescent="0.25">
      <c r="A456">
        <v>29</v>
      </c>
      <c r="B456" t="s">
        <v>12</v>
      </c>
      <c r="C456">
        <v>2020</v>
      </c>
      <c r="D456">
        <v>67</v>
      </c>
      <c r="E456">
        <v>200</v>
      </c>
      <c r="F456">
        <v>215.75</v>
      </c>
      <c r="G456" s="1">
        <f>DATE(C456, CHOOSE(MATCH(UPPER(B456), {"ENERO","FEBRERO","MARZO","ABRIL","MAYO","JUNIO","JULIO","AGOSTO","SEPTIEMBRE","OCTUBRE","NOVIEMBRE","DICIEMBRE"}, 0), 1,2,3,4,5,6,7,8,9,10,11,12), A456)</f>
        <v>43919</v>
      </c>
      <c r="H456">
        <v>51.25</v>
      </c>
      <c r="I456">
        <v>36000</v>
      </c>
      <c r="J456" s="1">
        <f t="shared" si="15"/>
        <v>43921</v>
      </c>
      <c r="K456">
        <f t="shared" si="14"/>
        <v>33.5</v>
      </c>
    </row>
    <row r="457" spans="1:11" x14ac:dyDescent="0.25">
      <c r="A457">
        <v>30</v>
      </c>
      <c r="B457" t="s">
        <v>12</v>
      </c>
      <c r="C457">
        <v>2020</v>
      </c>
      <c r="D457">
        <v>215.75</v>
      </c>
      <c r="E457" t="s">
        <v>9</v>
      </c>
      <c r="F457">
        <v>176</v>
      </c>
      <c r="G457" s="1">
        <f>DATE(C457, CHOOSE(MATCH(UPPER(B457), {"ENERO","FEBRERO","MARZO","ABRIL","MAYO","JUNIO","JULIO","AGOSTO","SEPTIEMBRE","OCTUBRE","NOVIEMBRE","DICIEMBRE"}, 0), 1,2,3,4,5,6,7,8,9,10,11,12), A457)</f>
        <v>43920</v>
      </c>
      <c r="H457">
        <v>39.75</v>
      </c>
      <c r="I457">
        <v>36000</v>
      </c>
      <c r="J457" s="1">
        <f t="shared" si="15"/>
        <v>43922</v>
      </c>
      <c r="K457">
        <f t="shared" si="14"/>
        <v>42.5</v>
      </c>
    </row>
    <row r="458" spans="1:11" x14ac:dyDescent="0.25">
      <c r="A458">
        <v>31</v>
      </c>
      <c r="B458" t="s">
        <v>12</v>
      </c>
      <c r="C458">
        <v>2020</v>
      </c>
      <c r="D458">
        <v>176</v>
      </c>
      <c r="E458" t="s">
        <v>9</v>
      </c>
      <c r="F458">
        <v>142.5</v>
      </c>
      <c r="G458" s="1">
        <f>DATE(C458, CHOOSE(MATCH(UPPER(B458), {"ENERO","FEBRERO","MARZO","ABRIL","MAYO","JUNIO","JULIO","AGOSTO","SEPTIEMBRE","OCTUBRE","NOVIEMBRE","DICIEMBRE"}, 0), 1,2,3,4,5,6,7,8,9,10,11,12), A458)</f>
        <v>43921</v>
      </c>
      <c r="H458">
        <v>33.5</v>
      </c>
      <c r="I458">
        <v>36000</v>
      </c>
      <c r="J458" s="1">
        <f t="shared" si="15"/>
        <v>43923</v>
      </c>
      <c r="K458">
        <f t="shared" si="14"/>
        <v>38.5</v>
      </c>
    </row>
    <row r="459" spans="1:11" x14ac:dyDescent="0.25">
      <c r="A459">
        <v>1</v>
      </c>
      <c r="B459" t="s">
        <v>13</v>
      </c>
      <c r="C459">
        <v>2020</v>
      </c>
      <c r="D459">
        <v>142.5</v>
      </c>
      <c r="E459" t="s">
        <v>9</v>
      </c>
      <c r="F459">
        <v>100</v>
      </c>
      <c r="G459" s="1">
        <f>DATE(C459, CHOOSE(MATCH(UPPER(B459), {"ENERO","FEBRERO","MARZO","ABRIL","MAYO","JUNIO","JULIO","AGOSTO","SEPTIEMBRE","OCTUBRE","NOVIEMBRE","DICIEMBRE"}, 0), 1,2,3,4,5,6,7,8,9,10,11,12), A459)</f>
        <v>43922</v>
      </c>
      <c r="H459">
        <v>42.5</v>
      </c>
      <c r="I459">
        <v>36000</v>
      </c>
      <c r="J459" s="1">
        <f t="shared" si="15"/>
        <v>43924</v>
      </c>
      <c r="K459">
        <f t="shared" si="14"/>
        <v>38.5</v>
      </c>
    </row>
    <row r="460" spans="1:11" x14ac:dyDescent="0.25">
      <c r="A460">
        <v>2</v>
      </c>
      <c r="B460" t="s">
        <v>13</v>
      </c>
      <c r="C460">
        <v>2020</v>
      </c>
      <c r="D460">
        <v>100</v>
      </c>
      <c r="E460" t="s">
        <v>9</v>
      </c>
      <c r="F460">
        <v>61.5</v>
      </c>
      <c r="G460" s="1">
        <f>DATE(C460, CHOOSE(MATCH(UPPER(B460), {"ENERO","FEBRERO","MARZO","ABRIL","MAYO","JUNIO","JULIO","AGOSTO","SEPTIEMBRE","OCTUBRE","NOVIEMBRE","DICIEMBRE"}, 0), 1,2,3,4,5,6,7,8,9,10,11,12), A460)</f>
        <v>43923</v>
      </c>
      <c r="H460">
        <v>38.5</v>
      </c>
      <c r="I460">
        <v>36000</v>
      </c>
      <c r="J460" s="1">
        <f t="shared" si="15"/>
        <v>43925</v>
      </c>
      <c r="K460">
        <f t="shared" si="14"/>
        <v>42</v>
      </c>
    </row>
    <row r="461" spans="1:11" x14ac:dyDescent="0.25">
      <c r="A461">
        <v>3</v>
      </c>
      <c r="B461" t="s">
        <v>13</v>
      </c>
      <c r="C461">
        <v>2020</v>
      </c>
      <c r="D461">
        <v>61.5</v>
      </c>
      <c r="E461">
        <v>100</v>
      </c>
      <c r="F461">
        <v>123</v>
      </c>
      <c r="G461" s="1">
        <f>DATE(C461, CHOOSE(MATCH(UPPER(B461), {"ENERO","FEBRERO","MARZO","ABRIL","MAYO","JUNIO","JULIO","AGOSTO","SEPTIEMBRE","OCTUBRE","NOVIEMBRE","DICIEMBRE"}, 0), 1,2,3,4,5,6,7,8,9,10,11,12), A461)</f>
        <v>43924</v>
      </c>
      <c r="H461">
        <v>38.5</v>
      </c>
      <c r="I461">
        <v>36000</v>
      </c>
      <c r="J461" s="1">
        <f t="shared" si="15"/>
        <v>43926</v>
      </c>
      <c r="K461">
        <f t="shared" si="14"/>
        <v>49</v>
      </c>
    </row>
    <row r="462" spans="1:11" x14ac:dyDescent="0.25">
      <c r="A462">
        <v>4</v>
      </c>
      <c r="B462" t="s">
        <v>13</v>
      </c>
      <c r="C462">
        <v>2020</v>
      </c>
      <c r="D462">
        <v>123</v>
      </c>
      <c r="E462">
        <v>304</v>
      </c>
      <c r="F462">
        <v>385</v>
      </c>
      <c r="G462" s="1">
        <f>DATE(C462, CHOOSE(MATCH(UPPER(B462), {"ENERO","FEBRERO","MARZO","ABRIL","MAYO","JUNIO","JULIO","AGOSTO","SEPTIEMBRE","OCTUBRE","NOVIEMBRE","DICIEMBRE"}, 0), 1,2,3,4,5,6,7,8,9,10,11,12), A462)</f>
        <v>43925</v>
      </c>
      <c r="H462">
        <v>42</v>
      </c>
      <c r="I462">
        <v>36000</v>
      </c>
      <c r="J462" s="1">
        <f t="shared" si="15"/>
        <v>43927</v>
      </c>
      <c r="K462">
        <f t="shared" si="14"/>
        <v>29</v>
      </c>
    </row>
    <row r="463" spans="1:11" x14ac:dyDescent="0.25">
      <c r="A463">
        <v>5</v>
      </c>
      <c r="B463" t="s">
        <v>13</v>
      </c>
      <c r="C463">
        <v>2020</v>
      </c>
      <c r="D463">
        <v>385</v>
      </c>
      <c r="E463" t="s">
        <v>9</v>
      </c>
      <c r="F463">
        <v>336</v>
      </c>
      <c r="G463" s="1">
        <f>DATE(C463, CHOOSE(MATCH(UPPER(B463), {"ENERO","FEBRERO","MARZO","ABRIL","MAYO","JUNIO","JULIO","AGOSTO","SEPTIEMBRE","OCTUBRE","NOVIEMBRE","DICIEMBRE"}, 0), 1,2,3,4,5,6,7,8,9,10,11,12), A463)</f>
        <v>43926</v>
      </c>
      <c r="H463">
        <v>49</v>
      </c>
      <c r="I463">
        <v>36000</v>
      </c>
      <c r="J463" s="1">
        <f t="shared" si="15"/>
        <v>43928</v>
      </c>
      <c r="K463">
        <f t="shared" si="14"/>
        <v>23</v>
      </c>
    </row>
    <row r="464" spans="1:11" x14ac:dyDescent="0.25">
      <c r="A464">
        <v>6</v>
      </c>
      <c r="B464" t="s">
        <v>13</v>
      </c>
      <c r="C464">
        <v>2020</v>
      </c>
      <c r="D464">
        <v>336</v>
      </c>
      <c r="E464" t="s">
        <v>9</v>
      </c>
      <c r="F464">
        <v>307</v>
      </c>
      <c r="G464" s="1">
        <f>DATE(C464, CHOOSE(MATCH(UPPER(B464), {"ENERO","FEBRERO","MARZO","ABRIL","MAYO","JUNIO","JULIO","AGOSTO","SEPTIEMBRE","OCTUBRE","NOVIEMBRE","DICIEMBRE"}, 0), 1,2,3,4,5,6,7,8,9,10,11,12), A464)</f>
        <v>43927</v>
      </c>
      <c r="H464">
        <v>29</v>
      </c>
      <c r="I464">
        <v>36000</v>
      </c>
      <c r="J464" s="1">
        <f t="shared" si="15"/>
        <v>43929</v>
      </c>
      <c r="K464">
        <f t="shared" si="14"/>
        <v>28.5</v>
      </c>
    </row>
    <row r="465" spans="1:11" x14ac:dyDescent="0.25">
      <c r="A465">
        <v>7</v>
      </c>
      <c r="B465" t="s">
        <v>13</v>
      </c>
      <c r="C465">
        <v>2020</v>
      </c>
      <c r="D465">
        <v>307</v>
      </c>
      <c r="E465" t="s">
        <v>9</v>
      </c>
      <c r="F465">
        <v>284</v>
      </c>
      <c r="G465" s="1">
        <f>DATE(C465, CHOOSE(MATCH(UPPER(B465), {"ENERO","FEBRERO","MARZO","ABRIL","MAYO","JUNIO","JULIO","AGOSTO","SEPTIEMBRE","OCTUBRE","NOVIEMBRE","DICIEMBRE"}, 0), 1,2,3,4,5,6,7,8,9,10,11,12), A465)</f>
        <v>43928</v>
      </c>
      <c r="H465">
        <v>23</v>
      </c>
      <c r="I465">
        <v>36000</v>
      </c>
      <c r="J465" s="1">
        <f t="shared" si="15"/>
        <v>43930</v>
      </c>
      <c r="K465">
        <f t="shared" si="14"/>
        <v>28.5</v>
      </c>
    </row>
    <row r="466" spans="1:11" x14ac:dyDescent="0.25">
      <c r="A466">
        <v>8</v>
      </c>
      <c r="B466" t="s">
        <v>13</v>
      </c>
      <c r="C466">
        <v>2020</v>
      </c>
      <c r="D466">
        <v>284</v>
      </c>
      <c r="E466" t="s">
        <v>9</v>
      </c>
      <c r="F466">
        <v>255.5</v>
      </c>
      <c r="G466" s="1">
        <f>DATE(C466, CHOOSE(MATCH(UPPER(B466), {"ENERO","FEBRERO","MARZO","ABRIL","MAYO","JUNIO","JULIO","AGOSTO","SEPTIEMBRE","OCTUBRE","NOVIEMBRE","DICIEMBRE"}, 0), 1,2,3,4,5,6,7,8,9,10,11,12), A466)</f>
        <v>43929</v>
      </c>
      <c r="H466">
        <v>28.5</v>
      </c>
      <c r="I466">
        <v>36000</v>
      </c>
      <c r="J466" s="1">
        <f t="shared" si="15"/>
        <v>43931</v>
      </c>
      <c r="K466">
        <f t="shared" si="14"/>
        <v>23.5</v>
      </c>
    </row>
    <row r="467" spans="1:11" x14ac:dyDescent="0.25">
      <c r="A467">
        <v>9</v>
      </c>
      <c r="B467" t="s">
        <v>13</v>
      </c>
      <c r="C467">
        <v>2020</v>
      </c>
      <c r="D467">
        <v>255.5</v>
      </c>
      <c r="E467" t="s">
        <v>9</v>
      </c>
      <c r="F467">
        <v>227</v>
      </c>
      <c r="G467" s="1">
        <f>DATE(C467, CHOOSE(MATCH(UPPER(B467), {"ENERO","FEBRERO","MARZO","ABRIL","MAYO","JUNIO","JULIO","AGOSTO","SEPTIEMBRE","OCTUBRE","NOVIEMBRE","DICIEMBRE"}, 0), 1,2,3,4,5,6,7,8,9,10,11,12), A467)</f>
        <v>43930</v>
      </c>
      <c r="H467">
        <v>28.5</v>
      </c>
      <c r="I467">
        <v>36000</v>
      </c>
      <c r="J467" s="1">
        <f t="shared" si="15"/>
        <v>43932</v>
      </c>
      <c r="K467">
        <f t="shared" si="14"/>
        <v>31</v>
      </c>
    </row>
    <row r="468" spans="1:11" x14ac:dyDescent="0.25">
      <c r="A468">
        <v>10</v>
      </c>
      <c r="B468" t="s">
        <v>13</v>
      </c>
      <c r="C468">
        <v>2020</v>
      </c>
      <c r="D468">
        <v>227</v>
      </c>
      <c r="E468" t="s">
        <v>9</v>
      </c>
      <c r="F468">
        <v>203.5</v>
      </c>
      <c r="G468" s="1">
        <f>DATE(C468, CHOOSE(MATCH(UPPER(B468), {"ENERO","FEBRERO","MARZO","ABRIL","MAYO","JUNIO","JULIO","AGOSTO","SEPTIEMBRE","OCTUBRE","NOVIEMBRE","DICIEMBRE"}, 0), 1,2,3,4,5,6,7,8,9,10,11,12), A468)</f>
        <v>43931</v>
      </c>
      <c r="H468">
        <v>23.5</v>
      </c>
      <c r="I468">
        <v>36000</v>
      </c>
      <c r="J468" s="1">
        <f t="shared" si="15"/>
        <v>43933</v>
      </c>
      <c r="K468">
        <f t="shared" si="14"/>
        <v>33.5</v>
      </c>
    </row>
    <row r="469" spans="1:11" x14ac:dyDescent="0.25">
      <c r="A469">
        <v>11</v>
      </c>
      <c r="B469" t="s">
        <v>13</v>
      </c>
      <c r="C469">
        <v>2020</v>
      </c>
      <c r="D469">
        <v>203.5</v>
      </c>
      <c r="E469" t="s">
        <v>9</v>
      </c>
      <c r="F469">
        <v>172.5</v>
      </c>
      <c r="G469" s="1">
        <f>DATE(C469, CHOOSE(MATCH(UPPER(B469), {"ENERO","FEBRERO","MARZO","ABRIL","MAYO","JUNIO","JULIO","AGOSTO","SEPTIEMBRE","OCTUBRE","NOVIEMBRE","DICIEMBRE"}, 0), 1,2,3,4,5,6,7,8,9,10,11,12), A469)</f>
        <v>43932</v>
      </c>
      <c r="H469">
        <v>31</v>
      </c>
      <c r="I469">
        <v>36000</v>
      </c>
      <c r="J469" s="1">
        <f t="shared" si="15"/>
        <v>43934</v>
      </c>
      <c r="K469">
        <f t="shared" si="14"/>
        <v>15</v>
      </c>
    </row>
    <row r="470" spans="1:11" x14ac:dyDescent="0.25">
      <c r="A470">
        <v>12</v>
      </c>
      <c r="B470" t="s">
        <v>13</v>
      </c>
      <c r="C470">
        <v>2020</v>
      </c>
      <c r="D470">
        <v>172.5</v>
      </c>
      <c r="E470" t="s">
        <v>9</v>
      </c>
      <c r="F470">
        <v>139</v>
      </c>
      <c r="G470" s="1">
        <f>DATE(C470, CHOOSE(MATCH(UPPER(B470), {"ENERO","FEBRERO","MARZO","ABRIL","MAYO","JUNIO","JULIO","AGOSTO","SEPTIEMBRE","OCTUBRE","NOVIEMBRE","DICIEMBRE"}, 0), 1,2,3,4,5,6,7,8,9,10,11,12), A470)</f>
        <v>43933</v>
      </c>
      <c r="H470">
        <v>33.5</v>
      </c>
      <c r="I470">
        <v>36000</v>
      </c>
      <c r="J470" s="1">
        <f t="shared" si="15"/>
        <v>43935</v>
      </c>
      <c r="K470">
        <f t="shared" si="14"/>
        <v>13.125</v>
      </c>
    </row>
    <row r="471" spans="1:11" x14ac:dyDescent="0.25">
      <c r="A471">
        <v>13</v>
      </c>
      <c r="B471" t="s">
        <v>13</v>
      </c>
      <c r="C471">
        <v>2020</v>
      </c>
      <c r="D471">
        <v>139</v>
      </c>
      <c r="E471" t="s">
        <v>9</v>
      </c>
      <c r="F471">
        <v>124</v>
      </c>
      <c r="G471" s="1">
        <f>DATE(C471, CHOOSE(MATCH(UPPER(B471), {"ENERO","FEBRERO","MARZO","ABRIL","MAYO","JUNIO","JULIO","AGOSTO","SEPTIEMBRE","OCTUBRE","NOVIEMBRE","DICIEMBRE"}, 0), 1,2,3,4,5,6,7,8,9,10,11,12), A471)</f>
        <v>43934</v>
      </c>
      <c r="H471">
        <v>15</v>
      </c>
      <c r="I471">
        <v>36000</v>
      </c>
      <c r="J471" s="1">
        <f t="shared" si="15"/>
        <v>43936</v>
      </c>
      <c r="K471">
        <f t="shared" si="14"/>
        <v>9.875</v>
      </c>
    </row>
    <row r="472" spans="1:11" x14ac:dyDescent="0.25">
      <c r="A472">
        <v>14</v>
      </c>
      <c r="B472" t="s">
        <v>13</v>
      </c>
      <c r="C472">
        <v>2020</v>
      </c>
      <c r="D472">
        <v>124</v>
      </c>
      <c r="E472" t="s">
        <v>9</v>
      </c>
      <c r="F472">
        <v>110.875</v>
      </c>
      <c r="G472" s="1">
        <f>DATE(C472, CHOOSE(MATCH(UPPER(B472), {"ENERO","FEBRERO","MARZO","ABRIL","MAYO","JUNIO","JULIO","AGOSTO","SEPTIEMBRE","OCTUBRE","NOVIEMBRE","DICIEMBRE"}, 0), 1,2,3,4,5,6,7,8,9,10,11,12), A472)</f>
        <v>43935</v>
      </c>
      <c r="H472">
        <v>13.125</v>
      </c>
      <c r="I472">
        <v>36000</v>
      </c>
      <c r="J472" s="1">
        <f t="shared" si="15"/>
        <v>43937</v>
      </c>
      <c r="K472">
        <f t="shared" si="14"/>
        <v>18.25</v>
      </c>
    </row>
    <row r="473" spans="1:11" x14ac:dyDescent="0.25">
      <c r="A473">
        <v>15</v>
      </c>
      <c r="B473" t="s">
        <v>13</v>
      </c>
      <c r="C473">
        <v>2020</v>
      </c>
      <c r="D473">
        <v>110.875</v>
      </c>
      <c r="E473">
        <v>206</v>
      </c>
      <c r="F473">
        <v>307</v>
      </c>
      <c r="G473" s="1">
        <f>DATE(C473, CHOOSE(MATCH(UPPER(B473), {"ENERO","FEBRERO","MARZO","ABRIL","MAYO","JUNIO","JULIO","AGOSTO","SEPTIEMBRE","OCTUBRE","NOVIEMBRE","DICIEMBRE"}, 0), 1,2,3,4,5,6,7,8,9,10,11,12), A473)</f>
        <v>43936</v>
      </c>
      <c r="H473">
        <v>9.875</v>
      </c>
      <c r="I473">
        <v>36000</v>
      </c>
      <c r="J473" s="1">
        <f t="shared" si="15"/>
        <v>43938</v>
      </c>
      <c r="K473">
        <f t="shared" si="14"/>
        <v>30.75</v>
      </c>
    </row>
    <row r="474" spans="1:11" x14ac:dyDescent="0.25">
      <c r="A474">
        <v>16</v>
      </c>
      <c r="B474" t="s">
        <v>13</v>
      </c>
      <c r="C474">
        <v>2020</v>
      </c>
      <c r="D474">
        <v>307</v>
      </c>
      <c r="E474" t="s">
        <v>9</v>
      </c>
      <c r="F474">
        <v>288.75</v>
      </c>
      <c r="G474" s="1">
        <f>DATE(C474, CHOOSE(MATCH(UPPER(B474), {"ENERO","FEBRERO","MARZO","ABRIL","MAYO","JUNIO","JULIO","AGOSTO","SEPTIEMBRE","OCTUBRE","NOVIEMBRE","DICIEMBRE"}, 0), 1,2,3,4,5,6,7,8,9,10,11,12), A474)</f>
        <v>43937</v>
      </c>
      <c r="H474">
        <v>18.25</v>
      </c>
      <c r="I474">
        <v>36000</v>
      </c>
      <c r="J474" s="1">
        <f t="shared" si="15"/>
        <v>43939</v>
      </c>
      <c r="K474">
        <f t="shared" si="14"/>
        <v>36</v>
      </c>
    </row>
    <row r="475" spans="1:11" x14ac:dyDescent="0.25">
      <c r="A475">
        <v>17</v>
      </c>
      <c r="B475" t="s">
        <v>13</v>
      </c>
      <c r="C475">
        <v>2020</v>
      </c>
      <c r="D475">
        <v>288.75</v>
      </c>
      <c r="E475" t="s">
        <v>9</v>
      </c>
      <c r="F475">
        <v>258</v>
      </c>
      <c r="G475" s="1">
        <f>DATE(C475, CHOOSE(MATCH(UPPER(B475), {"ENERO","FEBRERO","MARZO","ABRIL","MAYO","JUNIO","JULIO","AGOSTO","SEPTIEMBRE","OCTUBRE","NOVIEMBRE","DICIEMBRE"}, 0), 1,2,3,4,5,6,7,8,9,10,11,12), A475)</f>
        <v>43938</v>
      </c>
      <c r="H475">
        <v>30.75</v>
      </c>
      <c r="I475">
        <v>36000</v>
      </c>
      <c r="J475" s="1">
        <f t="shared" si="15"/>
        <v>43940</v>
      </c>
      <c r="K475">
        <f t="shared" si="14"/>
        <v>36.625</v>
      </c>
    </row>
    <row r="476" spans="1:11" x14ac:dyDescent="0.25">
      <c r="A476">
        <v>18</v>
      </c>
      <c r="B476" t="s">
        <v>13</v>
      </c>
      <c r="C476">
        <v>2020</v>
      </c>
      <c r="D476">
        <v>258</v>
      </c>
      <c r="E476" t="s">
        <v>9</v>
      </c>
      <c r="F476">
        <v>222</v>
      </c>
      <c r="G476" s="1">
        <f>DATE(C476, CHOOSE(MATCH(UPPER(B476), {"ENERO","FEBRERO","MARZO","ABRIL","MAYO","JUNIO","JULIO","AGOSTO","SEPTIEMBRE","OCTUBRE","NOVIEMBRE","DICIEMBRE"}, 0), 1,2,3,4,5,6,7,8,9,10,11,12), A476)</f>
        <v>43939</v>
      </c>
      <c r="H476">
        <v>36</v>
      </c>
      <c r="I476">
        <v>36000</v>
      </c>
      <c r="J476" s="1">
        <f t="shared" si="15"/>
        <v>43941</v>
      </c>
      <c r="K476">
        <f t="shared" si="14"/>
        <v>14</v>
      </c>
    </row>
    <row r="477" spans="1:11" x14ac:dyDescent="0.25">
      <c r="A477">
        <v>19</v>
      </c>
      <c r="B477" t="s">
        <v>13</v>
      </c>
      <c r="C477">
        <v>2020</v>
      </c>
      <c r="D477">
        <v>222</v>
      </c>
      <c r="E477" t="s">
        <v>9</v>
      </c>
      <c r="F477">
        <v>185.375</v>
      </c>
      <c r="G477" s="1">
        <f>DATE(C477, CHOOSE(MATCH(UPPER(B477), {"ENERO","FEBRERO","MARZO","ABRIL","MAYO","JUNIO","JULIO","AGOSTO","SEPTIEMBRE","OCTUBRE","NOVIEMBRE","DICIEMBRE"}, 0), 1,2,3,4,5,6,7,8,9,10,11,12), A477)</f>
        <v>43940</v>
      </c>
      <c r="H477">
        <v>36.625</v>
      </c>
      <c r="I477">
        <v>36000</v>
      </c>
      <c r="J477" s="1">
        <f t="shared" si="15"/>
        <v>43942</v>
      </c>
      <c r="K477">
        <f t="shared" si="14"/>
        <v>18.375</v>
      </c>
    </row>
    <row r="478" spans="1:11" x14ac:dyDescent="0.25">
      <c r="A478">
        <v>20</v>
      </c>
      <c r="B478" t="s">
        <v>13</v>
      </c>
      <c r="C478">
        <v>2020</v>
      </c>
      <c r="D478">
        <v>185.375</v>
      </c>
      <c r="E478" t="s">
        <v>9</v>
      </c>
      <c r="F478">
        <v>171.375</v>
      </c>
      <c r="G478" s="1">
        <f>DATE(C478, CHOOSE(MATCH(UPPER(B478), {"ENERO","FEBRERO","MARZO","ABRIL","MAYO","JUNIO","JULIO","AGOSTO","SEPTIEMBRE","OCTUBRE","NOVIEMBRE","DICIEMBRE"}, 0), 1,2,3,4,5,6,7,8,9,10,11,12), A478)</f>
        <v>43941</v>
      </c>
      <c r="H478">
        <v>14</v>
      </c>
      <c r="I478">
        <v>36000</v>
      </c>
      <c r="J478" s="1">
        <f t="shared" si="15"/>
        <v>43943</v>
      </c>
      <c r="K478">
        <f t="shared" si="14"/>
        <v>27</v>
      </c>
    </row>
    <row r="479" spans="1:11" x14ac:dyDescent="0.25">
      <c r="A479">
        <v>21</v>
      </c>
      <c r="B479" t="s">
        <v>13</v>
      </c>
      <c r="C479">
        <v>2020</v>
      </c>
      <c r="D479">
        <v>171.375</v>
      </c>
      <c r="E479" t="s">
        <v>9</v>
      </c>
      <c r="F479">
        <v>153</v>
      </c>
      <c r="G479" s="1">
        <f>DATE(C479, CHOOSE(MATCH(UPPER(B479), {"ENERO","FEBRERO","MARZO","ABRIL","MAYO","JUNIO","JULIO","AGOSTO","SEPTIEMBRE","OCTUBRE","NOVIEMBRE","DICIEMBRE"}, 0), 1,2,3,4,5,6,7,8,9,10,11,12), A479)</f>
        <v>43942</v>
      </c>
      <c r="H479">
        <v>18.375</v>
      </c>
      <c r="I479">
        <v>36000</v>
      </c>
      <c r="J479" s="1">
        <f t="shared" si="15"/>
        <v>43944</v>
      </c>
      <c r="K479">
        <f t="shared" si="14"/>
        <v>17.5</v>
      </c>
    </row>
    <row r="480" spans="1:11" x14ac:dyDescent="0.25">
      <c r="A480">
        <v>22</v>
      </c>
      <c r="B480" t="s">
        <v>13</v>
      </c>
      <c r="C480">
        <v>2020</v>
      </c>
      <c r="D480">
        <v>153</v>
      </c>
      <c r="E480" t="s">
        <v>9</v>
      </c>
      <c r="F480">
        <v>126</v>
      </c>
      <c r="G480" s="1">
        <f>DATE(C480, CHOOSE(MATCH(UPPER(B480), {"ENERO","FEBRERO","MARZO","ABRIL","MAYO","JUNIO","JULIO","AGOSTO","SEPTIEMBRE","OCTUBRE","NOVIEMBRE","DICIEMBRE"}, 0), 1,2,3,4,5,6,7,8,9,10,11,12), A480)</f>
        <v>43943</v>
      </c>
      <c r="H480">
        <v>27</v>
      </c>
      <c r="I480">
        <v>36000</v>
      </c>
      <c r="J480" s="1">
        <f t="shared" si="15"/>
        <v>43945</v>
      </c>
      <c r="K480">
        <f t="shared" si="14"/>
        <v>31</v>
      </c>
    </row>
    <row r="481" spans="1:11" x14ac:dyDescent="0.25">
      <c r="A481">
        <v>23</v>
      </c>
      <c r="B481" t="s">
        <v>13</v>
      </c>
      <c r="C481">
        <v>2020</v>
      </c>
      <c r="D481">
        <v>126</v>
      </c>
      <c r="E481" t="s">
        <v>9</v>
      </c>
      <c r="F481">
        <v>108.5</v>
      </c>
      <c r="G481" s="1">
        <f>DATE(C481, CHOOSE(MATCH(UPPER(B481), {"ENERO","FEBRERO","MARZO","ABRIL","MAYO","JUNIO","JULIO","AGOSTO","SEPTIEMBRE","OCTUBRE","NOVIEMBRE","DICIEMBRE"}, 0), 1,2,3,4,5,6,7,8,9,10,11,12), A481)</f>
        <v>43944</v>
      </c>
      <c r="H481">
        <v>17.5</v>
      </c>
      <c r="I481">
        <v>36000</v>
      </c>
      <c r="J481" s="1">
        <f t="shared" si="15"/>
        <v>43946</v>
      </c>
      <c r="K481">
        <f t="shared" si="14"/>
        <v>50</v>
      </c>
    </row>
    <row r="482" spans="1:11" x14ac:dyDescent="0.25">
      <c r="A482">
        <v>24</v>
      </c>
      <c r="B482" t="s">
        <v>13</v>
      </c>
      <c r="C482">
        <v>2020</v>
      </c>
      <c r="D482">
        <v>108.5</v>
      </c>
      <c r="E482" t="s">
        <v>9</v>
      </c>
      <c r="F482">
        <v>77.5</v>
      </c>
      <c r="G482" s="1">
        <f>DATE(C482, CHOOSE(MATCH(UPPER(B482), {"ENERO","FEBRERO","MARZO","ABRIL","MAYO","JUNIO","JULIO","AGOSTO","SEPTIEMBRE","OCTUBRE","NOVIEMBRE","DICIEMBRE"}, 0), 1,2,3,4,5,6,7,8,9,10,11,12), A482)</f>
        <v>43945</v>
      </c>
      <c r="H482">
        <v>31</v>
      </c>
      <c r="I482">
        <v>36000</v>
      </c>
      <c r="J482" s="1">
        <f t="shared" si="15"/>
        <v>43947</v>
      </c>
      <c r="K482">
        <f t="shared" si="14"/>
        <v>42.424999999999997</v>
      </c>
    </row>
    <row r="483" spans="1:11" x14ac:dyDescent="0.25">
      <c r="A483">
        <v>25</v>
      </c>
      <c r="B483" t="s">
        <v>13</v>
      </c>
      <c r="C483">
        <v>2020</v>
      </c>
      <c r="D483">
        <v>77.5</v>
      </c>
      <c r="E483" t="s">
        <v>9</v>
      </c>
      <c r="F483">
        <v>27.5</v>
      </c>
      <c r="G483" s="1">
        <f>DATE(C483, CHOOSE(MATCH(UPPER(B483), {"ENERO","FEBRERO","MARZO","ABRIL","MAYO","JUNIO","JULIO","AGOSTO","SEPTIEMBRE","OCTUBRE","NOVIEMBRE","DICIEMBRE"}, 0), 1,2,3,4,5,6,7,8,9,10,11,12), A483)</f>
        <v>43946</v>
      </c>
      <c r="H483">
        <v>50</v>
      </c>
      <c r="I483">
        <v>36000</v>
      </c>
      <c r="J483" s="1">
        <f t="shared" si="15"/>
        <v>43948</v>
      </c>
      <c r="K483">
        <f t="shared" si="14"/>
        <v>18.95</v>
      </c>
    </row>
    <row r="484" spans="1:11" x14ac:dyDescent="0.25">
      <c r="A484">
        <v>26</v>
      </c>
      <c r="B484" t="s">
        <v>13</v>
      </c>
      <c r="C484">
        <v>2020</v>
      </c>
      <c r="D484">
        <v>27.5</v>
      </c>
      <c r="E484">
        <v>210</v>
      </c>
      <c r="F484">
        <v>195.07499999999999</v>
      </c>
      <c r="G484" s="1">
        <f>DATE(C484, CHOOSE(MATCH(UPPER(B484), {"ENERO","FEBRERO","MARZO","ABRIL","MAYO","JUNIO","JULIO","AGOSTO","SEPTIEMBRE","OCTUBRE","NOVIEMBRE","DICIEMBRE"}, 0), 1,2,3,4,5,6,7,8,9,10,11,12), A484)</f>
        <v>43947</v>
      </c>
      <c r="H484">
        <v>42.424999999999997</v>
      </c>
      <c r="I484">
        <v>36000</v>
      </c>
      <c r="J484" s="1">
        <f t="shared" si="15"/>
        <v>43949</v>
      </c>
      <c r="K484">
        <f t="shared" si="14"/>
        <v>21</v>
      </c>
    </row>
    <row r="485" spans="1:11" x14ac:dyDescent="0.25">
      <c r="A485">
        <v>27</v>
      </c>
      <c r="B485" t="s">
        <v>13</v>
      </c>
      <c r="C485">
        <v>2020</v>
      </c>
      <c r="D485">
        <v>195.07499999999999</v>
      </c>
      <c r="E485" t="s">
        <v>9</v>
      </c>
      <c r="F485">
        <v>176.125</v>
      </c>
      <c r="G485" s="1">
        <f>DATE(C485, CHOOSE(MATCH(UPPER(B485), {"ENERO","FEBRERO","MARZO","ABRIL","MAYO","JUNIO","JULIO","AGOSTO","SEPTIEMBRE","OCTUBRE","NOVIEMBRE","DICIEMBRE"}, 0), 1,2,3,4,5,6,7,8,9,10,11,12), A485)</f>
        <v>43948</v>
      </c>
      <c r="H485">
        <v>18.95</v>
      </c>
      <c r="I485">
        <v>36000</v>
      </c>
      <c r="J485" s="1">
        <f t="shared" si="15"/>
        <v>43950</v>
      </c>
      <c r="K485">
        <f t="shared" si="14"/>
        <v>23.625</v>
      </c>
    </row>
    <row r="486" spans="1:11" x14ac:dyDescent="0.25">
      <c r="A486">
        <v>28</v>
      </c>
      <c r="B486" t="s">
        <v>13</v>
      </c>
      <c r="C486">
        <v>2020</v>
      </c>
      <c r="D486">
        <v>176.125</v>
      </c>
      <c r="E486" t="s">
        <v>9</v>
      </c>
      <c r="F486">
        <v>155.125</v>
      </c>
      <c r="G486" s="1">
        <f>DATE(C486, CHOOSE(MATCH(UPPER(B486), {"ENERO","FEBRERO","MARZO","ABRIL","MAYO","JUNIO","JULIO","AGOSTO","SEPTIEMBRE","OCTUBRE","NOVIEMBRE","DICIEMBRE"}, 0), 1,2,3,4,5,6,7,8,9,10,11,12), A486)</f>
        <v>43949</v>
      </c>
      <c r="H486">
        <v>21</v>
      </c>
      <c r="I486">
        <v>36000</v>
      </c>
      <c r="J486" s="1">
        <f t="shared" si="15"/>
        <v>43951</v>
      </c>
      <c r="K486">
        <f t="shared" si="14"/>
        <v>39.475000000000001</v>
      </c>
    </row>
    <row r="487" spans="1:11" x14ac:dyDescent="0.25">
      <c r="A487">
        <v>29</v>
      </c>
      <c r="B487" t="s">
        <v>13</v>
      </c>
      <c r="C487">
        <v>2020</v>
      </c>
      <c r="D487">
        <v>155.125</v>
      </c>
      <c r="E487" t="s">
        <v>9</v>
      </c>
      <c r="F487">
        <v>131.5</v>
      </c>
      <c r="G487" s="1">
        <f>DATE(C487, CHOOSE(MATCH(UPPER(B487), {"ENERO","FEBRERO","MARZO","ABRIL","MAYO","JUNIO","JULIO","AGOSTO","SEPTIEMBRE","OCTUBRE","NOVIEMBRE","DICIEMBRE"}, 0), 1,2,3,4,5,6,7,8,9,10,11,12), A487)</f>
        <v>43950</v>
      </c>
      <c r="H487">
        <v>23.625</v>
      </c>
      <c r="I487">
        <v>36000</v>
      </c>
      <c r="J487" s="1">
        <f t="shared" si="15"/>
        <v>43952</v>
      </c>
      <c r="K487">
        <f t="shared" si="14"/>
        <v>31.524999999999999</v>
      </c>
    </row>
    <row r="488" spans="1:11" x14ac:dyDescent="0.25">
      <c r="A488">
        <v>30</v>
      </c>
      <c r="B488" t="s">
        <v>13</v>
      </c>
      <c r="C488">
        <v>2020</v>
      </c>
      <c r="D488">
        <v>131.5</v>
      </c>
      <c r="E488" t="s">
        <v>9</v>
      </c>
      <c r="F488">
        <v>92.025000000000006</v>
      </c>
      <c r="G488" s="1">
        <f>DATE(C488, CHOOSE(MATCH(UPPER(B488), {"ENERO","FEBRERO","MARZO","ABRIL","MAYO","JUNIO","JULIO","AGOSTO","SEPTIEMBRE","OCTUBRE","NOVIEMBRE","DICIEMBRE"}, 0), 1,2,3,4,5,6,7,8,9,10,11,12), A488)</f>
        <v>43951</v>
      </c>
      <c r="H488">
        <v>39.475000000000001</v>
      </c>
      <c r="I488">
        <v>36000</v>
      </c>
      <c r="J488" s="1">
        <f t="shared" si="15"/>
        <v>43953</v>
      </c>
      <c r="K488">
        <f t="shared" si="14"/>
        <v>45.5</v>
      </c>
    </row>
    <row r="489" spans="1:11" x14ac:dyDescent="0.25">
      <c r="A489">
        <v>1</v>
      </c>
      <c r="B489" t="s">
        <v>14</v>
      </c>
      <c r="C489">
        <v>2020</v>
      </c>
      <c r="D489">
        <v>92.025000000000006</v>
      </c>
      <c r="E489" t="s">
        <v>9</v>
      </c>
      <c r="F489">
        <v>60.5</v>
      </c>
      <c r="G489" s="1">
        <f>DATE(C489, CHOOSE(MATCH(UPPER(B489), {"ENERO","FEBRERO","MARZO","ABRIL","MAYO","JUNIO","JULIO","AGOSTO","SEPTIEMBRE","OCTUBRE","NOVIEMBRE","DICIEMBRE"}, 0), 1,2,3,4,5,6,7,8,9,10,11,12), A489)</f>
        <v>43952</v>
      </c>
      <c r="H489">
        <v>31.524999999999999</v>
      </c>
      <c r="I489">
        <v>36000</v>
      </c>
      <c r="J489" s="1">
        <f t="shared" si="15"/>
        <v>43954</v>
      </c>
      <c r="K489">
        <f t="shared" si="14"/>
        <v>33</v>
      </c>
    </row>
    <row r="490" spans="1:11" x14ac:dyDescent="0.25">
      <c r="A490">
        <v>2</v>
      </c>
      <c r="B490" t="s">
        <v>14</v>
      </c>
      <c r="C490">
        <v>2020</v>
      </c>
      <c r="D490">
        <v>60.5</v>
      </c>
      <c r="E490">
        <v>210</v>
      </c>
      <c r="F490">
        <v>225</v>
      </c>
      <c r="G490" s="1">
        <f>DATE(C490, CHOOSE(MATCH(UPPER(B490), {"ENERO","FEBRERO","MARZO","ABRIL","MAYO","JUNIO","JULIO","AGOSTO","SEPTIEMBRE","OCTUBRE","NOVIEMBRE","DICIEMBRE"}, 0), 1,2,3,4,5,6,7,8,9,10,11,12), A490)</f>
        <v>43953</v>
      </c>
      <c r="H490">
        <v>45.5</v>
      </c>
      <c r="I490">
        <v>36000</v>
      </c>
      <c r="J490" s="1">
        <f t="shared" si="15"/>
        <v>43955</v>
      </c>
      <c r="K490">
        <f t="shared" si="14"/>
        <v>18.5</v>
      </c>
    </row>
    <row r="491" spans="1:11" x14ac:dyDescent="0.25">
      <c r="A491">
        <v>3</v>
      </c>
      <c r="B491" t="s">
        <v>14</v>
      </c>
      <c r="C491">
        <v>2020</v>
      </c>
      <c r="D491">
        <v>225</v>
      </c>
      <c r="E491" t="s">
        <v>9</v>
      </c>
      <c r="F491">
        <v>192</v>
      </c>
      <c r="G491" s="1">
        <f>DATE(C491, CHOOSE(MATCH(UPPER(B491), {"ENERO","FEBRERO","MARZO","ABRIL","MAYO","JUNIO","JULIO","AGOSTO","SEPTIEMBRE","OCTUBRE","NOVIEMBRE","DICIEMBRE"}, 0), 1,2,3,4,5,6,7,8,9,10,11,12), A491)</f>
        <v>43954</v>
      </c>
      <c r="H491">
        <v>33</v>
      </c>
      <c r="I491">
        <v>36000</v>
      </c>
      <c r="J491" s="1">
        <f t="shared" si="15"/>
        <v>43956</v>
      </c>
      <c r="K491">
        <f t="shared" si="14"/>
        <v>14</v>
      </c>
    </row>
    <row r="492" spans="1:11" x14ac:dyDescent="0.25">
      <c r="A492">
        <v>4</v>
      </c>
      <c r="B492" t="s">
        <v>14</v>
      </c>
      <c r="C492">
        <v>2020</v>
      </c>
      <c r="D492">
        <v>192</v>
      </c>
      <c r="E492" t="s">
        <v>9</v>
      </c>
      <c r="F492">
        <v>173.5</v>
      </c>
      <c r="G492" s="1">
        <f>DATE(C492, CHOOSE(MATCH(UPPER(B492), {"ENERO","FEBRERO","MARZO","ABRIL","MAYO","JUNIO","JULIO","AGOSTO","SEPTIEMBRE","OCTUBRE","NOVIEMBRE","DICIEMBRE"}, 0), 1,2,3,4,5,6,7,8,9,10,11,12), A492)</f>
        <v>43955</v>
      </c>
      <c r="H492">
        <v>18.5</v>
      </c>
      <c r="I492">
        <v>36000</v>
      </c>
      <c r="J492" s="1">
        <f t="shared" si="15"/>
        <v>43957</v>
      </c>
      <c r="K492">
        <f t="shared" si="14"/>
        <v>17.5</v>
      </c>
    </row>
    <row r="493" spans="1:11" x14ac:dyDescent="0.25">
      <c r="A493">
        <v>5</v>
      </c>
      <c r="B493" t="s">
        <v>14</v>
      </c>
      <c r="C493">
        <v>2020</v>
      </c>
      <c r="D493">
        <v>173.5</v>
      </c>
      <c r="E493" t="s">
        <v>9</v>
      </c>
      <c r="F493">
        <v>159.5</v>
      </c>
      <c r="G493" s="1">
        <f>DATE(C493, CHOOSE(MATCH(UPPER(B493), {"ENERO","FEBRERO","MARZO","ABRIL","MAYO","JUNIO","JULIO","AGOSTO","SEPTIEMBRE","OCTUBRE","NOVIEMBRE","DICIEMBRE"}, 0), 1,2,3,4,5,6,7,8,9,10,11,12), A493)</f>
        <v>43956</v>
      </c>
      <c r="H493">
        <v>14</v>
      </c>
      <c r="I493">
        <v>36000</v>
      </c>
      <c r="J493" s="1">
        <f t="shared" si="15"/>
        <v>43958</v>
      </c>
      <c r="K493">
        <f t="shared" si="14"/>
        <v>23.5</v>
      </c>
    </row>
    <row r="494" spans="1:11" x14ac:dyDescent="0.25">
      <c r="A494">
        <v>6</v>
      </c>
      <c r="B494" t="s">
        <v>14</v>
      </c>
      <c r="C494">
        <v>2020</v>
      </c>
      <c r="D494">
        <v>159.5</v>
      </c>
      <c r="E494" t="s">
        <v>9</v>
      </c>
      <c r="F494">
        <v>142</v>
      </c>
      <c r="G494" s="1">
        <f>DATE(C494, CHOOSE(MATCH(UPPER(B494), {"ENERO","FEBRERO","MARZO","ABRIL","MAYO","JUNIO","JULIO","AGOSTO","SEPTIEMBRE","OCTUBRE","NOVIEMBRE","DICIEMBRE"}, 0), 1,2,3,4,5,6,7,8,9,10,11,12), A494)</f>
        <v>43957</v>
      </c>
      <c r="H494">
        <v>17.5</v>
      </c>
      <c r="I494">
        <v>36000</v>
      </c>
      <c r="J494" s="1">
        <f t="shared" si="15"/>
        <v>43959</v>
      </c>
      <c r="K494">
        <f t="shared" si="14"/>
        <v>30</v>
      </c>
    </row>
    <row r="495" spans="1:11" x14ac:dyDescent="0.25">
      <c r="A495">
        <v>7</v>
      </c>
      <c r="B495" t="s">
        <v>14</v>
      </c>
      <c r="C495">
        <v>2020</v>
      </c>
      <c r="D495">
        <v>142</v>
      </c>
      <c r="E495" t="s">
        <v>9</v>
      </c>
      <c r="F495">
        <v>118.5</v>
      </c>
      <c r="G495" s="1">
        <f>DATE(C495, CHOOSE(MATCH(UPPER(B495), {"ENERO","FEBRERO","MARZO","ABRIL","MAYO","JUNIO","JULIO","AGOSTO","SEPTIEMBRE","OCTUBRE","NOVIEMBRE","DICIEMBRE"}, 0), 1,2,3,4,5,6,7,8,9,10,11,12), A495)</f>
        <v>43958</v>
      </c>
      <c r="H495">
        <v>23.5</v>
      </c>
      <c r="I495">
        <v>36000</v>
      </c>
      <c r="J495" s="1">
        <f t="shared" si="15"/>
        <v>43960</v>
      </c>
      <c r="K495">
        <f t="shared" si="14"/>
        <v>38.5</v>
      </c>
    </row>
    <row r="496" spans="1:11" x14ac:dyDescent="0.25">
      <c r="A496">
        <v>8</v>
      </c>
      <c r="B496" t="s">
        <v>14</v>
      </c>
      <c r="C496">
        <v>2020</v>
      </c>
      <c r="D496">
        <v>118.5</v>
      </c>
      <c r="E496">
        <v>197</v>
      </c>
      <c r="F496">
        <v>285.5</v>
      </c>
      <c r="G496" s="1">
        <f>DATE(C496, CHOOSE(MATCH(UPPER(B496), {"ENERO","FEBRERO","MARZO","ABRIL","MAYO","JUNIO","JULIO","AGOSTO","SEPTIEMBRE","OCTUBRE","NOVIEMBRE","DICIEMBRE"}, 0), 1,2,3,4,5,6,7,8,9,10,11,12), A496)</f>
        <v>43959</v>
      </c>
      <c r="H496">
        <v>30</v>
      </c>
      <c r="I496">
        <v>36000</v>
      </c>
      <c r="J496" s="1">
        <f t="shared" si="15"/>
        <v>43961</v>
      </c>
      <c r="K496">
        <f t="shared" si="14"/>
        <v>62.375</v>
      </c>
    </row>
    <row r="497" spans="1:11" x14ac:dyDescent="0.25">
      <c r="A497">
        <v>9</v>
      </c>
      <c r="B497" t="s">
        <v>14</v>
      </c>
      <c r="C497">
        <v>2020</v>
      </c>
      <c r="D497">
        <v>285.5</v>
      </c>
      <c r="E497" t="s">
        <v>9</v>
      </c>
      <c r="F497">
        <v>247</v>
      </c>
      <c r="G497" s="1">
        <f>DATE(C497, CHOOSE(MATCH(UPPER(B497), {"ENERO","FEBRERO","MARZO","ABRIL","MAYO","JUNIO","JULIO","AGOSTO","SEPTIEMBRE","OCTUBRE","NOVIEMBRE","DICIEMBRE"}, 0), 1,2,3,4,5,6,7,8,9,10,11,12), A497)</f>
        <v>43960</v>
      </c>
      <c r="H497">
        <v>38.5</v>
      </c>
      <c r="I497">
        <v>36000</v>
      </c>
      <c r="J497" s="1">
        <f t="shared" si="15"/>
        <v>43962</v>
      </c>
      <c r="K497">
        <f t="shared" si="14"/>
        <v>24.625</v>
      </c>
    </row>
    <row r="498" spans="1:11" x14ac:dyDescent="0.25">
      <c r="A498">
        <v>10</v>
      </c>
      <c r="B498" t="s">
        <v>14</v>
      </c>
      <c r="C498">
        <v>2020</v>
      </c>
      <c r="D498">
        <v>247</v>
      </c>
      <c r="E498" t="s">
        <v>9</v>
      </c>
      <c r="F498">
        <v>184.625</v>
      </c>
      <c r="G498" s="1">
        <f>DATE(C498, CHOOSE(MATCH(UPPER(B498), {"ENERO","FEBRERO","MARZO","ABRIL","MAYO","JUNIO","JULIO","AGOSTO","SEPTIEMBRE","OCTUBRE","NOVIEMBRE","DICIEMBRE"}, 0), 1,2,3,4,5,6,7,8,9,10,11,12), A498)</f>
        <v>43961</v>
      </c>
      <c r="H498">
        <v>62.375</v>
      </c>
      <c r="I498">
        <v>36000</v>
      </c>
      <c r="J498" s="1">
        <f t="shared" si="15"/>
        <v>43963</v>
      </c>
      <c r="K498">
        <f t="shared" si="14"/>
        <v>29.5</v>
      </c>
    </row>
    <row r="499" spans="1:11" x14ac:dyDescent="0.25">
      <c r="A499">
        <v>11</v>
      </c>
      <c r="B499" t="s">
        <v>14</v>
      </c>
      <c r="C499">
        <v>2020</v>
      </c>
      <c r="D499">
        <v>184.625</v>
      </c>
      <c r="E499">
        <v>-1</v>
      </c>
      <c r="F499">
        <v>159</v>
      </c>
      <c r="G499" s="1">
        <f>DATE(C499, CHOOSE(MATCH(UPPER(B499), {"ENERO","FEBRERO","MARZO","ABRIL","MAYO","JUNIO","JULIO","AGOSTO","SEPTIEMBRE","OCTUBRE","NOVIEMBRE","DICIEMBRE"}, 0), 1,2,3,4,5,6,7,8,9,10,11,12), A499)</f>
        <v>43962</v>
      </c>
      <c r="H499">
        <v>24.625</v>
      </c>
      <c r="I499">
        <v>36000</v>
      </c>
      <c r="J499" s="1">
        <f t="shared" si="15"/>
        <v>43964</v>
      </c>
      <c r="K499">
        <f t="shared" si="14"/>
        <v>15</v>
      </c>
    </row>
    <row r="500" spans="1:11" x14ac:dyDescent="0.25">
      <c r="A500">
        <v>12</v>
      </c>
      <c r="B500" t="s">
        <v>14</v>
      </c>
      <c r="C500">
        <v>2020</v>
      </c>
      <c r="D500">
        <v>159</v>
      </c>
      <c r="E500" t="s">
        <v>9</v>
      </c>
      <c r="F500">
        <v>129.5</v>
      </c>
      <c r="G500" s="1">
        <f>DATE(C500, CHOOSE(MATCH(UPPER(B500), {"ENERO","FEBRERO","MARZO","ABRIL","MAYO","JUNIO","JULIO","AGOSTO","SEPTIEMBRE","OCTUBRE","NOVIEMBRE","DICIEMBRE"}, 0), 1,2,3,4,5,6,7,8,9,10,11,12), A500)</f>
        <v>43963</v>
      </c>
      <c r="H500">
        <v>29.5</v>
      </c>
      <c r="I500">
        <v>36000</v>
      </c>
      <c r="J500" s="1">
        <f t="shared" si="15"/>
        <v>43965</v>
      </c>
      <c r="K500">
        <f t="shared" si="14"/>
        <v>26.375</v>
      </c>
    </row>
    <row r="501" spans="1:11" x14ac:dyDescent="0.25">
      <c r="A501">
        <v>13</v>
      </c>
      <c r="B501" t="s">
        <v>14</v>
      </c>
      <c r="C501">
        <v>2020</v>
      </c>
      <c r="D501">
        <v>129.5</v>
      </c>
      <c r="E501" t="s">
        <v>9</v>
      </c>
      <c r="F501">
        <v>114.5</v>
      </c>
      <c r="G501" s="1">
        <f>DATE(C501, CHOOSE(MATCH(UPPER(B501), {"ENERO","FEBRERO","MARZO","ABRIL","MAYO","JUNIO","JULIO","AGOSTO","SEPTIEMBRE","OCTUBRE","NOVIEMBRE","DICIEMBRE"}, 0), 1,2,3,4,5,6,7,8,9,10,11,12), A501)</f>
        <v>43964</v>
      </c>
      <c r="H501">
        <v>15</v>
      </c>
      <c r="I501">
        <v>36000</v>
      </c>
      <c r="J501" s="1">
        <f t="shared" si="15"/>
        <v>43966</v>
      </c>
      <c r="K501">
        <f t="shared" si="14"/>
        <v>37.875</v>
      </c>
    </row>
    <row r="502" spans="1:11" x14ac:dyDescent="0.25">
      <c r="A502">
        <v>14</v>
      </c>
      <c r="B502" t="s">
        <v>14</v>
      </c>
      <c r="C502">
        <v>2020</v>
      </c>
      <c r="D502">
        <v>114.5</v>
      </c>
      <c r="E502" t="s">
        <v>9</v>
      </c>
      <c r="F502">
        <v>88.125</v>
      </c>
      <c r="G502" s="1">
        <f>DATE(C502, CHOOSE(MATCH(UPPER(B502), {"ENERO","FEBRERO","MARZO","ABRIL","MAYO","JUNIO","JULIO","AGOSTO","SEPTIEMBRE","OCTUBRE","NOVIEMBRE","DICIEMBRE"}, 0), 1,2,3,4,5,6,7,8,9,10,11,12), A502)</f>
        <v>43965</v>
      </c>
      <c r="H502">
        <v>26.375</v>
      </c>
      <c r="I502">
        <v>36000</v>
      </c>
      <c r="J502" s="1">
        <f t="shared" si="15"/>
        <v>43967</v>
      </c>
      <c r="K502">
        <f t="shared" si="14"/>
        <v>46</v>
      </c>
    </row>
    <row r="503" spans="1:11" x14ac:dyDescent="0.25">
      <c r="A503">
        <v>15</v>
      </c>
      <c r="B503" t="s">
        <v>14</v>
      </c>
      <c r="C503">
        <v>2020</v>
      </c>
      <c r="D503">
        <v>88.125</v>
      </c>
      <c r="E503" t="s">
        <v>9</v>
      </c>
      <c r="F503">
        <v>50.25</v>
      </c>
      <c r="G503" s="1">
        <f>DATE(C503, CHOOSE(MATCH(UPPER(B503), {"ENERO","FEBRERO","MARZO","ABRIL","MAYO","JUNIO","JULIO","AGOSTO","SEPTIEMBRE","OCTUBRE","NOVIEMBRE","DICIEMBRE"}, 0), 1,2,3,4,5,6,7,8,9,10,11,12), A503)</f>
        <v>43966</v>
      </c>
      <c r="H503">
        <v>37.875</v>
      </c>
      <c r="I503">
        <v>36000</v>
      </c>
      <c r="J503" s="1">
        <f t="shared" si="15"/>
        <v>43968</v>
      </c>
      <c r="K503">
        <f t="shared" si="14"/>
        <v>52.75</v>
      </c>
    </row>
    <row r="504" spans="1:11" x14ac:dyDescent="0.25">
      <c r="A504">
        <v>16</v>
      </c>
      <c r="B504" t="s">
        <v>14</v>
      </c>
      <c r="C504">
        <v>2020</v>
      </c>
      <c r="D504">
        <v>50.25</v>
      </c>
      <c r="E504">
        <v>199</v>
      </c>
      <c r="F504">
        <v>203.25</v>
      </c>
      <c r="G504" s="1">
        <f>DATE(C504, CHOOSE(MATCH(UPPER(B504), {"ENERO","FEBRERO","MARZO","ABRIL","MAYO","JUNIO","JULIO","AGOSTO","SEPTIEMBRE","OCTUBRE","NOVIEMBRE","DICIEMBRE"}, 0), 1,2,3,4,5,6,7,8,9,10,11,12), A504)</f>
        <v>43967</v>
      </c>
      <c r="H504">
        <v>46</v>
      </c>
      <c r="I504">
        <v>36000</v>
      </c>
      <c r="J504" s="1">
        <f t="shared" si="15"/>
        <v>43969</v>
      </c>
      <c r="K504">
        <f t="shared" si="14"/>
        <v>17.5</v>
      </c>
    </row>
    <row r="505" spans="1:11" x14ac:dyDescent="0.25">
      <c r="A505">
        <v>17</v>
      </c>
      <c r="B505" t="s">
        <v>14</v>
      </c>
      <c r="C505">
        <v>2020</v>
      </c>
      <c r="D505">
        <v>203.25</v>
      </c>
      <c r="E505" t="s">
        <v>9</v>
      </c>
      <c r="F505">
        <v>150.5</v>
      </c>
      <c r="G505" s="1">
        <f>DATE(C505, CHOOSE(MATCH(UPPER(B505), {"ENERO","FEBRERO","MARZO","ABRIL","MAYO","JUNIO","JULIO","AGOSTO","SEPTIEMBRE","OCTUBRE","NOVIEMBRE","DICIEMBRE"}, 0), 1,2,3,4,5,6,7,8,9,10,11,12), A505)</f>
        <v>43968</v>
      </c>
      <c r="H505">
        <v>52.75</v>
      </c>
      <c r="I505">
        <v>36000</v>
      </c>
      <c r="J505" s="1">
        <f t="shared" si="15"/>
        <v>43970</v>
      </c>
      <c r="K505">
        <f t="shared" si="14"/>
        <v>18.25</v>
      </c>
    </row>
    <row r="506" spans="1:11" x14ac:dyDescent="0.25">
      <c r="A506">
        <v>18</v>
      </c>
      <c r="B506" t="s">
        <v>14</v>
      </c>
      <c r="C506">
        <v>2020</v>
      </c>
      <c r="D506">
        <v>150.5</v>
      </c>
      <c r="E506" t="s">
        <v>9</v>
      </c>
      <c r="F506">
        <v>133</v>
      </c>
      <c r="G506" s="1">
        <f>DATE(C506, CHOOSE(MATCH(UPPER(B506), {"ENERO","FEBRERO","MARZO","ABRIL","MAYO","JUNIO","JULIO","AGOSTO","SEPTIEMBRE","OCTUBRE","NOVIEMBRE","DICIEMBRE"}, 0), 1,2,3,4,5,6,7,8,9,10,11,12), A506)</f>
        <v>43969</v>
      </c>
      <c r="H506">
        <v>17.5</v>
      </c>
      <c r="I506">
        <v>36000</v>
      </c>
      <c r="J506" s="1">
        <f t="shared" si="15"/>
        <v>43971</v>
      </c>
      <c r="K506">
        <f t="shared" si="14"/>
        <v>24.5</v>
      </c>
    </row>
    <row r="507" spans="1:11" x14ac:dyDescent="0.25">
      <c r="A507">
        <v>19</v>
      </c>
      <c r="B507" t="s">
        <v>14</v>
      </c>
      <c r="C507">
        <v>2020</v>
      </c>
      <c r="D507">
        <v>133</v>
      </c>
      <c r="E507" t="s">
        <v>9</v>
      </c>
      <c r="F507">
        <v>114.75</v>
      </c>
      <c r="G507" s="1">
        <f>DATE(C507, CHOOSE(MATCH(UPPER(B507), {"ENERO","FEBRERO","MARZO","ABRIL","MAYO","JUNIO","JULIO","AGOSTO","SEPTIEMBRE","OCTUBRE","NOVIEMBRE","DICIEMBRE"}, 0), 1,2,3,4,5,6,7,8,9,10,11,12), A507)</f>
        <v>43970</v>
      </c>
      <c r="H507">
        <v>18.25</v>
      </c>
      <c r="I507">
        <v>36000</v>
      </c>
      <c r="J507" s="1">
        <f t="shared" si="15"/>
        <v>43972</v>
      </c>
      <c r="K507">
        <f t="shared" si="14"/>
        <v>28</v>
      </c>
    </row>
    <row r="508" spans="1:11" x14ac:dyDescent="0.25">
      <c r="A508">
        <v>20</v>
      </c>
      <c r="B508" t="s">
        <v>14</v>
      </c>
      <c r="C508">
        <v>2020</v>
      </c>
      <c r="D508">
        <v>114.75</v>
      </c>
      <c r="E508" t="s">
        <v>9</v>
      </c>
      <c r="F508">
        <v>90.25</v>
      </c>
      <c r="G508" s="1">
        <f>DATE(C508, CHOOSE(MATCH(UPPER(B508), {"ENERO","FEBRERO","MARZO","ABRIL","MAYO","JUNIO","JULIO","AGOSTO","SEPTIEMBRE","OCTUBRE","NOVIEMBRE","DICIEMBRE"}, 0), 1,2,3,4,5,6,7,8,9,10,11,12), A508)</f>
        <v>43971</v>
      </c>
      <c r="H508">
        <v>24.5</v>
      </c>
      <c r="I508">
        <v>36000</v>
      </c>
      <c r="J508" s="1">
        <f t="shared" si="15"/>
        <v>43973</v>
      </c>
      <c r="K508">
        <f t="shared" si="14"/>
        <v>32.25</v>
      </c>
    </row>
    <row r="509" spans="1:11" x14ac:dyDescent="0.25">
      <c r="A509">
        <v>21</v>
      </c>
      <c r="B509" t="s">
        <v>14</v>
      </c>
      <c r="C509">
        <v>2020</v>
      </c>
      <c r="D509">
        <v>90.25</v>
      </c>
      <c r="E509" t="s">
        <v>9</v>
      </c>
      <c r="F509">
        <v>62.25</v>
      </c>
      <c r="G509" s="1">
        <f>DATE(C509, CHOOSE(MATCH(UPPER(B509), {"ENERO","FEBRERO","MARZO","ABRIL","MAYO","JUNIO","JULIO","AGOSTO","SEPTIEMBRE","OCTUBRE","NOVIEMBRE","DICIEMBRE"}, 0), 1,2,3,4,5,6,7,8,9,10,11,12), A509)</f>
        <v>43972</v>
      </c>
      <c r="H509">
        <v>28</v>
      </c>
      <c r="I509">
        <v>36000</v>
      </c>
      <c r="J509" s="1">
        <f t="shared" si="15"/>
        <v>43974</v>
      </c>
      <c r="K509">
        <f t="shared" si="14"/>
        <v>37</v>
      </c>
    </row>
    <row r="510" spans="1:11" x14ac:dyDescent="0.25">
      <c r="A510">
        <v>22</v>
      </c>
      <c r="B510" t="s">
        <v>14</v>
      </c>
      <c r="C510">
        <v>2020</v>
      </c>
      <c r="D510">
        <v>62.25</v>
      </c>
      <c r="E510">
        <v>210</v>
      </c>
      <c r="F510">
        <v>240</v>
      </c>
      <c r="G510" s="1">
        <f>DATE(C510, CHOOSE(MATCH(UPPER(B510), {"ENERO","FEBRERO","MARZO","ABRIL","MAYO","JUNIO","JULIO","AGOSTO","SEPTIEMBRE","OCTUBRE","NOVIEMBRE","DICIEMBRE"}, 0), 1,2,3,4,5,6,7,8,9,10,11,12), A510)</f>
        <v>43973</v>
      </c>
      <c r="H510">
        <v>32.25</v>
      </c>
      <c r="I510">
        <v>36000</v>
      </c>
      <c r="J510" s="1">
        <f t="shared" si="15"/>
        <v>43975</v>
      </c>
      <c r="K510">
        <f t="shared" si="14"/>
        <v>41</v>
      </c>
    </row>
    <row r="511" spans="1:11" x14ac:dyDescent="0.25">
      <c r="A511">
        <v>23</v>
      </c>
      <c r="B511" t="s">
        <v>14</v>
      </c>
      <c r="C511">
        <v>2020</v>
      </c>
      <c r="D511">
        <v>240</v>
      </c>
      <c r="E511" t="s">
        <v>9</v>
      </c>
      <c r="F511">
        <v>203</v>
      </c>
      <c r="G511" s="1">
        <f>DATE(C511, CHOOSE(MATCH(UPPER(B511), {"ENERO","FEBRERO","MARZO","ABRIL","MAYO","JUNIO","JULIO","AGOSTO","SEPTIEMBRE","OCTUBRE","NOVIEMBRE","DICIEMBRE"}, 0), 1,2,3,4,5,6,7,8,9,10,11,12), A511)</f>
        <v>43974</v>
      </c>
      <c r="H511">
        <v>37</v>
      </c>
      <c r="I511">
        <v>36000</v>
      </c>
      <c r="J511" s="1">
        <f t="shared" si="15"/>
        <v>43976</v>
      </c>
      <c r="K511">
        <f t="shared" si="14"/>
        <v>44</v>
      </c>
    </row>
    <row r="512" spans="1:11" x14ac:dyDescent="0.25">
      <c r="A512">
        <v>24</v>
      </c>
      <c r="B512" t="s">
        <v>14</v>
      </c>
      <c r="C512">
        <v>2020</v>
      </c>
      <c r="D512">
        <v>203</v>
      </c>
      <c r="E512" t="s">
        <v>9</v>
      </c>
      <c r="F512">
        <v>162</v>
      </c>
      <c r="G512" s="1">
        <f>DATE(C512, CHOOSE(MATCH(UPPER(B512), {"ENERO","FEBRERO","MARZO","ABRIL","MAYO","JUNIO","JULIO","AGOSTO","SEPTIEMBRE","OCTUBRE","NOVIEMBRE","DICIEMBRE"}, 0), 1,2,3,4,5,6,7,8,9,10,11,12), A512)</f>
        <v>43975</v>
      </c>
      <c r="H512">
        <v>41</v>
      </c>
      <c r="I512">
        <v>36000</v>
      </c>
      <c r="J512" s="1">
        <f t="shared" si="15"/>
        <v>43977</v>
      </c>
      <c r="K512">
        <f t="shared" si="14"/>
        <v>16.125</v>
      </c>
    </row>
    <row r="513" spans="1:11" x14ac:dyDescent="0.25">
      <c r="A513">
        <v>25</v>
      </c>
      <c r="B513" t="s">
        <v>14</v>
      </c>
      <c r="C513">
        <v>2020</v>
      </c>
      <c r="D513">
        <v>162</v>
      </c>
      <c r="E513" t="s">
        <v>9</v>
      </c>
      <c r="F513">
        <v>118</v>
      </c>
      <c r="G513" s="1">
        <f>DATE(C513, CHOOSE(MATCH(UPPER(B513), {"ENERO","FEBRERO","MARZO","ABRIL","MAYO","JUNIO","JULIO","AGOSTO","SEPTIEMBRE","OCTUBRE","NOVIEMBRE","DICIEMBRE"}, 0), 1,2,3,4,5,6,7,8,9,10,11,12), A513)</f>
        <v>43976</v>
      </c>
      <c r="H513">
        <v>44</v>
      </c>
      <c r="I513">
        <v>36000</v>
      </c>
      <c r="J513" s="1">
        <f t="shared" si="15"/>
        <v>43978</v>
      </c>
      <c r="K513">
        <f t="shared" si="14"/>
        <v>29.375</v>
      </c>
    </row>
    <row r="514" spans="1:11" x14ac:dyDescent="0.25">
      <c r="A514">
        <v>26</v>
      </c>
      <c r="B514" t="s">
        <v>14</v>
      </c>
      <c r="C514">
        <v>2020</v>
      </c>
      <c r="D514">
        <v>118</v>
      </c>
      <c r="E514" t="s">
        <v>9</v>
      </c>
      <c r="F514">
        <v>101.875</v>
      </c>
      <c r="G514" s="1">
        <f>DATE(C514, CHOOSE(MATCH(UPPER(B514), {"ENERO","FEBRERO","MARZO","ABRIL","MAYO","JUNIO","JULIO","AGOSTO","SEPTIEMBRE","OCTUBRE","NOVIEMBRE","DICIEMBRE"}, 0), 1,2,3,4,5,6,7,8,9,10,11,12), A514)</f>
        <v>43977</v>
      </c>
      <c r="H514">
        <v>16.125</v>
      </c>
      <c r="I514">
        <v>36000</v>
      </c>
      <c r="J514" s="1">
        <f t="shared" si="15"/>
        <v>43979</v>
      </c>
      <c r="K514">
        <f t="shared" si="14"/>
        <v>29.5</v>
      </c>
    </row>
    <row r="515" spans="1:11" x14ac:dyDescent="0.25">
      <c r="A515">
        <v>27</v>
      </c>
      <c r="B515" t="s">
        <v>14</v>
      </c>
      <c r="C515">
        <v>2020</v>
      </c>
      <c r="D515">
        <v>101.875</v>
      </c>
      <c r="E515" t="s">
        <v>9</v>
      </c>
      <c r="F515">
        <v>72.5</v>
      </c>
      <c r="G515" s="1">
        <f>DATE(C515, CHOOSE(MATCH(UPPER(B515), {"ENERO","FEBRERO","MARZO","ABRIL","MAYO","JUNIO","JULIO","AGOSTO","SEPTIEMBRE","OCTUBRE","NOVIEMBRE","DICIEMBRE"}, 0), 1,2,3,4,5,6,7,8,9,10,11,12), A515)</f>
        <v>43978</v>
      </c>
      <c r="H515">
        <v>29.375</v>
      </c>
      <c r="I515">
        <v>36000</v>
      </c>
      <c r="J515" s="1">
        <f t="shared" si="15"/>
        <v>43980</v>
      </c>
      <c r="K515">
        <f t="shared" ref="K515:K578" si="16">VLOOKUP(J515, G:H, 2, FALSE)</f>
        <v>45</v>
      </c>
    </row>
    <row r="516" spans="1:11" x14ac:dyDescent="0.25">
      <c r="A516">
        <v>28</v>
      </c>
      <c r="B516" t="s">
        <v>14</v>
      </c>
      <c r="C516">
        <v>2020</v>
      </c>
      <c r="D516">
        <v>72.5</v>
      </c>
      <c r="E516" t="s">
        <v>9</v>
      </c>
      <c r="F516">
        <v>43</v>
      </c>
      <c r="G516" s="1">
        <f>DATE(C516, CHOOSE(MATCH(UPPER(B516), {"ENERO","FEBRERO","MARZO","ABRIL","MAYO","JUNIO","JULIO","AGOSTO","SEPTIEMBRE","OCTUBRE","NOVIEMBRE","DICIEMBRE"}, 0), 1,2,3,4,5,6,7,8,9,10,11,12), A516)</f>
        <v>43979</v>
      </c>
      <c r="H516">
        <v>29.5</v>
      </c>
      <c r="I516">
        <v>36000</v>
      </c>
      <c r="J516" s="1">
        <f t="shared" si="15"/>
        <v>43981</v>
      </c>
      <c r="K516">
        <f t="shared" si="16"/>
        <v>46</v>
      </c>
    </row>
    <row r="517" spans="1:11" x14ac:dyDescent="0.25">
      <c r="A517">
        <v>29</v>
      </c>
      <c r="B517" t="s">
        <v>14</v>
      </c>
      <c r="C517">
        <v>2020</v>
      </c>
      <c r="D517">
        <v>43</v>
      </c>
      <c r="E517">
        <v>210</v>
      </c>
      <c r="F517">
        <v>208</v>
      </c>
      <c r="G517" s="1">
        <f>DATE(C517, CHOOSE(MATCH(UPPER(B517), {"ENERO","FEBRERO","MARZO","ABRIL","MAYO","JUNIO","JULIO","AGOSTO","SEPTIEMBRE","OCTUBRE","NOVIEMBRE","DICIEMBRE"}, 0), 1,2,3,4,5,6,7,8,9,10,11,12), A517)</f>
        <v>43980</v>
      </c>
      <c r="H517">
        <v>45</v>
      </c>
      <c r="I517">
        <v>36000</v>
      </c>
      <c r="J517" s="1">
        <f t="shared" ref="J517:J580" si="17">DATE(2019,1,1) + ROW()-1</f>
        <v>43982</v>
      </c>
      <c r="K517">
        <f t="shared" si="16"/>
        <v>45</v>
      </c>
    </row>
    <row r="518" spans="1:11" x14ac:dyDescent="0.25">
      <c r="A518">
        <v>30</v>
      </c>
      <c r="B518" t="s">
        <v>14</v>
      </c>
      <c r="C518">
        <v>2020</v>
      </c>
      <c r="D518">
        <v>208</v>
      </c>
      <c r="E518" t="s">
        <v>9</v>
      </c>
      <c r="F518">
        <v>162</v>
      </c>
      <c r="G518" s="1">
        <f>DATE(C518, CHOOSE(MATCH(UPPER(B518), {"ENERO","FEBRERO","MARZO","ABRIL","MAYO","JUNIO","JULIO","AGOSTO","SEPTIEMBRE","OCTUBRE","NOVIEMBRE","DICIEMBRE"}, 0), 1,2,3,4,5,6,7,8,9,10,11,12), A518)</f>
        <v>43981</v>
      </c>
      <c r="H518">
        <v>46</v>
      </c>
      <c r="I518">
        <v>36000</v>
      </c>
      <c r="J518" s="1">
        <f t="shared" si="17"/>
        <v>43983</v>
      </c>
      <c r="K518">
        <f t="shared" si="16"/>
        <v>27.5</v>
      </c>
    </row>
    <row r="519" spans="1:11" x14ac:dyDescent="0.25">
      <c r="A519">
        <v>31</v>
      </c>
      <c r="B519" t="s">
        <v>14</v>
      </c>
      <c r="C519">
        <v>2020</v>
      </c>
      <c r="D519">
        <v>162</v>
      </c>
      <c r="E519" t="s">
        <v>9</v>
      </c>
      <c r="F519">
        <v>117</v>
      </c>
      <c r="G519" s="1">
        <f>DATE(C519, CHOOSE(MATCH(UPPER(B519), {"ENERO","FEBRERO","MARZO","ABRIL","MAYO","JUNIO","JULIO","AGOSTO","SEPTIEMBRE","OCTUBRE","NOVIEMBRE","DICIEMBRE"}, 0), 1,2,3,4,5,6,7,8,9,10,11,12), A519)</f>
        <v>43982</v>
      </c>
      <c r="H519">
        <v>45</v>
      </c>
      <c r="I519">
        <v>36000</v>
      </c>
      <c r="J519" s="1">
        <f t="shared" si="17"/>
        <v>43984</v>
      </c>
      <c r="K519">
        <f t="shared" si="16"/>
        <v>26.125</v>
      </c>
    </row>
    <row r="520" spans="1:11" x14ac:dyDescent="0.25">
      <c r="A520">
        <v>1</v>
      </c>
      <c r="B520" t="s">
        <v>15</v>
      </c>
      <c r="C520">
        <v>2020</v>
      </c>
      <c r="D520">
        <v>117</v>
      </c>
      <c r="E520" t="s">
        <v>9</v>
      </c>
      <c r="F520">
        <v>89.5</v>
      </c>
      <c r="G520" s="1">
        <f>DATE(C520, CHOOSE(MATCH(UPPER(B520), {"ENERO","FEBRERO","MARZO","ABRIL","MAYO","JUNIO","JULIO","AGOSTO","SEPTIEMBRE","OCTUBRE","NOVIEMBRE","DICIEMBRE"}, 0), 1,2,3,4,5,6,7,8,9,10,11,12), A520)</f>
        <v>43983</v>
      </c>
      <c r="H520">
        <v>27.5</v>
      </c>
      <c r="I520">
        <v>36000</v>
      </c>
      <c r="J520" s="1">
        <f t="shared" si="17"/>
        <v>43985</v>
      </c>
      <c r="K520">
        <f t="shared" si="16"/>
        <v>28.875</v>
      </c>
    </row>
    <row r="521" spans="1:11" x14ac:dyDescent="0.25">
      <c r="A521">
        <v>2</v>
      </c>
      <c r="B521" t="s">
        <v>15</v>
      </c>
      <c r="C521">
        <v>2020</v>
      </c>
      <c r="D521">
        <v>89.5</v>
      </c>
      <c r="E521" t="s">
        <v>9</v>
      </c>
      <c r="F521">
        <v>63.375</v>
      </c>
      <c r="G521" s="1">
        <f>DATE(C521, CHOOSE(MATCH(UPPER(B521), {"ENERO","FEBRERO","MARZO","ABRIL","MAYO","JUNIO","JULIO","AGOSTO","SEPTIEMBRE","OCTUBRE","NOVIEMBRE","DICIEMBRE"}, 0), 1,2,3,4,5,6,7,8,9,10,11,12), A521)</f>
        <v>43984</v>
      </c>
      <c r="H521">
        <v>26.125</v>
      </c>
      <c r="I521">
        <v>36000</v>
      </c>
      <c r="J521" s="1">
        <f t="shared" si="17"/>
        <v>43986</v>
      </c>
      <c r="K521">
        <f t="shared" si="16"/>
        <v>19.5</v>
      </c>
    </row>
    <row r="522" spans="1:11" x14ac:dyDescent="0.25">
      <c r="A522">
        <v>3</v>
      </c>
      <c r="B522" t="s">
        <v>15</v>
      </c>
      <c r="C522">
        <v>2020</v>
      </c>
      <c r="D522">
        <v>63.375</v>
      </c>
      <c r="E522" t="s">
        <v>9</v>
      </c>
      <c r="F522">
        <v>34.5</v>
      </c>
      <c r="G522" s="1">
        <f>DATE(C522, CHOOSE(MATCH(UPPER(B522), {"ENERO","FEBRERO","MARZO","ABRIL","MAYO","JUNIO","JULIO","AGOSTO","SEPTIEMBRE","OCTUBRE","NOVIEMBRE","DICIEMBRE"}, 0), 1,2,3,4,5,6,7,8,9,10,11,12), A522)</f>
        <v>43985</v>
      </c>
      <c r="H522">
        <v>28.875</v>
      </c>
      <c r="I522">
        <v>36000</v>
      </c>
      <c r="J522" s="1">
        <f t="shared" si="17"/>
        <v>43987</v>
      </c>
      <c r="K522">
        <f t="shared" si="16"/>
        <v>45</v>
      </c>
    </row>
    <row r="523" spans="1:11" x14ac:dyDescent="0.25">
      <c r="A523">
        <v>4</v>
      </c>
      <c r="B523" t="s">
        <v>15</v>
      </c>
      <c r="C523">
        <v>2020</v>
      </c>
      <c r="D523">
        <v>34.5</v>
      </c>
      <c r="E523">
        <v>211</v>
      </c>
      <c r="F523">
        <v>226</v>
      </c>
      <c r="G523" s="1">
        <f>DATE(C523, CHOOSE(MATCH(UPPER(B523), {"ENERO","FEBRERO","MARZO","ABRIL","MAYO","JUNIO","JULIO","AGOSTO","SEPTIEMBRE","OCTUBRE","NOVIEMBRE","DICIEMBRE"}, 0), 1,2,3,4,5,6,7,8,9,10,11,12), A523)</f>
        <v>43986</v>
      </c>
      <c r="H523">
        <v>19.5</v>
      </c>
      <c r="I523">
        <v>36000</v>
      </c>
      <c r="J523" s="1">
        <f t="shared" si="17"/>
        <v>43988</v>
      </c>
      <c r="K523">
        <f t="shared" si="16"/>
        <v>45</v>
      </c>
    </row>
    <row r="524" spans="1:11" x14ac:dyDescent="0.25">
      <c r="A524">
        <v>5</v>
      </c>
      <c r="B524" t="s">
        <v>15</v>
      </c>
      <c r="C524">
        <v>2020</v>
      </c>
      <c r="D524">
        <v>226</v>
      </c>
      <c r="E524" t="s">
        <v>9</v>
      </c>
      <c r="F524">
        <v>181</v>
      </c>
      <c r="G524" s="1">
        <f>DATE(C524, CHOOSE(MATCH(UPPER(B524), {"ENERO","FEBRERO","MARZO","ABRIL","MAYO","JUNIO","JULIO","AGOSTO","SEPTIEMBRE","OCTUBRE","NOVIEMBRE","DICIEMBRE"}, 0), 1,2,3,4,5,6,7,8,9,10,11,12), A524)</f>
        <v>43987</v>
      </c>
      <c r="H524">
        <v>45</v>
      </c>
      <c r="I524">
        <v>36000</v>
      </c>
      <c r="J524" s="1">
        <f t="shared" si="17"/>
        <v>43989</v>
      </c>
      <c r="K524">
        <f t="shared" si="16"/>
        <v>35</v>
      </c>
    </row>
    <row r="525" spans="1:11" x14ac:dyDescent="0.25">
      <c r="A525">
        <v>6</v>
      </c>
      <c r="B525" t="s">
        <v>15</v>
      </c>
      <c r="C525">
        <v>2020</v>
      </c>
      <c r="D525">
        <v>181</v>
      </c>
      <c r="E525" t="s">
        <v>9</v>
      </c>
      <c r="F525">
        <v>136</v>
      </c>
      <c r="G525" s="1">
        <f>DATE(C525, CHOOSE(MATCH(UPPER(B525), {"ENERO","FEBRERO","MARZO","ABRIL","MAYO","JUNIO","JULIO","AGOSTO","SEPTIEMBRE","OCTUBRE","NOVIEMBRE","DICIEMBRE"}, 0), 1,2,3,4,5,6,7,8,9,10,11,12), A525)</f>
        <v>43988</v>
      </c>
      <c r="H525">
        <v>45</v>
      </c>
      <c r="I525">
        <v>36000</v>
      </c>
      <c r="J525" s="1">
        <f t="shared" si="17"/>
        <v>43990</v>
      </c>
      <c r="K525">
        <f t="shared" si="16"/>
        <v>31.25</v>
      </c>
    </row>
    <row r="526" spans="1:11" x14ac:dyDescent="0.25">
      <c r="A526">
        <v>7</v>
      </c>
      <c r="B526" t="s">
        <v>15</v>
      </c>
      <c r="C526">
        <v>2020</v>
      </c>
      <c r="D526">
        <v>136</v>
      </c>
      <c r="E526" t="s">
        <v>9</v>
      </c>
      <c r="F526">
        <v>101</v>
      </c>
      <c r="G526" s="1">
        <f>DATE(C526, CHOOSE(MATCH(UPPER(B526), {"ENERO","FEBRERO","MARZO","ABRIL","MAYO","JUNIO","JULIO","AGOSTO","SEPTIEMBRE","OCTUBRE","NOVIEMBRE","DICIEMBRE"}, 0), 1,2,3,4,5,6,7,8,9,10,11,12), A526)</f>
        <v>43989</v>
      </c>
      <c r="H526">
        <v>35</v>
      </c>
      <c r="I526">
        <v>36000</v>
      </c>
      <c r="J526" s="1">
        <f t="shared" si="17"/>
        <v>43991</v>
      </c>
      <c r="K526">
        <f t="shared" si="16"/>
        <v>21</v>
      </c>
    </row>
    <row r="527" spans="1:11" x14ac:dyDescent="0.25">
      <c r="A527">
        <v>8</v>
      </c>
      <c r="B527" t="s">
        <v>15</v>
      </c>
      <c r="C527">
        <v>2020</v>
      </c>
      <c r="D527">
        <v>101</v>
      </c>
      <c r="E527" t="s">
        <v>9</v>
      </c>
      <c r="F527">
        <v>69.75</v>
      </c>
      <c r="G527" s="1">
        <f>DATE(C527, CHOOSE(MATCH(UPPER(B527), {"ENERO","FEBRERO","MARZO","ABRIL","MAYO","JUNIO","JULIO","AGOSTO","SEPTIEMBRE","OCTUBRE","NOVIEMBRE","DICIEMBRE"}, 0), 1,2,3,4,5,6,7,8,9,10,11,12), A527)</f>
        <v>43990</v>
      </c>
      <c r="H527">
        <v>31.25</v>
      </c>
      <c r="I527">
        <v>36000</v>
      </c>
      <c r="J527" s="1">
        <f t="shared" si="17"/>
        <v>43992</v>
      </c>
      <c r="K527">
        <f t="shared" si="16"/>
        <v>29</v>
      </c>
    </row>
    <row r="528" spans="1:11" x14ac:dyDescent="0.25">
      <c r="A528">
        <v>9</v>
      </c>
      <c r="B528" t="s">
        <v>15</v>
      </c>
      <c r="C528">
        <v>2020</v>
      </c>
      <c r="D528">
        <v>69.75</v>
      </c>
      <c r="E528" t="s">
        <v>9</v>
      </c>
      <c r="F528">
        <v>48.75</v>
      </c>
      <c r="G528" s="1">
        <f>DATE(C528, CHOOSE(MATCH(UPPER(B528), {"ENERO","FEBRERO","MARZO","ABRIL","MAYO","JUNIO","JULIO","AGOSTO","SEPTIEMBRE","OCTUBRE","NOVIEMBRE","DICIEMBRE"}, 0), 1,2,3,4,5,6,7,8,9,10,11,12), A528)</f>
        <v>43991</v>
      </c>
      <c r="H528">
        <v>21</v>
      </c>
      <c r="I528">
        <v>36000</v>
      </c>
      <c r="J528" s="1">
        <f t="shared" si="17"/>
        <v>43993</v>
      </c>
      <c r="K528">
        <f t="shared" si="16"/>
        <v>37.75</v>
      </c>
    </row>
    <row r="529" spans="1:11" x14ac:dyDescent="0.25">
      <c r="A529">
        <v>10</v>
      </c>
      <c r="B529" t="s">
        <v>15</v>
      </c>
      <c r="C529">
        <v>2020</v>
      </c>
      <c r="D529">
        <v>48.75</v>
      </c>
      <c r="E529">
        <v>175</v>
      </c>
      <c r="F529">
        <v>194.75</v>
      </c>
      <c r="G529" s="1">
        <f>DATE(C529, CHOOSE(MATCH(UPPER(B529), {"ENERO","FEBRERO","MARZO","ABRIL","MAYO","JUNIO","JULIO","AGOSTO","SEPTIEMBRE","OCTUBRE","NOVIEMBRE","DICIEMBRE"}, 0), 1,2,3,4,5,6,7,8,9,10,11,12), A529)</f>
        <v>43992</v>
      </c>
      <c r="H529">
        <v>29</v>
      </c>
      <c r="I529">
        <v>36000</v>
      </c>
      <c r="J529" s="1">
        <f t="shared" si="17"/>
        <v>43994</v>
      </c>
      <c r="K529">
        <f t="shared" si="16"/>
        <v>58.5</v>
      </c>
    </row>
    <row r="530" spans="1:11" x14ac:dyDescent="0.25">
      <c r="A530">
        <v>11</v>
      </c>
      <c r="B530" t="s">
        <v>15</v>
      </c>
      <c r="C530">
        <v>2020</v>
      </c>
      <c r="D530">
        <v>194.75</v>
      </c>
      <c r="E530" t="s">
        <v>9</v>
      </c>
      <c r="F530">
        <v>157</v>
      </c>
      <c r="G530" s="1">
        <f>DATE(C530, CHOOSE(MATCH(UPPER(B530), {"ENERO","FEBRERO","MARZO","ABRIL","MAYO","JUNIO","JULIO","AGOSTO","SEPTIEMBRE","OCTUBRE","NOVIEMBRE","DICIEMBRE"}, 0), 1,2,3,4,5,6,7,8,9,10,11,12), A530)</f>
        <v>43993</v>
      </c>
      <c r="H530">
        <v>37.75</v>
      </c>
      <c r="I530">
        <v>36000</v>
      </c>
      <c r="J530" s="1">
        <f t="shared" si="17"/>
        <v>43995</v>
      </c>
      <c r="K530">
        <f t="shared" si="16"/>
        <v>36.5</v>
      </c>
    </row>
    <row r="531" spans="1:11" x14ac:dyDescent="0.25">
      <c r="A531">
        <v>12</v>
      </c>
      <c r="B531" t="s">
        <v>15</v>
      </c>
      <c r="C531">
        <v>2020</v>
      </c>
      <c r="D531">
        <v>157</v>
      </c>
      <c r="E531" t="s">
        <v>9</v>
      </c>
      <c r="F531">
        <v>98.5</v>
      </c>
      <c r="G531" s="1">
        <f>DATE(C531, CHOOSE(MATCH(UPPER(B531), {"ENERO","FEBRERO","MARZO","ABRIL","MAYO","JUNIO","JULIO","AGOSTO","SEPTIEMBRE","OCTUBRE","NOVIEMBRE","DICIEMBRE"}, 0), 1,2,3,4,5,6,7,8,9,10,11,12), A531)</f>
        <v>43994</v>
      </c>
      <c r="H531">
        <v>58.5</v>
      </c>
      <c r="I531">
        <v>36000</v>
      </c>
      <c r="J531" s="1">
        <f t="shared" si="17"/>
        <v>43996</v>
      </c>
      <c r="K531">
        <f t="shared" si="16"/>
        <v>34.5</v>
      </c>
    </row>
    <row r="532" spans="1:11" x14ac:dyDescent="0.25">
      <c r="A532">
        <v>13</v>
      </c>
      <c r="B532" t="s">
        <v>15</v>
      </c>
      <c r="C532">
        <v>2020</v>
      </c>
      <c r="D532">
        <v>98.5</v>
      </c>
      <c r="E532" t="s">
        <v>9</v>
      </c>
      <c r="F532">
        <v>62</v>
      </c>
      <c r="G532" s="1">
        <f>DATE(C532, CHOOSE(MATCH(UPPER(B532), {"ENERO","FEBRERO","MARZO","ABRIL","MAYO","JUNIO","JULIO","AGOSTO","SEPTIEMBRE","OCTUBRE","NOVIEMBRE","DICIEMBRE"}, 0), 1,2,3,4,5,6,7,8,9,10,11,12), A532)</f>
        <v>43995</v>
      </c>
      <c r="H532">
        <v>36.5</v>
      </c>
      <c r="I532">
        <v>36000</v>
      </c>
      <c r="J532" s="1">
        <f t="shared" si="17"/>
        <v>43997</v>
      </c>
      <c r="K532">
        <f t="shared" si="16"/>
        <v>34.5</v>
      </c>
    </row>
    <row r="533" spans="1:11" x14ac:dyDescent="0.25">
      <c r="A533">
        <v>14</v>
      </c>
      <c r="B533" t="s">
        <v>15</v>
      </c>
      <c r="C533">
        <v>2020</v>
      </c>
      <c r="D533">
        <v>62</v>
      </c>
      <c r="E533">
        <v>200</v>
      </c>
      <c r="F533">
        <v>227.5</v>
      </c>
      <c r="G533" s="1">
        <f>DATE(C533, CHOOSE(MATCH(UPPER(B533), {"ENERO","FEBRERO","MARZO","ABRIL","MAYO","JUNIO","JULIO","AGOSTO","SEPTIEMBRE","OCTUBRE","NOVIEMBRE","DICIEMBRE"}, 0), 1,2,3,4,5,6,7,8,9,10,11,12), A533)</f>
        <v>43996</v>
      </c>
      <c r="H533">
        <v>34.5</v>
      </c>
      <c r="I533">
        <v>36000</v>
      </c>
      <c r="J533" s="1">
        <f t="shared" si="17"/>
        <v>43998</v>
      </c>
      <c r="K533">
        <f t="shared" si="16"/>
        <v>36</v>
      </c>
    </row>
    <row r="534" spans="1:11" x14ac:dyDescent="0.25">
      <c r="A534">
        <v>15</v>
      </c>
      <c r="B534" t="s">
        <v>15</v>
      </c>
      <c r="C534">
        <v>2020</v>
      </c>
      <c r="D534">
        <v>227.5</v>
      </c>
      <c r="E534" t="s">
        <v>9</v>
      </c>
      <c r="F534">
        <v>193</v>
      </c>
      <c r="G534" s="1">
        <f>DATE(C534, CHOOSE(MATCH(UPPER(B534), {"ENERO","FEBRERO","MARZO","ABRIL","MAYO","JUNIO","JULIO","AGOSTO","SEPTIEMBRE","OCTUBRE","NOVIEMBRE","DICIEMBRE"}, 0), 1,2,3,4,5,6,7,8,9,10,11,12), A534)</f>
        <v>43997</v>
      </c>
      <c r="H534">
        <v>34.5</v>
      </c>
      <c r="I534">
        <v>36000</v>
      </c>
      <c r="J534" s="1">
        <f t="shared" si="17"/>
        <v>43999</v>
      </c>
      <c r="K534">
        <f t="shared" si="16"/>
        <v>30</v>
      </c>
    </row>
    <row r="535" spans="1:11" x14ac:dyDescent="0.25">
      <c r="A535">
        <v>16</v>
      </c>
      <c r="B535" t="s">
        <v>15</v>
      </c>
      <c r="C535">
        <v>2020</v>
      </c>
      <c r="D535">
        <v>193</v>
      </c>
      <c r="E535" t="s">
        <v>9</v>
      </c>
      <c r="F535">
        <v>157</v>
      </c>
      <c r="G535" s="1">
        <f>DATE(C535, CHOOSE(MATCH(UPPER(B535), {"ENERO","FEBRERO","MARZO","ABRIL","MAYO","JUNIO","JULIO","AGOSTO","SEPTIEMBRE","OCTUBRE","NOVIEMBRE","DICIEMBRE"}, 0), 1,2,3,4,5,6,7,8,9,10,11,12), A535)</f>
        <v>43998</v>
      </c>
      <c r="H535">
        <v>36</v>
      </c>
      <c r="I535">
        <v>36000</v>
      </c>
      <c r="J535" s="1">
        <f t="shared" si="17"/>
        <v>44000</v>
      </c>
      <c r="K535">
        <f t="shared" si="16"/>
        <v>29</v>
      </c>
    </row>
    <row r="536" spans="1:11" x14ac:dyDescent="0.25">
      <c r="A536">
        <v>17</v>
      </c>
      <c r="B536" t="s">
        <v>15</v>
      </c>
      <c r="C536">
        <v>2020</v>
      </c>
      <c r="D536">
        <v>157</v>
      </c>
      <c r="E536">
        <v>1</v>
      </c>
      <c r="F536">
        <v>128</v>
      </c>
      <c r="G536" s="1">
        <f>DATE(C536, CHOOSE(MATCH(UPPER(B536), {"ENERO","FEBRERO","MARZO","ABRIL","MAYO","JUNIO","JULIO","AGOSTO","SEPTIEMBRE","OCTUBRE","NOVIEMBRE","DICIEMBRE"}, 0), 1,2,3,4,5,6,7,8,9,10,11,12), A536)</f>
        <v>43999</v>
      </c>
      <c r="H536">
        <v>30</v>
      </c>
      <c r="I536">
        <v>36000</v>
      </c>
      <c r="J536" s="1">
        <f t="shared" si="17"/>
        <v>44001</v>
      </c>
      <c r="K536">
        <f t="shared" si="16"/>
        <v>45</v>
      </c>
    </row>
    <row r="537" spans="1:11" x14ac:dyDescent="0.25">
      <c r="A537">
        <v>18</v>
      </c>
      <c r="B537" t="s">
        <v>15</v>
      </c>
      <c r="C537">
        <v>2020</v>
      </c>
      <c r="D537">
        <v>128</v>
      </c>
      <c r="E537" t="s">
        <v>9</v>
      </c>
      <c r="F537">
        <v>99</v>
      </c>
      <c r="G537" s="1">
        <f>DATE(C537, CHOOSE(MATCH(UPPER(B537), {"ENERO","FEBRERO","MARZO","ABRIL","MAYO","JUNIO","JULIO","AGOSTO","SEPTIEMBRE","OCTUBRE","NOVIEMBRE","DICIEMBRE"}, 0), 1,2,3,4,5,6,7,8,9,10,11,12), A537)</f>
        <v>44000</v>
      </c>
      <c r="H537">
        <v>29</v>
      </c>
      <c r="I537">
        <v>36000</v>
      </c>
      <c r="J537" s="1">
        <f t="shared" si="17"/>
        <v>44002</v>
      </c>
      <c r="K537">
        <f t="shared" si="16"/>
        <v>47</v>
      </c>
    </row>
    <row r="538" spans="1:11" x14ac:dyDescent="0.25">
      <c r="A538">
        <v>19</v>
      </c>
      <c r="B538" t="s">
        <v>15</v>
      </c>
      <c r="C538">
        <v>2020</v>
      </c>
      <c r="D538">
        <v>99</v>
      </c>
      <c r="E538">
        <v>300</v>
      </c>
      <c r="F538">
        <v>354</v>
      </c>
      <c r="G538" s="1">
        <f>DATE(C538, CHOOSE(MATCH(UPPER(B538), {"ENERO","FEBRERO","MARZO","ABRIL","MAYO","JUNIO","JULIO","AGOSTO","SEPTIEMBRE","OCTUBRE","NOVIEMBRE","DICIEMBRE"}, 0), 1,2,3,4,5,6,7,8,9,10,11,12), A538)</f>
        <v>44001</v>
      </c>
      <c r="H538">
        <v>45</v>
      </c>
      <c r="I538">
        <v>36000</v>
      </c>
      <c r="J538" s="1">
        <f t="shared" si="17"/>
        <v>44003</v>
      </c>
      <c r="K538">
        <f t="shared" si="16"/>
        <v>27</v>
      </c>
    </row>
    <row r="539" spans="1:11" x14ac:dyDescent="0.25">
      <c r="A539">
        <v>20</v>
      </c>
      <c r="B539" t="s">
        <v>15</v>
      </c>
      <c r="C539">
        <v>2020</v>
      </c>
      <c r="D539">
        <v>354</v>
      </c>
      <c r="E539" t="s">
        <v>9</v>
      </c>
      <c r="F539">
        <v>307</v>
      </c>
      <c r="G539" s="1">
        <f>DATE(C539, CHOOSE(MATCH(UPPER(B539), {"ENERO","FEBRERO","MARZO","ABRIL","MAYO","JUNIO","JULIO","AGOSTO","SEPTIEMBRE","OCTUBRE","NOVIEMBRE","DICIEMBRE"}, 0), 1,2,3,4,5,6,7,8,9,10,11,12), A539)</f>
        <v>44002</v>
      </c>
      <c r="H539">
        <v>47</v>
      </c>
      <c r="I539">
        <v>36000</v>
      </c>
      <c r="J539" s="1">
        <f t="shared" si="17"/>
        <v>44004</v>
      </c>
      <c r="K539">
        <f t="shared" si="16"/>
        <v>38.5</v>
      </c>
    </row>
    <row r="540" spans="1:11" x14ac:dyDescent="0.25">
      <c r="A540">
        <v>21</v>
      </c>
      <c r="B540" t="s">
        <v>15</v>
      </c>
      <c r="C540">
        <v>2020</v>
      </c>
      <c r="D540">
        <v>307</v>
      </c>
      <c r="E540" t="s">
        <v>9</v>
      </c>
      <c r="F540">
        <v>280</v>
      </c>
      <c r="G540" s="1">
        <f>DATE(C540, CHOOSE(MATCH(UPPER(B540), {"ENERO","FEBRERO","MARZO","ABRIL","MAYO","JUNIO","JULIO","AGOSTO","SEPTIEMBRE","OCTUBRE","NOVIEMBRE","DICIEMBRE"}, 0), 1,2,3,4,5,6,7,8,9,10,11,12), A540)</f>
        <v>44003</v>
      </c>
      <c r="H540">
        <v>27</v>
      </c>
      <c r="I540">
        <v>36000</v>
      </c>
      <c r="J540" s="1">
        <f t="shared" si="17"/>
        <v>44005</v>
      </c>
      <c r="K540">
        <f t="shared" si="16"/>
        <v>26.5</v>
      </c>
    </row>
    <row r="541" spans="1:11" x14ac:dyDescent="0.25">
      <c r="A541">
        <v>22</v>
      </c>
      <c r="B541" t="s">
        <v>15</v>
      </c>
      <c r="C541">
        <v>2020</v>
      </c>
      <c r="D541">
        <v>280</v>
      </c>
      <c r="E541" t="s">
        <v>9</v>
      </c>
      <c r="F541">
        <v>241.5</v>
      </c>
      <c r="G541" s="1">
        <f>DATE(C541, CHOOSE(MATCH(UPPER(B541), {"ENERO","FEBRERO","MARZO","ABRIL","MAYO","JUNIO","JULIO","AGOSTO","SEPTIEMBRE","OCTUBRE","NOVIEMBRE","DICIEMBRE"}, 0), 1,2,3,4,5,6,7,8,9,10,11,12), A541)</f>
        <v>44004</v>
      </c>
      <c r="H541">
        <v>38.5</v>
      </c>
      <c r="I541">
        <v>36000</v>
      </c>
      <c r="J541" s="1">
        <f t="shared" si="17"/>
        <v>44006</v>
      </c>
      <c r="K541">
        <f t="shared" si="16"/>
        <v>20.5</v>
      </c>
    </row>
    <row r="542" spans="1:11" x14ac:dyDescent="0.25">
      <c r="A542">
        <v>23</v>
      </c>
      <c r="B542" t="s">
        <v>15</v>
      </c>
      <c r="C542">
        <v>2020</v>
      </c>
      <c r="D542">
        <v>241.5</v>
      </c>
      <c r="E542" t="s">
        <v>9</v>
      </c>
      <c r="F542">
        <v>215</v>
      </c>
      <c r="G542" s="1">
        <f>DATE(C542, CHOOSE(MATCH(UPPER(B542), {"ENERO","FEBRERO","MARZO","ABRIL","MAYO","JUNIO","JULIO","AGOSTO","SEPTIEMBRE","OCTUBRE","NOVIEMBRE","DICIEMBRE"}, 0), 1,2,3,4,5,6,7,8,9,10,11,12), A542)</f>
        <v>44005</v>
      </c>
      <c r="H542">
        <v>26.5</v>
      </c>
      <c r="I542">
        <v>36000</v>
      </c>
      <c r="J542" s="1">
        <f t="shared" si="17"/>
        <v>44007</v>
      </c>
      <c r="K542">
        <f t="shared" si="16"/>
        <v>35</v>
      </c>
    </row>
    <row r="543" spans="1:11" x14ac:dyDescent="0.25">
      <c r="A543">
        <v>24</v>
      </c>
      <c r="B543" t="s">
        <v>15</v>
      </c>
      <c r="C543">
        <v>2020</v>
      </c>
      <c r="D543">
        <v>215</v>
      </c>
      <c r="E543" t="s">
        <v>9</v>
      </c>
      <c r="F543">
        <v>194.5</v>
      </c>
      <c r="G543" s="1">
        <f>DATE(C543, CHOOSE(MATCH(UPPER(B543), {"ENERO","FEBRERO","MARZO","ABRIL","MAYO","JUNIO","JULIO","AGOSTO","SEPTIEMBRE","OCTUBRE","NOVIEMBRE","DICIEMBRE"}, 0), 1,2,3,4,5,6,7,8,9,10,11,12), A543)</f>
        <v>44006</v>
      </c>
      <c r="H543">
        <v>20.5</v>
      </c>
      <c r="I543">
        <v>36000</v>
      </c>
      <c r="J543" s="1">
        <f t="shared" si="17"/>
        <v>44008</v>
      </c>
      <c r="K543">
        <f t="shared" si="16"/>
        <v>58</v>
      </c>
    </row>
    <row r="544" spans="1:11" x14ac:dyDescent="0.25">
      <c r="A544">
        <v>25</v>
      </c>
      <c r="B544" t="s">
        <v>15</v>
      </c>
      <c r="C544">
        <v>2020</v>
      </c>
      <c r="D544">
        <v>194.5</v>
      </c>
      <c r="E544" t="s">
        <v>9</v>
      </c>
      <c r="F544">
        <v>159.5</v>
      </c>
      <c r="G544" s="1">
        <f>DATE(C544, CHOOSE(MATCH(UPPER(B544), {"ENERO","FEBRERO","MARZO","ABRIL","MAYO","JUNIO","JULIO","AGOSTO","SEPTIEMBRE","OCTUBRE","NOVIEMBRE","DICIEMBRE"}, 0), 1,2,3,4,5,6,7,8,9,10,11,12), A544)</f>
        <v>44007</v>
      </c>
      <c r="H544">
        <v>35</v>
      </c>
      <c r="I544">
        <v>36000</v>
      </c>
      <c r="J544" s="1">
        <f t="shared" si="17"/>
        <v>44009</v>
      </c>
      <c r="K544">
        <f t="shared" si="16"/>
        <v>58</v>
      </c>
    </row>
    <row r="545" spans="1:11" x14ac:dyDescent="0.25">
      <c r="A545">
        <v>26</v>
      </c>
      <c r="B545" t="s">
        <v>15</v>
      </c>
      <c r="C545">
        <v>2020</v>
      </c>
      <c r="D545">
        <v>159.5</v>
      </c>
      <c r="E545" t="s">
        <v>9</v>
      </c>
      <c r="F545">
        <v>101.5</v>
      </c>
      <c r="G545" s="1">
        <f>DATE(C545, CHOOSE(MATCH(UPPER(B545), {"ENERO","FEBRERO","MARZO","ABRIL","MAYO","JUNIO","JULIO","AGOSTO","SEPTIEMBRE","OCTUBRE","NOVIEMBRE","DICIEMBRE"}, 0), 1,2,3,4,5,6,7,8,9,10,11,12), A545)</f>
        <v>44008</v>
      </c>
      <c r="H545">
        <v>58</v>
      </c>
      <c r="I545">
        <v>36000</v>
      </c>
      <c r="J545" s="1">
        <f t="shared" si="17"/>
        <v>44010</v>
      </c>
      <c r="K545">
        <f t="shared" si="16"/>
        <v>37.5</v>
      </c>
    </row>
    <row r="546" spans="1:11" x14ac:dyDescent="0.25">
      <c r="A546">
        <v>27</v>
      </c>
      <c r="B546" t="s">
        <v>15</v>
      </c>
      <c r="C546">
        <v>2020</v>
      </c>
      <c r="D546">
        <v>101.5</v>
      </c>
      <c r="E546">
        <v>100</v>
      </c>
      <c r="F546">
        <v>143.5</v>
      </c>
      <c r="G546" s="1">
        <f>DATE(C546, CHOOSE(MATCH(UPPER(B546), {"ENERO","FEBRERO","MARZO","ABRIL","MAYO","JUNIO","JULIO","AGOSTO","SEPTIEMBRE","OCTUBRE","NOVIEMBRE","DICIEMBRE"}, 0), 1,2,3,4,5,6,7,8,9,10,11,12), A546)</f>
        <v>44009</v>
      </c>
      <c r="H546">
        <v>58</v>
      </c>
      <c r="I546">
        <v>36000</v>
      </c>
      <c r="J546" s="1">
        <f t="shared" si="17"/>
        <v>44011</v>
      </c>
      <c r="K546">
        <f t="shared" si="16"/>
        <v>40.5</v>
      </c>
    </row>
    <row r="547" spans="1:11" x14ac:dyDescent="0.25">
      <c r="A547">
        <v>28</v>
      </c>
      <c r="B547" t="s">
        <v>15</v>
      </c>
      <c r="C547">
        <v>2020</v>
      </c>
      <c r="D547">
        <v>143.5</v>
      </c>
      <c r="E547" t="s">
        <v>9</v>
      </c>
      <c r="F547">
        <v>106</v>
      </c>
      <c r="G547" s="1">
        <f>DATE(C547, CHOOSE(MATCH(UPPER(B547), {"ENERO","FEBRERO","MARZO","ABRIL","MAYO","JUNIO","JULIO","AGOSTO","SEPTIEMBRE","OCTUBRE","NOVIEMBRE","DICIEMBRE"}, 0), 1,2,3,4,5,6,7,8,9,10,11,12), A547)</f>
        <v>44010</v>
      </c>
      <c r="H547">
        <v>37.5</v>
      </c>
      <c r="I547">
        <v>36000</v>
      </c>
      <c r="J547" s="1">
        <f t="shared" si="17"/>
        <v>44012</v>
      </c>
      <c r="K547">
        <f t="shared" si="16"/>
        <v>37.5</v>
      </c>
    </row>
    <row r="548" spans="1:11" x14ac:dyDescent="0.25">
      <c r="A548">
        <v>29</v>
      </c>
      <c r="B548" t="s">
        <v>15</v>
      </c>
      <c r="C548">
        <v>2020</v>
      </c>
      <c r="D548">
        <v>106</v>
      </c>
      <c r="E548" t="s">
        <v>9</v>
      </c>
      <c r="F548">
        <v>65.5</v>
      </c>
      <c r="G548" s="1">
        <f>DATE(C548, CHOOSE(MATCH(UPPER(B548), {"ENERO","FEBRERO","MARZO","ABRIL","MAYO","JUNIO","JULIO","AGOSTO","SEPTIEMBRE","OCTUBRE","NOVIEMBRE","DICIEMBRE"}, 0), 1,2,3,4,5,6,7,8,9,10,11,12), A548)</f>
        <v>44011</v>
      </c>
      <c r="H548">
        <v>40.5</v>
      </c>
      <c r="I548">
        <v>36000</v>
      </c>
      <c r="J548" s="1">
        <f t="shared" si="17"/>
        <v>44013</v>
      </c>
      <c r="K548">
        <f t="shared" si="16"/>
        <v>31.125</v>
      </c>
    </row>
    <row r="549" spans="1:11" x14ac:dyDescent="0.25">
      <c r="A549">
        <v>30</v>
      </c>
      <c r="B549" t="s">
        <v>15</v>
      </c>
      <c r="C549">
        <v>2020</v>
      </c>
      <c r="D549">
        <v>65.5</v>
      </c>
      <c r="E549">
        <v>300</v>
      </c>
      <c r="F549">
        <v>328</v>
      </c>
      <c r="G549" s="1">
        <f>DATE(C549, CHOOSE(MATCH(UPPER(B549), {"ENERO","FEBRERO","MARZO","ABRIL","MAYO","JUNIO","JULIO","AGOSTO","SEPTIEMBRE","OCTUBRE","NOVIEMBRE","DICIEMBRE"}, 0), 1,2,3,4,5,6,7,8,9,10,11,12), A549)</f>
        <v>44012</v>
      </c>
      <c r="H549">
        <v>37.5</v>
      </c>
      <c r="I549">
        <v>36000</v>
      </c>
      <c r="J549" s="1">
        <f t="shared" si="17"/>
        <v>44014</v>
      </c>
      <c r="K549">
        <f t="shared" si="16"/>
        <v>44.875</v>
      </c>
    </row>
    <row r="550" spans="1:11" x14ac:dyDescent="0.25">
      <c r="A550">
        <v>1</v>
      </c>
      <c r="B550" t="s">
        <v>16</v>
      </c>
      <c r="C550">
        <v>2020</v>
      </c>
      <c r="D550">
        <v>328</v>
      </c>
      <c r="E550" t="s">
        <v>9</v>
      </c>
      <c r="F550">
        <v>296.875</v>
      </c>
      <c r="G550" s="1">
        <f>DATE(C550, CHOOSE(MATCH(UPPER(B550), {"ENERO","FEBRERO","MARZO","ABRIL","MAYO","JUNIO","JULIO","AGOSTO","SEPTIEMBRE","OCTUBRE","NOVIEMBRE","DICIEMBRE"}, 0), 1,2,3,4,5,6,7,8,9,10,11,12), A550)</f>
        <v>44013</v>
      </c>
      <c r="H550">
        <v>31.125</v>
      </c>
      <c r="I550">
        <v>36000</v>
      </c>
      <c r="J550" s="1">
        <f t="shared" si="17"/>
        <v>44015</v>
      </c>
      <c r="K550">
        <f t="shared" si="16"/>
        <v>58</v>
      </c>
    </row>
    <row r="551" spans="1:11" x14ac:dyDescent="0.25">
      <c r="A551">
        <v>2</v>
      </c>
      <c r="B551" t="s">
        <v>16</v>
      </c>
      <c r="C551">
        <v>2020</v>
      </c>
      <c r="D551">
        <v>296.875</v>
      </c>
      <c r="E551" t="s">
        <v>9</v>
      </c>
      <c r="F551">
        <v>252</v>
      </c>
      <c r="G551" s="1">
        <f>DATE(C551, CHOOSE(MATCH(UPPER(B551), {"ENERO","FEBRERO","MARZO","ABRIL","MAYO","JUNIO","JULIO","AGOSTO","SEPTIEMBRE","OCTUBRE","NOVIEMBRE","DICIEMBRE"}, 0), 1,2,3,4,5,6,7,8,9,10,11,12), A551)</f>
        <v>44014</v>
      </c>
      <c r="H551">
        <v>44.875</v>
      </c>
      <c r="I551">
        <v>36000</v>
      </c>
      <c r="J551" s="1">
        <f t="shared" si="17"/>
        <v>44016</v>
      </c>
      <c r="K551">
        <f t="shared" si="16"/>
        <v>58</v>
      </c>
    </row>
    <row r="552" spans="1:11" x14ac:dyDescent="0.25">
      <c r="A552">
        <v>3</v>
      </c>
      <c r="B552" t="s">
        <v>16</v>
      </c>
      <c r="C552">
        <v>2020</v>
      </c>
      <c r="D552">
        <v>252</v>
      </c>
      <c r="E552" t="s">
        <v>9</v>
      </c>
      <c r="F552">
        <v>194</v>
      </c>
      <c r="G552" s="1">
        <f>DATE(C552, CHOOSE(MATCH(UPPER(B552), {"ENERO","FEBRERO","MARZO","ABRIL","MAYO","JUNIO","JULIO","AGOSTO","SEPTIEMBRE","OCTUBRE","NOVIEMBRE","DICIEMBRE"}, 0), 1,2,3,4,5,6,7,8,9,10,11,12), A552)</f>
        <v>44015</v>
      </c>
      <c r="H552">
        <v>58</v>
      </c>
      <c r="I552">
        <v>36000</v>
      </c>
      <c r="J552" s="1">
        <f t="shared" si="17"/>
        <v>44017</v>
      </c>
      <c r="K552">
        <f t="shared" si="16"/>
        <v>31</v>
      </c>
    </row>
    <row r="553" spans="1:11" x14ac:dyDescent="0.25">
      <c r="A553">
        <v>4</v>
      </c>
      <c r="B553" t="s">
        <v>16</v>
      </c>
      <c r="C553">
        <v>2020</v>
      </c>
      <c r="D553">
        <v>194</v>
      </c>
      <c r="E553" t="s">
        <v>9</v>
      </c>
      <c r="F553">
        <v>136</v>
      </c>
      <c r="G553" s="1">
        <f>DATE(C553, CHOOSE(MATCH(UPPER(B553), {"ENERO","FEBRERO","MARZO","ABRIL","MAYO","JUNIO","JULIO","AGOSTO","SEPTIEMBRE","OCTUBRE","NOVIEMBRE","DICIEMBRE"}, 0), 1,2,3,4,5,6,7,8,9,10,11,12), A553)</f>
        <v>44016</v>
      </c>
      <c r="H553">
        <v>58</v>
      </c>
      <c r="I553">
        <v>36000</v>
      </c>
      <c r="J553" s="1">
        <f t="shared" si="17"/>
        <v>44018</v>
      </c>
      <c r="K553">
        <f t="shared" si="16"/>
        <v>28</v>
      </c>
    </row>
    <row r="554" spans="1:11" x14ac:dyDescent="0.25">
      <c r="A554">
        <v>5</v>
      </c>
      <c r="B554" t="s">
        <v>16</v>
      </c>
      <c r="C554">
        <v>2020</v>
      </c>
      <c r="D554">
        <v>136</v>
      </c>
      <c r="E554" t="s">
        <v>9</v>
      </c>
      <c r="F554">
        <v>105</v>
      </c>
      <c r="G554" s="1">
        <f>DATE(C554, CHOOSE(MATCH(UPPER(B554), {"ENERO","FEBRERO","MARZO","ABRIL","MAYO","JUNIO","JULIO","AGOSTO","SEPTIEMBRE","OCTUBRE","NOVIEMBRE","DICIEMBRE"}, 0), 1,2,3,4,5,6,7,8,9,10,11,12), A554)</f>
        <v>44017</v>
      </c>
      <c r="H554">
        <v>31</v>
      </c>
      <c r="I554">
        <v>36000</v>
      </c>
      <c r="J554" s="1">
        <f t="shared" si="17"/>
        <v>44019</v>
      </c>
      <c r="K554">
        <f t="shared" si="16"/>
        <v>22</v>
      </c>
    </row>
    <row r="555" spans="1:11" x14ac:dyDescent="0.25">
      <c r="A555">
        <v>6</v>
      </c>
      <c r="B555" t="s">
        <v>16</v>
      </c>
      <c r="C555">
        <v>2020</v>
      </c>
      <c r="D555">
        <v>105</v>
      </c>
      <c r="E555" t="s">
        <v>9</v>
      </c>
      <c r="F555">
        <v>77</v>
      </c>
      <c r="G555" s="1">
        <f>DATE(C555, CHOOSE(MATCH(UPPER(B555), {"ENERO","FEBRERO","MARZO","ABRIL","MAYO","JUNIO","JULIO","AGOSTO","SEPTIEMBRE","OCTUBRE","NOVIEMBRE","DICIEMBRE"}, 0), 1,2,3,4,5,6,7,8,9,10,11,12), A555)</f>
        <v>44018</v>
      </c>
      <c r="H555">
        <v>28</v>
      </c>
      <c r="I555">
        <v>36000</v>
      </c>
      <c r="J555" s="1">
        <f t="shared" si="17"/>
        <v>44020</v>
      </c>
      <c r="K555">
        <f t="shared" si="16"/>
        <v>30</v>
      </c>
    </row>
    <row r="556" spans="1:11" x14ac:dyDescent="0.25">
      <c r="A556">
        <v>7</v>
      </c>
      <c r="B556" t="s">
        <v>16</v>
      </c>
      <c r="C556">
        <v>2020</v>
      </c>
      <c r="D556">
        <v>77</v>
      </c>
      <c r="E556">
        <v>300</v>
      </c>
      <c r="F556">
        <v>355</v>
      </c>
      <c r="G556" s="1">
        <f>DATE(C556, CHOOSE(MATCH(UPPER(B556), {"ENERO","FEBRERO","MARZO","ABRIL","MAYO","JUNIO","JULIO","AGOSTO","SEPTIEMBRE","OCTUBRE","NOVIEMBRE","DICIEMBRE"}, 0), 1,2,3,4,5,6,7,8,9,10,11,12), A556)</f>
        <v>44019</v>
      </c>
      <c r="H556">
        <v>22</v>
      </c>
      <c r="I556">
        <v>36000</v>
      </c>
      <c r="J556" s="1">
        <f t="shared" si="17"/>
        <v>44021</v>
      </c>
      <c r="K556">
        <f t="shared" si="16"/>
        <v>34</v>
      </c>
    </row>
    <row r="557" spans="1:11" x14ac:dyDescent="0.25">
      <c r="A557">
        <v>8</v>
      </c>
      <c r="B557" t="s">
        <v>16</v>
      </c>
      <c r="C557">
        <v>2020</v>
      </c>
      <c r="D557">
        <v>355</v>
      </c>
      <c r="E557" t="s">
        <v>9</v>
      </c>
      <c r="F557">
        <v>325</v>
      </c>
      <c r="G557" s="1">
        <f>DATE(C557, CHOOSE(MATCH(UPPER(B557), {"ENERO","FEBRERO","MARZO","ABRIL","MAYO","JUNIO","JULIO","AGOSTO","SEPTIEMBRE","OCTUBRE","NOVIEMBRE","DICIEMBRE"}, 0), 1,2,3,4,5,6,7,8,9,10,11,12), A557)</f>
        <v>44020</v>
      </c>
      <c r="H557">
        <v>30</v>
      </c>
      <c r="I557">
        <v>36000</v>
      </c>
      <c r="J557" s="1">
        <f t="shared" si="17"/>
        <v>44022</v>
      </c>
      <c r="K557">
        <f t="shared" si="16"/>
        <v>46.5</v>
      </c>
    </row>
    <row r="558" spans="1:11" x14ac:dyDescent="0.25">
      <c r="A558">
        <v>9</v>
      </c>
      <c r="B558" t="s">
        <v>16</v>
      </c>
      <c r="C558">
        <v>2020</v>
      </c>
      <c r="D558">
        <v>325</v>
      </c>
      <c r="E558" t="s">
        <v>9</v>
      </c>
      <c r="F558">
        <v>291</v>
      </c>
      <c r="G558" s="1">
        <f>DATE(C558, CHOOSE(MATCH(UPPER(B558), {"ENERO","FEBRERO","MARZO","ABRIL","MAYO","JUNIO","JULIO","AGOSTO","SEPTIEMBRE","OCTUBRE","NOVIEMBRE","DICIEMBRE"}, 0), 1,2,3,4,5,6,7,8,9,10,11,12), A558)</f>
        <v>44021</v>
      </c>
      <c r="H558">
        <v>34</v>
      </c>
      <c r="I558">
        <v>36000</v>
      </c>
      <c r="J558" s="1">
        <f t="shared" si="17"/>
        <v>44023</v>
      </c>
      <c r="K558">
        <f t="shared" si="16"/>
        <v>44.5</v>
      </c>
    </row>
    <row r="559" spans="1:11" x14ac:dyDescent="0.25">
      <c r="A559">
        <v>10</v>
      </c>
      <c r="B559" t="s">
        <v>16</v>
      </c>
      <c r="C559">
        <v>2020</v>
      </c>
      <c r="D559">
        <v>291</v>
      </c>
      <c r="E559" t="s">
        <v>9</v>
      </c>
      <c r="F559">
        <v>244.5</v>
      </c>
      <c r="G559" s="1">
        <f>DATE(C559, CHOOSE(MATCH(UPPER(B559), {"ENERO","FEBRERO","MARZO","ABRIL","MAYO","JUNIO","JULIO","AGOSTO","SEPTIEMBRE","OCTUBRE","NOVIEMBRE","DICIEMBRE"}, 0), 1,2,3,4,5,6,7,8,9,10,11,12), A559)</f>
        <v>44022</v>
      </c>
      <c r="H559">
        <v>46.5</v>
      </c>
      <c r="I559">
        <v>36000</v>
      </c>
      <c r="J559" s="1">
        <f t="shared" si="17"/>
        <v>44024</v>
      </c>
      <c r="K559">
        <f t="shared" si="16"/>
        <v>38</v>
      </c>
    </row>
    <row r="560" spans="1:11" x14ac:dyDescent="0.25">
      <c r="A560">
        <v>11</v>
      </c>
      <c r="B560" t="s">
        <v>16</v>
      </c>
      <c r="C560">
        <v>2020</v>
      </c>
      <c r="D560">
        <v>244.5</v>
      </c>
      <c r="E560" t="s">
        <v>9</v>
      </c>
      <c r="F560">
        <v>200</v>
      </c>
      <c r="G560" s="1">
        <f>DATE(C560, CHOOSE(MATCH(UPPER(B560), {"ENERO","FEBRERO","MARZO","ABRIL","MAYO","JUNIO","JULIO","AGOSTO","SEPTIEMBRE","OCTUBRE","NOVIEMBRE","DICIEMBRE"}, 0), 1,2,3,4,5,6,7,8,9,10,11,12), A560)</f>
        <v>44023</v>
      </c>
      <c r="H560">
        <v>44.5</v>
      </c>
      <c r="I560">
        <v>36000</v>
      </c>
      <c r="J560" s="1">
        <f t="shared" si="17"/>
        <v>44025</v>
      </c>
      <c r="K560">
        <f t="shared" si="16"/>
        <v>21.25</v>
      </c>
    </row>
    <row r="561" spans="1:11" x14ac:dyDescent="0.25">
      <c r="A561">
        <v>12</v>
      </c>
      <c r="B561" t="s">
        <v>16</v>
      </c>
      <c r="C561">
        <v>2020</v>
      </c>
      <c r="D561">
        <v>200</v>
      </c>
      <c r="E561" t="s">
        <v>9</v>
      </c>
      <c r="F561">
        <v>162</v>
      </c>
      <c r="G561" s="1">
        <f>DATE(C561, CHOOSE(MATCH(UPPER(B561), {"ENERO","FEBRERO","MARZO","ABRIL","MAYO","JUNIO","JULIO","AGOSTO","SEPTIEMBRE","OCTUBRE","NOVIEMBRE","DICIEMBRE"}, 0), 1,2,3,4,5,6,7,8,9,10,11,12), A561)</f>
        <v>44024</v>
      </c>
      <c r="H561">
        <v>38</v>
      </c>
      <c r="I561">
        <v>36000</v>
      </c>
      <c r="J561" s="1">
        <f t="shared" si="17"/>
        <v>44026</v>
      </c>
      <c r="K561">
        <f t="shared" si="16"/>
        <v>25.25</v>
      </c>
    </row>
    <row r="562" spans="1:11" x14ac:dyDescent="0.25">
      <c r="A562">
        <v>13</v>
      </c>
      <c r="B562" t="s">
        <v>16</v>
      </c>
      <c r="C562">
        <v>2020</v>
      </c>
      <c r="D562">
        <v>162</v>
      </c>
      <c r="E562" t="s">
        <v>9</v>
      </c>
      <c r="F562">
        <v>140.75</v>
      </c>
      <c r="G562" s="1">
        <f>DATE(C562, CHOOSE(MATCH(UPPER(B562), {"ENERO","FEBRERO","MARZO","ABRIL","MAYO","JUNIO","JULIO","AGOSTO","SEPTIEMBRE","OCTUBRE","NOVIEMBRE","DICIEMBRE"}, 0), 1,2,3,4,5,6,7,8,9,10,11,12), A562)</f>
        <v>44025</v>
      </c>
      <c r="H562">
        <v>21.25</v>
      </c>
      <c r="I562">
        <v>36000</v>
      </c>
      <c r="J562" s="1">
        <f t="shared" si="17"/>
        <v>44027</v>
      </c>
      <c r="K562">
        <f t="shared" si="16"/>
        <v>34.5</v>
      </c>
    </row>
    <row r="563" spans="1:11" x14ac:dyDescent="0.25">
      <c r="A563">
        <v>14</v>
      </c>
      <c r="B563" t="s">
        <v>16</v>
      </c>
      <c r="C563">
        <v>2020</v>
      </c>
      <c r="D563">
        <v>140.75</v>
      </c>
      <c r="E563" t="s">
        <v>9</v>
      </c>
      <c r="F563">
        <v>115.5</v>
      </c>
      <c r="G563" s="1">
        <f>DATE(C563, CHOOSE(MATCH(UPPER(B563), {"ENERO","FEBRERO","MARZO","ABRIL","MAYO","JUNIO","JULIO","AGOSTO","SEPTIEMBRE","OCTUBRE","NOVIEMBRE","DICIEMBRE"}, 0), 1,2,3,4,5,6,7,8,9,10,11,12), A563)</f>
        <v>44026</v>
      </c>
      <c r="H563">
        <v>25.25</v>
      </c>
      <c r="I563">
        <v>36000</v>
      </c>
      <c r="J563" s="1">
        <f t="shared" si="17"/>
        <v>44028</v>
      </c>
      <c r="K563">
        <f t="shared" si="16"/>
        <v>20</v>
      </c>
    </row>
    <row r="564" spans="1:11" x14ac:dyDescent="0.25">
      <c r="A564">
        <v>15</v>
      </c>
      <c r="B564" t="s">
        <v>16</v>
      </c>
      <c r="C564">
        <v>2020</v>
      </c>
      <c r="D564">
        <v>115.5</v>
      </c>
      <c r="E564" t="s">
        <v>9</v>
      </c>
      <c r="F564">
        <v>81</v>
      </c>
      <c r="G564" s="1">
        <f>DATE(C564, CHOOSE(MATCH(UPPER(B564), {"ENERO","FEBRERO","MARZO","ABRIL","MAYO","JUNIO","JULIO","AGOSTO","SEPTIEMBRE","OCTUBRE","NOVIEMBRE","DICIEMBRE"}, 0), 1,2,3,4,5,6,7,8,9,10,11,12), A564)</f>
        <v>44027</v>
      </c>
      <c r="H564">
        <v>34.5</v>
      </c>
      <c r="I564">
        <v>36000</v>
      </c>
      <c r="J564" s="1">
        <f t="shared" si="17"/>
        <v>44029</v>
      </c>
      <c r="K564">
        <f t="shared" si="16"/>
        <v>34</v>
      </c>
    </row>
    <row r="565" spans="1:11" x14ac:dyDescent="0.25">
      <c r="A565">
        <v>16</v>
      </c>
      <c r="B565" t="s">
        <v>16</v>
      </c>
      <c r="C565">
        <v>2020</v>
      </c>
      <c r="D565">
        <v>81</v>
      </c>
      <c r="E565">
        <v>309</v>
      </c>
      <c r="F565">
        <v>370</v>
      </c>
      <c r="G565" s="1">
        <f>DATE(C565, CHOOSE(MATCH(UPPER(B565), {"ENERO","FEBRERO","MARZO","ABRIL","MAYO","JUNIO","JULIO","AGOSTO","SEPTIEMBRE","OCTUBRE","NOVIEMBRE","DICIEMBRE"}, 0), 1,2,3,4,5,6,7,8,9,10,11,12), A565)</f>
        <v>44028</v>
      </c>
      <c r="H565">
        <v>20</v>
      </c>
      <c r="I565">
        <v>36000</v>
      </c>
      <c r="J565" s="1">
        <f t="shared" si="17"/>
        <v>44030</v>
      </c>
      <c r="K565">
        <f t="shared" si="16"/>
        <v>39</v>
      </c>
    </row>
    <row r="566" spans="1:11" x14ac:dyDescent="0.25">
      <c r="A566">
        <v>17</v>
      </c>
      <c r="B566" t="s">
        <v>16</v>
      </c>
      <c r="C566">
        <v>2020</v>
      </c>
      <c r="D566">
        <v>370</v>
      </c>
      <c r="E566" t="s">
        <v>9</v>
      </c>
      <c r="F566">
        <v>336</v>
      </c>
      <c r="G566" s="1">
        <f>DATE(C566, CHOOSE(MATCH(UPPER(B566), {"ENERO","FEBRERO","MARZO","ABRIL","MAYO","JUNIO","JULIO","AGOSTO","SEPTIEMBRE","OCTUBRE","NOVIEMBRE","DICIEMBRE"}, 0), 1,2,3,4,5,6,7,8,9,10,11,12), A566)</f>
        <v>44029</v>
      </c>
      <c r="H566">
        <v>34</v>
      </c>
      <c r="I566">
        <v>36000</v>
      </c>
      <c r="J566" s="1">
        <f t="shared" si="17"/>
        <v>44031</v>
      </c>
      <c r="K566">
        <f t="shared" si="16"/>
        <v>37</v>
      </c>
    </row>
    <row r="567" spans="1:11" x14ac:dyDescent="0.25">
      <c r="A567">
        <v>18</v>
      </c>
      <c r="B567" t="s">
        <v>16</v>
      </c>
      <c r="C567">
        <v>2020</v>
      </c>
      <c r="D567">
        <v>336</v>
      </c>
      <c r="E567" t="s">
        <v>9</v>
      </c>
      <c r="F567">
        <v>297</v>
      </c>
      <c r="G567" s="1">
        <f>DATE(C567, CHOOSE(MATCH(UPPER(B567), {"ENERO","FEBRERO","MARZO","ABRIL","MAYO","JUNIO","JULIO","AGOSTO","SEPTIEMBRE","OCTUBRE","NOVIEMBRE","DICIEMBRE"}, 0), 1,2,3,4,5,6,7,8,9,10,11,12), A567)</f>
        <v>44030</v>
      </c>
      <c r="H567">
        <v>39</v>
      </c>
      <c r="I567">
        <v>36000</v>
      </c>
      <c r="J567" s="1">
        <f t="shared" si="17"/>
        <v>44032</v>
      </c>
      <c r="K567">
        <f t="shared" si="16"/>
        <v>46</v>
      </c>
    </row>
    <row r="568" spans="1:11" x14ac:dyDescent="0.25">
      <c r="A568">
        <v>19</v>
      </c>
      <c r="B568" t="s">
        <v>16</v>
      </c>
      <c r="C568">
        <v>2020</v>
      </c>
      <c r="D568">
        <v>297</v>
      </c>
      <c r="E568" t="s">
        <v>9</v>
      </c>
      <c r="F568">
        <v>260</v>
      </c>
      <c r="G568" s="1">
        <f>DATE(C568, CHOOSE(MATCH(UPPER(B568), {"ENERO","FEBRERO","MARZO","ABRIL","MAYO","JUNIO","JULIO","AGOSTO","SEPTIEMBRE","OCTUBRE","NOVIEMBRE","DICIEMBRE"}, 0), 1,2,3,4,5,6,7,8,9,10,11,12), A568)</f>
        <v>44031</v>
      </c>
      <c r="H568">
        <v>37</v>
      </c>
      <c r="I568">
        <v>36000</v>
      </c>
      <c r="J568" s="1">
        <f t="shared" si="17"/>
        <v>44033</v>
      </c>
      <c r="K568">
        <f t="shared" si="16"/>
        <v>29</v>
      </c>
    </row>
    <row r="569" spans="1:11" x14ac:dyDescent="0.25">
      <c r="A569">
        <v>20</v>
      </c>
      <c r="B569" t="s">
        <v>16</v>
      </c>
      <c r="C569">
        <v>2020</v>
      </c>
      <c r="D569">
        <v>260</v>
      </c>
      <c r="E569" t="s">
        <v>9</v>
      </c>
      <c r="F569">
        <v>214</v>
      </c>
      <c r="G569" s="1">
        <f>DATE(C569, CHOOSE(MATCH(UPPER(B569), {"ENERO","FEBRERO","MARZO","ABRIL","MAYO","JUNIO","JULIO","AGOSTO","SEPTIEMBRE","OCTUBRE","NOVIEMBRE","DICIEMBRE"}, 0), 1,2,3,4,5,6,7,8,9,10,11,12), A569)</f>
        <v>44032</v>
      </c>
      <c r="H569">
        <v>46</v>
      </c>
      <c r="I569">
        <v>36000</v>
      </c>
      <c r="J569" s="1">
        <f t="shared" si="17"/>
        <v>44034</v>
      </c>
      <c r="K569">
        <f t="shared" si="16"/>
        <v>24</v>
      </c>
    </row>
    <row r="570" spans="1:11" x14ac:dyDescent="0.25">
      <c r="A570">
        <v>21</v>
      </c>
      <c r="B570" t="s">
        <v>16</v>
      </c>
      <c r="C570">
        <v>2020</v>
      </c>
      <c r="D570">
        <v>214</v>
      </c>
      <c r="E570" t="s">
        <v>9</v>
      </c>
      <c r="F570">
        <v>185</v>
      </c>
      <c r="G570" s="1">
        <f>DATE(C570, CHOOSE(MATCH(UPPER(B570), {"ENERO","FEBRERO","MARZO","ABRIL","MAYO","JUNIO","JULIO","AGOSTO","SEPTIEMBRE","OCTUBRE","NOVIEMBRE","DICIEMBRE"}, 0), 1,2,3,4,5,6,7,8,9,10,11,12), A570)</f>
        <v>44033</v>
      </c>
      <c r="H570">
        <v>29</v>
      </c>
      <c r="I570">
        <v>36000</v>
      </c>
      <c r="J570" s="1">
        <f t="shared" si="17"/>
        <v>44035</v>
      </c>
      <c r="K570">
        <f t="shared" si="16"/>
        <v>35.5</v>
      </c>
    </row>
    <row r="571" spans="1:11" x14ac:dyDescent="0.25">
      <c r="A571">
        <v>22</v>
      </c>
      <c r="B571" t="s">
        <v>16</v>
      </c>
      <c r="C571">
        <v>2020</v>
      </c>
      <c r="D571">
        <v>185</v>
      </c>
      <c r="E571" t="s">
        <v>9</v>
      </c>
      <c r="F571">
        <v>161</v>
      </c>
      <c r="G571" s="1">
        <f>DATE(C571, CHOOSE(MATCH(UPPER(B571), {"ENERO","FEBRERO","MARZO","ABRIL","MAYO","JUNIO","JULIO","AGOSTO","SEPTIEMBRE","OCTUBRE","NOVIEMBRE","DICIEMBRE"}, 0), 1,2,3,4,5,6,7,8,9,10,11,12), A571)</f>
        <v>44034</v>
      </c>
      <c r="H571">
        <v>24</v>
      </c>
      <c r="I571">
        <v>36000</v>
      </c>
      <c r="J571" s="1">
        <f t="shared" si="17"/>
        <v>44036</v>
      </c>
      <c r="K571">
        <f t="shared" si="16"/>
        <v>43</v>
      </c>
    </row>
    <row r="572" spans="1:11" x14ac:dyDescent="0.25">
      <c r="A572">
        <v>23</v>
      </c>
      <c r="B572" t="s">
        <v>16</v>
      </c>
      <c r="C572">
        <v>2020</v>
      </c>
      <c r="D572">
        <v>161</v>
      </c>
      <c r="E572" t="s">
        <v>9</v>
      </c>
      <c r="F572">
        <v>125.5</v>
      </c>
      <c r="G572" s="1">
        <f>DATE(C572, CHOOSE(MATCH(UPPER(B572), {"ENERO","FEBRERO","MARZO","ABRIL","MAYO","JUNIO","JULIO","AGOSTO","SEPTIEMBRE","OCTUBRE","NOVIEMBRE","DICIEMBRE"}, 0), 1,2,3,4,5,6,7,8,9,10,11,12), A572)</f>
        <v>44035</v>
      </c>
      <c r="H572">
        <v>35.5</v>
      </c>
      <c r="I572">
        <v>36000</v>
      </c>
      <c r="J572" s="1">
        <f t="shared" si="17"/>
        <v>44037</v>
      </c>
      <c r="K572">
        <f t="shared" si="16"/>
        <v>48</v>
      </c>
    </row>
    <row r="573" spans="1:11" x14ac:dyDescent="0.25">
      <c r="A573">
        <v>24</v>
      </c>
      <c r="B573" t="s">
        <v>16</v>
      </c>
      <c r="C573">
        <v>2020</v>
      </c>
      <c r="D573">
        <v>125.5</v>
      </c>
      <c r="E573" t="s">
        <v>9</v>
      </c>
      <c r="F573">
        <v>82.5</v>
      </c>
      <c r="G573" s="1">
        <f>DATE(C573, CHOOSE(MATCH(UPPER(B573), {"ENERO","FEBRERO","MARZO","ABRIL","MAYO","JUNIO","JULIO","AGOSTO","SEPTIEMBRE","OCTUBRE","NOVIEMBRE","DICIEMBRE"}, 0), 1,2,3,4,5,6,7,8,9,10,11,12), A573)</f>
        <v>44036</v>
      </c>
      <c r="H573">
        <v>43</v>
      </c>
      <c r="I573">
        <v>36000</v>
      </c>
      <c r="J573" s="1">
        <f t="shared" si="17"/>
        <v>44038</v>
      </c>
      <c r="K573">
        <f t="shared" si="16"/>
        <v>46.5</v>
      </c>
    </row>
    <row r="574" spans="1:11" x14ac:dyDescent="0.25">
      <c r="A574">
        <v>25</v>
      </c>
      <c r="B574" t="s">
        <v>16</v>
      </c>
      <c r="C574">
        <v>2020</v>
      </c>
      <c r="D574">
        <v>82.5</v>
      </c>
      <c r="E574">
        <v>280</v>
      </c>
      <c r="F574">
        <v>314.5</v>
      </c>
      <c r="G574" s="1">
        <f>DATE(C574, CHOOSE(MATCH(UPPER(B574), {"ENERO","FEBRERO","MARZO","ABRIL","MAYO","JUNIO","JULIO","AGOSTO","SEPTIEMBRE","OCTUBRE","NOVIEMBRE","DICIEMBRE"}, 0), 1,2,3,4,5,6,7,8,9,10,11,12), A574)</f>
        <v>44037</v>
      </c>
      <c r="H574">
        <v>48</v>
      </c>
      <c r="I574">
        <v>36000</v>
      </c>
      <c r="J574" s="1">
        <f t="shared" si="17"/>
        <v>44039</v>
      </c>
      <c r="K574">
        <f t="shared" si="16"/>
        <v>26.5</v>
      </c>
    </row>
    <row r="575" spans="1:11" x14ac:dyDescent="0.25">
      <c r="A575">
        <v>26</v>
      </c>
      <c r="B575" t="s">
        <v>16</v>
      </c>
      <c r="C575">
        <v>2020</v>
      </c>
      <c r="D575">
        <v>314.5</v>
      </c>
      <c r="E575" t="s">
        <v>9</v>
      </c>
      <c r="F575">
        <v>268</v>
      </c>
      <c r="G575" s="1">
        <f>DATE(C575, CHOOSE(MATCH(UPPER(B575), {"ENERO","FEBRERO","MARZO","ABRIL","MAYO","JUNIO","JULIO","AGOSTO","SEPTIEMBRE","OCTUBRE","NOVIEMBRE","DICIEMBRE"}, 0), 1,2,3,4,5,6,7,8,9,10,11,12), A575)</f>
        <v>44038</v>
      </c>
      <c r="H575">
        <v>46.5</v>
      </c>
      <c r="I575">
        <v>36000</v>
      </c>
      <c r="J575" s="1">
        <f t="shared" si="17"/>
        <v>44040</v>
      </c>
      <c r="K575">
        <f t="shared" si="16"/>
        <v>27.5</v>
      </c>
    </row>
    <row r="576" spans="1:11" x14ac:dyDescent="0.25">
      <c r="A576">
        <v>27</v>
      </c>
      <c r="B576" t="s">
        <v>16</v>
      </c>
      <c r="C576">
        <v>2020</v>
      </c>
      <c r="D576">
        <v>268</v>
      </c>
      <c r="E576" t="s">
        <v>9</v>
      </c>
      <c r="F576">
        <v>241.5</v>
      </c>
      <c r="G576" s="1">
        <f>DATE(C576, CHOOSE(MATCH(UPPER(B576), {"ENERO","FEBRERO","MARZO","ABRIL","MAYO","JUNIO","JULIO","AGOSTO","SEPTIEMBRE","OCTUBRE","NOVIEMBRE","DICIEMBRE"}, 0), 1,2,3,4,5,6,7,8,9,10,11,12), A576)</f>
        <v>44039</v>
      </c>
      <c r="H576">
        <v>26.5</v>
      </c>
      <c r="I576">
        <v>36000</v>
      </c>
      <c r="J576" s="1">
        <f t="shared" si="17"/>
        <v>44041</v>
      </c>
      <c r="K576">
        <f t="shared" si="16"/>
        <v>24</v>
      </c>
    </row>
    <row r="577" spans="1:11" x14ac:dyDescent="0.25">
      <c r="A577">
        <v>28</v>
      </c>
      <c r="B577" t="s">
        <v>16</v>
      </c>
      <c r="C577">
        <v>2020</v>
      </c>
      <c r="D577">
        <v>241.5</v>
      </c>
      <c r="E577" t="s">
        <v>9</v>
      </c>
      <c r="F577">
        <v>214</v>
      </c>
      <c r="G577" s="1">
        <f>DATE(C577, CHOOSE(MATCH(UPPER(B577), {"ENERO","FEBRERO","MARZO","ABRIL","MAYO","JUNIO","JULIO","AGOSTO","SEPTIEMBRE","OCTUBRE","NOVIEMBRE","DICIEMBRE"}, 0), 1,2,3,4,5,6,7,8,9,10,11,12), A577)</f>
        <v>44040</v>
      </c>
      <c r="H577">
        <v>27.5</v>
      </c>
      <c r="I577">
        <v>36000</v>
      </c>
      <c r="J577" s="1">
        <f t="shared" si="17"/>
        <v>44042</v>
      </c>
      <c r="K577">
        <f t="shared" si="16"/>
        <v>31</v>
      </c>
    </row>
    <row r="578" spans="1:11" x14ac:dyDescent="0.25">
      <c r="A578">
        <v>29</v>
      </c>
      <c r="B578" t="s">
        <v>16</v>
      </c>
      <c r="C578">
        <v>2020</v>
      </c>
      <c r="D578">
        <v>214</v>
      </c>
      <c r="E578" t="s">
        <v>9</v>
      </c>
      <c r="F578">
        <v>190</v>
      </c>
      <c r="G578" s="1">
        <f>DATE(C578, CHOOSE(MATCH(UPPER(B578), {"ENERO","FEBRERO","MARZO","ABRIL","MAYO","JUNIO","JULIO","AGOSTO","SEPTIEMBRE","OCTUBRE","NOVIEMBRE","DICIEMBRE"}, 0), 1,2,3,4,5,6,7,8,9,10,11,12), A578)</f>
        <v>44041</v>
      </c>
      <c r="H578">
        <v>24</v>
      </c>
      <c r="I578">
        <v>36000</v>
      </c>
      <c r="J578" s="1">
        <f t="shared" si="17"/>
        <v>44043</v>
      </c>
      <c r="K578">
        <f t="shared" si="16"/>
        <v>41</v>
      </c>
    </row>
    <row r="579" spans="1:11" x14ac:dyDescent="0.25">
      <c r="A579">
        <v>30</v>
      </c>
      <c r="B579" t="s">
        <v>16</v>
      </c>
      <c r="C579">
        <v>2020</v>
      </c>
      <c r="D579">
        <v>190</v>
      </c>
      <c r="E579" t="s">
        <v>9</v>
      </c>
      <c r="F579">
        <v>159</v>
      </c>
      <c r="G579" s="1">
        <f>DATE(C579, CHOOSE(MATCH(UPPER(B579), {"ENERO","FEBRERO","MARZO","ABRIL","MAYO","JUNIO","JULIO","AGOSTO","SEPTIEMBRE","OCTUBRE","NOVIEMBRE","DICIEMBRE"}, 0), 1,2,3,4,5,6,7,8,9,10,11,12), A579)</f>
        <v>44042</v>
      </c>
      <c r="H579">
        <v>31</v>
      </c>
      <c r="I579">
        <v>36000</v>
      </c>
      <c r="J579" s="1">
        <f t="shared" si="17"/>
        <v>44044</v>
      </c>
      <c r="K579">
        <f t="shared" ref="K579:K642" si="18">VLOOKUP(J579, G:H, 2, FALSE)</f>
        <v>56</v>
      </c>
    </row>
    <row r="580" spans="1:11" x14ac:dyDescent="0.25">
      <c r="A580">
        <v>31</v>
      </c>
      <c r="B580" t="s">
        <v>16</v>
      </c>
      <c r="C580">
        <v>2020</v>
      </c>
      <c r="D580">
        <v>159</v>
      </c>
      <c r="E580" t="s">
        <v>9</v>
      </c>
      <c r="F580">
        <v>118</v>
      </c>
      <c r="G580" s="1">
        <f>DATE(C580, CHOOSE(MATCH(UPPER(B580), {"ENERO","FEBRERO","MARZO","ABRIL","MAYO","JUNIO","JULIO","AGOSTO","SEPTIEMBRE","OCTUBRE","NOVIEMBRE","DICIEMBRE"}, 0), 1,2,3,4,5,6,7,8,9,10,11,12), A580)</f>
        <v>44043</v>
      </c>
      <c r="H580">
        <v>41</v>
      </c>
      <c r="I580">
        <v>36000</v>
      </c>
      <c r="J580" s="1">
        <f t="shared" si="17"/>
        <v>44045</v>
      </c>
      <c r="K580">
        <f t="shared" si="18"/>
        <v>40</v>
      </c>
    </row>
    <row r="581" spans="1:11" x14ac:dyDescent="0.25">
      <c r="A581">
        <v>1</v>
      </c>
      <c r="B581" t="s">
        <v>17</v>
      </c>
      <c r="C581">
        <v>2020</v>
      </c>
      <c r="D581">
        <v>118</v>
      </c>
      <c r="E581">
        <v>149</v>
      </c>
      <c r="F581">
        <v>211</v>
      </c>
      <c r="G581" s="1">
        <f>DATE(C581, CHOOSE(MATCH(UPPER(B581), {"ENERO","FEBRERO","MARZO","ABRIL","MAYO","JUNIO","JULIO","AGOSTO","SEPTIEMBRE","OCTUBRE","NOVIEMBRE","DICIEMBRE"}, 0), 1,2,3,4,5,6,7,8,9,10,11,12), A581)</f>
        <v>44044</v>
      </c>
      <c r="H581">
        <v>56</v>
      </c>
      <c r="I581">
        <v>36000</v>
      </c>
      <c r="J581" s="1">
        <f t="shared" ref="J581:J644" si="19">DATE(2019,1,1) + ROW()-1</f>
        <v>44046</v>
      </c>
      <c r="K581">
        <f t="shared" si="18"/>
        <v>23</v>
      </c>
    </row>
    <row r="582" spans="1:11" x14ac:dyDescent="0.25">
      <c r="A582">
        <v>2</v>
      </c>
      <c r="B582" t="s">
        <v>17</v>
      </c>
      <c r="C582">
        <v>2020</v>
      </c>
      <c r="D582">
        <v>211</v>
      </c>
      <c r="E582" t="s">
        <v>9</v>
      </c>
      <c r="F582">
        <v>171</v>
      </c>
      <c r="G582" s="1">
        <f>DATE(C582, CHOOSE(MATCH(UPPER(B582), {"ENERO","FEBRERO","MARZO","ABRIL","MAYO","JUNIO","JULIO","AGOSTO","SEPTIEMBRE","OCTUBRE","NOVIEMBRE","DICIEMBRE"}, 0), 1,2,3,4,5,6,7,8,9,10,11,12), A582)</f>
        <v>44045</v>
      </c>
      <c r="H582">
        <v>40</v>
      </c>
      <c r="I582">
        <v>36000</v>
      </c>
      <c r="J582" s="1">
        <f t="shared" si="19"/>
        <v>44047</v>
      </c>
      <c r="K582">
        <f t="shared" si="18"/>
        <v>23</v>
      </c>
    </row>
    <row r="583" spans="1:11" x14ac:dyDescent="0.25">
      <c r="A583">
        <v>3</v>
      </c>
      <c r="B583" t="s">
        <v>17</v>
      </c>
      <c r="C583">
        <v>2020</v>
      </c>
      <c r="D583">
        <v>171</v>
      </c>
      <c r="E583">
        <v>140</v>
      </c>
      <c r="F583">
        <v>288</v>
      </c>
      <c r="G583" s="1">
        <f>DATE(C583, CHOOSE(MATCH(UPPER(B583), {"ENERO","FEBRERO","MARZO","ABRIL","MAYO","JUNIO","JULIO","AGOSTO","SEPTIEMBRE","OCTUBRE","NOVIEMBRE","DICIEMBRE"}, 0), 1,2,3,4,5,6,7,8,9,10,11,12), A583)</f>
        <v>44046</v>
      </c>
      <c r="H583">
        <v>23</v>
      </c>
      <c r="I583">
        <v>36000</v>
      </c>
      <c r="J583" s="1">
        <f t="shared" si="19"/>
        <v>44048</v>
      </c>
      <c r="K583">
        <f t="shared" si="18"/>
        <v>27.5</v>
      </c>
    </row>
    <row r="584" spans="1:11" x14ac:dyDescent="0.25">
      <c r="A584">
        <v>4</v>
      </c>
      <c r="B584" t="s">
        <v>17</v>
      </c>
      <c r="C584">
        <v>2020</v>
      </c>
      <c r="D584">
        <v>288</v>
      </c>
      <c r="E584" t="s">
        <v>9</v>
      </c>
      <c r="F584">
        <v>265</v>
      </c>
      <c r="G584" s="1">
        <f>DATE(C584, CHOOSE(MATCH(UPPER(B584), {"ENERO","FEBRERO","MARZO","ABRIL","MAYO","JUNIO","JULIO","AGOSTO","SEPTIEMBRE","OCTUBRE","NOVIEMBRE","DICIEMBRE"}, 0), 1,2,3,4,5,6,7,8,9,10,11,12), A584)</f>
        <v>44047</v>
      </c>
      <c r="H584">
        <v>23</v>
      </c>
      <c r="I584">
        <v>36000</v>
      </c>
      <c r="J584" s="1">
        <f t="shared" si="19"/>
        <v>44049</v>
      </c>
      <c r="K584">
        <f t="shared" si="18"/>
        <v>34</v>
      </c>
    </row>
    <row r="585" spans="1:11" x14ac:dyDescent="0.25">
      <c r="A585">
        <v>5</v>
      </c>
      <c r="B585" t="s">
        <v>17</v>
      </c>
      <c r="C585">
        <v>2020</v>
      </c>
      <c r="D585">
        <v>265</v>
      </c>
      <c r="E585" t="s">
        <v>9</v>
      </c>
      <c r="F585">
        <v>237.5</v>
      </c>
      <c r="G585" s="1">
        <f>DATE(C585, CHOOSE(MATCH(UPPER(B585), {"ENERO","FEBRERO","MARZO","ABRIL","MAYO","JUNIO","JULIO","AGOSTO","SEPTIEMBRE","OCTUBRE","NOVIEMBRE","DICIEMBRE"}, 0), 1,2,3,4,5,6,7,8,9,10,11,12), A585)</f>
        <v>44048</v>
      </c>
      <c r="H585">
        <v>27.5</v>
      </c>
      <c r="I585">
        <v>36000</v>
      </c>
      <c r="J585" s="1">
        <f t="shared" si="19"/>
        <v>44050</v>
      </c>
      <c r="K585">
        <f t="shared" si="18"/>
        <v>52.5</v>
      </c>
    </row>
    <row r="586" spans="1:11" x14ac:dyDescent="0.25">
      <c r="A586">
        <v>6</v>
      </c>
      <c r="B586" t="s">
        <v>17</v>
      </c>
      <c r="C586">
        <v>2020</v>
      </c>
      <c r="D586">
        <v>237.5</v>
      </c>
      <c r="E586" t="s">
        <v>9</v>
      </c>
      <c r="F586">
        <v>203.5</v>
      </c>
      <c r="G586" s="1">
        <f>DATE(C586, CHOOSE(MATCH(UPPER(B586), {"ENERO","FEBRERO","MARZO","ABRIL","MAYO","JUNIO","JULIO","AGOSTO","SEPTIEMBRE","OCTUBRE","NOVIEMBRE","DICIEMBRE"}, 0), 1,2,3,4,5,6,7,8,9,10,11,12), A586)</f>
        <v>44049</v>
      </c>
      <c r="H586">
        <v>34</v>
      </c>
      <c r="I586">
        <v>36000</v>
      </c>
      <c r="J586" s="1">
        <f t="shared" si="19"/>
        <v>44051</v>
      </c>
      <c r="K586">
        <f t="shared" si="18"/>
        <v>51.5</v>
      </c>
    </row>
    <row r="587" spans="1:11" x14ac:dyDescent="0.25">
      <c r="A587">
        <v>7</v>
      </c>
      <c r="B587" t="s">
        <v>17</v>
      </c>
      <c r="C587">
        <v>2020</v>
      </c>
      <c r="D587">
        <v>203.5</v>
      </c>
      <c r="E587" t="s">
        <v>9</v>
      </c>
      <c r="F587">
        <v>151</v>
      </c>
      <c r="G587" s="1">
        <f>DATE(C587, CHOOSE(MATCH(UPPER(B587), {"ENERO","FEBRERO","MARZO","ABRIL","MAYO","JUNIO","JULIO","AGOSTO","SEPTIEMBRE","OCTUBRE","NOVIEMBRE","DICIEMBRE"}, 0), 1,2,3,4,5,6,7,8,9,10,11,12), A587)</f>
        <v>44050</v>
      </c>
      <c r="H587">
        <v>52.5</v>
      </c>
      <c r="I587">
        <v>36000</v>
      </c>
      <c r="J587" s="1">
        <f t="shared" si="19"/>
        <v>44052</v>
      </c>
      <c r="K587">
        <f t="shared" si="18"/>
        <v>47</v>
      </c>
    </row>
    <row r="588" spans="1:11" x14ac:dyDescent="0.25">
      <c r="A588">
        <v>8</v>
      </c>
      <c r="B588" t="s">
        <v>17</v>
      </c>
      <c r="C588">
        <v>2020</v>
      </c>
      <c r="D588">
        <v>151</v>
      </c>
      <c r="E588" t="s">
        <v>9</v>
      </c>
      <c r="F588">
        <v>99.5</v>
      </c>
      <c r="G588" s="1">
        <f>DATE(C588, CHOOSE(MATCH(UPPER(B588), {"ENERO","FEBRERO","MARZO","ABRIL","MAYO","JUNIO","JULIO","AGOSTO","SEPTIEMBRE","OCTUBRE","NOVIEMBRE","DICIEMBRE"}, 0), 1,2,3,4,5,6,7,8,9,10,11,12), A588)</f>
        <v>44051</v>
      </c>
      <c r="H588">
        <v>51.5</v>
      </c>
      <c r="I588">
        <v>36000</v>
      </c>
      <c r="J588" s="1">
        <f t="shared" si="19"/>
        <v>44053</v>
      </c>
      <c r="K588">
        <f t="shared" si="18"/>
        <v>29.25</v>
      </c>
    </row>
    <row r="589" spans="1:11" x14ac:dyDescent="0.25">
      <c r="A589">
        <v>9</v>
      </c>
      <c r="B589" t="s">
        <v>17</v>
      </c>
      <c r="C589">
        <v>2020</v>
      </c>
      <c r="D589">
        <v>99.5</v>
      </c>
      <c r="E589">
        <v>300</v>
      </c>
      <c r="F589">
        <v>352.5</v>
      </c>
      <c r="G589" s="1">
        <f>DATE(C589, CHOOSE(MATCH(UPPER(B589), {"ENERO","FEBRERO","MARZO","ABRIL","MAYO","JUNIO","JULIO","AGOSTO","SEPTIEMBRE","OCTUBRE","NOVIEMBRE","DICIEMBRE"}, 0), 1,2,3,4,5,6,7,8,9,10,11,12), A589)</f>
        <v>44052</v>
      </c>
      <c r="H589">
        <v>47</v>
      </c>
      <c r="I589">
        <v>36000</v>
      </c>
      <c r="J589" s="1">
        <f t="shared" si="19"/>
        <v>44054</v>
      </c>
      <c r="K589">
        <f t="shared" si="18"/>
        <v>24.25</v>
      </c>
    </row>
    <row r="590" spans="1:11" x14ac:dyDescent="0.25">
      <c r="A590">
        <v>10</v>
      </c>
      <c r="B590" t="s">
        <v>17</v>
      </c>
      <c r="C590">
        <v>2020</v>
      </c>
      <c r="D590">
        <v>352.5</v>
      </c>
      <c r="E590" t="s">
        <v>9</v>
      </c>
      <c r="F590">
        <v>323.25</v>
      </c>
      <c r="G590" s="1">
        <f>DATE(C590, CHOOSE(MATCH(UPPER(B590), {"ENERO","FEBRERO","MARZO","ABRIL","MAYO","JUNIO","JULIO","AGOSTO","SEPTIEMBRE","OCTUBRE","NOVIEMBRE","DICIEMBRE"}, 0), 1,2,3,4,5,6,7,8,9,10,11,12), A590)</f>
        <v>44053</v>
      </c>
      <c r="H590">
        <v>29.25</v>
      </c>
      <c r="I590">
        <v>36000</v>
      </c>
      <c r="J590" s="1">
        <f t="shared" si="19"/>
        <v>44055</v>
      </c>
      <c r="K590">
        <f t="shared" si="18"/>
        <v>25</v>
      </c>
    </row>
    <row r="591" spans="1:11" x14ac:dyDescent="0.25">
      <c r="A591">
        <v>11</v>
      </c>
      <c r="B591" t="s">
        <v>17</v>
      </c>
      <c r="C591">
        <v>2020</v>
      </c>
      <c r="D591">
        <v>323.25</v>
      </c>
      <c r="E591" t="s">
        <v>9</v>
      </c>
      <c r="F591">
        <v>299</v>
      </c>
      <c r="G591" s="1">
        <f>DATE(C591, CHOOSE(MATCH(UPPER(B591), {"ENERO","FEBRERO","MARZO","ABRIL","MAYO","JUNIO","JULIO","AGOSTO","SEPTIEMBRE","OCTUBRE","NOVIEMBRE","DICIEMBRE"}, 0), 1,2,3,4,5,6,7,8,9,10,11,12), A591)</f>
        <v>44054</v>
      </c>
      <c r="H591">
        <v>24.25</v>
      </c>
      <c r="I591">
        <v>36000</v>
      </c>
      <c r="J591" s="1">
        <f t="shared" si="19"/>
        <v>44056</v>
      </c>
      <c r="K591">
        <f t="shared" si="18"/>
        <v>28.5</v>
      </c>
    </row>
    <row r="592" spans="1:11" x14ac:dyDescent="0.25">
      <c r="A592">
        <v>12</v>
      </c>
      <c r="B592" t="s">
        <v>17</v>
      </c>
      <c r="C592">
        <v>2020</v>
      </c>
      <c r="D592">
        <v>299</v>
      </c>
      <c r="E592" t="s">
        <v>9</v>
      </c>
      <c r="F592">
        <v>274</v>
      </c>
      <c r="G592" s="1">
        <f>DATE(C592, CHOOSE(MATCH(UPPER(B592), {"ENERO","FEBRERO","MARZO","ABRIL","MAYO","JUNIO","JULIO","AGOSTO","SEPTIEMBRE","OCTUBRE","NOVIEMBRE","DICIEMBRE"}, 0), 1,2,3,4,5,6,7,8,9,10,11,12), A592)</f>
        <v>44055</v>
      </c>
      <c r="H592">
        <v>25</v>
      </c>
      <c r="I592">
        <v>36000</v>
      </c>
      <c r="J592" s="1">
        <f t="shared" si="19"/>
        <v>44057</v>
      </c>
      <c r="K592">
        <f t="shared" si="18"/>
        <v>45.5</v>
      </c>
    </row>
    <row r="593" spans="1:11" x14ac:dyDescent="0.25">
      <c r="A593">
        <v>13</v>
      </c>
      <c r="B593" t="s">
        <v>17</v>
      </c>
      <c r="C593">
        <v>2020</v>
      </c>
      <c r="D593">
        <v>274</v>
      </c>
      <c r="E593" t="s">
        <v>9</v>
      </c>
      <c r="F593">
        <v>245.5</v>
      </c>
      <c r="G593" s="1">
        <f>DATE(C593, CHOOSE(MATCH(UPPER(B593), {"ENERO","FEBRERO","MARZO","ABRIL","MAYO","JUNIO","JULIO","AGOSTO","SEPTIEMBRE","OCTUBRE","NOVIEMBRE","DICIEMBRE"}, 0), 1,2,3,4,5,6,7,8,9,10,11,12), A593)</f>
        <v>44056</v>
      </c>
      <c r="H593">
        <v>28.5</v>
      </c>
      <c r="I593">
        <v>36000</v>
      </c>
      <c r="J593" s="1">
        <f t="shared" si="19"/>
        <v>44058</v>
      </c>
      <c r="K593">
        <f t="shared" si="18"/>
        <v>46.5</v>
      </c>
    </row>
    <row r="594" spans="1:11" x14ac:dyDescent="0.25">
      <c r="A594">
        <v>14</v>
      </c>
      <c r="B594" t="s">
        <v>17</v>
      </c>
      <c r="C594">
        <v>2020</v>
      </c>
      <c r="D594">
        <v>245.5</v>
      </c>
      <c r="E594" t="s">
        <v>9</v>
      </c>
      <c r="F594">
        <v>200</v>
      </c>
      <c r="G594" s="1">
        <f>DATE(C594, CHOOSE(MATCH(UPPER(B594), {"ENERO","FEBRERO","MARZO","ABRIL","MAYO","JUNIO","JULIO","AGOSTO","SEPTIEMBRE","OCTUBRE","NOVIEMBRE","DICIEMBRE"}, 0), 1,2,3,4,5,6,7,8,9,10,11,12), A594)</f>
        <v>44057</v>
      </c>
      <c r="H594">
        <v>45.5</v>
      </c>
      <c r="I594">
        <v>36000</v>
      </c>
      <c r="J594" s="1">
        <f t="shared" si="19"/>
        <v>44059</v>
      </c>
      <c r="K594">
        <f t="shared" si="18"/>
        <v>40.5</v>
      </c>
    </row>
    <row r="595" spans="1:11" x14ac:dyDescent="0.25">
      <c r="A595">
        <v>15</v>
      </c>
      <c r="B595" t="s">
        <v>17</v>
      </c>
      <c r="C595">
        <v>2020</v>
      </c>
      <c r="D595">
        <v>200</v>
      </c>
      <c r="E595" t="s">
        <v>9</v>
      </c>
      <c r="F595">
        <v>153.5</v>
      </c>
      <c r="G595" s="1">
        <f>DATE(C595, CHOOSE(MATCH(UPPER(B595), {"ENERO","FEBRERO","MARZO","ABRIL","MAYO","JUNIO","JULIO","AGOSTO","SEPTIEMBRE","OCTUBRE","NOVIEMBRE","DICIEMBRE"}, 0), 1,2,3,4,5,6,7,8,9,10,11,12), A595)</f>
        <v>44058</v>
      </c>
      <c r="H595">
        <v>46.5</v>
      </c>
      <c r="I595">
        <v>36000</v>
      </c>
      <c r="J595" s="1">
        <f t="shared" si="19"/>
        <v>44060</v>
      </c>
      <c r="K595">
        <f t="shared" si="18"/>
        <v>40</v>
      </c>
    </row>
    <row r="596" spans="1:11" x14ac:dyDescent="0.25">
      <c r="A596">
        <v>16</v>
      </c>
      <c r="B596" t="s">
        <v>17</v>
      </c>
      <c r="C596">
        <v>2020</v>
      </c>
      <c r="D596">
        <v>153.5</v>
      </c>
      <c r="E596" t="s">
        <v>9</v>
      </c>
      <c r="F596">
        <v>113</v>
      </c>
      <c r="G596" s="1">
        <f>DATE(C596, CHOOSE(MATCH(UPPER(B596), {"ENERO","FEBRERO","MARZO","ABRIL","MAYO","JUNIO","JULIO","AGOSTO","SEPTIEMBRE","OCTUBRE","NOVIEMBRE","DICIEMBRE"}, 0), 1,2,3,4,5,6,7,8,9,10,11,12), A596)</f>
        <v>44059</v>
      </c>
      <c r="H596">
        <v>40.5</v>
      </c>
      <c r="I596">
        <v>36000</v>
      </c>
      <c r="J596" s="1">
        <f t="shared" si="19"/>
        <v>44061</v>
      </c>
      <c r="K596">
        <f t="shared" si="18"/>
        <v>28.5</v>
      </c>
    </row>
    <row r="597" spans="1:11" x14ac:dyDescent="0.25">
      <c r="A597">
        <v>17</v>
      </c>
      <c r="B597" t="s">
        <v>17</v>
      </c>
      <c r="C597">
        <v>2020</v>
      </c>
      <c r="D597">
        <v>113</v>
      </c>
      <c r="E597" t="s">
        <v>9</v>
      </c>
      <c r="F597">
        <v>73</v>
      </c>
      <c r="G597" s="1">
        <f>DATE(C597, CHOOSE(MATCH(UPPER(B597), {"ENERO","FEBRERO","MARZO","ABRIL","MAYO","JUNIO","JULIO","AGOSTO","SEPTIEMBRE","OCTUBRE","NOVIEMBRE","DICIEMBRE"}, 0), 1,2,3,4,5,6,7,8,9,10,11,12), A597)</f>
        <v>44060</v>
      </c>
      <c r="H597">
        <v>40</v>
      </c>
      <c r="I597">
        <v>36000</v>
      </c>
      <c r="J597" s="1">
        <f t="shared" si="19"/>
        <v>44062</v>
      </c>
      <c r="K597">
        <f t="shared" si="18"/>
        <v>19.5</v>
      </c>
    </row>
    <row r="598" spans="1:11" x14ac:dyDescent="0.25">
      <c r="A598">
        <v>18</v>
      </c>
      <c r="B598" t="s">
        <v>17</v>
      </c>
      <c r="C598">
        <v>2020</v>
      </c>
      <c r="D598">
        <v>73</v>
      </c>
      <c r="E598">
        <v>300</v>
      </c>
      <c r="F598">
        <v>344.5</v>
      </c>
      <c r="G598" s="1">
        <f>DATE(C598, CHOOSE(MATCH(UPPER(B598), {"ENERO","FEBRERO","MARZO","ABRIL","MAYO","JUNIO","JULIO","AGOSTO","SEPTIEMBRE","OCTUBRE","NOVIEMBRE","DICIEMBRE"}, 0), 1,2,3,4,5,6,7,8,9,10,11,12), A598)</f>
        <v>44061</v>
      </c>
      <c r="H598">
        <v>28.5</v>
      </c>
      <c r="I598">
        <v>36000</v>
      </c>
      <c r="J598" s="1">
        <f t="shared" si="19"/>
        <v>44063</v>
      </c>
      <c r="K598">
        <f t="shared" si="18"/>
        <v>32</v>
      </c>
    </row>
    <row r="599" spans="1:11" x14ac:dyDescent="0.25">
      <c r="A599">
        <v>19</v>
      </c>
      <c r="B599" t="s">
        <v>17</v>
      </c>
      <c r="C599">
        <v>2020</v>
      </c>
      <c r="D599">
        <v>344.5</v>
      </c>
      <c r="E599" t="s">
        <v>9</v>
      </c>
      <c r="F599">
        <v>325</v>
      </c>
      <c r="G599" s="1">
        <f>DATE(C599, CHOOSE(MATCH(UPPER(B599), {"ENERO","FEBRERO","MARZO","ABRIL","MAYO","JUNIO","JULIO","AGOSTO","SEPTIEMBRE","OCTUBRE","NOVIEMBRE","DICIEMBRE"}, 0), 1,2,3,4,5,6,7,8,9,10,11,12), A599)</f>
        <v>44062</v>
      </c>
      <c r="H599">
        <v>19.5</v>
      </c>
      <c r="I599">
        <v>36000</v>
      </c>
      <c r="J599" s="1">
        <f t="shared" si="19"/>
        <v>44064</v>
      </c>
      <c r="K599">
        <f t="shared" si="18"/>
        <v>38.5</v>
      </c>
    </row>
    <row r="600" spans="1:11" x14ac:dyDescent="0.25">
      <c r="A600">
        <v>20</v>
      </c>
      <c r="B600" t="s">
        <v>17</v>
      </c>
      <c r="C600">
        <v>2020</v>
      </c>
      <c r="D600">
        <v>325</v>
      </c>
      <c r="E600" t="s">
        <v>9</v>
      </c>
      <c r="F600">
        <v>293</v>
      </c>
      <c r="G600" s="1">
        <f>DATE(C600, CHOOSE(MATCH(UPPER(B600), {"ENERO","FEBRERO","MARZO","ABRIL","MAYO","JUNIO","JULIO","AGOSTO","SEPTIEMBRE","OCTUBRE","NOVIEMBRE","DICIEMBRE"}, 0), 1,2,3,4,5,6,7,8,9,10,11,12), A600)</f>
        <v>44063</v>
      </c>
      <c r="H600">
        <v>32</v>
      </c>
      <c r="I600">
        <v>36000</v>
      </c>
      <c r="J600" s="1">
        <f t="shared" si="19"/>
        <v>44065</v>
      </c>
      <c r="K600">
        <f t="shared" si="18"/>
        <v>54.5</v>
      </c>
    </row>
    <row r="601" spans="1:11" x14ac:dyDescent="0.25">
      <c r="A601">
        <v>21</v>
      </c>
      <c r="B601" t="s">
        <v>17</v>
      </c>
      <c r="C601">
        <v>2020</v>
      </c>
      <c r="D601">
        <v>293</v>
      </c>
      <c r="E601" t="s">
        <v>9</v>
      </c>
      <c r="F601">
        <v>254.5</v>
      </c>
      <c r="G601" s="1">
        <f>DATE(C601, CHOOSE(MATCH(UPPER(B601), {"ENERO","FEBRERO","MARZO","ABRIL","MAYO","JUNIO","JULIO","AGOSTO","SEPTIEMBRE","OCTUBRE","NOVIEMBRE","DICIEMBRE"}, 0), 1,2,3,4,5,6,7,8,9,10,11,12), A601)</f>
        <v>44064</v>
      </c>
      <c r="H601">
        <v>38.5</v>
      </c>
      <c r="I601">
        <v>36000</v>
      </c>
      <c r="J601" s="1">
        <f t="shared" si="19"/>
        <v>44066</v>
      </c>
      <c r="K601">
        <f t="shared" si="18"/>
        <v>47</v>
      </c>
    </row>
    <row r="602" spans="1:11" x14ac:dyDescent="0.25">
      <c r="A602">
        <v>22</v>
      </c>
      <c r="B602" t="s">
        <v>17</v>
      </c>
      <c r="C602">
        <v>2020</v>
      </c>
      <c r="D602">
        <v>254.5</v>
      </c>
      <c r="E602" t="s">
        <v>9</v>
      </c>
      <c r="F602">
        <v>200</v>
      </c>
      <c r="G602" s="1">
        <f>DATE(C602, CHOOSE(MATCH(UPPER(B602), {"ENERO","FEBRERO","MARZO","ABRIL","MAYO","JUNIO","JULIO","AGOSTO","SEPTIEMBRE","OCTUBRE","NOVIEMBRE","DICIEMBRE"}, 0), 1,2,3,4,5,6,7,8,9,10,11,12), A602)</f>
        <v>44065</v>
      </c>
      <c r="H602">
        <v>54.5</v>
      </c>
      <c r="I602">
        <v>36000</v>
      </c>
      <c r="J602" s="1">
        <f t="shared" si="19"/>
        <v>44067</v>
      </c>
      <c r="K602">
        <f t="shared" si="18"/>
        <v>23</v>
      </c>
    </row>
    <row r="603" spans="1:11" x14ac:dyDescent="0.25">
      <c r="A603">
        <v>23</v>
      </c>
      <c r="B603" t="s">
        <v>17</v>
      </c>
      <c r="C603">
        <v>2020</v>
      </c>
      <c r="D603">
        <v>200</v>
      </c>
      <c r="E603" t="s">
        <v>9</v>
      </c>
      <c r="F603">
        <v>153</v>
      </c>
      <c r="G603" s="1">
        <f>DATE(C603, CHOOSE(MATCH(UPPER(B603), {"ENERO","FEBRERO","MARZO","ABRIL","MAYO","JUNIO","JULIO","AGOSTO","SEPTIEMBRE","OCTUBRE","NOVIEMBRE","DICIEMBRE"}, 0), 1,2,3,4,5,6,7,8,9,10,11,12), A603)</f>
        <v>44066</v>
      </c>
      <c r="H603">
        <v>47</v>
      </c>
      <c r="I603">
        <v>36000</v>
      </c>
      <c r="J603" s="1">
        <f t="shared" si="19"/>
        <v>44068</v>
      </c>
      <c r="K603">
        <f t="shared" si="18"/>
        <v>28</v>
      </c>
    </row>
    <row r="604" spans="1:11" x14ac:dyDescent="0.25">
      <c r="A604">
        <v>24</v>
      </c>
      <c r="B604" t="s">
        <v>17</v>
      </c>
      <c r="C604">
        <v>2020</v>
      </c>
      <c r="D604">
        <v>153</v>
      </c>
      <c r="E604" t="s">
        <v>9</v>
      </c>
      <c r="F604">
        <v>130</v>
      </c>
      <c r="G604" s="1">
        <f>DATE(C604, CHOOSE(MATCH(UPPER(B604), {"ENERO","FEBRERO","MARZO","ABRIL","MAYO","JUNIO","JULIO","AGOSTO","SEPTIEMBRE","OCTUBRE","NOVIEMBRE","DICIEMBRE"}, 0), 1,2,3,4,5,6,7,8,9,10,11,12), A604)</f>
        <v>44067</v>
      </c>
      <c r="H604">
        <v>23</v>
      </c>
      <c r="I604">
        <v>36000</v>
      </c>
      <c r="J604" s="1">
        <f t="shared" si="19"/>
        <v>44069</v>
      </c>
      <c r="K604">
        <f t="shared" si="18"/>
        <v>34</v>
      </c>
    </row>
    <row r="605" spans="1:11" x14ac:dyDescent="0.25">
      <c r="A605">
        <v>25</v>
      </c>
      <c r="B605" t="s">
        <v>17</v>
      </c>
      <c r="C605">
        <v>2020</v>
      </c>
      <c r="D605">
        <v>130</v>
      </c>
      <c r="E605" t="s">
        <v>9</v>
      </c>
      <c r="F605">
        <v>102</v>
      </c>
      <c r="G605" s="1">
        <f>DATE(C605, CHOOSE(MATCH(UPPER(B605), {"ENERO","FEBRERO","MARZO","ABRIL","MAYO","JUNIO","JULIO","AGOSTO","SEPTIEMBRE","OCTUBRE","NOVIEMBRE","DICIEMBRE"}, 0), 1,2,3,4,5,6,7,8,9,10,11,12), A605)</f>
        <v>44068</v>
      </c>
      <c r="H605">
        <v>28</v>
      </c>
      <c r="I605">
        <v>36000</v>
      </c>
      <c r="J605" s="1">
        <f t="shared" si="19"/>
        <v>44070</v>
      </c>
      <c r="K605">
        <f t="shared" si="18"/>
        <v>42</v>
      </c>
    </row>
    <row r="606" spans="1:11" x14ac:dyDescent="0.25">
      <c r="A606">
        <v>26</v>
      </c>
      <c r="B606" t="s">
        <v>17</v>
      </c>
      <c r="C606">
        <v>2020</v>
      </c>
      <c r="D606">
        <v>102</v>
      </c>
      <c r="E606" t="s">
        <v>9</v>
      </c>
      <c r="F606">
        <v>68</v>
      </c>
      <c r="G606" s="1">
        <f>DATE(C606, CHOOSE(MATCH(UPPER(B606), {"ENERO","FEBRERO","MARZO","ABRIL","MAYO","JUNIO","JULIO","AGOSTO","SEPTIEMBRE","OCTUBRE","NOVIEMBRE","DICIEMBRE"}, 0), 1,2,3,4,5,6,7,8,9,10,11,12), A606)</f>
        <v>44069</v>
      </c>
      <c r="H606">
        <v>34</v>
      </c>
      <c r="I606">
        <v>36000</v>
      </c>
      <c r="J606" s="1">
        <f t="shared" si="19"/>
        <v>44071</v>
      </c>
      <c r="K606">
        <f t="shared" si="18"/>
        <v>52.5</v>
      </c>
    </row>
    <row r="607" spans="1:11" x14ac:dyDescent="0.25">
      <c r="A607">
        <v>27</v>
      </c>
      <c r="B607" t="s">
        <v>17</v>
      </c>
      <c r="C607">
        <v>2020</v>
      </c>
      <c r="D607">
        <v>68</v>
      </c>
      <c r="E607" t="s">
        <v>9</v>
      </c>
      <c r="F607">
        <v>26</v>
      </c>
      <c r="G607" s="1">
        <f>DATE(C607, CHOOSE(MATCH(UPPER(B607), {"ENERO","FEBRERO","MARZO","ABRIL","MAYO","JUNIO","JULIO","AGOSTO","SEPTIEMBRE","OCTUBRE","NOVIEMBRE","DICIEMBRE"}, 0), 1,2,3,4,5,6,7,8,9,10,11,12), A607)</f>
        <v>44070</v>
      </c>
      <c r="H607">
        <v>42</v>
      </c>
      <c r="I607">
        <v>36000</v>
      </c>
      <c r="J607" s="1">
        <f t="shared" si="19"/>
        <v>44072</v>
      </c>
      <c r="K607">
        <f t="shared" si="18"/>
        <v>53.5</v>
      </c>
    </row>
    <row r="608" spans="1:11" x14ac:dyDescent="0.25">
      <c r="A608">
        <v>28</v>
      </c>
      <c r="B608" t="s">
        <v>17</v>
      </c>
      <c r="C608">
        <v>2020</v>
      </c>
      <c r="D608">
        <v>26</v>
      </c>
      <c r="E608">
        <v>300</v>
      </c>
      <c r="F608">
        <v>273.5</v>
      </c>
      <c r="G608" s="1">
        <f>DATE(C608, CHOOSE(MATCH(UPPER(B608), {"ENERO","FEBRERO","MARZO","ABRIL","MAYO","JUNIO","JULIO","AGOSTO","SEPTIEMBRE","OCTUBRE","NOVIEMBRE","DICIEMBRE"}, 0), 1,2,3,4,5,6,7,8,9,10,11,12), A608)</f>
        <v>44071</v>
      </c>
      <c r="H608">
        <v>52.5</v>
      </c>
      <c r="I608">
        <v>36000</v>
      </c>
      <c r="J608" s="1">
        <f t="shared" si="19"/>
        <v>44073</v>
      </c>
      <c r="K608">
        <f t="shared" si="18"/>
        <v>37</v>
      </c>
    </row>
    <row r="609" spans="1:11" x14ac:dyDescent="0.25">
      <c r="A609">
        <v>29</v>
      </c>
      <c r="B609" t="s">
        <v>17</v>
      </c>
      <c r="C609">
        <v>2020</v>
      </c>
      <c r="D609">
        <v>273.5</v>
      </c>
      <c r="E609" t="s">
        <v>9</v>
      </c>
      <c r="F609">
        <v>220</v>
      </c>
      <c r="G609" s="1">
        <f>DATE(C609, CHOOSE(MATCH(UPPER(B609), {"ENERO","FEBRERO","MARZO","ABRIL","MAYO","JUNIO","JULIO","AGOSTO","SEPTIEMBRE","OCTUBRE","NOVIEMBRE","DICIEMBRE"}, 0), 1,2,3,4,5,6,7,8,9,10,11,12), A609)</f>
        <v>44072</v>
      </c>
      <c r="H609">
        <v>53.5</v>
      </c>
      <c r="I609">
        <v>36000</v>
      </c>
      <c r="J609" s="1">
        <f t="shared" si="19"/>
        <v>44074</v>
      </c>
      <c r="K609">
        <f t="shared" si="18"/>
        <v>35.5</v>
      </c>
    </row>
    <row r="610" spans="1:11" x14ac:dyDescent="0.25">
      <c r="A610">
        <v>30</v>
      </c>
      <c r="B610" t="s">
        <v>17</v>
      </c>
      <c r="C610">
        <v>2020</v>
      </c>
      <c r="D610">
        <v>220</v>
      </c>
      <c r="E610" t="s">
        <v>9</v>
      </c>
      <c r="F610">
        <v>183</v>
      </c>
      <c r="G610" s="1">
        <f>DATE(C610, CHOOSE(MATCH(UPPER(B610), {"ENERO","FEBRERO","MARZO","ABRIL","MAYO","JUNIO","JULIO","AGOSTO","SEPTIEMBRE","OCTUBRE","NOVIEMBRE","DICIEMBRE"}, 0), 1,2,3,4,5,6,7,8,9,10,11,12), A610)</f>
        <v>44073</v>
      </c>
      <c r="H610">
        <v>37</v>
      </c>
      <c r="I610">
        <v>36000</v>
      </c>
      <c r="J610" s="1">
        <f t="shared" si="19"/>
        <v>44075</v>
      </c>
      <c r="K610" t="e">
        <f t="shared" si="18"/>
        <v>#N/A</v>
      </c>
    </row>
    <row r="611" spans="1:11" x14ac:dyDescent="0.25">
      <c r="A611">
        <v>31</v>
      </c>
      <c r="B611" t="s">
        <v>17</v>
      </c>
      <c r="C611">
        <v>2020</v>
      </c>
      <c r="D611">
        <v>183</v>
      </c>
      <c r="E611" t="s">
        <v>9</v>
      </c>
      <c r="F611">
        <v>147.5</v>
      </c>
      <c r="G611" s="1">
        <f>DATE(C611, CHOOSE(MATCH(UPPER(B611), {"ENERO","FEBRERO","MARZO","ABRIL","MAYO","JUNIO","JULIO","AGOSTO","SEPTIEMBRE","OCTUBRE","NOVIEMBRE","DICIEMBRE"}, 0), 1,2,3,4,5,6,7,8,9,10,11,12), A611)</f>
        <v>44074</v>
      </c>
      <c r="H611">
        <v>35.5</v>
      </c>
      <c r="I611">
        <v>36000</v>
      </c>
      <c r="J611" s="1">
        <f t="shared" si="19"/>
        <v>44076</v>
      </c>
      <c r="K611" t="e">
        <f t="shared" si="18"/>
        <v>#N/A</v>
      </c>
    </row>
    <row r="612" spans="1:11" x14ac:dyDescent="0.25">
      <c r="A612">
        <v>1</v>
      </c>
      <c r="B612" t="s">
        <v>24</v>
      </c>
      <c r="C612">
        <v>2020</v>
      </c>
      <c r="D612">
        <v>147.5</v>
      </c>
      <c r="E612" t="s">
        <v>9</v>
      </c>
      <c r="F612">
        <v>117.5</v>
      </c>
      <c r="G612" s="1" t="e">
        <f>DATE(C612, CHOOSE(MATCH(UPPER(B612), {"ENERO","FEBRERO","MARZO","ABRIL","MAYO","JUNIO","JULIO","AGOSTO","SEPTIEMBRE","OCTUBRE","NOVIEMBRE","DICIEMBRE"}, 0), 1,2,3,4,5,6,7,8,9,10,11,12), A612)</f>
        <v>#N/A</v>
      </c>
      <c r="H612">
        <v>30</v>
      </c>
      <c r="I612">
        <v>36000</v>
      </c>
      <c r="J612" s="1">
        <f t="shared" si="19"/>
        <v>44077</v>
      </c>
      <c r="K612" t="e">
        <f t="shared" si="18"/>
        <v>#N/A</v>
      </c>
    </row>
    <row r="613" spans="1:11" x14ac:dyDescent="0.25">
      <c r="A613">
        <v>2</v>
      </c>
      <c r="B613" t="s">
        <v>24</v>
      </c>
      <c r="C613">
        <v>2020</v>
      </c>
      <c r="D613">
        <v>117.5</v>
      </c>
      <c r="E613">
        <v>-4</v>
      </c>
      <c r="F613">
        <v>84</v>
      </c>
      <c r="G613" s="1" t="e">
        <f>DATE(C613, CHOOSE(MATCH(UPPER(B613), {"ENERO","FEBRERO","MARZO","ABRIL","MAYO","JUNIO","JULIO","AGOSTO","SEPTIEMBRE","OCTUBRE","NOVIEMBRE","DICIEMBRE"}, 0), 1,2,3,4,5,6,7,8,9,10,11,12), A613)</f>
        <v>#N/A</v>
      </c>
      <c r="H613">
        <v>29.5</v>
      </c>
      <c r="I613">
        <v>36000</v>
      </c>
      <c r="J613" s="1">
        <f t="shared" si="19"/>
        <v>44078</v>
      </c>
      <c r="K613" t="e">
        <f t="shared" si="18"/>
        <v>#N/A</v>
      </c>
    </row>
    <row r="614" spans="1:11" x14ac:dyDescent="0.25">
      <c r="A614">
        <v>3</v>
      </c>
      <c r="B614" t="s">
        <v>24</v>
      </c>
      <c r="C614">
        <v>2020</v>
      </c>
      <c r="D614">
        <v>84</v>
      </c>
      <c r="E614">
        <v>-4</v>
      </c>
      <c r="F614">
        <v>43</v>
      </c>
      <c r="G614" s="1" t="e">
        <f>DATE(C614, CHOOSE(MATCH(UPPER(B614), {"ENERO","FEBRERO","MARZO","ABRIL","MAYO","JUNIO","JULIO","AGOSTO","SEPTIEMBRE","OCTUBRE","NOVIEMBRE","DICIEMBRE"}, 0), 1,2,3,4,5,6,7,8,9,10,11,12), A614)</f>
        <v>#N/A</v>
      </c>
      <c r="H614">
        <v>37</v>
      </c>
      <c r="I614">
        <v>36000</v>
      </c>
      <c r="J614" s="1">
        <f t="shared" si="19"/>
        <v>44079</v>
      </c>
      <c r="K614" t="e">
        <f t="shared" si="18"/>
        <v>#N/A</v>
      </c>
    </row>
    <row r="615" spans="1:11" x14ac:dyDescent="0.25">
      <c r="A615">
        <v>4</v>
      </c>
      <c r="B615" t="s">
        <v>24</v>
      </c>
      <c r="C615">
        <v>2020</v>
      </c>
      <c r="D615">
        <v>43</v>
      </c>
      <c r="E615">
        <v>272</v>
      </c>
      <c r="F615">
        <v>265.5</v>
      </c>
      <c r="G615" s="1" t="e">
        <f>DATE(C615, CHOOSE(MATCH(UPPER(B615), {"ENERO","FEBRERO","MARZO","ABRIL","MAYO","JUNIO","JULIO","AGOSTO","SEPTIEMBRE","OCTUBRE","NOVIEMBRE","DICIEMBRE"}, 0), 1,2,3,4,5,6,7,8,9,10,11,12), A615)</f>
        <v>#N/A</v>
      </c>
      <c r="H615">
        <v>49.5</v>
      </c>
      <c r="I615">
        <v>36000</v>
      </c>
      <c r="J615" s="1">
        <f t="shared" si="19"/>
        <v>44080</v>
      </c>
      <c r="K615" t="e">
        <f t="shared" si="18"/>
        <v>#N/A</v>
      </c>
    </row>
    <row r="616" spans="1:11" x14ac:dyDescent="0.25">
      <c r="A616">
        <v>5</v>
      </c>
      <c r="B616" t="s">
        <v>24</v>
      </c>
      <c r="C616">
        <v>2020</v>
      </c>
      <c r="D616">
        <v>265.5</v>
      </c>
      <c r="E616" t="s">
        <v>9</v>
      </c>
      <c r="F616">
        <v>216</v>
      </c>
      <c r="G616" s="1" t="e">
        <f>DATE(C616, CHOOSE(MATCH(UPPER(B616), {"ENERO","FEBRERO","MARZO","ABRIL","MAYO","JUNIO","JULIO","AGOSTO","SEPTIEMBRE","OCTUBRE","NOVIEMBRE","DICIEMBRE"}, 0), 1,2,3,4,5,6,7,8,9,10,11,12), A616)</f>
        <v>#N/A</v>
      </c>
      <c r="H616">
        <v>49.5</v>
      </c>
      <c r="I616">
        <v>36000</v>
      </c>
      <c r="J616" s="1">
        <f t="shared" si="19"/>
        <v>44081</v>
      </c>
      <c r="K616" t="e">
        <f t="shared" si="18"/>
        <v>#N/A</v>
      </c>
    </row>
    <row r="617" spans="1:11" x14ac:dyDescent="0.25">
      <c r="A617">
        <v>6</v>
      </c>
      <c r="B617" t="s">
        <v>24</v>
      </c>
      <c r="C617">
        <v>2020</v>
      </c>
      <c r="D617">
        <v>216</v>
      </c>
      <c r="E617" t="s">
        <v>9</v>
      </c>
      <c r="F617">
        <v>180.5</v>
      </c>
      <c r="G617" s="1" t="e">
        <f>DATE(C617, CHOOSE(MATCH(UPPER(B617), {"ENERO","FEBRERO","MARZO","ABRIL","MAYO","JUNIO","JULIO","AGOSTO","SEPTIEMBRE","OCTUBRE","NOVIEMBRE","DICIEMBRE"}, 0), 1,2,3,4,5,6,7,8,9,10,11,12), A617)</f>
        <v>#N/A</v>
      </c>
      <c r="H617">
        <v>35.5</v>
      </c>
      <c r="I617">
        <v>36000</v>
      </c>
      <c r="J617" s="1">
        <f t="shared" si="19"/>
        <v>44082</v>
      </c>
      <c r="K617" t="e">
        <f t="shared" si="18"/>
        <v>#N/A</v>
      </c>
    </row>
    <row r="618" spans="1:11" x14ac:dyDescent="0.25">
      <c r="A618">
        <v>7</v>
      </c>
      <c r="B618" t="s">
        <v>24</v>
      </c>
      <c r="C618">
        <v>2020</v>
      </c>
      <c r="D618">
        <v>180.5</v>
      </c>
      <c r="E618" t="s">
        <v>9</v>
      </c>
      <c r="F618">
        <v>159.5</v>
      </c>
      <c r="G618" s="1" t="e">
        <f>DATE(C618, CHOOSE(MATCH(UPPER(B618), {"ENERO","FEBRERO","MARZO","ABRIL","MAYO","JUNIO","JULIO","AGOSTO","SEPTIEMBRE","OCTUBRE","NOVIEMBRE","DICIEMBRE"}, 0), 1,2,3,4,5,6,7,8,9,10,11,12), A618)</f>
        <v>#N/A</v>
      </c>
      <c r="H618">
        <v>21</v>
      </c>
      <c r="I618">
        <v>36000</v>
      </c>
      <c r="J618" s="1">
        <f t="shared" si="19"/>
        <v>44083</v>
      </c>
      <c r="K618" t="e">
        <f t="shared" si="18"/>
        <v>#N/A</v>
      </c>
    </row>
    <row r="619" spans="1:11" x14ac:dyDescent="0.25">
      <c r="A619">
        <v>8</v>
      </c>
      <c r="B619" t="s">
        <v>24</v>
      </c>
      <c r="C619">
        <v>2020</v>
      </c>
      <c r="D619">
        <v>159.5</v>
      </c>
      <c r="E619" t="s">
        <v>9</v>
      </c>
      <c r="F619">
        <v>128</v>
      </c>
      <c r="G619" s="1" t="e">
        <f>DATE(C619, CHOOSE(MATCH(UPPER(B619), {"ENERO","FEBRERO","MARZO","ABRIL","MAYO","JUNIO","JULIO","AGOSTO","SEPTIEMBRE","OCTUBRE","NOVIEMBRE","DICIEMBRE"}, 0), 1,2,3,4,5,6,7,8,9,10,11,12), A619)</f>
        <v>#N/A</v>
      </c>
      <c r="H619">
        <v>31.5</v>
      </c>
      <c r="I619">
        <v>36000</v>
      </c>
      <c r="J619" s="1">
        <f t="shared" si="19"/>
        <v>44084</v>
      </c>
      <c r="K619" t="e">
        <f t="shared" si="18"/>
        <v>#N/A</v>
      </c>
    </row>
    <row r="620" spans="1:11" x14ac:dyDescent="0.25">
      <c r="A620">
        <v>9</v>
      </c>
      <c r="B620" t="s">
        <v>24</v>
      </c>
      <c r="C620">
        <v>2020</v>
      </c>
      <c r="D620">
        <v>128</v>
      </c>
      <c r="E620" t="s">
        <v>9</v>
      </c>
      <c r="F620">
        <v>94</v>
      </c>
      <c r="G620" s="1" t="e">
        <f>DATE(C620, CHOOSE(MATCH(UPPER(B620), {"ENERO","FEBRERO","MARZO","ABRIL","MAYO","JUNIO","JULIO","AGOSTO","SEPTIEMBRE","OCTUBRE","NOVIEMBRE","DICIEMBRE"}, 0), 1,2,3,4,5,6,7,8,9,10,11,12), A620)</f>
        <v>#N/A</v>
      </c>
      <c r="H620">
        <v>34</v>
      </c>
      <c r="I620">
        <v>36000</v>
      </c>
      <c r="J620" s="1">
        <f t="shared" si="19"/>
        <v>44085</v>
      </c>
      <c r="K620" t="e">
        <f t="shared" si="18"/>
        <v>#N/A</v>
      </c>
    </row>
    <row r="621" spans="1:11" x14ac:dyDescent="0.25">
      <c r="A621">
        <v>10</v>
      </c>
      <c r="B621" t="s">
        <v>24</v>
      </c>
      <c r="C621">
        <v>2020</v>
      </c>
      <c r="D621">
        <v>94</v>
      </c>
      <c r="E621">
        <v>100</v>
      </c>
      <c r="F621">
        <v>157</v>
      </c>
      <c r="G621" s="1" t="e">
        <f>DATE(C621, CHOOSE(MATCH(UPPER(B621), {"ENERO","FEBRERO","MARZO","ABRIL","MAYO","JUNIO","JULIO","AGOSTO","SEPTIEMBRE","OCTUBRE","NOVIEMBRE","DICIEMBRE"}, 0), 1,2,3,4,5,6,7,8,9,10,11,12), A621)</f>
        <v>#N/A</v>
      </c>
      <c r="H621">
        <v>37</v>
      </c>
      <c r="I621">
        <v>36000</v>
      </c>
      <c r="J621" s="1">
        <f t="shared" si="19"/>
        <v>44086</v>
      </c>
      <c r="K621" t="e">
        <f t="shared" si="18"/>
        <v>#N/A</v>
      </c>
    </row>
    <row r="622" spans="1:11" x14ac:dyDescent="0.25">
      <c r="A622">
        <v>11</v>
      </c>
      <c r="B622" t="s">
        <v>24</v>
      </c>
      <c r="C622">
        <v>2020</v>
      </c>
      <c r="D622">
        <v>157</v>
      </c>
      <c r="E622" t="s">
        <v>9</v>
      </c>
      <c r="F622">
        <v>107.5</v>
      </c>
      <c r="G622" s="1" t="e">
        <f>DATE(C622, CHOOSE(MATCH(UPPER(B622), {"ENERO","FEBRERO","MARZO","ABRIL","MAYO","JUNIO","JULIO","AGOSTO","SEPTIEMBRE","OCTUBRE","NOVIEMBRE","DICIEMBRE"}, 0), 1,2,3,4,5,6,7,8,9,10,11,12), A622)</f>
        <v>#N/A</v>
      </c>
      <c r="H622">
        <v>49.5</v>
      </c>
      <c r="I622">
        <v>36000</v>
      </c>
      <c r="J622" s="1">
        <f t="shared" si="19"/>
        <v>44087</v>
      </c>
      <c r="K622" t="e">
        <f t="shared" si="18"/>
        <v>#N/A</v>
      </c>
    </row>
    <row r="623" spans="1:11" x14ac:dyDescent="0.25">
      <c r="A623">
        <v>12</v>
      </c>
      <c r="B623" t="s">
        <v>24</v>
      </c>
      <c r="C623">
        <v>2020</v>
      </c>
      <c r="D623">
        <v>107.5</v>
      </c>
      <c r="E623" t="s">
        <v>9</v>
      </c>
      <c r="F623">
        <v>35.5</v>
      </c>
      <c r="G623" s="1" t="e">
        <f>DATE(C623, CHOOSE(MATCH(UPPER(B623), {"ENERO","FEBRERO","MARZO","ABRIL","MAYO","JUNIO","JULIO","AGOSTO","SEPTIEMBRE","OCTUBRE","NOVIEMBRE","DICIEMBRE"}, 0), 1,2,3,4,5,6,7,8,9,10,11,12), A623)</f>
        <v>#N/A</v>
      </c>
      <c r="H623">
        <v>72</v>
      </c>
      <c r="I623">
        <v>36000</v>
      </c>
      <c r="J623" s="1">
        <f t="shared" si="19"/>
        <v>44088</v>
      </c>
      <c r="K623" t="e">
        <f t="shared" si="18"/>
        <v>#N/A</v>
      </c>
    </row>
    <row r="624" spans="1:11" x14ac:dyDescent="0.25">
      <c r="A624">
        <v>13</v>
      </c>
      <c r="B624" t="s">
        <v>24</v>
      </c>
      <c r="C624">
        <v>2020</v>
      </c>
      <c r="D624">
        <v>35.5</v>
      </c>
      <c r="E624">
        <v>201</v>
      </c>
      <c r="F624">
        <v>178</v>
      </c>
      <c r="G624" s="1" t="e">
        <f>DATE(C624, CHOOSE(MATCH(UPPER(B624), {"ENERO","FEBRERO","MARZO","ABRIL","MAYO","JUNIO","JULIO","AGOSTO","SEPTIEMBRE","OCTUBRE","NOVIEMBRE","DICIEMBRE"}, 0), 1,2,3,4,5,6,7,8,9,10,11,12), A624)</f>
        <v>#N/A</v>
      </c>
      <c r="H624">
        <v>58.5</v>
      </c>
      <c r="I624">
        <v>36000</v>
      </c>
      <c r="J624" s="1">
        <f t="shared" si="19"/>
        <v>44089</v>
      </c>
      <c r="K624" t="e">
        <f t="shared" si="18"/>
        <v>#N/A</v>
      </c>
    </row>
    <row r="625" spans="1:11" x14ac:dyDescent="0.25">
      <c r="A625">
        <v>14</v>
      </c>
      <c r="B625" t="s">
        <v>24</v>
      </c>
      <c r="C625">
        <v>2020</v>
      </c>
      <c r="D625">
        <v>178</v>
      </c>
      <c r="E625" t="s">
        <v>9</v>
      </c>
      <c r="F625">
        <v>141</v>
      </c>
      <c r="G625" s="1" t="e">
        <f>DATE(C625, CHOOSE(MATCH(UPPER(B625), {"ENERO","FEBRERO","MARZO","ABRIL","MAYO","JUNIO","JULIO","AGOSTO","SEPTIEMBRE","OCTUBRE","NOVIEMBRE","DICIEMBRE"}, 0), 1,2,3,4,5,6,7,8,9,10,11,12), A625)</f>
        <v>#N/A</v>
      </c>
      <c r="H625">
        <v>37</v>
      </c>
      <c r="I625">
        <v>36000</v>
      </c>
      <c r="J625" s="1">
        <f t="shared" si="19"/>
        <v>44090</v>
      </c>
      <c r="K625" t="e">
        <f t="shared" si="18"/>
        <v>#N/A</v>
      </c>
    </row>
    <row r="626" spans="1:11" x14ac:dyDescent="0.25">
      <c r="A626">
        <v>15</v>
      </c>
      <c r="B626" t="s">
        <v>24</v>
      </c>
      <c r="C626">
        <v>2020</v>
      </c>
      <c r="D626">
        <v>141</v>
      </c>
      <c r="E626" t="s">
        <v>9</v>
      </c>
      <c r="F626">
        <v>110.5</v>
      </c>
      <c r="G626" s="1" t="e">
        <f>DATE(C626, CHOOSE(MATCH(UPPER(B626), {"ENERO","FEBRERO","MARZO","ABRIL","MAYO","JUNIO","JULIO","AGOSTO","SEPTIEMBRE","OCTUBRE","NOVIEMBRE","DICIEMBRE"}, 0), 1,2,3,4,5,6,7,8,9,10,11,12), A626)</f>
        <v>#N/A</v>
      </c>
      <c r="H626">
        <v>30.5</v>
      </c>
      <c r="I626">
        <v>36000</v>
      </c>
      <c r="J626" s="1">
        <f t="shared" si="19"/>
        <v>44091</v>
      </c>
      <c r="K626" t="e">
        <f t="shared" si="18"/>
        <v>#N/A</v>
      </c>
    </row>
    <row r="627" spans="1:11" x14ac:dyDescent="0.25">
      <c r="A627">
        <v>16</v>
      </c>
      <c r="B627" t="s">
        <v>24</v>
      </c>
      <c r="C627">
        <v>2020</v>
      </c>
      <c r="D627">
        <v>110.5</v>
      </c>
      <c r="E627">
        <v>324</v>
      </c>
      <c r="F627">
        <v>402.5</v>
      </c>
      <c r="G627" s="1" t="e">
        <f>DATE(C627, CHOOSE(MATCH(UPPER(B627), {"ENERO","FEBRERO","MARZO","ABRIL","MAYO","JUNIO","JULIO","AGOSTO","SEPTIEMBRE","OCTUBRE","NOVIEMBRE","DICIEMBRE"}, 0), 1,2,3,4,5,6,7,8,9,10,11,12), A627)</f>
        <v>#N/A</v>
      </c>
      <c r="H627">
        <v>32</v>
      </c>
      <c r="I627">
        <v>36000</v>
      </c>
      <c r="J627" s="1">
        <f t="shared" si="19"/>
        <v>44092</v>
      </c>
      <c r="K627" t="e">
        <f t="shared" si="18"/>
        <v>#N/A</v>
      </c>
    </row>
    <row r="628" spans="1:11" x14ac:dyDescent="0.25">
      <c r="A628">
        <v>17</v>
      </c>
      <c r="B628" t="s">
        <v>24</v>
      </c>
      <c r="C628">
        <v>2020</v>
      </c>
      <c r="D628">
        <v>402.5</v>
      </c>
      <c r="E628" t="s">
        <v>9</v>
      </c>
      <c r="F628">
        <v>367.5</v>
      </c>
      <c r="G628" s="1" t="e">
        <f>DATE(C628, CHOOSE(MATCH(UPPER(B628), {"ENERO","FEBRERO","MARZO","ABRIL","MAYO","JUNIO","JULIO","AGOSTO","SEPTIEMBRE","OCTUBRE","NOVIEMBRE","DICIEMBRE"}, 0), 1,2,3,4,5,6,7,8,9,10,11,12), A628)</f>
        <v>#N/A</v>
      </c>
      <c r="H628">
        <v>35</v>
      </c>
      <c r="I628">
        <v>36000</v>
      </c>
      <c r="J628" s="1">
        <f t="shared" si="19"/>
        <v>44093</v>
      </c>
      <c r="K628" t="e">
        <f t="shared" si="18"/>
        <v>#N/A</v>
      </c>
    </row>
    <row r="629" spans="1:11" x14ac:dyDescent="0.25">
      <c r="A629">
        <v>18</v>
      </c>
      <c r="B629" t="s">
        <v>24</v>
      </c>
      <c r="C629">
        <v>2020</v>
      </c>
      <c r="D629">
        <v>367.5</v>
      </c>
      <c r="E629" t="s">
        <v>9</v>
      </c>
      <c r="F629">
        <v>304</v>
      </c>
      <c r="G629" s="1" t="e">
        <f>DATE(C629, CHOOSE(MATCH(UPPER(B629), {"ENERO","FEBRERO","MARZO","ABRIL","MAYO","JUNIO","JULIO","AGOSTO","SEPTIEMBRE","OCTUBRE","NOVIEMBRE","DICIEMBRE"}, 0), 1,2,3,4,5,6,7,8,9,10,11,12), A629)</f>
        <v>#N/A</v>
      </c>
      <c r="H629">
        <v>63.5</v>
      </c>
      <c r="I629">
        <v>36000</v>
      </c>
      <c r="J629" s="1">
        <f t="shared" si="19"/>
        <v>44094</v>
      </c>
      <c r="K629" t="e">
        <f t="shared" si="18"/>
        <v>#N/A</v>
      </c>
    </row>
    <row r="630" spans="1:11" x14ac:dyDescent="0.25">
      <c r="A630">
        <v>19</v>
      </c>
      <c r="B630" t="s">
        <v>24</v>
      </c>
      <c r="C630">
        <v>2020</v>
      </c>
      <c r="D630">
        <v>304</v>
      </c>
      <c r="E630" t="s">
        <v>9</v>
      </c>
      <c r="F630">
        <v>222</v>
      </c>
      <c r="G630" s="1" t="e">
        <f>DATE(C630, CHOOSE(MATCH(UPPER(B630), {"ENERO","FEBRERO","MARZO","ABRIL","MAYO","JUNIO","JULIO","AGOSTO","SEPTIEMBRE","OCTUBRE","NOVIEMBRE","DICIEMBRE"}, 0), 1,2,3,4,5,6,7,8,9,10,11,12), A630)</f>
        <v>#N/A</v>
      </c>
      <c r="H630">
        <v>82</v>
      </c>
      <c r="I630">
        <v>36000</v>
      </c>
      <c r="J630" s="1">
        <f t="shared" si="19"/>
        <v>44095</v>
      </c>
      <c r="K630" t="e">
        <f t="shared" si="18"/>
        <v>#N/A</v>
      </c>
    </row>
    <row r="631" spans="1:11" x14ac:dyDescent="0.25">
      <c r="A631">
        <v>20</v>
      </c>
      <c r="B631" t="s">
        <v>24</v>
      </c>
      <c r="C631">
        <v>2020</v>
      </c>
      <c r="D631">
        <v>222</v>
      </c>
      <c r="E631" t="s">
        <v>9</v>
      </c>
      <c r="F631">
        <v>157</v>
      </c>
      <c r="G631" s="1" t="e">
        <f>DATE(C631, CHOOSE(MATCH(UPPER(B631), {"ENERO","FEBRERO","MARZO","ABRIL","MAYO","JUNIO","JULIO","AGOSTO","SEPTIEMBRE","OCTUBRE","NOVIEMBRE","DICIEMBRE"}, 0), 1,2,3,4,5,6,7,8,9,10,11,12), A631)</f>
        <v>#N/A</v>
      </c>
      <c r="H631">
        <v>65</v>
      </c>
      <c r="I631">
        <v>36000</v>
      </c>
      <c r="J631" s="1">
        <f t="shared" si="19"/>
        <v>44096</v>
      </c>
      <c r="K631" t="e">
        <f t="shared" si="18"/>
        <v>#N/A</v>
      </c>
    </row>
    <row r="632" spans="1:11" x14ac:dyDescent="0.25">
      <c r="A632">
        <v>21</v>
      </c>
      <c r="B632" t="s">
        <v>24</v>
      </c>
      <c r="C632">
        <v>2020</v>
      </c>
      <c r="D632">
        <v>157</v>
      </c>
      <c r="E632" t="s">
        <v>9</v>
      </c>
      <c r="F632">
        <v>121.5</v>
      </c>
      <c r="G632" s="1" t="e">
        <f>DATE(C632, CHOOSE(MATCH(UPPER(B632), {"ENERO","FEBRERO","MARZO","ABRIL","MAYO","JUNIO","JULIO","AGOSTO","SEPTIEMBRE","OCTUBRE","NOVIEMBRE","DICIEMBRE"}, 0), 1,2,3,4,5,6,7,8,9,10,11,12), A632)</f>
        <v>#N/A</v>
      </c>
      <c r="H632">
        <v>35.5</v>
      </c>
      <c r="I632">
        <v>36000</v>
      </c>
      <c r="J632" s="1">
        <f t="shared" si="19"/>
        <v>44097</v>
      </c>
      <c r="K632" t="e">
        <f t="shared" si="18"/>
        <v>#N/A</v>
      </c>
    </row>
    <row r="633" spans="1:11" x14ac:dyDescent="0.25">
      <c r="A633">
        <v>22</v>
      </c>
      <c r="B633" t="s">
        <v>24</v>
      </c>
      <c r="C633">
        <v>2020</v>
      </c>
      <c r="D633">
        <v>121.5</v>
      </c>
      <c r="E633" t="s">
        <v>9</v>
      </c>
      <c r="F633">
        <v>95.5</v>
      </c>
      <c r="G633" s="1" t="e">
        <f>DATE(C633, CHOOSE(MATCH(UPPER(B633), {"ENERO","FEBRERO","MARZO","ABRIL","MAYO","JUNIO","JULIO","AGOSTO","SEPTIEMBRE","OCTUBRE","NOVIEMBRE","DICIEMBRE"}, 0), 1,2,3,4,5,6,7,8,9,10,11,12), A633)</f>
        <v>#N/A</v>
      </c>
      <c r="H633">
        <v>26</v>
      </c>
      <c r="I633">
        <v>36000</v>
      </c>
      <c r="J633" s="1">
        <f t="shared" si="19"/>
        <v>44098</v>
      </c>
      <c r="K633" t="e">
        <f t="shared" si="18"/>
        <v>#N/A</v>
      </c>
    </row>
    <row r="634" spans="1:11" x14ac:dyDescent="0.25">
      <c r="A634">
        <v>23</v>
      </c>
      <c r="B634" t="s">
        <v>24</v>
      </c>
      <c r="C634">
        <v>2020</v>
      </c>
      <c r="D634">
        <v>95.5</v>
      </c>
      <c r="E634" t="s">
        <v>9</v>
      </c>
      <c r="F634">
        <v>70.5</v>
      </c>
      <c r="G634" s="1" t="e">
        <f>DATE(C634, CHOOSE(MATCH(UPPER(B634), {"ENERO","FEBRERO","MARZO","ABRIL","MAYO","JUNIO","JULIO","AGOSTO","SEPTIEMBRE","OCTUBRE","NOVIEMBRE","DICIEMBRE"}, 0), 1,2,3,4,5,6,7,8,9,10,11,12), A634)</f>
        <v>#N/A</v>
      </c>
      <c r="H634">
        <v>25</v>
      </c>
      <c r="I634">
        <v>36000</v>
      </c>
      <c r="J634" s="1">
        <f t="shared" si="19"/>
        <v>44099</v>
      </c>
      <c r="K634" t="e">
        <f t="shared" si="18"/>
        <v>#N/A</v>
      </c>
    </row>
    <row r="635" spans="1:11" x14ac:dyDescent="0.25">
      <c r="A635">
        <v>24</v>
      </c>
      <c r="B635" t="s">
        <v>24</v>
      </c>
      <c r="C635">
        <v>2020</v>
      </c>
      <c r="D635">
        <v>70.5</v>
      </c>
      <c r="E635" t="s">
        <v>9</v>
      </c>
      <c r="F635">
        <v>35</v>
      </c>
      <c r="G635" s="1" t="e">
        <f>DATE(C635, CHOOSE(MATCH(UPPER(B635), {"ENERO","FEBRERO","MARZO","ABRIL","MAYO","JUNIO","JULIO","AGOSTO","SEPTIEMBRE","OCTUBRE","NOVIEMBRE","DICIEMBRE"}, 0), 1,2,3,4,5,6,7,8,9,10,11,12), A635)</f>
        <v>#N/A</v>
      </c>
      <c r="H635">
        <v>35.5</v>
      </c>
      <c r="I635">
        <v>36000</v>
      </c>
      <c r="J635" s="1">
        <f t="shared" si="19"/>
        <v>44100</v>
      </c>
      <c r="K635" t="e">
        <f t="shared" si="18"/>
        <v>#N/A</v>
      </c>
    </row>
    <row r="636" spans="1:11" x14ac:dyDescent="0.25">
      <c r="A636">
        <v>25</v>
      </c>
      <c r="B636" t="s">
        <v>24</v>
      </c>
      <c r="C636">
        <v>2020</v>
      </c>
      <c r="D636">
        <v>35</v>
      </c>
      <c r="E636">
        <v>141</v>
      </c>
      <c r="F636">
        <v>126</v>
      </c>
      <c r="G636" s="1" t="e">
        <f>DATE(C636, CHOOSE(MATCH(UPPER(B636), {"ENERO","FEBRERO","MARZO","ABRIL","MAYO","JUNIO","JULIO","AGOSTO","SEPTIEMBRE","OCTUBRE","NOVIEMBRE","DICIEMBRE"}, 0), 1,2,3,4,5,6,7,8,9,10,11,12), A636)</f>
        <v>#N/A</v>
      </c>
      <c r="H636">
        <v>50</v>
      </c>
      <c r="I636">
        <v>36000</v>
      </c>
      <c r="J636" s="1">
        <f t="shared" si="19"/>
        <v>44101</v>
      </c>
      <c r="K636" t="e">
        <f t="shared" si="18"/>
        <v>#N/A</v>
      </c>
    </row>
    <row r="637" spans="1:11" x14ac:dyDescent="0.25">
      <c r="A637">
        <v>26</v>
      </c>
      <c r="B637" t="s">
        <v>24</v>
      </c>
      <c r="C637">
        <v>2020</v>
      </c>
      <c r="D637">
        <v>126</v>
      </c>
      <c r="E637" t="s">
        <v>9</v>
      </c>
      <c r="F637">
        <v>61</v>
      </c>
      <c r="G637" s="1" t="e">
        <f>DATE(C637, CHOOSE(MATCH(UPPER(B637), {"ENERO","FEBRERO","MARZO","ABRIL","MAYO","JUNIO","JULIO","AGOSTO","SEPTIEMBRE","OCTUBRE","NOVIEMBRE","DICIEMBRE"}, 0), 1,2,3,4,5,6,7,8,9,10,11,12), A637)</f>
        <v>#N/A</v>
      </c>
      <c r="H637">
        <v>65</v>
      </c>
      <c r="I637">
        <v>36000</v>
      </c>
      <c r="J637" s="1">
        <f t="shared" si="19"/>
        <v>44102</v>
      </c>
      <c r="K637" t="e">
        <f t="shared" si="18"/>
        <v>#N/A</v>
      </c>
    </row>
    <row r="638" spans="1:11" x14ac:dyDescent="0.25">
      <c r="A638">
        <v>27</v>
      </c>
      <c r="B638" t="s">
        <v>24</v>
      </c>
      <c r="C638">
        <v>2020</v>
      </c>
      <c r="D638">
        <v>61</v>
      </c>
      <c r="E638">
        <v>210</v>
      </c>
      <c r="F638">
        <v>207</v>
      </c>
      <c r="G638" s="1" t="e">
        <f>DATE(C638, CHOOSE(MATCH(UPPER(B638), {"ENERO","FEBRERO","MARZO","ABRIL","MAYO","JUNIO","JULIO","AGOSTO","SEPTIEMBRE","OCTUBRE","NOVIEMBRE","DICIEMBRE"}, 0), 1,2,3,4,5,6,7,8,9,10,11,12), A638)</f>
        <v>#N/A</v>
      </c>
      <c r="H638">
        <v>64</v>
      </c>
      <c r="I638">
        <v>36000</v>
      </c>
      <c r="J638" s="1">
        <f t="shared" si="19"/>
        <v>44103</v>
      </c>
      <c r="K638" t="e">
        <f t="shared" si="18"/>
        <v>#N/A</v>
      </c>
    </row>
    <row r="639" spans="1:11" x14ac:dyDescent="0.25">
      <c r="A639">
        <v>28</v>
      </c>
      <c r="B639" t="s">
        <v>24</v>
      </c>
      <c r="C639">
        <v>2020</v>
      </c>
      <c r="D639">
        <v>207</v>
      </c>
      <c r="E639" t="s">
        <v>9</v>
      </c>
      <c r="F639">
        <v>176.5</v>
      </c>
      <c r="G639" s="1" t="e">
        <f>DATE(C639, CHOOSE(MATCH(UPPER(B639), {"ENERO","FEBRERO","MARZO","ABRIL","MAYO","JUNIO","JULIO","AGOSTO","SEPTIEMBRE","OCTUBRE","NOVIEMBRE","DICIEMBRE"}, 0), 1,2,3,4,5,6,7,8,9,10,11,12), A639)</f>
        <v>#N/A</v>
      </c>
      <c r="H639">
        <v>30.5</v>
      </c>
      <c r="I639">
        <v>36000</v>
      </c>
      <c r="J639" s="1">
        <f t="shared" si="19"/>
        <v>44104</v>
      </c>
      <c r="K639" t="e">
        <f t="shared" si="18"/>
        <v>#N/A</v>
      </c>
    </row>
    <row r="640" spans="1:11" x14ac:dyDescent="0.25">
      <c r="A640">
        <v>29</v>
      </c>
      <c r="B640" t="s">
        <v>24</v>
      </c>
      <c r="C640">
        <v>2020</v>
      </c>
      <c r="D640">
        <v>176.5</v>
      </c>
      <c r="E640" t="s">
        <v>9</v>
      </c>
      <c r="F640">
        <v>142.5</v>
      </c>
      <c r="G640" s="1" t="e">
        <f>DATE(C640, CHOOSE(MATCH(UPPER(B640), {"ENERO","FEBRERO","MARZO","ABRIL","MAYO","JUNIO","JULIO","AGOSTO","SEPTIEMBRE","OCTUBRE","NOVIEMBRE","DICIEMBRE"}, 0), 1,2,3,4,5,6,7,8,9,10,11,12), A640)</f>
        <v>#N/A</v>
      </c>
      <c r="H640">
        <v>34</v>
      </c>
      <c r="I640">
        <v>36000</v>
      </c>
      <c r="J640" s="1">
        <f t="shared" si="19"/>
        <v>44105</v>
      </c>
      <c r="K640">
        <f t="shared" si="18"/>
        <v>41.5</v>
      </c>
    </row>
    <row r="641" spans="1:11" x14ac:dyDescent="0.25">
      <c r="A641">
        <v>30</v>
      </c>
      <c r="B641" t="s">
        <v>24</v>
      </c>
      <c r="C641">
        <v>2020</v>
      </c>
      <c r="D641">
        <v>142.5</v>
      </c>
      <c r="E641" t="s">
        <v>9</v>
      </c>
      <c r="F641">
        <v>97.5</v>
      </c>
      <c r="G641" s="1" t="e">
        <f>DATE(C641, CHOOSE(MATCH(UPPER(B641), {"ENERO","FEBRERO","MARZO","ABRIL","MAYO","JUNIO","JULIO","AGOSTO","SEPTIEMBRE","OCTUBRE","NOVIEMBRE","DICIEMBRE"}, 0), 1,2,3,4,5,6,7,8,9,10,11,12), A641)</f>
        <v>#N/A</v>
      </c>
      <c r="H641">
        <v>45</v>
      </c>
      <c r="I641">
        <v>36000</v>
      </c>
      <c r="J641" s="1">
        <f t="shared" si="19"/>
        <v>44106</v>
      </c>
      <c r="K641">
        <f t="shared" si="18"/>
        <v>53</v>
      </c>
    </row>
    <row r="642" spans="1:11" x14ac:dyDescent="0.25">
      <c r="A642">
        <v>1</v>
      </c>
      <c r="B642" t="s">
        <v>18</v>
      </c>
      <c r="C642">
        <v>2020</v>
      </c>
      <c r="D642">
        <v>97.5</v>
      </c>
      <c r="E642" t="s">
        <v>9</v>
      </c>
      <c r="F642">
        <v>56</v>
      </c>
      <c r="G642" s="1">
        <f>DATE(C642, CHOOSE(MATCH(UPPER(B642), {"ENERO","FEBRERO","MARZO","ABRIL","MAYO","JUNIO","JULIO","AGOSTO","SEPTIEMBRE","OCTUBRE","NOVIEMBRE","DICIEMBRE"}, 0), 1,2,3,4,5,6,7,8,9,10,11,12), A642)</f>
        <v>44105</v>
      </c>
      <c r="H642">
        <v>41.5</v>
      </c>
      <c r="I642">
        <v>36000</v>
      </c>
      <c r="J642" s="1">
        <f t="shared" si="19"/>
        <v>44107</v>
      </c>
      <c r="K642">
        <f t="shared" si="18"/>
        <v>61</v>
      </c>
    </row>
    <row r="643" spans="1:11" x14ac:dyDescent="0.25">
      <c r="A643">
        <v>2</v>
      </c>
      <c r="B643" t="s">
        <v>18</v>
      </c>
      <c r="C643">
        <v>2020</v>
      </c>
      <c r="D643">
        <v>56</v>
      </c>
      <c r="E643">
        <v>231</v>
      </c>
      <c r="F643">
        <v>234</v>
      </c>
      <c r="G643" s="1">
        <f>DATE(C643, CHOOSE(MATCH(UPPER(B643), {"ENERO","FEBRERO","MARZO","ABRIL","MAYO","JUNIO","JULIO","AGOSTO","SEPTIEMBRE","OCTUBRE","NOVIEMBRE","DICIEMBRE"}, 0), 1,2,3,4,5,6,7,8,9,10,11,12), A643)</f>
        <v>44106</v>
      </c>
      <c r="H643">
        <v>53</v>
      </c>
      <c r="I643">
        <v>36000</v>
      </c>
      <c r="J643" s="1">
        <f t="shared" si="19"/>
        <v>44108</v>
      </c>
      <c r="K643">
        <f t="shared" ref="K643:K706" si="20">VLOOKUP(J643, G:H, 2, FALSE)</f>
        <v>79</v>
      </c>
    </row>
    <row r="644" spans="1:11" x14ac:dyDescent="0.25">
      <c r="A644">
        <v>3</v>
      </c>
      <c r="B644" t="s">
        <v>18</v>
      </c>
      <c r="C644">
        <v>2020</v>
      </c>
      <c r="D644">
        <v>234</v>
      </c>
      <c r="E644">
        <v>-29</v>
      </c>
      <c r="F644">
        <v>144</v>
      </c>
      <c r="G644" s="1">
        <f>DATE(C644, CHOOSE(MATCH(UPPER(B644), {"ENERO","FEBRERO","MARZO","ABRIL","MAYO","JUNIO","JULIO","AGOSTO","SEPTIEMBRE","OCTUBRE","NOVIEMBRE","DICIEMBRE"}, 0), 1,2,3,4,5,6,7,8,9,10,11,12), A644)</f>
        <v>44107</v>
      </c>
      <c r="H644">
        <v>61</v>
      </c>
      <c r="I644">
        <v>36000</v>
      </c>
      <c r="J644" s="1">
        <f t="shared" si="19"/>
        <v>44109</v>
      </c>
      <c r="K644">
        <f t="shared" si="20"/>
        <v>37</v>
      </c>
    </row>
    <row r="645" spans="1:11" x14ac:dyDescent="0.25">
      <c r="A645">
        <v>4</v>
      </c>
      <c r="B645" t="s">
        <v>18</v>
      </c>
      <c r="C645">
        <v>2020</v>
      </c>
      <c r="D645">
        <v>144</v>
      </c>
      <c r="E645">
        <v>60</v>
      </c>
      <c r="F645">
        <v>125</v>
      </c>
      <c r="G645" s="1">
        <f>DATE(C645, CHOOSE(MATCH(UPPER(B645), {"ENERO","FEBRERO","MARZO","ABRIL","MAYO","JUNIO","JULIO","AGOSTO","SEPTIEMBRE","OCTUBRE","NOVIEMBRE","DICIEMBRE"}, 0), 1,2,3,4,5,6,7,8,9,10,11,12), A645)</f>
        <v>44108</v>
      </c>
      <c r="H645">
        <v>79</v>
      </c>
      <c r="I645">
        <v>36000</v>
      </c>
      <c r="J645" s="1">
        <f t="shared" ref="J645:J708" si="21">DATE(2019,1,1) + ROW()-1</f>
        <v>44110</v>
      </c>
      <c r="K645">
        <f t="shared" si="20"/>
        <v>43</v>
      </c>
    </row>
    <row r="646" spans="1:11" x14ac:dyDescent="0.25">
      <c r="A646">
        <v>5</v>
      </c>
      <c r="B646" t="s">
        <v>18</v>
      </c>
      <c r="C646">
        <v>2020</v>
      </c>
      <c r="D646">
        <v>125</v>
      </c>
      <c r="E646" t="s">
        <v>9</v>
      </c>
      <c r="F646">
        <v>88</v>
      </c>
      <c r="G646" s="1">
        <f>DATE(C646, CHOOSE(MATCH(UPPER(B646), {"ENERO","FEBRERO","MARZO","ABRIL","MAYO","JUNIO","JULIO","AGOSTO","SEPTIEMBRE","OCTUBRE","NOVIEMBRE","DICIEMBRE"}, 0), 1,2,3,4,5,6,7,8,9,10,11,12), A646)</f>
        <v>44109</v>
      </c>
      <c r="H646">
        <v>37</v>
      </c>
      <c r="I646">
        <v>36000</v>
      </c>
      <c r="J646" s="1">
        <f t="shared" si="21"/>
        <v>44111</v>
      </c>
      <c r="K646">
        <f t="shared" si="20"/>
        <v>55.5</v>
      </c>
    </row>
    <row r="647" spans="1:11" x14ac:dyDescent="0.25">
      <c r="A647">
        <v>6</v>
      </c>
      <c r="B647" t="s">
        <v>18</v>
      </c>
      <c r="C647">
        <v>2020</v>
      </c>
      <c r="D647">
        <v>88</v>
      </c>
      <c r="E647" t="s">
        <v>9</v>
      </c>
      <c r="F647">
        <v>45</v>
      </c>
      <c r="G647" s="1">
        <f>DATE(C647, CHOOSE(MATCH(UPPER(B647), {"ENERO","FEBRERO","MARZO","ABRIL","MAYO","JUNIO","JULIO","AGOSTO","SEPTIEMBRE","OCTUBRE","NOVIEMBRE","DICIEMBRE"}, 0), 1,2,3,4,5,6,7,8,9,10,11,12), A647)</f>
        <v>44110</v>
      </c>
      <c r="H647">
        <v>43</v>
      </c>
      <c r="I647">
        <v>36000</v>
      </c>
      <c r="J647" s="1">
        <f t="shared" si="21"/>
        <v>44112</v>
      </c>
      <c r="K647">
        <f t="shared" si="20"/>
        <v>46</v>
      </c>
    </row>
    <row r="648" spans="1:11" x14ac:dyDescent="0.25">
      <c r="A648">
        <v>7</v>
      </c>
      <c r="B648" t="s">
        <v>18</v>
      </c>
      <c r="C648">
        <v>2020</v>
      </c>
      <c r="D648">
        <v>45</v>
      </c>
      <c r="E648">
        <v>30</v>
      </c>
      <c r="F648">
        <v>19.5</v>
      </c>
      <c r="G648" s="1">
        <f>DATE(C648, CHOOSE(MATCH(UPPER(B648), {"ENERO","FEBRERO","MARZO","ABRIL","MAYO","JUNIO","JULIO","AGOSTO","SEPTIEMBRE","OCTUBRE","NOVIEMBRE","DICIEMBRE"}, 0), 1,2,3,4,5,6,7,8,9,10,11,12), A648)</f>
        <v>44111</v>
      </c>
      <c r="H648">
        <v>55.5</v>
      </c>
      <c r="I648">
        <v>36000</v>
      </c>
      <c r="J648" s="1">
        <f t="shared" si="21"/>
        <v>44113</v>
      </c>
      <c r="K648">
        <f t="shared" si="20"/>
        <v>63</v>
      </c>
    </row>
    <row r="649" spans="1:11" x14ac:dyDescent="0.25">
      <c r="A649">
        <v>8</v>
      </c>
      <c r="B649" t="s">
        <v>18</v>
      </c>
      <c r="C649">
        <v>2020</v>
      </c>
      <c r="D649">
        <v>19.5</v>
      </c>
      <c r="E649">
        <v>228</v>
      </c>
      <c r="F649">
        <v>201.5</v>
      </c>
      <c r="G649" s="1">
        <f>DATE(C649, CHOOSE(MATCH(UPPER(B649), {"ENERO","FEBRERO","MARZO","ABRIL","MAYO","JUNIO","JULIO","AGOSTO","SEPTIEMBRE","OCTUBRE","NOVIEMBRE","DICIEMBRE"}, 0), 1,2,3,4,5,6,7,8,9,10,11,12), A649)</f>
        <v>44112</v>
      </c>
      <c r="H649">
        <v>46</v>
      </c>
      <c r="I649">
        <v>36000</v>
      </c>
      <c r="J649" s="1">
        <f t="shared" si="21"/>
        <v>44114</v>
      </c>
      <c r="K649">
        <f t="shared" si="20"/>
        <v>76</v>
      </c>
    </row>
    <row r="650" spans="1:11" x14ac:dyDescent="0.25">
      <c r="A650">
        <v>9</v>
      </c>
      <c r="B650" t="s">
        <v>18</v>
      </c>
      <c r="C650">
        <v>2020</v>
      </c>
      <c r="D650">
        <v>201.5</v>
      </c>
      <c r="E650" t="s">
        <v>9</v>
      </c>
      <c r="F650">
        <v>138.5</v>
      </c>
      <c r="G650" s="1">
        <f>DATE(C650, CHOOSE(MATCH(UPPER(B650), {"ENERO","FEBRERO","MARZO","ABRIL","MAYO","JUNIO","JULIO","AGOSTO","SEPTIEMBRE","OCTUBRE","NOVIEMBRE","DICIEMBRE"}, 0), 1,2,3,4,5,6,7,8,9,10,11,12), A650)</f>
        <v>44113</v>
      </c>
      <c r="H650">
        <v>63</v>
      </c>
      <c r="I650">
        <v>36000</v>
      </c>
      <c r="J650" s="1">
        <f t="shared" si="21"/>
        <v>44115</v>
      </c>
      <c r="K650">
        <f t="shared" si="20"/>
        <v>64.5</v>
      </c>
    </row>
    <row r="651" spans="1:11" x14ac:dyDescent="0.25">
      <c r="A651">
        <v>10</v>
      </c>
      <c r="B651" t="s">
        <v>18</v>
      </c>
      <c r="C651">
        <v>2020</v>
      </c>
      <c r="D651">
        <v>138.5</v>
      </c>
      <c r="E651" t="s">
        <v>9</v>
      </c>
      <c r="F651">
        <v>62.5</v>
      </c>
      <c r="G651" s="1">
        <f>DATE(C651, CHOOSE(MATCH(UPPER(B651), {"ENERO","FEBRERO","MARZO","ABRIL","MAYO","JUNIO","JULIO","AGOSTO","SEPTIEMBRE","OCTUBRE","NOVIEMBRE","DICIEMBRE"}, 0), 1,2,3,4,5,6,7,8,9,10,11,12), A651)</f>
        <v>44114</v>
      </c>
      <c r="H651">
        <v>76</v>
      </c>
      <c r="I651">
        <v>36000</v>
      </c>
      <c r="J651" s="1">
        <f t="shared" si="21"/>
        <v>44116</v>
      </c>
      <c r="K651">
        <f t="shared" si="20"/>
        <v>50</v>
      </c>
    </row>
    <row r="652" spans="1:11" x14ac:dyDescent="0.25">
      <c r="A652">
        <v>11</v>
      </c>
      <c r="B652" t="s">
        <v>18</v>
      </c>
      <c r="C652">
        <v>2020</v>
      </c>
      <c r="D652">
        <v>62.5</v>
      </c>
      <c r="E652">
        <v>300</v>
      </c>
      <c r="F652">
        <v>298</v>
      </c>
      <c r="G652" s="1">
        <f>DATE(C652, CHOOSE(MATCH(UPPER(B652), {"ENERO","FEBRERO","MARZO","ABRIL","MAYO","JUNIO","JULIO","AGOSTO","SEPTIEMBRE","OCTUBRE","NOVIEMBRE","DICIEMBRE"}, 0), 1,2,3,4,5,6,7,8,9,10,11,12), A652)</f>
        <v>44115</v>
      </c>
      <c r="H652">
        <v>64.5</v>
      </c>
      <c r="I652">
        <v>36000</v>
      </c>
      <c r="J652" s="1">
        <f t="shared" si="21"/>
        <v>44117</v>
      </c>
      <c r="K652">
        <f t="shared" si="20"/>
        <v>36.5</v>
      </c>
    </row>
    <row r="653" spans="1:11" x14ac:dyDescent="0.25">
      <c r="A653">
        <v>12</v>
      </c>
      <c r="B653" t="s">
        <v>18</v>
      </c>
      <c r="C653">
        <v>2020</v>
      </c>
      <c r="D653">
        <v>298</v>
      </c>
      <c r="E653" t="s">
        <v>9</v>
      </c>
      <c r="F653">
        <v>248</v>
      </c>
      <c r="G653" s="1">
        <f>DATE(C653, CHOOSE(MATCH(UPPER(B653), {"ENERO","FEBRERO","MARZO","ABRIL","MAYO","JUNIO","JULIO","AGOSTO","SEPTIEMBRE","OCTUBRE","NOVIEMBRE","DICIEMBRE"}, 0), 1,2,3,4,5,6,7,8,9,10,11,12), A653)</f>
        <v>44116</v>
      </c>
      <c r="H653">
        <v>50</v>
      </c>
      <c r="I653">
        <v>36000</v>
      </c>
      <c r="J653" s="1">
        <f t="shared" si="21"/>
        <v>44118</v>
      </c>
      <c r="K653">
        <f t="shared" si="20"/>
        <v>32</v>
      </c>
    </row>
    <row r="654" spans="1:11" x14ac:dyDescent="0.25">
      <c r="A654">
        <v>13</v>
      </c>
      <c r="B654" t="s">
        <v>18</v>
      </c>
      <c r="C654">
        <v>2020</v>
      </c>
      <c r="D654">
        <v>248</v>
      </c>
      <c r="E654" t="s">
        <v>9</v>
      </c>
      <c r="F654">
        <v>211.5</v>
      </c>
      <c r="G654" s="1">
        <f>DATE(C654, CHOOSE(MATCH(UPPER(B654), {"ENERO","FEBRERO","MARZO","ABRIL","MAYO","JUNIO","JULIO","AGOSTO","SEPTIEMBRE","OCTUBRE","NOVIEMBRE","DICIEMBRE"}, 0), 1,2,3,4,5,6,7,8,9,10,11,12), A654)</f>
        <v>44117</v>
      </c>
      <c r="H654">
        <v>36.5</v>
      </c>
      <c r="I654">
        <v>36000</v>
      </c>
      <c r="J654" s="1">
        <f t="shared" si="21"/>
        <v>44119</v>
      </c>
      <c r="K654">
        <f t="shared" si="20"/>
        <v>40</v>
      </c>
    </row>
    <row r="655" spans="1:11" x14ac:dyDescent="0.25">
      <c r="A655">
        <v>14</v>
      </c>
      <c r="B655" t="s">
        <v>18</v>
      </c>
      <c r="C655">
        <v>2020</v>
      </c>
      <c r="D655">
        <v>211.5</v>
      </c>
      <c r="E655" t="s">
        <v>9</v>
      </c>
      <c r="F655">
        <v>179.5</v>
      </c>
      <c r="G655" s="1">
        <f>DATE(C655, CHOOSE(MATCH(UPPER(B655), {"ENERO","FEBRERO","MARZO","ABRIL","MAYO","JUNIO","JULIO","AGOSTO","SEPTIEMBRE","OCTUBRE","NOVIEMBRE","DICIEMBRE"}, 0), 1,2,3,4,5,6,7,8,9,10,11,12), A655)</f>
        <v>44118</v>
      </c>
      <c r="H655">
        <v>32</v>
      </c>
      <c r="I655">
        <v>36000</v>
      </c>
      <c r="J655" s="1">
        <f t="shared" si="21"/>
        <v>44120</v>
      </c>
      <c r="K655">
        <f t="shared" si="20"/>
        <v>44</v>
      </c>
    </row>
    <row r="656" spans="1:11" x14ac:dyDescent="0.25">
      <c r="A656">
        <v>15</v>
      </c>
      <c r="B656" t="s">
        <v>18</v>
      </c>
      <c r="C656">
        <v>2020</v>
      </c>
      <c r="D656">
        <v>179.5</v>
      </c>
      <c r="E656" t="s">
        <v>9</v>
      </c>
      <c r="F656">
        <v>139.5</v>
      </c>
      <c r="G656" s="1">
        <f>DATE(C656, CHOOSE(MATCH(UPPER(B656), {"ENERO","FEBRERO","MARZO","ABRIL","MAYO","JUNIO","JULIO","AGOSTO","SEPTIEMBRE","OCTUBRE","NOVIEMBRE","DICIEMBRE"}, 0), 1,2,3,4,5,6,7,8,9,10,11,12), A656)</f>
        <v>44119</v>
      </c>
      <c r="H656">
        <v>40</v>
      </c>
      <c r="I656">
        <v>36000</v>
      </c>
      <c r="J656" s="1">
        <f t="shared" si="21"/>
        <v>44121</v>
      </c>
      <c r="K656">
        <f t="shared" si="20"/>
        <v>63.5</v>
      </c>
    </row>
    <row r="657" spans="1:11" x14ac:dyDescent="0.25">
      <c r="A657">
        <v>16</v>
      </c>
      <c r="B657" t="s">
        <v>18</v>
      </c>
      <c r="C657">
        <v>2020</v>
      </c>
      <c r="D657">
        <v>139.5</v>
      </c>
      <c r="E657">
        <v>-30</v>
      </c>
      <c r="F657">
        <v>65.5</v>
      </c>
      <c r="G657" s="1">
        <f>DATE(C657, CHOOSE(MATCH(UPPER(B657), {"ENERO","FEBRERO","MARZO","ABRIL","MAYO","JUNIO","JULIO","AGOSTO","SEPTIEMBRE","OCTUBRE","NOVIEMBRE","DICIEMBRE"}, 0), 1,2,3,4,5,6,7,8,9,10,11,12), A657)</f>
        <v>44120</v>
      </c>
      <c r="H657">
        <v>44</v>
      </c>
      <c r="I657">
        <v>36000</v>
      </c>
      <c r="J657" s="1">
        <f t="shared" si="21"/>
        <v>44122</v>
      </c>
      <c r="K657">
        <f t="shared" si="20"/>
        <v>54.5</v>
      </c>
    </row>
    <row r="658" spans="1:11" x14ac:dyDescent="0.25">
      <c r="A658">
        <v>17</v>
      </c>
      <c r="B658" t="s">
        <v>18</v>
      </c>
      <c r="C658">
        <v>2020</v>
      </c>
      <c r="D658">
        <v>65.5</v>
      </c>
      <c r="E658">
        <v>324</v>
      </c>
      <c r="F658">
        <v>326</v>
      </c>
      <c r="G658" s="1">
        <f>DATE(C658, CHOOSE(MATCH(UPPER(B658), {"ENERO","FEBRERO","MARZO","ABRIL","MAYO","JUNIO","JULIO","AGOSTO","SEPTIEMBRE","OCTUBRE","NOVIEMBRE","DICIEMBRE"}, 0), 1,2,3,4,5,6,7,8,9,10,11,12), A658)</f>
        <v>44121</v>
      </c>
      <c r="H658">
        <v>63.5</v>
      </c>
      <c r="I658">
        <v>36000</v>
      </c>
      <c r="J658" s="1">
        <f t="shared" si="21"/>
        <v>44123</v>
      </c>
      <c r="K658">
        <f t="shared" si="20"/>
        <v>31</v>
      </c>
    </row>
    <row r="659" spans="1:11" x14ac:dyDescent="0.25">
      <c r="A659">
        <v>18</v>
      </c>
      <c r="B659" t="s">
        <v>18</v>
      </c>
      <c r="C659">
        <v>2020</v>
      </c>
      <c r="D659">
        <v>326</v>
      </c>
      <c r="E659">
        <v>-15</v>
      </c>
      <c r="F659">
        <v>256.5</v>
      </c>
      <c r="G659" s="1">
        <f>DATE(C659, CHOOSE(MATCH(UPPER(B659), {"ENERO","FEBRERO","MARZO","ABRIL","MAYO","JUNIO","JULIO","AGOSTO","SEPTIEMBRE","OCTUBRE","NOVIEMBRE","DICIEMBRE"}, 0), 1,2,3,4,5,6,7,8,9,10,11,12), A659)</f>
        <v>44122</v>
      </c>
      <c r="H659">
        <v>54.5</v>
      </c>
      <c r="I659">
        <v>36000</v>
      </c>
      <c r="J659" s="1">
        <f t="shared" si="21"/>
        <v>44124</v>
      </c>
      <c r="K659">
        <f t="shared" si="20"/>
        <v>27.5</v>
      </c>
    </row>
    <row r="660" spans="1:11" x14ac:dyDescent="0.25">
      <c r="A660">
        <v>19</v>
      </c>
      <c r="B660" t="s">
        <v>18</v>
      </c>
      <c r="C660">
        <v>2020</v>
      </c>
      <c r="D660">
        <v>256.5</v>
      </c>
      <c r="E660">
        <v>-20</v>
      </c>
      <c r="F660">
        <v>205.5</v>
      </c>
      <c r="G660" s="1">
        <f>DATE(C660, CHOOSE(MATCH(UPPER(B660), {"ENERO","FEBRERO","MARZO","ABRIL","MAYO","JUNIO","JULIO","AGOSTO","SEPTIEMBRE","OCTUBRE","NOVIEMBRE","DICIEMBRE"}, 0), 1,2,3,4,5,6,7,8,9,10,11,12), A660)</f>
        <v>44123</v>
      </c>
      <c r="H660">
        <v>31</v>
      </c>
      <c r="I660">
        <v>36000</v>
      </c>
      <c r="J660" s="1">
        <f t="shared" si="21"/>
        <v>44125</v>
      </c>
      <c r="K660">
        <f t="shared" si="20"/>
        <v>35.5</v>
      </c>
    </row>
    <row r="661" spans="1:11" x14ac:dyDescent="0.25">
      <c r="A661">
        <v>20</v>
      </c>
      <c r="B661" t="s">
        <v>18</v>
      </c>
      <c r="C661">
        <v>2020</v>
      </c>
      <c r="D661">
        <v>205.5</v>
      </c>
      <c r="E661" t="s">
        <v>9</v>
      </c>
      <c r="F661">
        <v>178</v>
      </c>
      <c r="G661" s="1">
        <f>DATE(C661, CHOOSE(MATCH(UPPER(B661), {"ENERO","FEBRERO","MARZO","ABRIL","MAYO","JUNIO","JULIO","AGOSTO","SEPTIEMBRE","OCTUBRE","NOVIEMBRE","DICIEMBRE"}, 0), 1,2,3,4,5,6,7,8,9,10,11,12), A661)</f>
        <v>44124</v>
      </c>
      <c r="H661">
        <v>27.5</v>
      </c>
      <c r="I661">
        <v>36000</v>
      </c>
      <c r="J661" s="1">
        <f t="shared" si="21"/>
        <v>44126</v>
      </c>
      <c r="K661">
        <f t="shared" si="20"/>
        <v>39</v>
      </c>
    </row>
    <row r="662" spans="1:11" x14ac:dyDescent="0.25">
      <c r="A662">
        <v>21</v>
      </c>
      <c r="B662" t="s">
        <v>18</v>
      </c>
      <c r="C662">
        <v>2020</v>
      </c>
      <c r="D662">
        <v>178</v>
      </c>
      <c r="E662" t="s">
        <v>9</v>
      </c>
      <c r="F662">
        <v>142.5</v>
      </c>
      <c r="G662" s="1">
        <f>DATE(C662, CHOOSE(MATCH(UPPER(B662), {"ENERO","FEBRERO","MARZO","ABRIL","MAYO","JUNIO","JULIO","AGOSTO","SEPTIEMBRE","OCTUBRE","NOVIEMBRE","DICIEMBRE"}, 0), 1,2,3,4,5,6,7,8,9,10,11,12), A662)</f>
        <v>44125</v>
      </c>
      <c r="H662">
        <v>35.5</v>
      </c>
      <c r="I662">
        <v>36000</v>
      </c>
      <c r="J662" s="1">
        <f t="shared" si="21"/>
        <v>44127</v>
      </c>
      <c r="K662">
        <f t="shared" si="20"/>
        <v>33</v>
      </c>
    </row>
    <row r="663" spans="1:11" x14ac:dyDescent="0.25">
      <c r="A663">
        <v>22</v>
      </c>
      <c r="B663" t="s">
        <v>18</v>
      </c>
      <c r="C663">
        <v>2020</v>
      </c>
      <c r="D663">
        <v>142.5</v>
      </c>
      <c r="E663">
        <v>-30</v>
      </c>
      <c r="F663">
        <v>73.5</v>
      </c>
      <c r="G663" s="1">
        <f>DATE(C663, CHOOSE(MATCH(UPPER(B663), {"ENERO","FEBRERO","MARZO","ABRIL","MAYO","JUNIO","JULIO","AGOSTO","SEPTIEMBRE","OCTUBRE","NOVIEMBRE","DICIEMBRE"}, 0), 1,2,3,4,5,6,7,8,9,10,11,12), A663)</f>
        <v>44126</v>
      </c>
      <c r="H663">
        <v>39</v>
      </c>
      <c r="I663">
        <v>36000</v>
      </c>
      <c r="J663" s="1">
        <f t="shared" si="21"/>
        <v>44128</v>
      </c>
      <c r="K663">
        <f t="shared" si="20"/>
        <v>65.5</v>
      </c>
    </row>
    <row r="664" spans="1:11" x14ac:dyDescent="0.25">
      <c r="A664">
        <v>23</v>
      </c>
      <c r="B664" t="s">
        <v>18</v>
      </c>
      <c r="C664">
        <v>2020</v>
      </c>
      <c r="D664">
        <v>73.5</v>
      </c>
      <c r="E664">
        <v>138</v>
      </c>
      <c r="F664">
        <v>178.5</v>
      </c>
      <c r="G664" s="1">
        <f>DATE(C664, CHOOSE(MATCH(UPPER(B664), {"ENERO","FEBRERO","MARZO","ABRIL","MAYO","JUNIO","JULIO","AGOSTO","SEPTIEMBRE","OCTUBRE","NOVIEMBRE","DICIEMBRE"}, 0), 1,2,3,4,5,6,7,8,9,10,11,12), A664)</f>
        <v>44127</v>
      </c>
      <c r="H664">
        <v>33</v>
      </c>
      <c r="I664">
        <v>36000</v>
      </c>
      <c r="J664" s="1">
        <f t="shared" si="21"/>
        <v>44129</v>
      </c>
      <c r="K664">
        <f t="shared" si="20"/>
        <v>62</v>
      </c>
    </row>
    <row r="665" spans="1:11" x14ac:dyDescent="0.25">
      <c r="A665">
        <v>24</v>
      </c>
      <c r="B665" t="s">
        <v>18</v>
      </c>
      <c r="C665">
        <v>2020</v>
      </c>
      <c r="D665">
        <v>178.5</v>
      </c>
      <c r="E665">
        <v>-30</v>
      </c>
      <c r="F665">
        <v>83</v>
      </c>
      <c r="G665" s="1">
        <f>DATE(C665, CHOOSE(MATCH(UPPER(B665), {"ENERO","FEBRERO","MARZO","ABRIL","MAYO","JUNIO","JULIO","AGOSTO","SEPTIEMBRE","OCTUBRE","NOVIEMBRE","DICIEMBRE"}, 0), 1,2,3,4,5,6,7,8,9,10,11,12), A665)</f>
        <v>44128</v>
      </c>
      <c r="H665">
        <v>65.5</v>
      </c>
      <c r="I665">
        <v>36000</v>
      </c>
      <c r="J665" s="1">
        <f t="shared" si="21"/>
        <v>44130</v>
      </c>
      <c r="K665">
        <f t="shared" si="20"/>
        <v>28</v>
      </c>
    </row>
    <row r="666" spans="1:11" x14ac:dyDescent="0.25">
      <c r="A666">
        <v>25</v>
      </c>
      <c r="B666" t="s">
        <v>18</v>
      </c>
      <c r="C666">
        <v>2020</v>
      </c>
      <c r="D666">
        <v>83</v>
      </c>
      <c r="E666">
        <v>27</v>
      </c>
      <c r="F666">
        <v>48</v>
      </c>
      <c r="G666" s="1">
        <f>DATE(C666, CHOOSE(MATCH(UPPER(B666), {"ENERO","FEBRERO","MARZO","ABRIL","MAYO","JUNIO","JULIO","AGOSTO","SEPTIEMBRE","OCTUBRE","NOVIEMBRE","DICIEMBRE"}, 0), 1,2,3,4,5,6,7,8,9,10,11,12), A666)</f>
        <v>44129</v>
      </c>
      <c r="H666">
        <v>62</v>
      </c>
      <c r="I666">
        <v>36000</v>
      </c>
      <c r="J666" s="1">
        <f t="shared" si="21"/>
        <v>44131</v>
      </c>
      <c r="K666">
        <f t="shared" si="20"/>
        <v>30</v>
      </c>
    </row>
    <row r="667" spans="1:11" x14ac:dyDescent="0.25">
      <c r="A667">
        <v>26</v>
      </c>
      <c r="B667" t="s">
        <v>18</v>
      </c>
      <c r="C667">
        <v>2020</v>
      </c>
      <c r="D667">
        <v>48</v>
      </c>
      <c r="E667" t="s">
        <v>9</v>
      </c>
      <c r="F667">
        <v>20</v>
      </c>
      <c r="G667" s="1">
        <f>DATE(C667, CHOOSE(MATCH(UPPER(B667), {"ENERO","FEBRERO","MARZO","ABRIL","MAYO","JUNIO","JULIO","AGOSTO","SEPTIEMBRE","OCTUBRE","NOVIEMBRE","DICIEMBRE"}, 0), 1,2,3,4,5,6,7,8,9,10,11,12), A667)</f>
        <v>44130</v>
      </c>
      <c r="H667">
        <v>28</v>
      </c>
      <c r="I667">
        <v>36000</v>
      </c>
      <c r="J667" s="1">
        <f t="shared" si="21"/>
        <v>44132</v>
      </c>
      <c r="K667">
        <f t="shared" si="20"/>
        <v>38</v>
      </c>
    </row>
    <row r="668" spans="1:11" x14ac:dyDescent="0.25">
      <c r="A668">
        <v>27</v>
      </c>
      <c r="B668" t="s">
        <v>18</v>
      </c>
      <c r="C668">
        <v>2020</v>
      </c>
      <c r="D668">
        <v>20</v>
      </c>
      <c r="E668">
        <v>70</v>
      </c>
      <c r="F668">
        <v>60</v>
      </c>
      <c r="G668" s="1">
        <f>DATE(C668, CHOOSE(MATCH(UPPER(B668), {"ENERO","FEBRERO","MARZO","ABRIL","MAYO","JUNIO","JULIO","AGOSTO","SEPTIEMBRE","OCTUBRE","NOVIEMBRE","DICIEMBRE"}, 0), 1,2,3,4,5,6,7,8,9,10,11,12), A668)</f>
        <v>44131</v>
      </c>
      <c r="H668">
        <v>30</v>
      </c>
      <c r="I668">
        <v>36000</v>
      </c>
      <c r="J668" s="1">
        <f t="shared" si="21"/>
        <v>44133</v>
      </c>
      <c r="K668">
        <f t="shared" si="20"/>
        <v>44</v>
      </c>
    </row>
    <row r="669" spans="1:11" x14ac:dyDescent="0.25">
      <c r="A669">
        <v>28</v>
      </c>
      <c r="B669" t="s">
        <v>18</v>
      </c>
      <c r="C669">
        <v>2020</v>
      </c>
      <c r="D669">
        <v>60</v>
      </c>
      <c r="E669">
        <v>210</v>
      </c>
      <c r="F669">
        <v>232</v>
      </c>
      <c r="G669" s="1">
        <f>DATE(C669, CHOOSE(MATCH(UPPER(B669), {"ENERO","FEBRERO","MARZO","ABRIL","MAYO","JUNIO","JULIO","AGOSTO","SEPTIEMBRE","OCTUBRE","NOVIEMBRE","DICIEMBRE"}, 0), 1,2,3,4,5,6,7,8,9,10,11,12), A669)</f>
        <v>44132</v>
      </c>
      <c r="H669">
        <v>38</v>
      </c>
      <c r="I669">
        <v>36000</v>
      </c>
      <c r="J669" s="1">
        <f t="shared" si="21"/>
        <v>44134</v>
      </c>
      <c r="K669">
        <f t="shared" si="20"/>
        <v>56.5</v>
      </c>
    </row>
    <row r="670" spans="1:11" x14ac:dyDescent="0.25">
      <c r="A670">
        <v>29</v>
      </c>
      <c r="B670" t="s">
        <v>18</v>
      </c>
      <c r="C670">
        <v>2020</v>
      </c>
      <c r="D670">
        <v>232</v>
      </c>
      <c r="E670">
        <v>-100</v>
      </c>
      <c r="F670">
        <v>88</v>
      </c>
      <c r="G670" s="1">
        <f>DATE(C670, CHOOSE(MATCH(UPPER(B670), {"ENERO","FEBRERO","MARZO","ABRIL","MAYO","JUNIO","JULIO","AGOSTO","SEPTIEMBRE","OCTUBRE","NOVIEMBRE","DICIEMBRE"}, 0), 1,2,3,4,5,6,7,8,9,10,11,12), A670)</f>
        <v>44133</v>
      </c>
      <c r="H670">
        <v>44</v>
      </c>
      <c r="I670">
        <v>36000</v>
      </c>
      <c r="J670" s="1">
        <f t="shared" si="21"/>
        <v>44135</v>
      </c>
      <c r="K670">
        <f t="shared" si="20"/>
        <v>95</v>
      </c>
    </row>
    <row r="671" spans="1:11" x14ac:dyDescent="0.25">
      <c r="A671">
        <v>30</v>
      </c>
      <c r="B671" t="s">
        <v>18</v>
      </c>
      <c r="C671">
        <v>2020</v>
      </c>
      <c r="D671">
        <v>88</v>
      </c>
      <c r="E671">
        <v>313</v>
      </c>
      <c r="F671">
        <v>344.5</v>
      </c>
      <c r="G671" s="1">
        <f>DATE(C671, CHOOSE(MATCH(UPPER(B671), {"ENERO","FEBRERO","MARZO","ABRIL","MAYO","JUNIO","JULIO","AGOSTO","SEPTIEMBRE","OCTUBRE","NOVIEMBRE","DICIEMBRE"}, 0), 1,2,3,4,5,6,7,8,9,10,11,12), A671)</f>
        <v>44134</v>
      </c>
      <c r="H671">
        <v>56.5</v>
      </c>
      <c r="I671">
        <v>36000</v>
      </c>
      <c r="J671" s="1">
        <f t="shared" si="21"/>
        <v>44136</v>
      </c>
      <c r="K671">
        <f t="shared" si="20"/>
        <v>67</v>
      </c>
    </row>
    <row r="672" spans="1:11" x14ac:dyDescent="0.25">
      <c r="A672">
        <v>31</v>
      </c>
      <c r="B672" t="s">
        <v>18</v>
      </c>
      <c r="C672">
        <v>2020</v>
      </c>
      <c r="D672">
        <v>344.5</v>
      </c>
      <c r="E672" t="s">
        <v>9</v>
      </c>
      <c r="F672">
        <v>249.5</v>
      </c>
      <c r="G672" s="1">
        <f>DATE(C672, CHOOSE(MATCH(UPPER(B672), {"ENERO","FEBRERO","MARZO","ABRIL","MAYO","JUNIO","JULIO","AGOSTO","SEPTIEMBRE","OCTUBRE","NOVIEMBRE","DICIEMBRE"}, 0), 1,2,3,4,5,6,7,8,9,10,11,12), A672)</f>
        <v>44135</v>
      </c>
      <c r="H672">
        <v>95</v>
      </c>
      <c r="I672">
        <v>36000</v>
      </c>
      <c r="J672" s="1">
        <f t="shared" si="21"/>
        <v>44137</v>
      </c>
      <c r="K672">
        <f t="shared" si="20"/>
        <v>55.5</v>
      </c>
    </row>
    <row r="673" spans="1:11" x14ac:dyDescent="0.25">
      <c r="A673">
        <v>1</v>
      </c>
      <c r="B673" t="s">
        <v>19</v>
      </c>
      <c r="C673">
        <v>2020</v>
      </c>
      <c r="D673">
        <v>249.5</v>
      </c>
      <c r="E673" t="s">
        <v>9</v>
      </c>
      <c r="F673">
        <v>182.5</v>
      </c>
      <c r="G673" s="1">
        <f>DATE(C673, CHOOSE(MATCH(UPPER(B673), {"ENERO","FEBRERO","MARZO","ABRIL","MAYO","JUNIO","JULIO","AGOSTO","SEPTIEMBRE","OCTUBRE","NOVIEMBRE","DICIEMBRE"}, 0), 1,2,3,4,5,6,7,8,9,10,11,12), A673)</f>
        <v>44136</v>
      </c>
      <c r="H673">
        <v>67</v>
      </c>
      <c r="I673">
        <v>36000</v>
      </c>
      <c r="J673" s="1">
        <f t="shared" si="21"/>
        <v>44138</v>
      </c>
      <c r="K673">
        <f t="shared" si="20"/>
        <v>29</v>
      </c>
    </row>
    <row r="674" spans="1:11" x14ac:dyDescent="0.25">
      <c r="A674">
        <v>2</v>
      </c>
      <c r="B674" t="s">
        <v>19</v>
      </c>
      <c r="C674">
        <v>2020</v>
      </c>
      <c r="D674">
        <v>182.5</v>
      </c>
      <c r="E674" t="s">
        <v>9</v>
      </c>
      <c r="F674">
        <v>127</v>
      </c>
      <c r="G674" s="1">
        <f>DATE(C674, CHOOSE(MATCH(UPPER(B674), {"ENERO","FEBRERO","MARZO","ABRIL","MAYO","JUNIO","JULIO","AGOSTO","SEPTIEMBRE","OCTUBRE","NOVIEMBRE","DICIEMBRE"}, 0), 1,2,3,4,5,6,7,8,9,10,11,12), A674)</f>
        <v>44137</v>
      </c>
      <c r="H674">
        <v>55.5</v>
      </c>
      <c r="I674">
        <v>36000</v>
      </c>
      <c r="J674" s="1">
        <f t="shared" si="21"/>
        <v>44139</v>
      </c>
      <c r="K674">
        <f t="shared" si="20"/>
        <v>28</v>
      </c>
    </row>
    <row r="675" spans="1:11" x14ac:dyDescent="0.25">
      <c r="A675">
        <v>3</v>
      </c>
      <c r="B675" t="s">
        <v>19</v>
      </c>
      <c r="C675">
        <v>2020</v>
      </c>
      <c r="D675">
        <v>127</v>
      </c>
      <c r="E675" t="s">
        <v>9</v>
      </c>
      <c r="F675">
        <v>98</v>
      </c>
      <c r="G675" s="1">
        <f>DATE(C675, CHOOSE(MATCH(UPPER(B675), {"ENERO","FEBRERO","MARZO","ABRIL","MAYO","JUNIO","JULIO","AGOSTO","SEPTIEMBRE","OCTUBRE","NOVIEMBRE","DICIEMBRE"}, 0), 1,2,3,4,5,6,7,8,9,10,11,12), A675)</f>
        <v>44138</v>
      </c>
      <c r="H675">
        <v>29</v>
      </c>
      <c r="I675">
        <v>36000</v>
      </c>
      <c r="J675" s="1">
        <f t="shared" si="21"/>
        <v>44140</v>
      </c>
      <c r="K675">
        <f t="shared" si="20"/>
        <v>26</v>
      </c>
    </row>
    <row r="676" spans="1:11" x14ac:dyDescent="0.25">
      <c r="A676">
        <v>4</v>
      </c>
      <c r="B676" t="s">
        <v>19</v>
      </c>
      <c r="C676">
        <v>2020</v>
      </c>
      <c r="D676">
        <v>98</v>
      </c>
      <c r="E676" t="s">
        <v>9</v>
      </c>
      <c r="F676">
        <v>70</v>
      </c>
      <c r="G676" s="1">
        <f>DATE(C676, CHOOSE(MATCH(UPPER(B676), {"ENERO","FEBRERO","MARZO","ABRIL","MAYO","JUNIO","JULIO","AGOSTO","SEPTIEMBRE","OCTUBRE","NOVIEMBRE","DICIEMBRE"}, 0), 1,2,3,4,5,6,7,8,9,10,11,12), A676)</f>
        <v>44139</v>
      </c>
      <c r="H676">
        <v>28</v>
      </c>
      <c r="I676">
        <v>36000</v>
      </c>
      <c r="J676" s="1">
        <f t="shared" si="21"/>
        <v>44141</v>
      </c>
      <c r="K676">
        <f t="shared" si="20"/>
        <v>45</v>
      </c>
    </row>
    <row r="677" spans="1:11" x14ac:dyDescent="0.25">
      <c r="A677">
        <v>5</v>
      </c>
      <c r="B677" t="s">
        <v>19</v>
      </c>
      <c r="C677">
        <v>2020</v>
      </c>
      <c r="D677">
        <v>70</v>
      </c>
      <c r="E677" t="s">
        <v>9</v>
      </c>
      <c r="F677">
        <v>44</v>
      </c>
      <c r="G677" s="1">
        <f>DATE(C677, CHOOSE(MATCH(UPPER(B677), {"ENERO","FEBRERO","MARZO","ABRIL","MAYO","JUNIO","JULIO","AGOSTO","SEPTIEMBRE","OCTUBRE","NOVIEMBRE","DICIEMBRE"}, 0), 1,2,3,4,5,6,7,8,9,10,11,12), A677)</f>
        <v>44140</v>
      </c>
      <c r="H677">
        <v>26</v>
      </c>
      <c r="I677">
        <v>36000</v>
      </c>
      <c r="J677" s="1">
        <f t="shared" si="21"/>
        <v>44142</v>
      </c>
      <c r="K677">
        <f t="shared" si="20"/>
        <v>63</v>
      </c>
    </row>
    <row r="678" spans="1:11" x14ac:dyDescent="0.25">
      <c r="A678">
        <v>6</v>
      </c>
      <c r="B678" t="s">
        <v>19</v>
      </c>
      <c r="C678">
        <v>2020</v>
      </c>
      <c r="D678">
        <v>44</v>
      </c>
      <c r="E678">
        <v>102</v>
      </c>
      <c r="F678">
        <v>101</v>
      </c>
      <c r="G678" s="1">
        <f>DATE(C678, CHOOSE(MATCH(UPPER(B678), {"ENERO","FEBRERO","MARZO","ABRIL","MAYO","JUNIO","JULIO","AGOSTO","SEPTIEMBRE","OCTUBRE","NOVIEMBRE","DICIEMBRE"}, 0), 1,2,3,4,5,6,7,8,9,10,11,12), A678)</f>
        <v>44141</v>
      </c>
      <c r="H678">
        <v>45</v>
      </c>
      <c r="I678">
        <v>36000</v>
      </c>
      <c r="J678" s="1">
        <f t="shared" si="21"/>
        <v>44143</v>
      </c>
      <c r="K678">
        <f t="shared" si="20"/>
        <v>55</v>
      </c>
    </row>
    <row r="679" spans="1:11" x14ac:dyDescent="0.25">
      <c r="A679">
        <v>7</v>
      </c>
      <c r="B679" t="s">
        <v>19</v>
      </c>
      <c r="C679">
        <v>2020</v>
      </c>
      <c r="D679">
        <v>101</v>
      </c>
      <c r="E679">
        <v>-20</v>
      </c>
      <c r="F679">
        <v>18</v>
      </c>
      <c r="G679" s="1">
        <f>DATE(C679, CHOOSE(MATCH(UPPER(B679), {"ENERO","FEBRERO","MARZO","ABRIL","MAYO","JUNIO","JULIO","AGOSTO","SEPTIEMBRE","OCTUBRE","NOVIEMBRE","DICIEMBRE"}, 0), 1,2,3,4,5,6,7,8,9,10,11,12), A679)</f>
        <v>44142</v>
      </c>
      <c r="H679">
        <v>63</v>
      </c>
      <c r="I679">
        <v>36000</v>
      </c>
      <c r="J679" s="1">
        <f t="shared" si="21"/>
        <v>44144</v>
      </c>
      <c r="K679">
        <f t="shared" si="20"/>
        <v>33.5</v>
      </c>
    </row>
    <row r="680" spans="1:11" x14ac:dyDescent="0.25">
      <c r="A680">
        <v>8</v>
      </c>
      <c r="B680" t="s">
        <v>19</v>
      </c>
      <c r="C680">
        <v>2020</v>
      </c>
      <c r="D680">
        <v>18</v>
      </c>
      <c r="E680">
        <v>180</v>
      </c>
      <c r="F680">
        <v>143</v>
      </c>
      <c r="G680" s="1">
        <f>DATE(C680, CHOOSE(MATCH(UPPER(B680), {"ENERO","FEBRERO","MARZO","ABRIL","MAYO","JUNIO","JULIO","AGOSTO","SEPTIEMBRE","OCTUBRE","NOVIEMBRE","DICIEMBRE"}, 0), 1,2,3,4,5,6,7,8,9,10,11,12), A680)</f>
        <v>44143</v>
      </c>
      <c r="H680">
        <v>55</v>
      </c>
      <c r="I680">
        <v>36000</v>
      </c>
      <c r="J680" s="1">
        <f t="shared" si="21"/>
        <v>44145</v>
      </c>
      <c r="K680">
        <f t="shared" si="20"/>
        <v>27.5</v>
      </c>
    </row>
    <row r="681" spans="1:11" x14ac:dyDescent="0.25">
      <c r="A681">
        <v>9</v>
      </c>
      <c r="B681" t="s">
        <v>19</v>
      </c>
      <c r="C681">
        <v>2020</v>
      </c>
      <c r="D681">
        <v>143</v>
      </c>
      <c r="E681" t="s">
        <v>9</v>
      </c>
      <c r="F681">
        <v>109.5</v>
      </c>
      <c r="G681" s="1">
        <f>DATE(C681, CHOOSE(MATCH(UPPER(B681), {"ENERO","FEBRERO","MARZO","ABRIL","MAYO","JUNIO","JULIO","AGOSTO","SEPTIEMBRE","OCTUBRE","NOVIEMBRE","DICIEMBRE"}, 0), 1,2,3,4,5,6,7,8,9,10,11,12), A681)</f>
        <v>44144</v>
      </c>
      <c r="H681">
        <v>33.5</v>
      </c>
      <c r="I681">
        <v>36000</v>
      </c>
      <c r="J681" s="1">
        <f t="shared" si="21"/>
        <v>44146</v>
      </c>
      <c r="K681">
        <f t="shared" si="20"/>
        <v>29.5</v>
      </c>
    </row>
    <row r="682" spans="1:11" x14ac:dyDescent="0.25">
      <c r="A682">
        <v>10</v>
      </c>
      <c r="B682" t="s">
        <v>19</v>
      </c>
      <c r="C682">
        <v>2020</v>
      </c>
      <c r="D682">
        <v>109.5</v>
      </c>
      <c r="E682" t="s">
        <v>9</v>
      </c>
      <c r="F682">
        <v>82</v>
      </c>
      <c r="G682" s="1">
        <f>DATE(C682, CHOOSE(MATCH(UPPER(B682), {"ENERO","FEBRERO","MARZO","ABRIL","MAYO","JUNIO","JULIO","AGOSTO","SEPTIEMBRE","OCTUBRE","NOVIEMBRE","DICIEMBRE"}, 0), 1,2,3,4,5,6,7,8,9,10,11,12), A682)</f>
        <v>44145</v>
      </c>
      <c r="H682">
        <v>27.5</v>
      </c>
      <c r="I682">
        <v>36000</v>
      </c>
      <c r="J682" s="1">
        <f t="shared" si="21"/>
        <v>44147</v>
      </c>
      <c r="K682">
        <f t="shared" si="20"/>
        <v>41.5</v>
      </c>
    </row>
    <row r="683" spans="1:11" x14ac:dyDescent="0.25">
      <c r="A683">
        <v>11</v>
      </c>
      <c r="B683" t="s">
        <v>19</v>
      </c>
      <c r="C683">
        <v>2020</v>
      </c>
      <c r="D683">
        <v>82</v>
      </c>
      <c r="E683">
        <v>180</v>
      </c>
      <c r="F683">
        <v>232.5</v>
      </c>
      <c r="G683" s="1">
        <f>DATE(C683, CHOOSE(MATCH(UPPER(B683), {"ENERO","FEBRERO","MARZO","ABRIL","MAYO","JUNIO","JULIO","AGOSTO","SEPTIEMBRE","OCTUBRE","NOVIEMBRE","DICIEMBRE"}, 0), 1,2,3,4,5,6,7,8,9,10,11,12), A683)</f>
        <v>44146</v>
      </c>
      <c r="H683">
        <v>29.5</v>
      </c>
      <c r="I683">
        <v>36000</v>
      </c>
      <c r="J683" s="1">
        <f t="shared" si="21"/>
        <v>44148</v>
      </c>
      <c r="K683">
        <f t="shared" si="20"/>
        <v>57</v>
      </c>
    </row>
    <row r="684" spans="1:11" x14ac:dyDescent="0.25">
      <c r="A684">
        <v>12</v>
      </c>
      <c r="B684" t="s">
        <v>19</v>
      </c>
      <c r="C684">
        <v>2020</v>
      </c>
      <c r="D684">
        <v>232.5</v>
      </c>
      <c r="E684" t="s">
        <v>9</v>
      </c>
      <c r="F684">
        <v>191</v>
      </c>
      <c r="G684" s="1">
        <f>DATE(C684, CHOOSE(MATCH(UPPER(B684), {"ENERO","FEBRERO","MARZO","ABRIL","MAYO","JUNIO","JULIO","AGOSTO","SEPTIEMBRE","OCTUBRE","NOVIEMBRE","DICIEMBRE"}, 0), 1,2,3,4,5,6,7,8,9,10,11,12), A684)</f>
        <v>44147</v>
      </c>
      <c r="H684">
        <v>41.5</v>
      </c>
      <c r="I684">
        <v>36000</v>
      </c>
      <c r="J684" s="1">
        <f t="shared" si="21"/>
        <v>44149</v>
      </c>
      <c r="K684">
        <f t="shared" si="20"/>
        <v>56</v>
      </c>
    </row>
    <row r="685" spans="1:11" x14ac:dyDescent="0.25">
      <c r="A685">
        <v>13</v>
      </c>
      <c r="B685" t="s">
        <v>19</v>
      </c>
      <c r="C685">
        <v>2020</v>
      </c>
      <c r="D685">
        <v>191</v>
      </c>
      <c r="E685" t="s">
        <v>9</v>
      </c>
      <c r="F685">
        <v>134</v>
      </c>
      <c r="G685" s="1">
        <f>DATE(C685, CHOOSE(MATCH(UPPER(B685), {"ENERO","FEBRERO","MARZO","ABRIL","MAYO","JUNIO","JULIO","AGOSTO","SEPTIEMBRE","OCTUBRE","NOVIEMBRE","DICIEMBRE"}, 0), 1,2,3,4,5,6,7,8,9,10,11,12), A685)</f>
        <v>44148</v>
      </c>
      <c r="H685">
        <v>57</v>
      </c>
      <c r="I685">
        <v>36000</v>
      </c>
      <c r="J685" s="1">
        <f t="shared" si="21"/>
        <v>44150</v>
      </c>
      <c r="K685">
        <f t="shared" si="20"/>
        <v>58</v>
      </c>
    </row>
    <row r="686" spans="1:11" x14ac:dyDescent="0.25">
      <c r="A686">
        <v>14</v>
      </c>
      <c r="B686" t="s">
        <v>19</v>
      </c>
      <c r="C686">
        <v>2020</v>
      </c>
      <c r="D686">
        <v>134</v>
      </c>
      <c r="E686">
        <v>-3</v>
      </c>
      <c r="F686">
        <v>75</v>
      </c>
      <c r="G686" s="1">
        <f>DATE(C686, CHOOSE(MATCH(UPPER(B686), {"ENERO","FEBRERO","MARZO","ABRIL","MAYO","JUNIO","JULIO","AGOSTO","SEPTIEMBRE","OCTUBRE","NOVIEMBRE","DICIEMBRE"}, 0), 1,2,3,4,5,6,7,8,9,10,11,12), A686)</f>
        <v>44149</v>
      </c>
      <c r="H686">
        <v>56</v>
      </c>
      <c r="I686">
        <v>36000</v>
      </c>
      <c r="J686" s="1">
        <f t="shared" si="21"/>
        <v>44151</v>
      </c>
      <c r="K686">
        <f t="shared" si="20"/>
        <v>46.5</v>
      </c>
    </row>
    <row r="687" spans="1:11" x14ac:dyDescent="0.25">
      <c r="A687">
        <v>15</v>
      </c>
      <c r="B687" t="s">
        <v>19</v>
      </c>
      <c r="C687">
        <v>2020</v>
      </c>
      <c r="D687">
        <v>75</v>
      </c>
      <c r="E687" t="s">
        <v>9</v>
      </c>
      <c r="F687">
        <v>17</v>
      </c>
      <c r="G687" s="1">
        <f>DATE(C687, CHOOSE(MATCH(UPPER(B687), {"ENERO","FEBRERO","MARZO","ABRIL","MAYO","JUNIO","JULIO","AGOSTO","SEPTIEMBRE","OCTUBRE","NOVIEMBRE","DICIEMBRE"}, 0), 1,2,3,4,5,6,7,8,9,10,11,12), A687)</f>
        <v>44150</v>
      </c>
      <c r="H687">
        <v>58</v>
      </c>
      <c r="I687">
        <v>36000</v>
      </c>
      <c r="J687" s="1">
        <f t="shared" si="21"/>
        <v>44152</v>
      </c>
      <c r="K687">
        <f t="shared" si="20"/>
        <v>28.75</v>
      </c>
    </row>
    <row r="688" spans="1:11" x14ac:dyDescent="0.25">
      <c r="A688">
        <v>16</v>
      </c>
      <c r="B688" t="s">
        <v>19</v>
      </c>
      <c r="C688">
        <v>2020</v>
      </c>
      <c r="D688">
        <v>17</v>
      </c>
      <c r="E688">
        <v>257</v>
      </c>
      <c r="F688">
        <v>227.5</v>
      </c>
      <c r="G688" s="1">
        <f>DATE(C688, CHOOSE(MATCH(UPPER(B688), {"ENERO","FEBRERO","MARZO","ABRIL","MAYO","JUNIO","JULIO","AGOSTO","SEPTIEMBRE","OCTUBRE","NOVIEMBRE","DICIEMBRE"}, 0), 1,2,3,4,5,6,7,8,9,10,11,12), A688)</f>
        <v>44151</v>
      </c>
      <c r="H688">
        <v>46.5</v>
      </c>
      <c r="I688">
        <v>36000</v>
      </c>
      <c r="J688" s="1">
        <f t="shared" si="21"/>
        <v>44153</v>
      </c>
      <c r="K688">
        <f t="shared" si="20"/>
        <v>33.75</v>
      </c>
    </row>
    <row r="689" spans="1:11" x14ac:dyDescent="0.25">
      <c r="A689">
        <v>17</v>
      </c>
      <c r="B689" t="s">
        <v>19</v>
      </c>
      <c r="C689">
        <v>2020</v>
      </c>
      <c r="D689">
        <v>227.5</v>
      </c>
      <c r="E689" t="s">
        <v>9</v>
      </c>
      <c r="F689">
        <v>198.75</v>
      </c>
      <c r="G689" s="1">
        <f>DATE(C689, CHOOSE(MATCH(UPPER(B689), {"ENERO","FEBRERO","MARZO","ABRIL","MAYO","JUNIO","JULIO","AGOSTO","SEPTIEMBRE","OCTUBRE","NOVIEMBRE","DICIEMBRE"}, 0), 1,2,3,4,5,6,7,8,9,10,11,12), A689)</f>
        <v>44152</v>
      </c>
      <c r="H689">
        <v>28.75</v>
      </c>
      <c r="I689">
        <v>36000</v>
      </c>
      <c r="J689" s="1">
        <f t="shared" si="21"/>
        <v>44154</v>
      </c>
      <c r="K689">
        <f t="shared" si="20"/>
        <v>45</v>
      </c>
    </row>
    <row r="690" spans="1:11" x14ac:dyDescent="0.25">
      <c r="A690">
        <v>18</v>
      </c>
      <c r="B690" t="s">
        <v>19</v>
      </c>
      <c r="C690">
        <v>2020</v>
      </c>
      <c r="D690">
        <v>198.75</v>
      </c>
      <c r="E690">
        <v>-100</v>
      </c>
      <c r="F690">
        <v>65</v>
      </c>
      <c r="G690" s="1">
        <f>DATE(C690, CHOOSE(MATCH(UPPER(B690), {"ENERO","FEBRERO","MARZO","ABRIL","MAYO","JUNIO","JULIO","AGOSTO","SEPTIEMBRE","OCTUBRE","NOVIEMBRE","DICIEMBRE"}, 0), 1,2,3,4,5,6,7,8,9,10,11,12), A690)</f>
        <v>44153</v>
      </c>
      <c r="H690">
        <v>33.75</v>
      </c>
      <c r="I690">
        <v>36000</v>
      </c>
      <c r="J690" s="1">
        <f t="shared" si="21"/>
        <v>44155</v>
      </c>
      <c r="K690">
        <f t="shared" si="20"/>
        <v>38</v>
      </c>
    </row>
    <row r="691" spans="1:11" x14ac:dyDescent="0.25">
      <c r="A691">
        <v>19</v>
      </c>
      <c r="B691" t="s">
        <v>19</v>
      </c>
      <c r="C691">
        <v>2020</v>
      </c>
      <c r="D691">
        <v>65</v>
      </c>
      <c r="E691">
        <v>226</v>
      </c>
      <c r="F691">
        <v>246</v>
      </c>
      <c r="G691" s="1">
        <f>DATE(C691, CHOOSE(MATCH(UPPER(B691), {"ENERO","FEBRERO","MARZO","ABRIL","MAYO","JUNIO","JULIO","AGOSTO","SEPTIEMBRE","OCTUBRE","NOVIEMBRE","DICIEMBRE"}, 0), 1,2,3,4,5,6,7,8,9,10,11,12), A691)</f>
        <v>44154</v>
      </c>
      <c r="H691">
        <v>45</v>
      </c>
      <c r="I691">
        <v>36000</v>
      </c>
      <c r="J691" s="1">
        <f t="shared" si="21"/>
        <v>44156</v>
      </c>
      <c r="K691">
        <f t="shared" si="20"/>
        <v>46</v>
      </c>
    </row>
    <row r="692" spans="1:11" x14ac:dyDescent="0.25">
      <c r="A692">
        <v>20</v>
      </c>
      <c r="B692" t="s">
        <v>19</v>
      </c>
      <c r="C692">
        <v>2020</v>
      </c>
      <c r="D692">
        <v>246</v>
      </c>
      <c r="E692">
        <v>-5</v>
      </c>
      <c r="F692">
        <v>203</v>
      </c>
      <c r="G692" s="1">
        <f>DATE(C692, CHOOSE(MATCH(UPPER(B692), {"ENERO","FEBRERO","MARZO","ABRIL","MAYO","JUNIO","JULIO","AGOSTO","SEPTIEMBRE","OCTUBRE","NOVIEMBRE","DICIEMBRE"}, 0), 1,2,3,4,5,6,7,8,9,10,11,12), A692)</f>
        <v>44155</v>
      </c>
      <c r="H692">
        <v>38</v>
      </c>
      <c r="I692">
        <v>36000</v>
      </c>
      <c r="J692" s="1">
        <f t="shared" si="21"/>
        <v>44157</v>
      </c>
      <c r="K692">
        <f t="shared" si="20"/>
        <v>65</v>
      </c>
    </row>
    <row r="693" spans="1:11" x14ac:dyDescent="0.25">
      <c r="A693">
        <v>21</v>
      </c>
      <c r="B693" t="s">
        <v>19</v>
      </c>
      <c r="C693">
        <v>2020</v>
      </c>
      <c r="D693">
        <v>203</v>
      </c>
      <c r="E693" t="s">
        <v>9</v>
      </c>
      <c r="F693">
        <v>157</v>
      </c>
      <c r="G693" s="1">
        <f>DATE(C693, CHOOSE(MATCH(UPPER(B693), {"ENERO","FEBRERO","MARZO","ABRIL","MAYO","JUNIO","JULIO","AGOSTO","SEPTIEMBRE","OCTUBRE","NOVIEMBRE","DICIEMBRE"}, 0), 1,2,3,4,5,6,7,8,9,10,11,12), A693)</f>
        <v>44156</v>
      </c>
      <c r="H693">
        <v>46</v>
      </c>
      <c r="I693">
        <v>36000</v>
      </c>
      <c r="J693" s="1">
        <f t="shared" si="21"/>
        <v>44158</v>
      </c>
      <c r="K693">
        <f t="shared" si="20"/>
        <v>29.5</v>
      </c>
    </row>
    <row r="694" spans="1:11" x14ac:dyDescent="0.25">
      <c r="A694">
        <v>22</v>
      </c>
      <c r="B694" t="s">
        <v>19</v>
      </c>
      <c r="C694">
        <v>2020</v>
      </c>
      <c r="D694">
        <v>157</v>
      </c>
      <c r="E694" t="s">
        <v>9</v>
      </c>
      <c r="F694">
        <v>92</v>
      </c>
      <c r="G694" s="1">
        <f>DATE(C694, CHOOSE(MATCH(UPPER(B694), {"ENERO","FEBRERO","MARZO","ABRIL","MAYO","JUNIO","JULIO","AGOSTO","SEPTIEMBRE","OCTUBRE","NOVIEMBRE","DICIEMBRE"}, 0), 1,2,3,4,5,6,7,8,9,10,11,12), A694)</f>
        <v>44157</v>
      </c>
      <c r="H694">
        <v>65</v>
      </c>
      <c r="I694">
        <v>36000</v>
      </c>
      <c r="J694" s="1">
        <f t="shared" si="21"/>
        <v>44159</v>
      </c>
      <c r="K694">
        <f t="shared" si="20"/>
        <v>31</v>
      </c>
    </row>
    <row r="695" spans="1:11" x14ac:dyDescent="0.25">
      <c r="A695">
        <v>23</v>
      </c>
      <c r="B695" t="s">
        <v>19</v>
      </c>
      <c r="C695">
        <v>2020</v>
      </c>
      <c r="D695">
        <v>92</v>
      </c>
      <c r="E695" t="s">
        <v>9</v>
      </c>
      <c r="F695">
        <v>62.5</v>
      </c>
      <c r="G695" s="1">
        <f>DATE(C695, CHOOSE(MATCH(UPPER(B695), {"ENERO","FEBRERO","MARZO","ABRIL","MAYO","JUNIO","JULIO","AGOSTO","SEPTIEMBRE","OCTUBRE","NOVIEMBRE","DICIEMBRE"}, 0), 1,2,3,4,5,6,7,8,9,10,11,12), A695)</f>
        <v>44158</v>
      </c>
      <c r="H695">
        <v>29.5</v>
      </c>
      <c r="I695">
        <v>36000</v>
      </c>
      <c r="J695" s="1">
        <f t="shared" si="21"/>
        <v>44160</v>
      </c>
      <c r="K695">
        <f t="shared" si="20"/>
        <v>28.5</v>
      </c>
    </row>
    <row r="696" spans="1:11" x14ac:dyDescent="0.25">
      <c r="A696">
        <v>24</v>
      </c>
      <c r="B696" t="s">
        <v>19</v>
      </c>
      <c r="C696">
        <v>2020</v>
      </c>
      <c r="D696">
        <v>62.5</v>
      </c>
      <c r="E696">
        <v>200</v>
      </c>
      <c r="F696">
        <v>231.5</v>
      </c>
      <c r="G696" s="1">
        <f>DATE(C696, CHOOSE(MATCH(UPPER(B696), {"ENERO","FEBRERO","MARZO","ABRIL","MAYO","JUNIO","JULIO","AGOSTO","SEPTIEMBRE","OCTUBRE","NOVIEMBRE","DICIEMBRE"}, 0), 1,2,3,4,5,6,7,8,9,10,11,12), A696)</f>
        <v>44159</v>
      </c>
      <c r="H696">
        <v>31</v>
      </c>
      <c r="I696">
        <v>36000</v>
      </c>
      <c r="J696" s="1">
        <f t="shared" si="21"/>
        <v>44161</v>
      </c>
      <c r="K696">
        <f t="shared" si="20"/>
        <v>41</v>
      </c>
    </row>
    <row r="697" spans="1:11" x14ac:dyDescent="0.25">
      <c r="A697">
        <v>25</v>
      </c>
      <c r="B697" t="s">
        <v>19</v>
      </c>
      <c r="C697">
        <v>2020</v>
      </c>
      <c r="D697">
        <v>231.5</v>
      </c>
      <c r="E697">
        <v>-100</v>
      </c>
      <c r="F697">
        <v>103</v>
      </c>
      <c r="G697" s="1">
        <f>DATE(C697, CHOOSE(MATCH(UPPER(B697), {"ENERO","FEBRERO","MARZO","ABRIL","MAYO","JUNIO","JULIO","AGOSTO","SEPTIEMBRE","OCTUBRE","NOVIEMBRE","DICIEMBRE"}, 0), 1,2,3,4,5,6,7,8,9,10,11,12), A697)</f>
        <v>44160</v>
      </c>
      <c r="H697">
        <v>28.5</v>
      </c>
      <c r="I697">
        <v>36000</v>
      </c>
      <c r="J697" s="1">
        <f t="shared" si="21"/>
        <v>44162</v>
      </c>
      <c r="K697">
        <f t="shared" si="20"/>
        <v>45</v>
      </c>
    </row>
    <row r="698" spans="1:11" x14ac:dyDescent="0.25">
      <c r="A698">
        <v>26</v>
      </c>
      <c r="B698" t="s">
        <v>19</v>
      </c>
      <c r="C698">
        <v>2020</v>
      </c>
      <c r="D698">
        <v>103</v>
      </c>
      <c r="E698" t="s">
        <v>9</v>
      </c>
      <c r="F698">
        <v>62</v>
      </c>
      <c r="G698" s="1">
        <f>DATE(C698, CHOOSE(MATCH(UPPER(B698), {"ENERO","FEBRERO","MARZO","ABRIL","MAYO","JUNIO","JULIO","AGOSTO","SEPTIEMBRE","OCTUBRE","NOVIEMBRE","DICIEMBRE"}, 0), 1,2,3,4,5,6,7,8,9,10,11,12), A698)</f>
        <v>44161</v>
      </c>
      <c r="H698">
        <v>41</v>
      </c>
      <c r="I698">
        <v>36000</v>
      </c>
      <c r="J698" s="1">
        <f t="shared" si="21"/>
        <v>44163</v>
      </c>
      <c r="K698">
        <f t="shared" si="20"/>
        <v>77</v>
      </c>
    </row>
    <row r="699" spans="1:11" x14ac:dyDescent="0.25">
      <c r="A699">
        <v>27</v>
      </c>
      <c r="B699" t="s">
        <v>19</v>
      </c>
      <c r="C699">
        <v>2020</v>
      </c>
      <c r="D699">
        <v>62</v>
      </c>
      <c r="E699">
        <v>298</v>
      </c>
      <c r="F699">
        <v>315</v>
      </c>
      <c r="G699" s="1">
        <f>DATE(C699, CHOOSE(MATCH(UPPER(B699), {"ENERO","FEBRERO","MARZO","ABRIL","MAYO","JUNIO","JULIO","AGOSTO","SEPTIEMBRE","OCTUBRE","NOVIEMBRE","DICIEMBRE"}, 0), 1,2,3,4,5,6,7,8,9,10,11,12), A699)</f>
        <v>44162</v>
      </c>
      <c r="H699">
        <v>45</v>
      </c>
      <c r="I699">
        <v>36000</v>
      </c>
      <c r="J699" s="1">
        <f t="shared" si="21"/>
        <v>44164</v>
      </c>
      <c r="K699">
        <f t="shared" si="20"/>
        <v>67</v>
      </c>
    </row>
    <row r="700" spans="1:11" x14ac:dyDescent="0.25">
      <c r="A700">
        <v>28</v>
      </c>
      <c r="B700" t="s">
        <v>19</v>
      </c>
      <c r="C700">
        <v>2020</v>
      </c>
      <c r="D700">
        <v>315</v>
      </c>
      <c r="E700" t="s">
        <v>9</v>
      </c>
      <c r="F700">
        <v>238</v>
      </c>
      <c r="G700" s="1">
        <f>DATE(C700, CHOOSE(MATCH(UPPER(B700), {"ENERO","FEBRERO","MARZO","ABRIL","MAYO","JUNIO","JULIO","AGOSTO","SEPTIEMBRE","OCTUBRE","NOVIEMBRE","DICIEMBRE"}, 0), 1,2,3,4,5,6,7,8,9,10,11,12), A700)</f>
        <v>44163</v>
      </c>
      <c r="H700">
        <v>77</v>
      </c>
      <c r="I700">
        <v>36000</v>
      </c>
      <c r="J700" s="1">
        <f t="shared" si="21"/>
        <v>44165</v>
      </c>
      <c r="K700">
        <f t="shared" si="20"/>
        <v>27</v>
      </c>
    </row>
    <row r="701" spans="1:11" x14ac:dyDescent="0.25">
      <c r="A701">
        <v>29</v>
      </c>
      <c r="B701" t="s">
        <v>19</v>
      </c>
      <c r="C701">
        <v>2020</v>
      </c>
      <c r="D701">
        <v>238</v>
      </c>
      <c r="E701">
        <v>-30</v>
      </c>
      <c r="F701">
        <v>141</v>
      </c>
      <c r="G701" s="1">
        <f>DATE(C701, CHOOSE(MATCH(UPPER(B701), {"ENERO","FEBRERO","MARZO","ABRIL","MAYO","JUNIO","JULIO","AGOSTO","SEPTIEMBRE","OCTUBRE","NOVIEMBRE","DICIEMBRE"}, 0), 1,2,3,4,5,6,7,8,9,10,11,12), A701)</f>
        <v>44164</v>
      </c>
      <c r="H701">
        <v>67</v>
      </c>
      <c r="I701">
        <v>36000</v>
      </c>
      <c r="J701" s="1">
        <f t="shared" si="21"/>
        <v>44166</v>
      </c>
      <c r="K701">
        <f t="shared" si="20"/>
        <v>33</v>
      </c>
    </row>
    <row r="702" spans="1:11" x14ac:dyDescent="0.25">
      <c r="A702">
        <v>30</v>
      </c>
      <c r="B702" t="s">
        <v>19</v>
      </c>
      <c r="C702">
        <v>2020</v>
      </c>
      <c r="D702">
        <v>141</v>
      </c>
      <c r="E702">
        <v>300</v>
      </c>
      <c r="F702">
        <v>414</v>
      </c>
      <c r="G702" s="1">
        <f>DATE(C702, CHOOSE(MATCH(UPPER(B702), {"ENERO","FEBRERO","MARZO","ABRIL","MAYO","JUNIO","JULIO","AGOSTO","SEPTIEMBRE","OCTUBRE","NOVIEMBRE","DICIEMBRE"}, 0), 1,2,3,4,5,6,7,8,9,10,11,12), A702)</f>
        <v>44165</v>
      </c>
      <c r="H702">
        <v>27</v>
      </c>
      <c r="I702">
        <v>36000</v>
      </c>
      <c r="J702" s="1">
        <f t="shared" si="21"/>
        <v>44167</v>
      </c>
      <c r="K702">
        <f t="shared" si="20"/>
        <v>36</v>
      </c>
    </row>
    <row r="703" spans="1:11" x14ac:dyDescent="0.25">
      <c r="A703">
        <v>1</v>
      </c>
      <c r="B703" t="s">
        <v>20</v>
      </c>
      <c r="C703">
        <v>2020</v>
      </c>
      <c r="D703">
        <v>414</v>
      </c>
      <c r="E703">
        <v>-3</v>
      </c>
      <c r="F703">
        <v>378</v>
      </c>
      <c r="G703" s="1">
        <f>DATE(C703, CHOOSE(MATCH(UPPER(B703), {"ENERO","FEBRERO","MARZO","ABRIL","MAYO","JUNIO","JULIO","AGOSTO","SEPTIEMBRE","OCTUBRE","NOVIEMBRE","DICIEMBRE"}, 0), 1,2,3,4,5,6,7,8,9,10,11,12), A703)</f>
        <v>44166</v>
      </c>
      <c r="H703">
        <v>33</v>
      </c>
      <c r="I703">
        <v>36000</v>
      </c>
      <c r="J703" s="1">
        <f t="shared" si="21"/>
        <v>44168</v>
      </c>
      <c r="K703">
        <f t="shared" si="20"/>
        <v>40</v>
      </c>
    </row>
    <row r="704" spans="1:11" x14ac:dyDescent="0.25">
      <c r="A704">
        <v>2</v>
      </c>
      <c r="B704" t="s">
        <v>20</v>
      </c>
      <c r="C704">
        <v>2020</v>
      </c>
      <c r="D704">
        <v>378</v>
      </c>
      <c r="E704">
        <v>-62</v>
      </c>
      <c r="F704">
        <v>280</v>
      </c>
      <c r="G704" s="1">
        <f>DATE(C704, CHOOSE(MATCH(UPPER(B704), {"ENERO","FEBRERO","MARZO","ABRIL","MAYO","JUNIO","JULIO","AGOSTO","SEPTIEMBRE","OCTUBRE","NOVIEMBRE","DICIEMBRE"}, 0), 1,2,3,4,5,6,7,8,9,10,11,12), A704)</f>
        <v>44167</v>
      </c>
      <c r="H704">
        <v>36</v>
      </c>
      <c r="I704">
        <v>36000</v>
      </c>
      <c r="J704" s="1">
        <f t="shared" si="21"/>
        <v>44169</v>
      </c>
      <c r="K704">
        <f t="shared" si="20"/>
        <v>67</v>
      </c>
    </row>
    <row r="705" spans="1:11" x14ac:dyDescent="0.25">
      <c r="A705">
        <v>3</v>
      </c>
      <c r="B705" t="s">
        <v>20</v>
      </c>
      <c r="C705">
        <v>2020</v>
      </c>
      <c r="D705">
        <v>280</v>
      </c>
      <c r="E705" t="s">
        <v>9</v>
      </c>
      <c r="F705">
        <v>240</v>
      </c>
      <c r="G705" s="1">
        <f>DATE(C705, CHOOSE(MATCH(UPPER(B705), {"ENERO","FEBRERO","MARZO","ABRIL","MAYO","JUNIO","JULIO","AGOSTO","SEPTIEMBRE","OCTUBRE","NOVIEMBRE","DICIEMBRE"}, 0), 1,2,3,4,5,6,7,8,9,10,11,12), A705)</f>
        <v>44168</v>
      </c>
      <c r="H705">
        <v>40</v>
      </c>
      <c r="I705">
        <v>36000</v>
      </c>
      <c r="J705" s="1">
        <f t="shared" si="21"/>
        <v>44170</v>
      </c>
      <c r="K705">
        <f t="shared" si="20"/>
        <v>44</v>
      </c>
    </row>
    <row r="706" spans="1:11" x14ac:dyDescent="0.25">
      <c r="A706">
        <v>4</v>
      </c>
      <c r="B706" t="s">
        <v>20</v>
      </c>
      <c r="C706">
        <v>2020</v>
      </c>
      <c r="D706">
        <v>240</v>
      </c>
      <c r="E706" t="s">
        <v>9</v>
      </c>
      <c r="F706">
        <v>173</v>
      </c>
      <c r="G706" s="1">
        <f>DATE(C706, CHOOSE(MATCH(UPPER(B706), {"ENERO","FEBRERO","MARZO","ABRIL","MAYO","JUNIO","JULIO","AGOSTO","SEPTIEMBRE","OCTUBRE","NOVIEMBRE","DICIEMBRE"}, 0), 1,2,3,4,5,6,7,8,9,10,11,12), A706)</f>
        <v>44169</v>
      </c>
      <c r="H706">
        <v>67</v>
      </c>
      <c r="I706">
        <v>36000</v>
      </c>
      <c r="J706" s="1">
        <f t="shared" si="21"/>
        <v>44171</v>
      </c>
      <c r="K706">
        <f t="shared" si="20"/>
        <v>44</v>
      </c>
    </row>
    <row r="707" spans="1:11" x14ac:dyDescent="0.25">
      <c r="A707">
        <v>5</v>
      </c>
      <c r="B707" t="s">
        <v>20</v>
      </c>
      <c r="C707">
        <v>2020</v>
      </c>
      <c r="D707">
        <v>173</v>
      </c>
      <c r="E707" t="s">
        <v>9</v>
      </c>
      <c r="F707">
        <v>129</v>
      </c>
      <c r="G707" s="1">
        <f>DATE(C707, CHOOSE(MATCH(UPPER(B707), {"ENERO","FEBRERO","MARZO","ABRIL","MAYO","JUNIO","JULIO","AGOSTO","SEPTIEMBRE","OCTUBRE","NOVIEMBRE","DICIEMBRE"}, 0), 1,2,3,4,5,6,7,8,9,10,11,12), A707)</f>
        <v>44170</v>
      </c>
      <c r="H707">
        <v>44</v>
      </c>
      <c r="I707">
        <v>36000</v>
      </c>
      <c r="J707" s="1">
        <f t="shared" si="21"/>
        <v>44172</v>
      </c>
      <c r="K707">
        <f t="shared" ref="K707:K770" si="22">VLOOKUP(J707, G:H, 2, FALSE)</f>
        <v>95</v>
      </c>
    </row>
    <row r="708" spans="1:11" x14ac:dyDescent="0.25">
      <c r="A708">
        <v>6</v>
      </c>
      <c r="B708" t="s">
        <v>20</v>
      </c>
      <c r="C708">
        <v>2020</v>
      </c>
      <c r="D708">
        <v>129</v>
      </c>
      <c r="E708">
        <v>40</v>
      </c>
      <c r="F708">
        <v>125</v>
      </c>
      <c r="G708" s="1">
        <f>DATE(C708, CHOOSE(MATCH(UPPER(B708), {"ENERO","FEBRERO","MARZO","ABRIL","MAYO","JUNIO","JULIO","AGOSTO","SEPTIEMBRE","OCTUBRE","NOVIEMBRE","DICIEMBRE"}, 0), 1,2,3,4,5,6,7,8,9,10,11,12), A708)</f>
        <v>44171</v>
      </c>
      <c r="H708">
        <v>44</v>
      </c>
      <c r="I708">
        <v>36000</v>
      </c>
      <c r="J708" s="1">
        <f t="shared" si="21"/>
        <v>44173</v>
      </c>
      <c r="K708">
        <f t="shared" si="22"/>
        <v>54</v>
      </c>
    </row>
    <row r="709" spans="1:11" x14ac:dyDescent="0.25">
      <c r="A709">
        <v>7</v>
      </c>
      <c r="B709" t="s">
        <v>20</v>
      </c>
      <c r="C709">
        <v>2020</v>
      </c>
      <c r="D709">
        <v>125</v>
      </c>
      <c r="E709">
        <v>-20</v>
      </c>
      <c r="F709">
        <v>10</v>
      </c>
      <c r="G709" s="1">
        <f>DATE(C709, CHOOSE(MATCH(UPPER(B709), {"ENERO","FEBRERO","MARZO","ABRIL","MAYO","JUNIO","JULIO","AGOSTO","SEPTIEMBRE","OCTUBRE","NOVIEMBRE","DICIEMBRE"}, 0), 1,2,3,4,5,6,7,8,9,10,11,12), A709)</f>
        <v>44172</v>
      </c>
      <c r="H709">
        <v>95</v>
      </c>
      <c r="I709">
        <v>36000</v>
      </c>
      <c r="J709" s="1">
        <f t="shared" ref="J709:J772" si="23">DATE(2019,1,1) + ROW()-1</f>
        <v>44174</v>
      </c>
      <c r="K709">
        <f t="shared" si="22"/>
        <v>27</v>
      </c>
    </row>
    <row r="710" spans="1:11" x14ac:dyDescent="0.25">
      <c r="A710">
        <v>8</v>
      </c>
      <c r="B710" t="s">
        <v>20</v>
      </c>
      <c r="C710">
        <v>2020</v>
      </c>
      <c r="D710">
        <v>10</v>
      </c>
      <c r="E710">
        <v>94</v>
      </c>
      <c r="F710">
        <v>50</v>
      </c>
      <c r="G710" s="1">
        <f>DATE(C710, CHOOSE(MATCH(UPPER(B710), {"ENERO","FEBRERO","MARZO","ABRIL","MAYO","JUNIO","JULIO","AGOSTO","SEPTIEMBRE","OCTUBRE","NOVIEMBRE","DICIEMBRE"}, 0), 1,2,3,4,5,6,7,8,9,10,11,12), A710)</f>
        <v>44173</v>
      </c>
      <c r="H710">
        <v>54</v>
      </c>
      <c r="I710">
        <v>36000</v>
      </c>
      <c r="J710" s="1">
        <f t="shared" si="23"/>
        <v>44175</v>
      </c>
      <c r="K710">
        <f t="shared" si="22"/>
        <v>45</v>
      </c>
    </row>
    <row r="711" spans="1:11" x14ac:dyDescent="0.25">
      <c r="A711">
        <v>9</v>
      </c>
      <c r="B711" t="s">
        <v>20</v>
      </c>
      <c r="C711">
        <v>2020</v>
      </c>
      <c r="D711">
        <v>50</v>
      </c>
      <c r="E711">
        <v>141</v>
      </c>
      <c r="F711">
        <v>164</v>
      </c>
      <c r="G711" s="1">
        <f>DATE(C711, CHOOSE(MATCH(UPPER(B711), {"ENERO","FEBRERO","MARZO","ABRIL","MAYO","JUNIO","JULIO","AGOSTO","SEPTIEMBRE","OCTUBRE","NOVIEMBRE","DICIEMBRE"}, 0), 1,2,3,4,5,6,7,8,9,10,11,12), A711)</f>
        <v>44174</v>
      </c>
      <c r="H711">
        <v>27</v>
      </c>
      <c r="I711">
        <v>36000</v>
      </c>
      <c r="J711" s="1">
        <f t="shared" si="23"/>
        <v>44176</v>
      </c>
      <c r="K711">
        <f t="shared" si="22"/>
        <v>39</v>
      </c>
    </row>
    <row r="712" spans="1:11" x14ac:dyDescent="0.25">
      <c r="A712">
        <v>10</v>
      </c>
      <c r="B712" t="s">
        <v>20</v>
      </c>
      <c r="C712">
        <v>2020</v>
      </c>
      <c r="D712">
        <v>164</v>
      </c>
      <c r="E712" t="s">
        <v>9</v>
      </c>
      <c r="F712">
        <v>119</v>
      </c>
      <c r="G712" s="1">
        <f>DATE(C712, CHOOSE(MATCH(UPPER(B712), {"ENERO","FEBRERO","MARZO","ABRIL","MAYO","JUNIO","JULIO","AGOSTO","SEPTIEMBRE","OCTUBRE","NOVIEMBRE","DICIEMBRE"}, 0), 1,2,3,4,5,6,7,8,9,10,11,12), A712)</f>
        <v>44175</v>
      </c>
      <c r="H712">
        <v>45</v>
      </c>
      <c r="I712">
        <v>36000</v>
      </c>
      <c r="J712" s="1">
        <f t="shared" si="23"/>
        <v>44177</v>
      </c>
      <c r="K712">
        <f t="shared" si="22"/>
        <v>65</v>
      </c>
    </row>
    <row r="713" spans="1:11" x14ac:dyDescent="0.25">
      <c r="A713">
        <v>11</v>
      </c>
      <c r="B713" t="s">
        <v>20</v>
      </c>
      <c r="C713">
        <v>2020</v>
      </c>
      <c r="D713">
        <v>119</v>
      </c>
      <c r="E713" t="s">
        <v>9</v>
      </c>
      <c r="F713">
        <v>80</v>
      </c>
      <c r="G713" s="1">
        <f>DATE(C713, CHOOSE(MATCH(UPPER(B713), {"ENERO","FEBRERO","MARZO","ABRIL","MAYO","JUNIO","JULIO","AGOSTO","SEPTIEMBRE","OCTUBRE","NOVIEMBRE","DICIEMBRE"}, 0), 1,2,3,4,5,6,7,8,9,10,11,12), A713)</f>
        <v>44176</v>
      </c>
      <c r="H713">
        <v>39</v>
      </c>
      <c r="I713">
        <v>36000</v>
      </c>
      <c r="J713" s="1">
        <f t="shared" si="23"/>
        <v>44178</v>
      </c>
      <c r="K713">
        <f t="shared" si="22"/>
        <v>68</v>
      </c>
    </row>
    <row r="714" spans="1:11" x14ac:dyDescent="0.25">
      <c r="A714">
        <v>12</v>
      </c>
      <c r="B714" t="s">
        <v>20</v>
      </c>
      <c r="C714">
        <v>2020</v>
      </c>
      <c r="D714">
        <v>80</v>
      </c>
      <c r="E714">
        <v>209</v>
      </c>
      <c r="F714">
        <v>224</v>
      </c>
      <c r="G714" s="1">
        <f>DATE(C714, CHOOSE(MATCH(UPPER(B714), {"ENERO","FEBRERO","MARZO","ABRIL","MAYO","JUNIO","JULIO","AGOSTO","SEPTIEMBRE","OCTUBRE","NOVIEMBRE","DICIEMBRE"}, 0), 1,2,3,4,5,6,7,8,9,10,11,12), A714)</f>
        <v>44177</v>
      </c>
      <c r="H714">
        <v>65</v>
      </c>
      <c r="I714">
        <v>36000</v>
      </c>
      <c r="J714" s="1">
        <f t="shared" si="23"/>
        <v>44179</v>
      </c>
      <c r="K714">
        <f t="shared" si="22"/>
        <v>28</v>
      </c>
    </row>
    <row r="715" spans="1:11" x14ac:dyDescent="0.25">
      <c r="A715">
        <v>13</v>
      </c>
      <c r="B715" t="s">
        <v>20</v>
      </c>
      <c r="C715">
        <v>2020</v>
      </c>
      <c r="D715">
        <v>224</v>
      </c>
      <c r="E715" t="s">
        <v>9</v>
      </c>
      <c r="F715">
        <v>156</v>
      </c>
      <c r="G715" s="1">
        <f>DATE(C715, CHOOSE(MATCH(UPPER(B715), {"ENERO","FEBRERO","MARZO","ABRIL","MAYO","JUNIO","JULIO","AGOSTO","SEPTIEMBRE","OCTUBRE","NOVIEMBRE","DICIEMBRE"}, 0), 1,2,3,4,5,6,7,8,9,10,11,12), A715)</f>
        <v>44178</v>
      </c>
      <c r="H715">
        <v>68</v>
      </c>
      <c r="I715">
        <v>36000</v>
      </c>
      <c r="J715" s="1">
        <f t="shared" si="23"/>
        <v>44180</v>
      </c>
      <c r="K715">
        <f t="shared" si="22"/>
        <v>54</v>
      </c>
    </row>
    <row r="716" spans="1:11" x14ac:dyDescent="0.25">
      <c r="A716">
        <v>14</v>
      </c>
      <c r="B716" t="s">
        <v>20</v>
      </c>
      <c r="C716">
        <v>2020</v>
      </c>
      <c r="D716">
        <v>156</v>
      </c>
      <c r="E716" t="s">
        <v>9</v>
      </c>
      <c r="F716">
        <v>128</v>
      </c>
      <c r="G716" s="1">
        <f>DATE(C716, CHOOSE(MATCH(UPPER(B716), {"ENERO","FEBRERO","MARZO","ABRIL","MAYO","JUNIO","JULIO","AGOSTO","SEPTIEMBRE","OCTUBRE","NOVIEMBRE","DICIEMBRE"}, 0), 1,2,3,4,5,6,7,8,9,10,11,12), A716)</f>
        <v>44179</v>
      </c>
      <c r="H716">
        <v>28</v>
      </c>
      <c r="I716">
        <v>36000</v>
      </c>
      <c r="J716" s="1">
        <f t="shared" si="23"/>
        <v>44181</v>
      </c>
      <c r="K716">
        <f t="shared" si="22"/>
        <v>40</v>
      </c>
    </row>
    <row r="717" spans="1:11" x14ac:dyDescent="0.25">
      <c r="A717">
        <v>15</v>
      </c>
      <c r="B717" t="s">
        <v>20</v>
      </c>
      <c r="C717">
        <v>2020</v>
      </c>
      <c r="D717">
        <v>128</v>
      </c>
      <c r="E717" t="s">
        <v>9</v>
      </c>
      <c r="F717">
        <v>74</v>
      </c>
      <c r="G717" s="1">
        <f>DATE(C717, CHOOSE(MATCH(UPPER(B717), {"ENERO","FEBRERO","MARZO","ABRIL","MAYO","JUNIO","JULIO","AGOSTO","SEPTIEMBRE","OCTUBRE","NOVIEMBRE","DICIEMBRE"}, 0), 1,2,3,4,5,6,7,8,9,10,11,12), A717)</f>
        <v>44180</v>
      </c>
      <c r="H717">
        <v>54</v>
      </c>
      <c r="I717">
        <v>36000</v>
      </c>
      <c r="J717" s="1">
        <f t="shared" si="23"/>
        <v>44182</v>
      </c>
      <c r="K717">
        <f t="shared" si="22"/>
        <v>48</v>
      </c>
    </row>
    <row r="718" spans="1:11" x14ac:dyDescent="0.25">
      <c r="A718">
        <v>16</v>
      </c>
      <c r="B718" t="s">
        <v>20</v>
      </c>
      <c r="C718">
        <v>2020</v>
      </c>
      <c r="D718">
        <v>74</v>
      </c>
      <c r="E718">
        <v>177</v>
      </c>
      <c r="F718">
        <v>211</v>
      </c>
      <c r="G718" s="1">
        <f>DATE(C718, CHOOSE(MATCH(UPPER(B718), {"ENERO","FEBRERO","MARZO","ABRIL","MAYO","JUNIO","JULIO","AGOSTO","SEPTIEMBRE","OCTUBRE","NOVIEMBRE","DICIEMBRE"}, 0), 1,2,3,4,5,6,7,8,9,10,11,12), A718)</f>
        <v>44181</v>
      </c>
      <c r="H718">
        <v>40</v>
      </c>
      <c r="I718">
        <v>36000</v>
      </c>
      <c r="J718" s="1">
        <f t="shared" si="23"/>
        <v>44183</v>
      </c>
      <c r="K718">
        <f t="shared" si="22"/>
        <v>52.5</v>
      </c>
    </row>
    <row r="719" spans="1:11" x14ac:dyDescent="0.25">
      <c r="A719">
        <v>17</v>
      </c>
      <c r="B719" t="s">
        <v>20</v>
      </c>
      <c r="C719">
        <v>2020</v>
      </c>
      <c r="D719">
        <v>211</v>
      </c>
      <c r="E719">
        <v>-90</v>
      </c>
      <c r="F719">
        <v>73</v>
      </c>
      <c r="G719" s="1">
        <f>DATE(C719, CHOOSE(MATCH(UPPER(B719), {"ENERO","FEBRERO","MARZO","ABRIL","MAYO","JUNIO","JULIO","AGOSTO","SEPTIEMBRE","OCTUBRE","NOVIEMBRE","DICIEMBRE"}, 0), 1,2,3,4,5,6,7,8,9,10,11,12), A719)</f>
        <v>44182</v>
      </c>
      <c r="H719">
        <v>48</v>
      </c>
      <c r="I719">
        <v>36000</v>
      </c>
      <c r="J719" s="1">
        <f t="shared" si="23"/>
        <v>44184</v>
      </c>
      <c r="K719">
        <f t="shared" si="22"/>
        <v>73.5</v>
      </c>
    </row>
    <row r="720" spans="1:11" x14ac:dyDescent="0.25">
      <c r="A720">
        <v>18</v>
      </c>
      <c r="B720" t="s">
        <v>20</v>
      </c>
      <c r="C720">
        <v>2020</v>
      </c>
      <c r="D720">
        <v>73</v>
      </c>
      <c r="E720">
        <v>200</v>
      </c>
      <c r="F720">
        <v>220.5</v>
      </c>
      <c r="G720" s="1">
        <f>DATE(C720, CHOOSE(MATCH(UPPER(B720), {"ENERO","FEBRERO","MARZO","ABRIL","MAYO","JUNIO","JULIO","AGOSTO","SEPTIEMBRE","OCTUBRE","NOVIEMBRE","DICIEMBRE"}, 0), 1,2,3,4,5,6,7,8,9,10,11,12), A720)</f>
        <v>44183</v>
      </c>
      <c r="H720">
        <v>52.5</v>
      </c>
      <c r="I720">
        <v>36000</v>
      </c>
      <c r="J720" s="1">
        <f t="shared" si="23"/>
        <v>44185</v>
      </c>
      <c r="K720">
        <f t="shared" si="22"/>
        <v>61</v>
      </c>
    </row>
    <row r="721" spans="1:11" x14ac:dyDescent="0.25">
      <c r="A721">
        <v>19</v>
      </c>
      <c r="B721" t="s">
        <v>20</v>
      </c>
      <c r="C721">
        <v>2020</v>
      </c>
      <c r="D721">
        <v>220.5</v>
      </c>
      <c r="E721">
        <v>-3</v>
      </c>
      <c r="F721">
        <v>144</v>
      </c>
      <c r="G721" s="1">
        <f>DATE(C721, CHOOSE(MATCH(UPPER(B721), {"ENERO","FEBRERO","MARZO","ABRIL","MAYO","JUNIO","JULIO","AGOSTO","SEPTIEMBRE","OCTUBRE","NOVIEMBRE","DICIEMBRE"}, 0), 1,2,3,4,5,6,7,8,9,10,11,12), A721)</f>
        <v>44184</v>
      </c>
      <c r="H721">
        <v>73.5</v>
      </c>
      <c r="I721">
        <v>36000</v>
      </c>
      <c r="J721" s="1">
        <f t="shared" si="23"/>
        <v>44186</v>
      </c>
      <c r="K721">
        <f t="shared" si="22"/>
        <v>52.5</v>
      </c>
    </row>
    <row r="722" spans="1:11" x14ac:dyDescent="0.25">
      <c r="A722">
        <v>20</v>
      </c>
      <c r="B722" t="s">
        <v>20</v>
      </c>
      <c r="C722">
        <v>2020</v>
      </c>
      <c r="D722">
        <v>144</v>
      </c>
      <c r="E722">
        <v>307</v>
      </c>
      <c r="F722">
        <v>390</v>
      </c>
      <c r="G722" s="1">
        <f>DATE(C722, CHOOSE(MATCH(UPPER(B722), {"ENERO","FEBRERO","MARZO","ABRIL","MAYO","JUNIO","JULIO","AGOSTO","SEPTIEMBRE","OCTUBRE","NOVIEMBRE","DICIEMBRE"}, 0), 1,2,3,4,5,6,7,8,9,10,11,12), A722)</f>
        <v>44185</v>
      </c>
      <c r="H722">
        <v>61</v>
      </c>
      <c r="I722">
        <v>36000</v>
      </c>
      <c r="J722" s="1">
        <f t="shared" si="23"/>
        <v>44187</v>
      </c>
      <c r="K722">
        <f t="shared" si="22"/>
        <v>64.5</v>
      </c>
    </row>
    <row r="723" spans="1:11" x14ac:dyDescent="0.25">
      <c r="A723">
        <v>21</v>
      </c>
      <c r="B723" t="s">
        <v>20</v>
      </c>
      <c r="C723">
        <v>2020</v>
      </c>
      <c r="D723">
        <v>390</v>
      </c>
      <c r="E723">
        <v>-100</v>
      </c>
      <c r="F723">
        <v>237.5</v>
      </c>
      <c r="G723" s="1">
        <f>DATE(C723, CHOOSE(MATCH(UPPER(B723), {"ENERO","FEBRERO","MARZO","ABRIL","MAYO","JUNIO","JULIO","AGOSTO","SEPTIEMBRE","OCTUBRE","NOVIEMBRE","DICIEMBRE"}, 0), 1,2,3,4,5,6,7,8,9,10,11,12), A723)</f>
        <v>44186</v>
      </c>
      <c r="H723">
        <v>52.5</v>
      </c>
      <c r="I723">
        <v>36000</v>
      </c>
      <c r="J723" s="1">
        <f t="shared" si="23"/>
        <v>44188</v>
      </c>
      <c r="K723">
        <f t="shared" si="22"/>
        <v>63</v>
      </c>
    </row>
    <row r="724" spans="1:11" x14ac:dyDescent="0.25">
      <c r="A724">
        <v>22</v>
      </c>
      <c r="B724" t="s">
        <v>20</v>
      </c>
      <c r="C724">
        <v>2020</v>
      </c>
      <c r="D724">
        <v>237.5</v>
      </c>
      <c r="E724" t="s">
        <v>9</v>
      </c>
      <c r="F724">
        <v>173</v>
      </c>
      <c r="G724" s="1">
        <f>DATE(C724, CHOOSE(MATCH(UPPER(B724), {"ENERO","FEBRERO","MARZO","ABRIL","MAYO","JUNIO","JULIO","AGOSTO","SEPTIEMBRE","OCTUBRE","NOVIEMBRE","DICIEMBRE"}, 0), 1,2,3,4,5,6,7,8,9,10,11,12), A724)</f>
        <v>44187</v>
      </c>
      <c r="H724">
        <v>64.5</v>
      </c>
      <c r="I724">
        <v>36000</v>
      </c>
      <c r="J724" s="1">
        <f t="shared" si="23"/>
        <v>44189</v>
      </c>
      <c r="K724" t="e">
        <f t="shared" si="22"/>
        <v>#N/A</v>
      </c>
    </row>
    <row r="725" spans="1:11" x14ac:dyDescent="0.25">
      <c r="A725">
        <v>23</v>
      </c>
      <c r="B725" t="s">
        <v>20</v>
      </c>
      <c r="C725">
        <v>2020</v>
      </c>
      <c r="D725">
        <v>173</v>
      </c>
      <c r="E725">
        <v>-2</v>
      </c>
      <c r="F725">
        <v>108</v>
      </c>
      <c r="G725" s="1">
        <f>DATE(C725, CHOOSE(MATCH(UPPER(B725), {"ENERO","FEBRERO","MARZO","ABRIL","MAYO","JUNIO","JULIO","AGOSTO","SEPTIEMBRE","OCTUBRE","NOVIEMBRE","DICIEMBRE"}, 0), 1,2,3,4,5,6,7,8,9,10,11,12), A725)</f>
        <v>44188</v>
      </c>
      <c r="H725">
        <v>63</v>
      </c>
      <c r="I725">
        <v>36000</v>
      </c>
      <c r="J725" s="1">
        <f t="shared" si="23"/>
        <v>44190</v>
      </c>
      <c r="K725">
        <f t="shared" si="22"/>
        <v>69</v>
      </c>
    </row>
    <row r="726" spans="1:11" x14ac:dyDescent="0.25">
      <c r="A726">
        <v>25</v>
      </c>
      <c r="B726" t="s">
        <v>20</v>
      </c>
      <c r="C726">
        <v>2020</v>
      </c>
      <c r="D726">
        <v>108</v>
      </c>
      <c r="E726" t="s">
        <v>9</v>
      </c>
      <c r="F726">
        <v>39</v>
      </c>
      <c r="G726" s="1">
        <f>DATE(C726, CHOOSE(MATCH(UPPER(B726), {"ENERO","FEBRERO","MARZO","ABRIL","MAYO","JUNIO","JULIO","AGOSTO","SEPTIEMBRE","OCTUBRE","NOVIEMBRE","DICIEMBRE"}, 0), 1,2,3,4,5,6,7,8,9,10,11,12), A726)</f>
        <v>44190</v>
      </c>
      <c r="H726">
        <v>69</v>
      </c>
      <c r="I726">
        <v>36000</v>
      </c>
      <c r="J726" s="1">
        <f t="shared" si="23"/>
        <v>44191</v>
      </c>
      <c r="K726">
        <f t="shared" si="22"/>
        <v>75</v>
      </c>
    </row>
    <row r="727" spans="1:11" x14ac:dyDescent="0.25">
      <c r="A727">
        <v>26</v>
      </c>
      <c r="B727" t="s">
        <v>20</v>
      </c>
      <c r="C727">
        <v>2020</v>
      </c>
      <c r="D727">
        <v>39</v>
      </c>
      <c r="E727">
        <v>299</v>
      </c>
      <c r="F727">
        <v>263</v>
      </c>
      <c r="G727" s="1">
        <f>DATE(C727, CHOOSE(MATCH(UPPER(B727), {"ENERO","FEBRERO","MARZO","ABRIL","MAYO","JUNIO","JULIO","AGOSTO","SEPTIEMBRE","OCTUBRE","NOVIEMBRE","DICIEMBRE"}, 0), 1,2,3,4,5,6,7,8,9,10,11,12), A727)</f>
        <v>44191</v>
      </c>
      <c r="H727">
        <v>75</v>
      </c>
      <c r="I727">
        <v>36000</v>
      </c>
      <c r="J727" s="1">
        <f t="shared" si="23"/>
        <v>44192</v>
      </c>
      <c r="K727">
        <f t="shared" si="22"/>
        <v>57</v>
      </c>
    </row>
    <row r="728" spans="1:11" x14ac:dyDescent="0.25">
      <c r="A728">
        <v>27</v>
      </c>
      <c r="B728" t="s">
        <v>20</v>
      </c>
      <c r="C728">
        <v>2020</v>
      </c>
      <c r="D728">
        <v>263</v>
      </c>
      <c r="E728">
        <v>-100</v>
      </c>
      <c r="F728">
        <v>106</v>
      </c>
      <c r="G728" s="1">
        <f>DATE(C728, CHOOSE(MATCH(UPPER(B728), {"ENERO","FEBRERO","MARZO","ABRIL","MAYO","JUNIO","JULIO","AGOSTO","SEPTIEMBRE","OCTUBRE","NOVIEMBRE","DICIEMBRE"}, 0), 1,2,3,4,5,6,7,8,9,10,11,12), A728)</f>
        <v>44192</v>
      </c>
      <c r="H728">
        <v>57</v>
      </c>
      <c r="I728">
        <v>36000</v>
      </c>
      <c r="J728" s="1">
        <f t="shared" si="23"/>
        <v>44193</v>
      </c>
      <c r="K728">
        <f t="shared" si="22"/>
        <v>35.5</v>
      </c>
    </row>
    <row r="729" spans="1:11" x14ac:dyDescent="0.25">
      <c r="A729">
        <v>28</v>
      </c>
      <c r="B729" t="s">
        <v>20</v>
      </c>
      <c r="C729">
        <v>2020</v>
      </c>
      <c r="D729">
        <v>106</v>
      </c>
      <c r="E729" t="s">
        <v>9</v>
      </c>
      <c r="F729">
        <v>70.5</v>
      </c>
      <c r="G729" s="1">
        <f>DATE(C729, CHOOSE(MATCH(UPPER(B729), {"ENERO","FEBRERO","MARZO","ABRIL","MAYO","JUNIO","JULIO","AGOSTO","SEPTIEMBRE","OCTUBRE","NOVIEMBRE","DICIEMBRE"}, 0), 1,2,3,4,5,6,7,8,9,10,11,12), A729)</f>
        <v>44193</v>
      </c>
      <c r="H729">
        <v>35.5</v>
      </c>
      <c r="I729">
        <v>36000</v>
      </c>
      <c r="J729" s="1">
        <f t="shared" si="23"/>
        <v>44194</v>
      </c>
      <c r="K729">
        <f t="shared" si="22"/>
        <v>52.5</v>
      </c>
    </row>
    <row r="730" spans="1:11" x14ac:dyDescent="0.25">
      <c r="A730">
        <v>29</v>
      </c>
      <c r="B730" t="s">
        <v>20</v>
      </c>
      <c r="C730">
        <v>2020</v>
      </c>
      <c r="D730">
        <v>70.5</v>
      </c>
      <c r="E730">
        <v>210</v>
      </c>
      <c r="F730">
        <v>228</v>
      </c>
      <c r="G730" s="1">
        <f>DATE(C730, CHOOSE(MATCH(UPPER(B730), {"ENERO","FEBRERO","MARZO","ABRIL","MAYO","JUNIO","JULIO","AGOSTO","SEPTIEMBRE","OCTUBRE","NOVIEMBRE","DICIEMBRE"}, 0), 1,2,3,4,5,6,7,8,9,10,11,12), A730)</f>
        <v>44194</v>
      </c>
      <c r="H730">
        <v>52.5</v>
      </c>
      <c r="I730">
        <v>36000</v>
      </c>
      <c r="J730" s="1">
        <f t="shared" si="23"/>
        <v>44195</v>
      </c>
      <c r="K730">
        <f t="shared" si="22"/>
        <v>67</v>
      </c>
    </row>
    <row r="731" spans="1:11" x14ac:dyDescent="0.25">
      <c r="A731">
        <v>30</v>
      </c>
      <c r="B731" t="s">
        <v>20</v>
      </c>
      <c r="C731">
        <v>2020</v>
      </c>
      <c r="D731">
        <v>228</v>
      </c>
      <c r="E731">
        <v>110</v>
      </c>
      <c r="F731">
        <v>271</v>
      </c>
      <c r="G731" s="1">
        <f>DATE(C731, CHOOSE(MATCH(UPPER(B731), {"ENERO","FEBRERO","MARZO","ABRIL","MAYO","JUNIO","JULIO","AGOSTO","SEPTIEMBRE","OCTUBRE","NOVIEMBRE","DICIEMBRE"}, 0), 1,2,3,4,5,6,7,8,9,10,11,12), A731)</f>
        <v>44195</v>
      </c>
      <c r="H731">
        <v>67</v>
      </c>
      <c r="I731">
        <v>36000</v>
      </c>
      <c r="J731" s="1">
        <f t="shared" si="23"/>
        <v>44196</v>
      </c>
      <c r="K731" t="e">
        <f t="shared" si="22"/>
        <v>#N/A</v>
      </c>
    </row>
    <row r="732" spans="1:11" x14ac:dyDescent="0.25">
      <c r="A732">
        <v>1</v>
      </c>
      <c r="B732" t="s">
        <v>8</v>
      </c>
      <c r="C732">
        <v>2021</v>
      </c>
      <c r="D732">
        <v>271</v>
      </c>
      <c r="E732">
        <v>-100</v>
      </c>
      <c r="F732">
        <v>89.5</v>
      </c>
      <c r="G732" s="1">
        <f>DATE(C732, CHOOSE(MATCH(UPPER(B732), {"ENERO","FEBRERO","MARZO","ABRIL","MAYO","JUNIO","JULIO","AGOSTO","SEPTIEMBRE","OCTUBRE","NOVIEMBRE","DICIEMBRE"}, 0), 1,2,3,4,5,6,7,8,9,10,11,12), A732)</f>
        <v>44197</v>
      </c>
      <c r="H732">
        <v>81.5</v>
      </c>
      <c r="I732">
        <v>40000</v>
      </c>
      <c r="J732" s="1">
        <f t="shared" si="23"/>
        <v>44197</v>
      </c>
      <c r="K732">
        <f t="shared" si="22"/>
        <v>81.5</v>
      </c>
    </row>
    <row r="733" spans="1:11" x14ac:dyDescent="0.25">
      <c r="A733">
        <v>2</v>
      </c>
      <c r="B733" t="s">
        <v>8</v>
      </c>
      <c r="C733">
        <v>2021</v>
      </c>
      <c r="D733">
        <v>89.5</v>
      </c>
      <c r="E733">
        <v>140</v>
      </c>
      <c r="F733">
        <v>157</v>
      </c>
      <c r="G733" s="1">
        <f>DATE(C733, CHOOSE(MATCH(UPPER(B733), {"ENERO","FEBRERO","MARZO","ABRIL","MAYO","JUNIO","JULIO","AGOSTO","SEPTIEMBRE","OCTUBRE","NOVIEMBRE","DICIEMBRE"}, 0), 1,2,3,4,5,6,7,8,9,10,11,12), A733)</f>
        <v>44198</v>
      </c>
      <c r="H733">
        <v>72.5</v>
      </c>
      <c r="I733">
        <v>40000</v>
      </c>
      <c r="J733" s="1">
        <f t="shared" si="23"/>
        <v>44198</v>
      </c>
      <c r="K733">
        <f t="shared" si="22"/>
        <v>72.5</v>
      </c>
    </row>
    <row r="734" spans="1:11" x14ac:dyDescent="0.25">
      <c r="A734">
        <v>3</v>
      </c>
      <c r="B734" t="s">
        <v>8</v>
      </c>
      <c r="C734">
        <v>2021</v>
      </c>
      <c r="D734">
        <v>157</v>
      </c>
      <c r="E734">
        <v>-3</v>
      </c>
      <c r="F734">
        <v>95</v>
      </c>
      <c r="G734" s="1">
        <f>DATE(C734, CHOOSE(MATCH(UPPER(B734), {"ENERO","FEBRERO","MARZO","ABRIL","MAYO","JUNIO","JULIO","AGOSTO","SEPTIEMBRE","OCTUBRE","NOVIEMBRE","DICIEMBRE"}, 0), 1,2,3,4,5,6,7,8,9,10,11,12), A734)</f>
        <v>44199</v>
      </c>
      <c r="H734">
        <v>59</v>
      </c>
      <c r="I734">
        <v>40000</v>
      </c>
      <c r="J734" s="1">
        <f t="shared" si="23"/>
        <v>44199</v>
      </c>
      <c r="K734">
        <f t="shared" si="22"/>
        <v>59</v>
      </c>
    </row>
    <row r="735" spans="1:11" x14ac:dyDescent="0.25">
      <c r="A735">
        <v>4</v>
      </c>
      <c r="B735" t="s">
        <v>8</v>
      </c>
      <c r="C735">
        <v>2021</v>
      </c>
      <c r="D735">
        <v>95</v>
      </c>
      <c r="E735" t="s">
        <v>9</v>
      </c>
      <c r="F735">
        <v>49</v>
      </c>
      <c r="G735" s="1">
        <f>DATE(C735, CHOOSE(MATCH(UPPER(B735), {"ENERO","FEBRERO","MARZO","ABRIL","MAYO","JUNIO","JULIO","AGOSTO","SEPTIEMBRE","OCTUBRE","NOVIEMBRE","DICIEMBRE"}, 0), 1,2,3,4,5,6,7,8,9,10,11,12), A735)</f>
        <v>44200</v>
      </c>
      <c r="H735">
        <v>46</v>
      </c>
      <c r="I735">
        <v>40000</v>
      </c>
      <c r="J735" s="1">
        <f t="shared" si="23"/>
        <v>44200</v>
      </c>
      <c r="K735">
        <f t="shared" si="22"/>
        <v>46</v>
      </c>
    </row>
    <row r="736" spans="1:11" x14ac:dyDescent="0.25">
      <c r="A736">
        <v>5</v>
      </c>
      <c r="B736" t="s">
        <v>8</v>
      </c>
      <c r="C736">
        <v>2021</v>
      </c>
      <c r="D736">
        <v>49</v>
      </c>
      <c r="E736">
        <v>105</v>
      </c>
      <c r="F736">
        <v>122</v>
      </c>
      <c r="G736" s="1">
        <f>DATE(C736, CHOOSE(MATCH(UPPER(B736), {"ENERO","FEBRERO","MARZO","ABRIL","MAYO","JUNIO","JULIO","AGOSTO","SEPTIEMBRE","OCTUBRE","NOVIEMBRE","DICIEMBRE"}, 0), 1,2,3,4,5,6,7,8,9,10,11,12), A736)</f>
        <v>44201</v>
      </c>
      <c r="H736">
        <v>32</v>
      </c>
      <c r="I736">
        <v>40000</v>
      </c>
      <c r="J736" s="1">
        <f t="shared" si="23"/>
        <v>44201</v>
      </c>
      <c r="K736">
        <f t="shared" si="22"/>
        <v>32</v>
      </c>
    </row>
    <row r="737" spans="1:11" x14ac:dyDescent="0.25">
      <c r="A737">
        <v>6</v>
      </c>
      <c r="B737" t="s">
        <v>8</v>
      </c>
      <c r="C737">
        <v>2021</v>
      </c>
      <c r="D737">
        <v>122</v>
      </c>
      <c r="E737">
        <v>-20</v>
      </c>
      <c r="F737">
        <v>78</v>
      </c>
      <c r="G737" s="1">
        <f>DATE(C737, CHOOSE(MATCH(UPPER(B737), {"ENERO","FEBRERO","MARZO","ABRIL","MAYO","JUNIO","JULIO","AGOSTO","SEPTIEMBRE","OCTUBRE","NOVIEMBRE","DICIEMBRE"}, 0), 1,2,3,4,5,6,7,8,9,10,11,12), A737)</f>
        <v>44202</v>
      </c>
      <c r="H737">
        <v>24</v>
      </c>
      <c r="I737">
        <v>40000</v>
      </c>
      <c r="J737" s="1">
        <f t="shared" si="23"/>
        <v>44202</v>
      </c>
      <c r="K737">
        <f t="shared" si="22"/>
        <v>24</v>
      </c>
    </row>
    <row r="738" spans="1:11" x14ac:dyDescent="0.25">
      <c r="A738">
        <v>7</v>
      </c>
      <c r="B738" t="s">
        <v>8</v>
      </c>
      <c r="C738">
        <v>2021</v>
      </c>
      <c r="D738">
        <v>78</v>
      </c>
      <c r="E738">
        <v>-3</v>
      </c>
      <c r="F738">
        <v>24</v>
      </c>
      <c r="G738" s="1">
        <f>DATE(C738, CHOOSE(MATCH(UPPER(B738), {"ENERO","FEBRERO","MARZO","ABRIL","MAYO","JUNIO","JULIO","AGOSTO","SEPTIEMBRE","OCTUBRE","NOVIEMBRE","DICIEMBRE"}, 0), 1,2,3,4,5,6,7,8,9,10,11,12), A738)</f>
        <v>44203</v>
      </c>
      <c r="H738">
        <v>51</v>
      </c>
      <c r="I738">
        <v>40000</v>
      </c>
      <c r="J738" s="1">
        <f t="shared" si="23"/>
        <v>44203</v>
      </c>
      <c r="K738">
        <f t="shared" si="22"/>
        <v>51</v>
      </c>
    </row>
    <row r="739" spans="1:11" x14ac:dyDescent="0.25">
      <c r="A739">
        <v>8</v>
      </c>
      <c r="B739" t="s">
        <v>8</v>
      </c>
      <c r="C739">
        <v>2021</v>
      </c>
      <c r="D739">
        <v>24</v>
      </c>
      <c r="E739">
        <v>105</v>
      </c>
      <c r="F739">
        <v>102</v>
      </c>
      <c r="G739" s="1">
        <f>DATE(C739, CHOOSE(MATCH(UPPER(B739), {"ENERO","FEBRERO","MARZO","ABRIL","MAYO","JUNIO","JULIO","AGOSTO","SEPTIEMBRE","OCTUBRE","NOVIEMBRE","DICIEMBRE"}, 0), 1,2,3,4,5,6,7,8,9,10,11,12), A739)</f>
        <v>44204</v>
      </c>
      <c r="H739">
        <v>27</v>
      </c>
      <c r="I739">
        <v>40000</v>
      </c>
      <c r="J739" s="1">
        <f t="shared" si="23"/>
        <v>44204</v>
      </c>
      <c r="K739">
        <f t="shared" si="22"/>
        <v>27</v>
      </c>
    </row>
    <row r="740" spans="1:11" x14ac:dyDescent="0.25">
      <c r="A740">
        <v>9</v>
      </c>
      <c r="B740" t="s">
        <v>8</v>
      </c>
      <c r="C740">
        <v>2021</v>
      </c>
      <c r="D740">
        <v>102</v>
      </c>
      <c r="E740">
        <v>105</v>
      </c>
      <c r="F740">
        <v>166.5</v>
      </c>
      <c r="G740" s="1">
        <f>DATE(C740, CHOOSE(MATCH(UPPER(B740), {"ENERO","FEBRERO","MARZO","ABRIL","MAYO","JUNIO","JULIO","AGOSTO","SEPTIEMBRE","OCTUBRE","NOVIEMBRE","DICIEMBRE"}, 0), 1,2,3,4,5,6,7,8,9,10,11,12), A740)</f>
        <v>44205</v>
      </c>
      <c r="H740">
        <v>40.5</v>
      </c>
      <c r="I740">
        <v>40000</v>
      </c>
      <c r="J740" s="1">
        <f t="shared" si="23"/>
        <v>44205</v>
      </c>
      <c r="K740">
        <f t="shared" si="22"/>
        <v>40.5</v>
      </c>
    </row>
    <row r="741" spans="1:11" x14ac:dyDescent="0.25">
      <c r="A741">
        <v>10</v>
      </c>
      <c r="B741" t="s">
        <v>8</v>
      </c>
      <c r="C741">
        <v>2021</v>
      </c>
      <c r="D741">
        <v>166.5</v>
      </c>
      <c r="E741">
        <v>-45</v>
      </c>
      <c r="F741">
        <v>86</v>
      </c>
      <c r="G741" s="1">
        <f>DATE(C741, CHOOSE(MATCH(UPPER(B741), {"ENERO","FEBRERO","MARZO","ABRIL","MAYO","JUNIO","JULIO","AGOSTO","SEPTIEMBRE","OCTUBRE","NOVIEMBRE","DICIEMBRE"}, 0), 1,2,3,4,5,6,7,8,9,10,11,12), A741)</f>
        <v>44206</v>
      </c>
      <c r="H741">
        <v>35.5</v>
      </c>
      <c r="I741">
        <v>40000</v>
      </c>
      <c r="J741" s="1">
        <f t="shared" si="23"/>
        <v>44206</v>
      </c>
      <c r="K741">
        <f t="shared" si="22"/>
        <v>35.5</v>
      </c>
    </row>
    <row r="742" spans="1:11" x14ac:dyDescent="0.25">
      <c r="A742">
        <v>11</v>
      </c>
      <c r="B742" t="s">
        <v>8</v>
      </c>
      <c r="C742">
        <v>2021</v>
      </c>
      <c r="D742">
        <v>86</v>
      </c>
      <c r="E742" t="s">
        <v>9</v>
      </c>
      <c r="F742">
        <v>50</v>
      </c>
      <c r="G742" s="1">
        <f>DATE(C742, CHOOSE(MATCH(UPPER(B742), {"ENERO","FEBRERO","MARZO","ABRIL","MAYO","JUNIO","JULIO","AGOSTO","SEPTIEMBRE","OCTUBRE","NOVIEMBRE","DICIEMBRE"}, 0), 1,2,3,4,5,6,7,8,9,10,11,12), A742)</f>
        <v>44207</v>
      </c>
      <c r="H742">
        <v>36</v>
      </c>
      <c r="I742">
        <v>40000</v>
      </c>
      <c r="J742" s="1">
        <f t="shared" si="23"/>
        <v>44207</v>
      </c>
      <c r="K742">
        <f t="shared" si="22"/>
        <v>36</v>
      </c>
    </row>
    <row r="743" spans="1:11" x14ac:dyDescent="0.25">
      <c r="A743">
        <v>12</v>
      </c>
      <c r="B743" t="s">
        <v>8</v>
      </c>
      <c r="C743">
        <v>2021</v>
      </c>
      <c r="D743">
        <v>50</v>
      </c>
      <c r="E743">
        <v>70</v>
      </c>
      <c r="F743">
        <v>86</v>
      </c>
      <c r="G743" s="1">
        <f>DATE(C743, CHOOSE(MATCH(UPPER(B743), {"ENERO","FEBRERO","MARZO","ABRIL","MAYO","JUNIO","JULIO","AGOSTO","SEPTIEMBRE","OCTUBRE","NOVIEMBRE","DICIEMBRE"}, 0), 1,2,3,4,5,6,7,8,9,10,11,12), A743)</f>
        <v>44208</v>
      </c>
      <c r="H743">
        <v>34</v>
      </c>
      <c r="I743">
        <v>40000</v>
      </c>
      <c r="J743" s="1">
        <f t="shared" si="23"/>
        <v>44208</v>
      </c>
      <c r="K743">
        <f t="shared" si="22"/>
        <v>34</v>
      </c>
    </row>
    <row r="744" spans="1:11" x14ac:dyDescent="0.25">
      <c r="A744">
        <v>13</v>
      </c>
      <c r="B744" t="s">
        <v>8</v>
      </c>
      <c r="C744">
        <v>2021</v>
      </c>
      <c r="D744">
        <v>86</v>
      </c>
      <c r="E744" t="s">
        <v>9</v>
      </c>
      <c r="F744">
        <v>59</v>
      </c>
      <c r="G744" s="1">
        <f>DATE(C744, CHOOSE(MATCH(UPPER(B744), {"ENERO","FEBRERO","MARZO","ABRIL","MAYO","JUNIO","JULIO","AGOSTO","SEPTIEMBRE","OCTUBRE","NOVIEMBRE","DICIEMBRE"}, 0), 1,2,3,4,5,6,7,8,9,10,11,12), A744)</f>
        <v>44209</v>
      </c>
      <c r="H744">
        <v>27</v>
      </c>
      <c r="I744">
        <v>40000</v>
      </c>
      <c r="J744" s="1">
        <f t="shared" si="23"/>
        <v>44209</v>
      </c>
      <c r="K744">
        <f t="shared" si="22"/>
        <v>27</v>
      </c>
    </row>
    <row r="745" spans="1:11" x14ac:dyDescent="0.25">
      <c r="A745">
        <v>14</v>
      </c>
      <c r="B745" t="s">
        <v>8</v>
      </c>
      <c r="C745">
        <v>2021</v>
      </c>
      <c r="D745">
        <v>59</v>
      </c>
      <c r="E745">
        <v>140</v>
      </c>
      <c r="F745">
        <v>172</v>
      </c>
      <c r="G745" s="1">
        <f>DATE(C745, CHOOSE(MATCH(UPPER(B745), {"ENERO","FEBRERO","MARZO","ABRIL","MAYO","JUNIO","JULIO","AGOSTO","SEPTIEMBRE","OCTUBRE","NOVIEMBRE","DICIEMBRE"}, 0), 1,2,3,4,5,6,7,8,9,10,11,12), A745)</f>
        <v>44210</v>
      </c>
      <c r="H745">
        <v>27</v>
      </c>
      <c r="I745">
        <v>40000</v>
      </c>
      <c r="J745" s="1">
        <f t="shared" si="23"/>
        <v>44210</v>
      </c>
      <c r="K745">
        <f t="shared" si="22"/>
        <v>27</v>
      </c>
    </row>
    <row r="746" spans="1:11" x14ac:dyDescent="0.25">
      <c r="A746">
        <v>15</v>
      </c>
      <c r="B746" t="s">
        <v>8</v>
      </c>
      <c r="C746">
        <v>2021</v>
      </c>
      <c r="D746">
        <v>172</v>
      </c>
      <c r="E746" t="s">
        <v>9</v>
      </c>
      <c r="F746">
        <v>134.5</v>
      </c>
      <c r="G746" s="1">
        <f>DATE(C746, CHOOSE(MATCH(UPPER(B746), {"ENERO","FEBRERO","MARZO","ABRIL","MAYO","JUNIO","JULIO","AGOSTO","SEPTIEMBRE","OCTUBRE","NOVIEMBRE","DICIEMBRE"}, 0), 1,2,3,4,5,6,7,8,9,10,11,12), A746)</f>
        <v>44211</v>
      </c>
      <c r="H746">
        <v>37.5</v>
      </c>
      <c r="I746">
        <v>40000</v>
      </c>
      <c r="J746" s="1">
        <f t="shared" si="23"/>
        <v>44211</v>
      </c>
      <c r="K746">
        <f t="shared" si="22"/>
        <v>37.5</v>
      </c>
    </row>
    <row r="747" spans="1:11" x14ac:dyDescent="0.25">
      <c r="A747">
        <v>16</v>
      </c>
      <c r="B747" t="s">
        <v>8</v>
      </c>
      <c r="C747">
        <v>2021</v>
      </c>
      <c r="D747">
        <v>134.5</v>
      </c>
      <c r="E747">
        <v>-2</v>
      </c>
      <c r="F747">
        <v>125.5</v>
      </c>
      <c r="G747" s="1">
        <f>DATE(C747, CHOOSE(MATCH(UPPER(B747), {"ENERO","FEBRERO","MARZO","ABRIL","MAYO","JUNIO","JULIO","AGOSTO","SEPTIEMBRE","OCTUBRE","NOVIEMBRE","DICIEMBRE"}, 0), 1,2,3,4,5,6,7,8,9,10,11,12), A747)</f>
        <v>44212</v>
      </c>
      <c r="H747">
        <v>7</v>
      </c>
      <c r="I747">
        <v>40000</v>
      </c>
      <c r="J747" s="1">
        <f t="shared" si="23"/>
        <v>44212</v>
      </c>
      <c r="K747">
        <f t="shared" si="22"/>
        <v>7</v>
      </c>
    </row>
    <row r="748" spans="1:11" x14ac:dyDescent="0.25">
      <c r="A748">
        <v>17</v>
      </c>
      <c r="B748" t="s">
        <v>8</v>
      </c>
      <c r="C748">
        <v>2021</v>
      </c>
      <c r="D748">
        <v>125.5</v>
      </c>
      <c r="E748" t="s">
        <v>9</v>
      </c>
      <c r="F748">
        <v>99</v>
      </c>
      <c r="G748" s="1">
        <f>DATE(C748, CHOOSE(MATCH(UPPER(B748), {"ENERO","FEBRERO","MARZO","ABRIL","MAYO","JUNIO","JULIO","AGOSTO","SEPTIEMBRE","OCTUBRE","NOVIEMBRE","DICIEMBRE"}, 0), 1,2,3,4,5,6,7,8,9,10,11,12), A748)</f>
        <v>44213</v>
      </c>
      <c r="H748">
        <v>26.5</v>
      </c>
      <c r="I748">
        <v>40000</v>
      </c>
      <c r="J748" s="1">
        <f t="shared" si="23"/>
        <v>44213</v>
      </c>
      <c r="K748">
        <f t="shared" si="22"/>
        <v>26.5</v>
      </c>
    </row>
    <row r="749" spans="1:11" x14ac:dyDescent="0.25">
      <c r="A749">
        <v>18</v>
      </c>
      <c r="B749" t="s">
        <v>8</v>
      </c>
      <c r="C749">
        <v>2021</v>
      </c>
      <c r="D749">
        <v>99</v>
      </c>
      <c r="E749" t="s">
        <v>9</v>
      </c>
      <c r="F749">
        <v>71.75</v>
      </c>
      <c r="G749" s="1">
        <f>DATE(C749, CHOOSE(MATCH(UPPER(B749), {"ENERO","FEBRERO","MARZO","ABRIL","MAYO","JUNIO","JULIO","AGOSTO","SEPTIEMBRE","OCTUBRE","NOVIEMBRE","DICIEMBRE"}, 0), 1,2,3,4,5,6,7,8,9,10,11,12), A749)</f>
        <v>44214</v>
      </c>
      <c r="H749">
        <v>27.25</v>
      </c>
      <c r="I749">
        <v>40000</v>
      </c>
      <c r="J749" s="1">
        <f t="shared" si="23"/>
        <v>44214</v>
      </c>
      <c r="K749">
        <f t="shared" si="22"/>
        <v>27.25</v>
      </c>
    </row>
    <row r="750" spans="1:11" x14ac:dyDescent="0.25">
      <c r="A750">
        <v>19</v>
      </c>
      <c r="B750" t="s">
        <v>8</v>
      </c>
      <c r="C750">
        <v>2021</v>
      </c>
      <c r="D750">
        <v>71.75</v>
      </c>
      <c r="E750" t="s">
        <v>9</v>
      </c>
      <c r="F750">
        <v>43.5</v>
      </c>
      <c r="G750" s="1">
        <f>DATE(C750, CHOOSE(MATCH(UPPER(B750), {"ENERO","FEBRERO","MARZO","ABRIL","MAYO","JUNIO","JULIO","AGOSTO","SEPTIEMBRE","OCTUBRE","NOVIEMBRE","DICIEMBRE"}, 0), 1,2,3,4,5,6,7,8,9,10,11,12), A750)</f>
        <v>44215</v>
      </c>
      <c r="H750">
        <v>28.25</v>
      </c>
      <c r="I750">
        <v>40000</v>
      </c>
      <c r="J750" s="1">
        <f t="shared" si="23"/>
        <v>44215</v>
      </c>
      <c r="K750">
        <f t="shared" si="22"/>
        <v>28.25</v>
      </c>
    </row>
    <row r="751" spans="1:11" x14ac:dyDescent="0.25">
      <c r="A751">
        <v>20</v>
      </c>
      <c r="B751" t="s">
        <v>8</v>
      </c>
      <c r="C751">
        <v>2021</v>
      </c>
      <c r="D751">
        <v>43.5</v>
      </c>
      <c r="E751">
        <v>140</v>
      </c>
      <c r="F751">
        <v>164.5</v>
      </c>
      <c r="G751" s="1">
        <f>DATE(C751, CHOOSE(MATCH(UPPER(B751), {"ENERO","FEBRERO","MARZO","ABRIL","MAYO","JUNIO","JULIO","AGOSTO","SEPTIEMBRE","OCTUBRE","NOVIEMBRE","DICIEMBRE"}, 0), 1,2,3,4,5,6,7,8,9,10,11,12), A751)</f>
        <v>44216</v>
      </c>
      <c r="H751">
        <v>19</v>
      </c>
      <c r="I751">
        <v>40000</v>
      </c>
      <c r="J751" s="1">
        <f t="shared" si="23"/>
        <v>44216</v>
      </c>
      <c r="K751">
        <f t="shared" si="22"/>
        <v>19</v>
      </c>
    </row>
    <row r="752" spans="1:11" x14ac:dyDescent="0.25">
      <c r="A752">
        <v>21</v>
      </c>
      <c r="B752" t="s">
        <v>8</v>
      </c>
      <c r="C752">
        <v>2021</v>
      </c>
      <c r="D752">
        <v>164.5</v>
      </c>
      <c r="E752" t="s">
        <v>9</v>
      </c>
      <c r="F752">
        <v>147</v>
      </c>
      <c r="G752" s="1">
        <f>DATE(C752, CHOOSE(MATCH(UPPER(B752), {"ENERO","FEBRERO","MARZO","ABRIL","MAYO","JUNIO","JULIO","AGOSTO","SEPTIEMBRE","OCTUBRE","NOVIEMBRE","DICIEMBRE"}, 0), 1,2,3,4,5,6,7,8,9,10,11,12), A752)</f>
        <v>44217</v>
      </c>
      <c r="H752">
        <v>17.5</v>
      </c>
      <c r="I752">
        <v>40000</v>
      </c>
      <c r="J752" s="1">
        <f t="shared" si="23"/>
        <v>44217</v>
      </c>
      <c r="K752">
        <f t="shared" si="22"/>
        <v>17.5</v>
      </c>
    </row>
    <row r="753" spans="1:11" x14ac:dyDescent="0.25">
      <c r="A753">
        <v>22</v>
      </c>
      <c r="B753" t="s">
        <v>8</v>
      </c>
      <c r="C753">
        <v>2021</v>
      </c>
      <c r="D753">
        <v>147</v>
      </c>
      <c r="E753" t="s">
        <v>9</v>
      </c>
      <c r="F753">
        <v>117.5</v>
      </c>
      <c r="G753" s="1">
        <f>DATE(C753, CHOOSE(MATCH(UPPER(B753), {"ENERO","FEBRERO","MARZO","ABRIL","MAYO","JUNIO","JULIO","AGOSTO","SEPTIEMBRE","OCTUBRE","NOVIEMBRE","DICIEMBRE"}, 0), 1,2,3,4,5,6,7,8,9,10,11,12), A753)</f>
        <v>44218</v>
      </c>
      <c r="H753">
        <v>29.5</v>
      </c>
      <c r="I753">
        <v>40000</v>
      </c>
      <c r="J753" s="1">
        <f t="shared" si="23"/>
        <v>44218</v>
      </c>
      <c r="K753">
        <f t="shared" si="22"/>
        <v>29.5</v>
      </c>
    </row>
    <row r="754" spans="1:11" x14ac:dyDescent="0.25">
      <c r="A754">
        <v>23</v>
      </c>
      <c r="B754" t="s">
        <v>8</v>
      </c>
      <c r="C754">
        <v>2021</v>
      </c>
      <c r="D754">
        <v>117.5</v>
      </c>
      <c r="E754" t="s">
        <v>9</v>
      </c>
      <c r="F754">
        <v>93</v>
      </c>
      <c r="G754" s="1">
        <f>DATE(C754, CHOOSE(MATCH(UPPER(B754), {"ENERO","FEBRERO","MARZO","ABRIL","MAYO","JUNIO","JULIO","AGOSTO","SEPTIEMBRE","OCTUBRE","NOVIEMBRE","DICIEMBRE"}, 0), 1,2,3,4,5,6,7,8,9,10,11,12), A754)</f>
        <v>44219</v>
      </c>
      <c r="H754">
        <v>24.5</v>
      </c>
      <c r="I754">
        <v>40000</v>
      </c>
      <c r="J754" s="1">
        <f t="shared" si="23"/>
        <v>44219</v>
      </c>
      <c r="K754">
        <f t="shared" si="22"/>
        <v>24.5</v>
      </c>
    </row>
    <row r="755" spans="1:11" x14ac:dyDescent="0.25">
      <c r="A755">
        <v>24</v>
      </c>
      <c r="B755" t="s">
        <v>8</v>
      </c>
      <c r="C755">
        <v>2021</v>
      </c>
      <c r="D755">
        <v>93</v>
      </c>
      <c r="E755" t="s">
        <v>9</v>
      </c>
      <c r="F755">
        <v>69.5</v>
      </c>
      <c r="G755" s="1">
        <f>DATE(C755, CHOOSE(MATCH(UPPER(B755), {"ENERO","FEBRERO","MARZO","ABRIL","MAYO","JUNIO","JULIO","AGOSTO","SEPTIEMBRE","OCTUBRE","NOVIEMBRE","DICIEMBRE"}, 0), 1,2,3,4,5,6,7,8,9,10,11,12), A755)</f>
        <v>44220</v>
      </c>
      <c r="H755">
        <v>23.5</v>
      </c>
      <c r="I755">
        <v>40000</v>
      </c>
      <c r="J755" s="1">
        <f t="shared" si="23"/>
        <v>44220</v>
      </c>
      <c r="K755">
        <f t="shared" si="22"/>
        <v>23.5</v>
      </c>
    </row>
    <row r="756" spans="1:11" x14ac:dyDescent="0.25">
      <c r="A756">
        <v>25</v>
      </c>
      <c r="B756" t="s">
        <v>8</v>
      </c>
      <c r="C756">
        <v>2021</v>
      </c>
      <c r="D756">
        <v>69.5</v>
      </c>
      <c r="E756" t="s">
        <v>9</v>
      </c>
      <c r="F756">
        <v>42</v>
      </c>
      <c r="G756" s="1">
        <f>DATE(C756, CHOOSE(MATCH(UPPER(B756), {"ENERO","FEBRERO","MARZO","ABRIL","MAYO","JUNIO","JULIO","AGOSTO","SEPTIEMBRE","OCTUBRE","NOVIEMBRE","DICIEMBRE"}, 0), 1,2,3,4,5,6,7,8,9,10,11,12), A756)</f>
        <v>44221</v>
      </c>
      <c r="H756">
        <v>27.5</v>
      </c>
      <c r="I756">
        <v>40000</v>
      </c>
      <c r="J756" s="1">
        <f t="shared" si="23"/>
        <v>44221</v>
      </c>
      <c r="K756">
        <f t="shared" si="22"/>
        <v>27.5</v>
      </c>
    </row>
    <row r="757" spans="1:11" x14ac:dyDescent="0.25">
      <c r="A757">
        <v>26</v>
      </c>
      <c r="B757" t="s">
        <v>8</v>
      </c>
      <c r="C757">
        <v>2021</v>
      </c>
      <c r="D757">
        <v>42</v>
      </c>
      <c r="E757">
        <v>97</v>
      </c>
      <c r="F757">
        <v>115</v>
      </c>
      <c r="G757" s="1">
        <f>DATE(C757, CHOOSE(MATCH(UPPER(B757), {"ENERO","FEBRERO","MARZO","ABRIL","MAYO","JUNIO","JULIO","AGOSTO","SEPTIEMBRE","OCTUBRE","NOVIEMBRE","DICIEMBRE"}, 0), 1,2,3,4,5,6,7,8,9,10,11,12), A757)</f>
        <v>44222</v>
      </c>
      <c r="H757">
        <v>24</v>
      </c>
      <c r="I757">
        <v>40000</v>
      </c>
      <c r="J757" s="1">
        <f t="shared" si="23"/>
        <v>44222</v>
      </c>
      <c r="K757">
        <f t="shared" si="22"/>
        <v>24</v>
      </c>
    </row>
    <row r="758" spans="1:11" x14ac:dyDescent="0.25">
      <c r="A758">
        <v>27</v>
      </c>
      <c r="B758" t="s">
        <v>8</v>
      </c>
      <c r="C758">
        <v>2021</v>
      </c>
      <c r="D758">
        <v>115</v>
      </c>
      <c r="E758" t="s">
        <v>9</v>
      </c>
      <c r="F758">
        <v>85</v>
      </c>
      <c r="G758" s="1">
        <f>DATE(C758, CHOOSE(MATCH(UPPER(B758), {"ENERO","FEBRERO","MARZO","ABRIL","MAYO","JUNIO","JULIO","AGOSTO","SEPTIEMBRE","OCTUBRE","NOVIEMBRE","DICIEMBRE"}, 0), 1,2,3,4,5,6,7,8,9,10,11,12), A758)</f>
        <v>44223</v>
      </c>
      <c r="H758">
        <v>30</v>
      </c>
      <c r="I758">
        <v>40000</v>
      </c>
      <c r="J758" s="1">
        <f t="shared" si="23"/>
        <v>44223</v>
      </c>
      <c r="K758">
        <f t="shared" si="22"/>
        <v>30</v>
      </c>
    </row>
    <row r="759" spans="1:11" x14ac:dyDescent="0.25">
      <c r="A759">
        <v>28</v>
      </c>
      <c r="B759" t="s">
        <v>8</v>
      </c>
      <c r="C759">
        <v>2021</v>
      </c>
      <c r="D759">
        <v>85</v>
      </c>
      <c r="E759" t="s">
        <v>9</v>
      </c>
      <c r="F759">
        <v>56.75</v>
      </c>
      <c r="G759" s="1">
        <f>DATE(C759, CHOOSE(MATCH(UPPER(B759), {"ENERO","FEBRERO","MARZO","ABRIL","MAYO","JUNIO","JULIO","AGOSTO","SEPTIEMBRE","OCTUBRE","NOVIEMBRE","DICIEMBRE"}, 0), 1,2,3,4,5,6,7,8,9,10,11,12), A759)</f>
        <v>44224</v>
      </c>
      <c r="H759">
        <v>28.25</v>
      </c>
      <c r="I759">
        <v>40000</v>
      </c>
      <c r="J759" s="1">
        <f t="shared" si="23"/>
        <v>44224</v>
      </c>
      <c r="K759">
        <f t="shared" si="22"/>
        <v>28.25</v>
      </c>
    </row>
    <row r="760" spans="1:11" x14ac:dyDescent="0.25">
      <c r="A760">
        <v>29</v>
      </c>
      <c r="B760" t="s">
        <v>8</v>
      </c>
      <c r="C760">
        <v>2021</v>
      </c>
      <c r="D760">
        <v>56.75</v>
      </c>
      <c r="E760">
        <v>70</v>
      </c>
      <c r="F760">
        <v>88.25</v>
      </c>
      <c r="G760" s="1">
        <f>DATE(C760, CHOOSE(MATCH(UPPER(B760), {"ENERO","FEBRERO","MARZO","ABRIL","MAYO","JUNIO","JULIO","AGOSTO","SEPTIEMBRE","OCTUBRE","NOVIEMBRE","DICIEMBRE"}, 0), 1,2,3,4,5,6,7,8,9,10,11,12), A760)</f>
        <v>44225</v>
      </c>
      <c r="H760">
        <v>38.5</v>
      </c>
      <c r="I760">
        <v>40000</v>
      </c>
      <c r="J760" s="1">
        <f t="shared" si="23"/>
        <v>44225</v>
      </c>
      <c r="K760">
        <f t="shared" si="22"/>
        <v>38.5</v>
      </c>
    </row>
    <row r="761" spans="1:11" x14ac:dyDescent="0.25">
      <c r="A761">
        <v>30</v>
      </c>
      <c r="B761" t="s">
        <v>8</v>
      </c>
      <c r="C761">
        <v>2021</v>
      </c>
      <c r="D761">
        <v>88.25</v>
      </c>
      <c r="E761">
        <v>-20</v>
      </c>
      <c r="F761">
        <v>25</v>
      </c>
      <c r="G761" s="1">
        <f>DATE(C761, CHOOSE(MATCH(UPPER(B761), {"ENERO","FEBRERO","MARZO","ABRIL","MAYO","JUNIO","JULIO","AGOSTO","SEPTIEMBRE","OCTUBRE","NOVIEMBRE","DICIEMBRE"}, 0), 1,2,3,4,5,6,7,8,9,10,11,12), A761)</f>
        <v>44226</v>
      </c>
      <c r="H761">
        <v>43.25</v>
      </c>
      <c r="I761">
        <v>40000</v>
      </c>
      <c r="J761" s="1">
        <f t="shared" si="23"/>
        <v>44226</v>
      </c>
      <c r="K761">
        <f t="shared" si="22"/>
        <v>43.25</v>
      </c>
    </row>
    <row r="762" spans="1:11" x14ac:dyDescent="0.25">
      <c r="A762">
        <v>31</v>
      </c>
      <c r="B762" t="s">
        <v>8</v>
      </c>
      <c r="C762">
        <v>2021</v>
      </c>
      <c r="D762">
        <v>25</v>
      </c>
      <c r="E762">
        <v>47</v>
      </c>
      <c r="F762">
        <v>36</v>
      </c>
      <c r="G762" s="1">
        <f>DATE(C762, CHOOSE(MATCH(UPPER(B762), {"ENERO","FEBRERO","MARZO","ABRIL","MAYO","JUNIO","JULIO","AGOSTO","SEPTIEMBRE","OCTUBRE","NOVIEMBRE","DICIEMBRE"}, 0), 1,2,3,4,5,6,7,8,9,10,11,12), A762)</f>
        <v>44227</v>
      </c>
      <c r="H762">
        <v>36</v>
      </c>
      <c r="I762">
        <v>40000</v>
      </c>
      <c r="J762" s="1">
        <f t="shared" si="23"/>
        <v>44227</v>
      </c>
      <c r="K762">
        <f t="shared" si="22"/>
        <v>36</v>
      </c>
    </row>
    <row r="763" spans="1:11" x14ac:dyDescent="0.25">
      <c r="A763">
        <v>1</v>
      </c>
      <c r="B763" t="s">
        <v>11</v>
      </c>
      <c r="C763">
        <v>2021</v>
      </c>
      <c r="D763">
        <v>36</v>
      </c>
      <c r="E763">
        <v>70</v>
      </c>
      <c r="F763">
        <v>90</v>
      </c>
      <c r="G763" s="1">
        <f>DATE(C763, CHOOSE(MATCH(UPPER(B763), {"ENERO","FEBRERO","MARZO","ABRIL","MAYO","JUNIO","JULIO","AGOSTO","SEPTIEMBRE","OCTUBRE","NOVIEMBRE","DICIEMBRE"}, 0), 1,2,3,4,5,6,7,8,9,10,11,12), A763)</f>
        <v>44228</v>
      </c>
      <c r="H763">
        <v>16</v>
      </c>
      <c r="I763">
        <v>40000</v>
      </c>
      <c r="J763" s="1">
        <f t="shared" si="23"/>
        <v>44228</v>
      </c>
      <c r="K763">
        <f t="shared" si="22"/>
        <v>16</v>
      </c>
    </row>
    <row r="764" spans="1:11" x14ac:dyDescent="0.25">
      <c r="A764">
        <v>2</v>
      </c>
      <c r="B764" t="s">
        <v>11</v>
      </c>
      <c r="C764">
        <v>2021</v>
      </c>
      <c r="D764">
        <v>90</v>
      </c>
      <c r="E764">
        <v>-23</v>
      </c>
      <c r="F764">
        <v>27.5</v>
      </c>
      <c r="G764" s="1">
        <f>DATE(C764, CHOOSE(MATCH(UPPER(B764), {"ENERO","FEBRERO","MARZO","ABRIL","MAYO","JUNIO","JULIO","AGOSTO","SEPTIEMBRE","OCTUBRE","NOVIEMBRE","DICIEMBRE"}, 0), 1,2,3,4,5,6,7,8,9,10,11,12), A764)</f>
        <v>44229</v>
      </c>
      <c r="H764">
        <v>39.5</v>
      </c>
      <c r="I764">
        <v>40000</v>
      </c>
      <c r="J764" s="1">
        <f t="shared" si="23"/>
        <v>44229</v>
      </c>
      <c r="K764">
        <f t="shared" si="22"/>
        <v>39.5</v>
      </c>
    </row>
    <row r="765" spans="1:11" x14ac:dyDescent="0.25">
      <c r="A765">
        <v>3</v>
      </c>
      <c r="B765" t="s">
        <v>11</v>
      </c>
      <c r="C765">
        <v>2021</v>
      </c>
      <c r="D765">
        <v>27.5</v>
      </c>
      <c r="E765">
        <v>70</v>
      </c>
      <c r="F765">
        <v>73</v>
      </c>
      <c r="G765" s="1">
        <f>DATE(C765, CHOOSE(MATCH(UPPER(B765), {"ENERO","FEBRERO","MARZO","ABRIL","MAYO","JUNIO","JULIO","AGOSTO","SEPTIEMBRE","OCTUBRE","NOVIEMBRE","DICIEMBRE"}, 0), 1,2,3,4,5,6,7,8,9,10,11,12), A765)</f>
        <v>44230</v>
      </c>
      <c r="H765">
        <v>24.5</v>
      </c>
      <c r="I765">
        <v>40000</v>
      </c>
      <c r="J765" s="1">
        <f t="shared" si="23"/>
        <v>44230</v>
      </c>
      <c r="K765">
        <f t="shared" si="22"/>
        <v>24.5</v>
      </c>
    </row>
    <row r="766" spans="1:11" x14ac:dyDescent="0.25">
      <c r="A766">
        <v>4</v>
      </c>
      <c r="B766" t="s">
        <v>11</v>
      </c>
      <c r="C766">
        <v>2021</v>
      </c>
      <c r="D766">
        <v>73</v>
      </c>
      <c r="E766" t="s">
        <v>9</v>
      </c>
      <c r="F766">
        <v>48</v>
      </c>
      <c r="G766" s="1">
        <f>DATE(C766, CHOOSE(MATCH(UPPER(B766), {"ENERO","FEBRERO","MARZO","ABRIL","MAYO","JUNIO","JULIO","AGOSTO","SEPTIEMBRE","OCTUBRE","NOVIEMBRE","DICIEMBRE"}, 0), 1,2,3,4,5,6,7,8,9,10,11,12), A766)</f>
        <v>44231</v>
      </c>
      <c r="H766">
        <v>25</v>
      </c>
      <c r="I766">
        <v>40000</v>
      </c>
      <c r="J766" s="1">
        <f t="shared" si="23"/>
        <v>44231</v>
      </c>
      <c r="K766">
        <f t="shared" si="22"/>
        <v>25</v>
      </c>
    </row>
    <row r="767" spans="1:11" x14ac:dyDescent="0.25">
      <c r="A767">
        <v>5</v>
      </c>
      <c r="B767" t="s">
        <v>11</v>
      </c>
      <c r="C767">
        <v>2021</v>
      </c>
      <c r="D767">
        <v>48</v>
      </c>
      <c r="E767">
        <v>48</v>
      </c>
      <c r="F767">
        <v>64.875</v>
      </c>
      <c r="G767" s="1">
        <f>DATE(C767, CHOOSE(MATCH(UPPER(B767), {"ENERO","FEBRERO","MARZO","ABRIL","MAYO","JUNIO","JULIO","AGOSTO","SEPTIEMBRE","OCTUBRE","NOVIEMBRE","DICIEMBRE"}, 0), 1,2,3,4,5,6,7,8,9,10,11,12), A767)</f>
        <v>44232</v>
      </c>
      <c r="H767">
        <v>31.125</v>
      </c>
      <c r="I767">
        <v>40000</v>
      </c>
      <c r="J767" s="1">
        <f t="shared" si="23"/>
        <v>44232</v>
      </c>
      <c r="K767">
        <f t="shared" si="22"/>
        <v>31.125</v>
      </c>
    </row>
    <row r="768" spans="1:11" x14ac:dyDescent="0.25">
      <c r="A768">
        <v>6</v>
      </c>
      <c r="B768" t="s">
        <v>11</v>
      </c>
      <c r="C768">
        <v>2021</v>
      </c>
      <c r="D768">
        <v>64.875</v>
      </c>
      <c r="E768">
        <v>-8</v>
      </c>
      <c r="F768">
        <v>0</v>
      </c>
      <c r="G768" s="1">
        <f>DATE(C768, CHOOSE(MATCH(UPPER(B768), {"ENERO","FEBRERO","MARZO","ABRIL","MAYO","JUNIO","JULIO","AGOSTO","SEPTIEMBRE","OCTUBRE","NOVIEMBRE","DICIEMBRE"}, 0), 1,2,3,4,5,6,7,8,9,10,11,12), A768)</f>
        <v>44233</v>
      </c>
      <c r="H768">
        <v>56.875</v>
      </c>
      <c r="I768">
        <v>40000</v>
      </c>
      <c r="J768" s="1">
        <f t="shared" si="23"/>
        <v>44233</v>
      </c>
      <c r="K768">
        <f t="shared" si="22"/>
        <v>56.875</v>
      </c>
    </row>
    <row r="769" spans="1:11" x14ac:dyDescent="0.25">
      <c r="A769">
        <v>7</v>
      </c>
      <c r="B769" t="s">
        <v>11</v>
      </c>
      <c r="C769">
        <v>2021</v>
      </c>
      <c r="D769">
        <v>0</v>
      </c>
      <c r="E769">
        <v>145</v>
      </c>
      <c r="F769">
        <v>104.5</v>
      </c>
      <c r="G769" s="1">
        <f>DATE(C769, CHOOSE(MATCH(UPPER(B769), {"ENERO","FEBRERO","MARZO","ABRIL","MAYO","JUNIO","JULIO","AGOSTO","SEPTIEMBRE","OCTUBRE","NOVIEMBRE","DICIEMBRE"}, 0), 1,2,3,4,5,6,7,8,9,10,11,12), A769)</f>
        <v>44234</v>
      </c>
      <c r="H769">
        <v>40.5</v>
      </c>
      <c r="I769">
        <v>40000</v>
      </c>
      <c r="J769" s="1">
        <f t="shared" si="23"/>
        <v>44234</v>
      </c>
      <c r="K769">
        <f t="shared" si="22"/>
        <v>40.5</v>
      </c>
    </row>
    <row r="770" spans="1:11" x14ac:dyDescent="0.25">
      <c r="A770">
        <v>8</v>
      </c>
      <c r="B770" t="s">
        <v>11</v>
      </c>
      <c r="C770">
        <v>2021</v>
      </c>
      <c r="D770">
        <v>104.5</v>
      </c>
      <c r="E770" t="s">
        <v>9</v>
      </c>
      <c r="F770">
        <v>83</v>
      </c>
      <c r="G770" s="1">
        <f>DATE(C770, CHOOSE(MATCH(UPPER(B770), {"ENERO","FEBRERO","MARZO","ABRIL","MAYO","JUNIO","JULIO","AGOSTO","SEPTIEMBRE","OCTUBRE","NOVIEMBRE","DICIEMBRE"}, 0), 1,2,3,4,5,6,7,8,9,10,11,12), A770)</f>
        <v>44235</v>
      </c>
      <c r="H770">
        <v>21.5</v>
      </c>
      <c r="I770">
        <v>40000</v>
      </c>
      <c r="J770" s="1">
        <f t="shared" si="23"/>
        <v>44235</v>
      </c>
      <c r="K770">
        <f t="shared" si="22"/>
        <v>21.5</v>
      </c>
    </row>
    <row r="771" spans="1:11" x14ac:dyDescent="0.25">
      <c r="A771">
        <v>9</v>
      </c>
      <c r="B771" t="s">
        <v>11</v>
      </c>
      <c r="C771">
        <v>2021</v>
      </c>
      <c r="D771">
        <v>83</v>
      </c>
      <c r="E771">
        <v>-20</v>
      </c>
      <c r="F771">
        <v>38.5</v>
      </c>
      <c r="G771" s="1">
        <f>DATE(C771, CHOOSE(MATCH(UPPER(B771), {"ENERO","FEBRERO","MARZO","ABRIL","MAYO","JUNIO","JULIO","AGOSTO","SEPTIEMBRE","OCTUBRE","NOVIEMBRE","DICIEMBRE"}, 0), 1,2,3,4,5,6,7,8,9,10,11,12), A771)</f>
        <v>44236</v>
      </c>
      <c r="H771">
        <v>24.5</v>
      </c>
      <c r="I771">
        <v>40000</v>
      </c>
      <c r="J771" s="1">
        <f t="shared" si="23"/>
        <v>44236</v>
      </c>
      <c r="K771">
        <f t="shared" ref="K771:K834" si="24">VLOOKUP(J771, G:H, 2, FALSE)</f>
        <v>24.5</v>
      </c>
    </row>
    <row r="772" spans="1:11" x14ac:dyDescent="0.25">
      <c r="A772">
        <v>10</v>
      </c>
      <c r="B772" t="s">
        <v>11</v>
      </c>
      <c r="C772">
        <v>2021</v>
      </c>
      <c r="D772">
        <v>38.5</v>
      </c>
      <c r="E772">
        <v>70</v>
      </c>
      <c r="F772">
        <v>83.5</v>
      </c>
      <c r="G772" s="1">
        <f>DATE(C772, CHOOSE(MATCH(UPPER(B772), {"ENERO","FEBRERO","MARZO","ABRIL","MAYO","JUNIO","JULIO","AGOSTO","SEPTIEMBRE","OCTUBRE","NOVIEMBRE","DICIEMBRE"}, 0), 1,2,3,4,5,6,7,8,9,10,11,12), A772)</f>
        <v>44237</v>
      </c>
      <c r="H772">
        <v>25</v>
      </c>
      <c r="I772">
        <v>40000</v>
      </c>
      <c r="J772" s="1">
        <f t="shared" si="23"/>
        <v>44237</v>
      </c>
      <c r="K772">
        <f t="shared" si="24"/>
        <v>25</v>
      </c>
    </row>
    <row r="773" spans="1:11" x14ac:dyDescent="0.25">
      <c r="A773">
        <v>11</v>
      </c>
      <c r="B773" t="s">
        <v>11</v>
      </c>
      <c r="C773">
        <v>2021</v>
      </c>
      <c r="D773">
        <v>83.5</v>
      </c>
      <c r="E773">
        <v>38</v>
      </c>
      <c r="F773">
        <v>96.5</v>
      </c>
      <c r="G773" s="1">
        <f>DATE(C773, CHOOSE(MATCH(UPPER(B773), {"ENERO","FEBRERO","MARZO","ABRIL","MAYO","JUNIO","JULIO","AGOSTO","SEPTIEMBRE","OCTUBRE","NOVIEMBRE","DICIEMBRE"}, 0), 1,2,3,4,5,6,7,8,9,10,11,12), A773)</f>
        <v>44238</v>
      </c>
      <c r="H773">
        <v>25</v>
      </c>
      <c r="I773">
        <v>40000</v>
      </c>
      <c r="J773" s="1">
        <f t="shared" ref="J773:J836" si="25">DATE(2019,1,1) + ROW()-1</f>
        <v>44238</v>
      </c>
      <c r="K773">
        <f t="shared" si="24"/>
        <v>25</v>
      </c>
    </row>
    <row r="774" spans="1:11" x14ac:dyDescent="0.25">
      <c r="A774">
        <v>12</v>
      </c>
      <c r="B774" t="s">
        <v>11</v>
      </c>
      <c r="C774">
        <v>2021</v>
      </c>
      <c r="D774">
        <v>96.5</v>
      </c>
      <c r="E774" t="s">
        <v>9</v>
      </c>
      <c r="F774">
        <v>58.5</v>
      </c>
      <c r="G774" s="1">
        <f>DATE(C774, CHOOSE(MATCH(UPPER(B774), {"ENERO","FEBRERO","MARZO","ABRIL","MAYO","JUNIO","JULIO","AGOSTO","SEPTIEMBRE","OCTUBRE","NOVIEMBRE","DICIEMBRE"}, 0), 1,2,3,4,5,6,7,8,9,10,11,12), A774)</f>
        <v>44239</v>
      </c>
      <c r="H774">
        <v>38</v>
      </c>
      <c r="I774">
        <v>40000</v>
      </c>
      <c r="J774" s="1">
        <f t="shared" si="25"/>
        <v>44239</v>
      </c>
      <c r="K774">
        <f t="shared" si="24"/>
        <v>38</v>
      </c>
    </row>
    <row r="775" spans="1:11" x14ac:dyDescent="0.25">
      <c r="A775">
        <v>13</v>
      </c>
      <c r="B775" t="s">
        <v>11</v>
      </c>
      <c r="C775">
        <v>2021</v>
      </c>
      <c r="D775">
        <v>58.5</v>
      </c>
      <c r="E775">
        <v>82</v>
      </c>
      <c r="F775">
        <v>86</v>
      </c>
      <c r="G775" s="1">
        <f>DATE(C775, CHOOSE(MATCH(UPPER(B775), {"ENERO","FEBRERO","MARZO","ABRIL","MAYO","JUNIO","JULIO","AGOSTO","SEPTIEMBRE","OCTUBRE","NOVIEMBRE","DICIEMBRE"}, 0), 1,2,3,4,5,6,7,8,9,10,11,12), A775)</f>
        <v>44240</v>
      </c>
      <c r="H775">
        <v>54.5</v>
      </c>
      <c r="I775">
        <v>40000</v>
      </c>
      <c r="J775" s="1">
        <f t="shared" si="25"/>
        <v>44240</v>
      </c>
      <c r="K775">
        <f t="shared" si="24"/>
        <v>54.5</v>
      </c>
    </row>
    <row r="776" spans="1:11" x14ac:dyDescent="0.25">
      <c r="A776">
        <v>14</v>
      </c>
      <c r="B776" t="s">
        <v>11</v>
      </c>
      <c r="C776">
        <v>2021</v>
      </c>
      <c r="D776">
        <v>86</v>
      </c>
      <c r="E776">
        <v>75</v>
      </c>
      <c r="F776">
        <v>113</v>
      </c>
      <c r="G776" s="1">
        <f>DATE(C776, CHOOSE(MATCH(UPPER(B776), {"ENERO","FEBRERO","MARZO","ABRIL","MAYO","JUNIO","JULIO","AGOSTO","SEPTIEMBRE","OCTUBRE","NOVIEMBRE","DICIEMBRE"}, 0), 1,2,3,4,5,6,7,8,9,10,11,12), A776)</f>
        <v>44241</v>
      </c>
      <c r="H776">
        <v>48</v>
      </c>
      <c r="I776">
        <v>40000</v>
      </c>
      <c r="J776" s="1">
        <f t="shared" si="25"/>
        <v>44241</v>
      </c>
      <c r="K776">
        <f t="shared" si="24"/>
        <v>48</v>
      </c>
    </row>
    <row r="777" spans="1:11" x14ac:dyDescent="0.25">
      <c r="A777">
        <v>15</v>
      </c>
      <c r="B777" t="s">
        <v>11</v>
      </c>
      <c r="C777">
        <v>2021</v>
      </c>
      <c r="D777">
        <v>113</v>
      </c>
      <c r="E777">
        <v>70</v>
      </c>
      <c r="F777">
        <v>158.5</v>
      </c>
      <c r="G777" s="1">
        <f>DATE(C777, CHOOSE(MATCH(UPPER(B777), {"ENERO","FEBRERO","MARZO","ABRIL","MAYO","JUNIO","JULIO","AGOSTO","SEPTIEMBRE","OCTUBRE","NOVIEMBRE","DICIEMBRE"}, 0), 1,2,3,4,5,6,7,8,9,10,11,12), A777)</f>
        <v>44242</v>
      </c>
      <c r="H777">
        <v>24.5</v>
      </c>
      <c r="I777">
        <v>40000</v>
      </c>
      <c r="J777" s="1">
        <f t="shared" si="25"/>
        <v>44242</v>
      </c>
      <c r="K777">
        <f t="shared" si="24"/>
        <v>24.5</v>
      </c>
    </row>
    <row r="778" spans="1:11" x14ac:dyDescent="0.25">
      <c r="A778">
        <v>16</v>
      </c>
      <c r="B778" t="s">
        <v>11</v>
      </c>
      <c r="C778">
        <v>2021</v>
      </c>
      <c r="D778">
        <v>158.5</v>
      </c>
      <c r="E778" t="s">
        <v>9</v>
      </c>
      <c r="F778">
        <v>138</v>
      </c>
      <c r="G778" s="1">
        <f>DATE(C778, CHOOSE(MATCH(UPPER(B778), {"ENERO","FEBRERO","MARZO","ABRIL","MAYO","JUNIO","JULIO","AGOSTO","SEPTIEMBRE","OCTUBRE","NOVIEMBRE","DICIEMBRE"}, 0), 1,2,3,4,5,6,7,8,9,10,11,12), A778)</f>
        <v>44243</v>
      </c>
      <c r="H778">
        <v>20.5</v>
      </c>
      <c r="I778">
        <v>40000</v>
      </c>
      <c r="J778" s="1">
        <f t="shared" si="25"/>
        <v>44243</v>
      </c>
      <c r="K778">
        <f t="shared" si="24"/>
        <v>20.5</v>
      </c>
    </row>
    <row r="779" spans="1:11" x14ac:dyDescent="0.25">
      <c r="A779">
        <v>17</v>
      </c>
      <c r="B779" t="s">
        <v>11</v>
      </c>
      <c r="C779">
        <v>2021</v>
      </c>
      <c r="D779">
        <v>138</v>
      </c>
      <c r="E779" t="s">
        <v>9</v>
      </c>
      <c r="F779">
        <v>109</v>
      </c>
      <c r="G779" s="1">
        <f>DATE(C779, CHOOSE(MATCH(UPPER(B779), {"ENERO","FEBRERO","MARZO","ABRIL","MAYO","JUNIO","JULIO","AGOSTO","SEPTIEMBRE","OCTUBRE","NOVIEMBRE","DICIEMBRE"}, 0), 1,2,3,4,5,6,7,8,9,10,11,12), A779)</f>
        <v>44244</v>
      </c>
      <c r="H779">
        <v>29</v>
      </c>
      <c r="I779">
        <v>40000</v>
      </c>
      <c r="J779" s="1">
        <f t="shared" si="25"/>
        <v>44244</v>
      </c>
      <c r="K779">
        <f t="shared" si="24"/>
        <v>29</v>
      </c>
    </row>
    <row r="780" spans="1:11" x14ac:dyDescent="0.25">
      <c r="A780">
        <v>18</v>
      </c>
      <c r="B780" t="s">
        <v>11</v>
      </c>
      <c r="C780">
        <v>2021</v>
      </c>
      <c r="D780">
        <v>109</v>
      </c>
      <c r="E780">
        <v>40</v>
      </c>
      <c r="F780">
        <v>120.25</v>
      </c>
      <c r="G780" s="1">
        <f>DATE(C780, CHOOSE(MATCH(UPPER(B780), {"ENERO","FEBRERO","MARZO","ABRIL","MAYO","JUNIO","JULIO","AGOSTO","SEPTIEMBRE","OCTUBRE","NOVIEMBRE","DICIEMBRE"}, 0), 1,2,3,4,5,6,7,8,9,10,11,12), A780)</f>
        <v>44245</v>
      </c>
      <c r="H780">
        <v>28.75</v>
      </c>
      <c r="I780">
        <v>40000</v>
      </c>
      <c r="J780" s="1">
        <f t="shared" si="25"/>
        <v>44245</v>
      </c>
      <c r="K780">
        <f t="shared" si="24"/>
        <v>28.75</v>
      </c>
    </row>
    <row r="781" spans="1:11" x14ac:dyDescent="0.25">
      <c r="A781">
        <v>19</v>
      </c>
      <c r="B781" t="s">
        <v>11</v>
      </c>
      <c r="C781">
        <v>2021</v>
      </c>
      <c r="D781">
        <v>120.25</v>
      </c>
      <c r="E781" t="s">
        <v>9</v>
      </c>
      <c r="F781">
        <v>81.5</v>
      </c>
      <c r="G781" s="1">
        <f>DATE(C781, CHOOSE(MATCH(UPPER(B781), {"ENERO","FEBRERO","MARZO","ABRIL","MAYO","JUNIO","JULIO","AGOSTO","SEPTIEMBRE","OCTUBRE","NOVIEMBRE","DICIEMBRE"}, 0), 1,2,3,4,5,6,7,8,9,10,11,12), A781)</f>
        <v>44246</v>
      </c>
      <c r="H781">
        <v>38.75</v>
      </c>
      <c r="I781">
        <v>40000</v>
      </c>
      <c r="J781" s="1">
        <f t="shared" si="25"/>
        <v>44246</v>
      </c>
      <c r="K781">
        <f t="shared" si="24"/>
        <v>38.75</v>
      </c>
    </row>
    <row r="782" spans="1:11" x14ac:dyDescent="0.25">
      <c r="A782">
        <v>20</v>
      </c>
      <c r="B782" t="s">
        <v>11</v>
      </c>
      <c r="C782">
        <v>2021</v>
      </c>
      <c r="D782">
        <v>81.5</v>
      </c>
      <c r="E782">
        <v>72</v>
      </c>
      <c r="F782">
        <v>95</v>
      </c>
      <c r="G782" s="1">
        <f>DATE(C782, CHOOSE(MATCH(UPPER(B782), {"ENERO","FEBRERO","MARZO","ABRIL","MAYO","JUNIO","JULIO","AGOSTO","SEPTIEMBRE","OCTUBRE","NOVIEMBRE","DICIEMBRE"}, 0), 1,2,3,4,5,6,7,8,9,10,11,12), A782)</f>
        <v>44247</v>
      </c>
      <c r="H782">
        <v>58.5</v>
      </c>
      <c r="I782">
        <v>40000</v>
      </c>
      <c r="J782" s="1">
        <f t="shared" si="25"/>
        <v>44247</v>
      </c>
      <c r="K782">
        <f t="shared" si="24"/>
        <v>58.5</v>
      </c>
    </row>
    <row r="783" spans="1:11" x14ac:dyDescent="0.25">
      <c r="A783">
        <v>21</v>
      </c>
      <c r="B783" t="s">
        <v>11</v>
      </c>
      <c r="C783">
        <v>2021</v>
      </c>
      <c r="D783">
        <v>95</v>
      </c>
      <c r="E783" t="s">
        <v>9</v>
      </c>
      <c r="F783">
        <v>40</v>
      </c>
      <c r="G783" s="1">
        <f>DATE(C783, CHOOSE(MATCH(UPPER(B783), {"ENERO","FEBRERO","MARZO","ABRIL","MAYO","JUNIO","JULIO","AGOSTO","SEPTIEMBRE","OCTUBRE","NOVIEMBRE","DICIEMBRE"}, 0), 1,2,3,4,5,6,7,8,9,10,11,12), A783)</f>
        <v>44248</v>
      </c>
      <c r="H783">
        <v>55</v>
      </c>
      <c r="I783">
        <v>40000</v>
      </c>
      <c r="J783" s="1">
        <f t="shared" si="25"/>
        <v>44248</v>
      </c>
      <c r="K783">
        <f t="shared" si="24"/>
        <v>55</v>
      </c>
    </row>
    <row r="784" spans="1:11" x14ac:dyDescent="0.25">
      <c r="A784">
        <v>22</v>
      </c>
      <c r="B784" t="s">
        <v>11</v>
      </c>
      <c r="C784">
        <v>2021</v>
      </c>
      <c r="D784">
        <v>40</v>
      </c>
      <c r="E784">
        <v>105</v>
      </c>
      <c r="F784">
        <v>125</v>
      </c>
      <c r="G784" s="1">
        <f>DATE(C784, CHOOSE(MATCH(UPPER(B784), {"ENERO","FEBRERO","MARZO","ABRIL","MAYO","JUNIO","JULIO","AGOSTO","SEPTIEMBRE","OCTUBRE","NOVIEMBRE","DICIEMBRE"}, 0), 1,2,3,4,5,6,7,8,9,10,11,12), A784)</f>
        <v>44249</v>
      </c>
      <c r="H784">
        <v>20</v>
      </c>
      <c r="I784">
        <v>40000</v>
      </c>
      <c r="J784" s="1">
        <f t="shared" si="25"/>
        <v>44249</v>
      </c>
      <c r="K784">
        <f t="shared" si="24"/>
        <v>20</v>
      </c>
    </row>
    <row r="785" spans="1:11" x14ac:dyDescent="0.25">
      <c r="A785">
        <v>23</v>
      </c>
      <c r="B785" t="s">
        <v>11</v>
      </c>
      <c r="C785">
        <v>2021</v>
      </c>
      <c r="D785">
        <v>125</v>
      </c>
      <c r="E785">
        <v>-27</v>
      </c>
      <c r="F785">
        <v>70</v>
      </c>
      <c r="G785" s="1">
        <f>DATE(C785, CHOOSE(MATCH(UPPER(B785), {"ENERO","FEBRERO","MARZO","ABRIL","MAYO","JUNIO","JULIO","AGOSTO","SEPTIEMBRE","OCTUBRE","NOVIEMBRE","DICIEMBRE"}, 0), 1,2,3,4,5,6,7,8,9,10,11,12), A785)</f>
        <v>44250</v>
      </c>
      <c r="H785">
        <v>28</v>
      </c>
      <c r="I785">
        <v>40000</v>
      </c>
      <c r="J785" s="1">
        <f t="shared" si="25"/>
        <v>44250</v>
      </c>
      <c r="K785">
        <f t="shared" si="24"/>
        <v>28</v>
      </c>
    </row>
    <row r="786" spans="1:11" x14ac:dyDescent="0.25">
      <c r="A786">
        <v>24</v>
      </c>
      <c r="B786" t="s">
        <v>11</v>
      </c>
      <c r="C786">
        <v>2021</v>
      </c>
      <c r="D786">
        <v>70</v>
      </c>
      <c r="E786">
        <v>105</v>
      </c>
      <c r="F786">
        <v>145</v>
      </c>
      <c r="G786" s="1">
        <f>DATE(C786, CHOOSE(MATCH(UPPER(B786), {"ENERO","FEBRERO","MARZO","ABRIL","MAYO","JUNIO","JULIO","AGOSTO","SEPTIEMBRE","OCTUBRE","NOVIEMBRE","DICIEMBRE"}, 0), 1,2,3,4,5,6,7,8,9,10,11,12), A786)</f>
        <v>44251</v>
      </c>
      <c r="H786">
        <v>30</v>
      </c>
      <c r="I786">
        <v>40000</v>
      </c>
      <c r="J786" s="1">
        <f t="shared" si="25"/>
        <v>44251</v>
      </c>
      <c r="K786">
        <f t="shared" si="24"/>
        <v>30</v>
      </c>
    </row>
    <row r="787" spans="1:11" x14ac:dyDescent="0.25">
      <c r="A787">
        <v>25</v>
      </c>
      <c r="B787" t="s">
        <v>11</v>
      </c>
      <c r="C787">
        <v>2021</v>
      </c>
      <c r="D787">
        <v>145</v>
      </c>
      <c r="E787" t="s">
        <v>9</v>
      </c>
      <c r="F787">
        <v>111.5</v>
      </c>
      <c r="G787" s="1">
        <f>DATE(C787, CHOOSE(MATCH(UPPER(B787), {"ENERO","FEBRERO","MARZO","ABRIL","MAYO","JUNIO","JULIO","AGOSTO","SEPTIEMBRE","OCTUBRE","NOVIEMBRE","DICIEMBRE"}, 0), 1,2,3,4,5,6,7,8,9,10,11,12), A787)</f>
        <v>44252</v>
      </c>
      <c r="H787">
        <v>33.5</v>
      </c>
      <c r="I787">
        <v>40000</v>
      </c>
      <c r="J787" s="1">
        <f t="shared" si="25"/>
        <v>44252</v>
      </c>
      <c r="K787">
        <f t="shared" si="24"/>
        <v>33.5</v>
      </c>
    </row>
    <row r="788" spans="1:11" x14ac:dyDescent="0.25">
      <c r="A788">
        <v>26</v>
      </c>
      <c r="B788" t="s">
        <v>11</v>
      </c>
      <c r="C788">
        <v>2021</v>
      </c>
      <c r="D788">
        <v>111.5</v>
      </c>
      <c r="E788">
        <v>68</v>
      </c>
      <c r="F788">
        <v>134.5</v>
      </c>
      <c r="G788" s="1">
        <f>DATE(C788, CHOOSE(MATCH(UPPER(B788), {"ENERO","FEBRERO","MARZO","ABRIL","MAYO","JUNIO","JULIO","AGOSTO","SEPTIEMBRE","OCTUBRE","NOVIEMBRE","DICIEMBRE"}, 0), 1,2,3,4,5,6,7,8,9,10,11,12), A788)</f>
        <v>44253</v>
      </c>
      <c r="H788">
        <v>45</v>
      </c>
      <c r="I788">
        <v>40000</v>
      </c>
      <c r="J788" s="1">
        <f t="shared" si="25"/>
        <v>44253</v>
      </c>
      <c r="K788">
        <f t="shared" si="24"/>
        <v>45</v>
      </c>
    </row>
    <row r="789" spans="1:11" x14ac:dyDescent="0.25">
      <c r="A789">
        <v>27</v>
      </c>
      <c r="B789" t="s">
        <v>11</v>
      </c>
      <c r="C789">
        <v>2021</v>
      </c>
      <c r="D789">
        <v>134.5</v>
      </c>
      <c r="E789">
        <v>30</v>
      </c>
      <c r="F789">
        <v>100</v>
      </c>
      <c r="G789" s="1">
        <f>DATE(C789, CHOOSE(MATCH(UPPER(B789), {"ENERO","FEBRERO","MARZO","ABRIL","MAYO","JUNIO","JULIO","AGOSTO","SEPTIEMBRE","OCTUBRE","NOVIEMBRE","DICIEMBRE"}, 0), 1,2,3,4,5,6,7,8,9,10,11,12), A789)</f>
        <v>44254</v>
      </c>
      <c r="H789">
        <v>64.5</v>
      </c>
      <c r="I789">
        <v>40000</v>
      </c>
      <c r="J789" s="1">
        <f t="shared" si="25"/>
        <v>44254</v>
      </c>
      <c r="K789">
        <f t="shared" si="24"/>
        <v>64.5</v>
      </c>
    </row>
    <row r="790" spans="1:11" x14ac:dyDescent="0.25">
      <c r="A790">
        <v>28</v>
      </c>
      <c r="B790" t="s">
        <v>11</v>
      </c>
      <c r="C790">
        <v>2021</v>
      </c>
      <c r="D790">
        <v>100</v>
      </c>
      <c r="E790">
        <v>-23</v>
      </c>
      <c r="F790">
        <v>14</v>
      </c>
      <c r="G790" s="1">
        <f>DATE(C790, CHOOSE(MATCH(UPPER(B790), {"ENERO","FEBRERO","MARZO","ABRIL","MAYO","JUNIO","JULIO","AGOSTO","SEPTIEMBRE","OCTUBRE","NOVIEMBRE","DICIEMBRE"}, 0), 1,2,3,4,5,6,7,8,9,10,11,12), A790)</f>
        <v>44255</v>
      </c>
      <c r="H790">
        <v>63</v>
      </c>
      <c r="I790">
        <v>40000</v>
      </c>
      <c r="J790" s="1">
        <f t="shared" si="25"/>
        <v>44255</v>
      </c>
      <c r="K790">
        <f t="shared" si="24"/>
        <v>63</v>
      </c>
    </row>
    <row r="791" spans="1:11" x14ac:dyDescent="0.25">
      <c r="A791">
        <v>1</v>
      </c>
      <c r="B791" t="s">
        <v>12</v>
      </c>
      <c r="C791">
        <v>2021</v>
      </c>
      <c r="D791">
        <v>14</v>
      </c>
      <c r="E791">
        <v>105</v>
      </c>
      <c r="F791">
        <v>100.5</v>
      </c>
      <c r="G791" s="1">
        <f>DATE(C791, CHOOSE(MATCH(UPPER(B791), {"ENERO","FEBRERO","MARZO","ABRIL","MAYO","JUNIO","JULIO","AGOSTO","SEPTIEMBRE","OCTUBRE","NOVIEMBRE","DICIEMBRE"}, 0), 1,2,3,4,5,6,7,8,9,10,11,12), A791)</f>
        <v>44256</v>
      </c>
      <c r="H791">
        <v>18.5</v>
      </c>
      <c r="I791">
        <v>40000</v>
      </c>
      <c r="J791" s="1">
        <f t="shared" si="25"/>
        <v>44256</v>
      </c>
      <c r="K791">
        <f t="shared" si="24"/>
        <v>18.5</v>
      </c>
    </row>
    <row r="792" spans="1:11" x14ac:dyDescent="0.25">
      <c r="A792">
        <v>2</v>
      </c>
      <c r="B792" t="s">
        <v>12</v>
      </c>
      <c r="C792">
        <v>2021</v>
      </c>
      <c r="D792">
        <v>100.5</v>
      </c>
      <c r="E792">
        <v>-30</v>
      </c>
      <c r="F792">
        <v>43</v>
      </c>
      <c r="G792" s="1">
        <f>DATE(C792, CHOOSE(MATCH(UPPER(B792), {"ENERO","FEBRERO","MARZO","ABRIL","MAYO","JUNIO","JULIO","AGOSTO","SEPTIEMBRE","OCTUBRE","NOVIEMBRE","DICIEMBRE"}, 0), 1,2,3,4,5,6,7,8,9,10,11,12), A792)</f>
        <v>44257</v>
      </c>
      <c r="H792">
        <v>27.5</v>
      </c>
      <c r="I792">
        <v>40000</v>
      </c>
      <c r="J792" s="1">
        <f t="shared" si="25"/>
        <v>44257</v>
      </c>
      <c r="K792">
        <f t="shared" si="24"/>
        <v>27.5</v>
      </c>
    </row>
    <row r="793" spans="1:11" x14ac:dyDescent="0.25">
      <c r="A793">
        <v>3</v>
      </c>
      <c r="B793" t="s">
        <v>12</v>
      </c>
      <c r="C793">
        <v>2021</v>
      </c>
      <c r="D793">
        <v>43</v>
      </c>
      <c r="E793">
        <v>70</v>
      </c>
      <c r="F793">
        <v>88</v>
      </c>
      <c r="G793" s="1">
        <f>DATE(C793, CHOOSE(MATCH(UPPER(B793), {"ENERO","FEBRERO","MARZO","ABRIL","MAYO","JUNIO","JULIO","AGOSTO","SEPTIEMBRE","OCTUBRE","NOVIEMBRE","DICIEMBRE"}, 0), 1,2,3,4,5,6,7,8,9,10,11,12), A793)</f>
        <v>44258</v>
      </c>
      <c r="H793">
        <v>25</v>
      </c>
      <c r="I793">
        <v>40000</v>
      </c>
      <c r="J793" s="1">
        <f t="shared" si="25"/>
        <v>44258</v>
      </c>
      <c r="K793">
        <f t="shared" si="24"/>
        <v>25</v>
      </c>
    </row>
    <row r="794" spans="1:11" x14ac:dyDescent="0.25">
      <c r="A794">
        <v>4</v>
      </c>
      <c r="B794" t="s">
        <v>12</v>
      </c>
      <c r="C794">
        <v>2021</v>
      </c>
      <c r="D794">
        <v>88</v>
      </c>
      <c r="E794">
        <v>75</v>
      </c>
      <c r="F794">
        <v>127.5</v>
      </c>
      <c r="G794" s="1">
        <f>DATE(C794, CHOOSE(MATCH(UPPER(B794), {"ENERO","FEBRERO","MARZO","ABRIL","MAYO","JUNIO","JULIO","AGOSTO","SEPTIEMBRE","OCTUBRE","NOVIEMBRE","DICIEMBRE"}, 0), 1,2,3,4,5,6,7,8,9,10,11,12), A794)</f>
        <v>44259</v>
      </c>
      <c r="H794">
        <v>35.5</v>
      </c>
      <c r="I794">
        <v>40000</v>
      </c>
      <c r="J794" s="1">
        <f t="shared" si="25"/>
        <v>44259</v>
      </c>
      <c r="K794">
        <f t="shared" si="24"/>
        <v>35.5</v>
      </c>
    </row>
    <row r="795" spans="1:11" x14ac:dyDescent="0.25">
      <c r="A795">
        <v>5</v>
      </c>
      <c r="B795" t="s">
        <v>12</v>
      </c>
      <c r="C795">
        <v>2021</v>
      </c>
      <c r="D795">
        <v>127.5</v>
      </c>
      <c r="E795">
        <v>105</v>
      </c>
      <c r="F795">
        <v>185.5</v>
      </c>
      <c r="G795" s="1">
        <f>DATE(C795, CHOOSE(MATCH(UPPER(B795), {"ENERO","FEBRERO","MARZO","ABRIL","MAYO","JUNIO","JULIO","AGOSTO","SEPTIEMBRE","OCTUBRE","NOVIEMBRE","DICIEMBRE"}, 0), 1,2,3,4,5,6,7,8,9,10,11,12), A795)</f>
        <v>44260</v>
      </c>
      <c r="H795">
        <v>47</v>
      </c>
      <c r="I795">
        <v>40000</v>
      </c>
      <c r="J795" s="1">
        <f t="shared" si="25"/>
        <v>44260</v>
      </c>
      <c r="K795">
        <f t="shared" si="24"/>
        <v>47</v>
      </c>
    </row>
    <row r="796" spans="1:11" x14ac:dyDescent="0.25">
      <c r="A796">
        <v>6</v>
      </c>
      <c r="B796" t="s">
        <v>12</v>
      </c>
      <c r="C796">
        <v>2021</v>
      </c>
      <c r="D796">
        <v>185.5</v>
      </c>
      <c r="E796">
        <v>-53</v>
      </c>
      <c r="F796">
        <v>79</v>
      </c>
      <c r="G796" s="1">
        <f>DATE(C796, CHOOSE(MATCH(UPPER(B796), {"ENERO","FEBRERO","MARZO","ABRIL","MAYO","JUNIO","JULIO","AGOSTO","SEPTIEMBRE","OCTUBRE","NOVIEMBRE","DICIEMBRE"}, 0), 1,2,3,4,5,6,7,8,9,10,11,12), A796)</f>
        <v>44261</v>
      </c>
      <c r="H796">
        <v>53.5</v>
      </c>
      <c r="I796">
        <v>40000</v>
      </c>
      <c r="J796" s="1">
        <f t="shared" si="25"/>
        <v>44261</v>
      </c>
      <c r="K796">
        <f t="shared" si="24"/>
        <v>53.5</v>
      </c>
    </row>
    <row r="797" spans="1:11" x14ac:dyDescent="0.25">
      <c r="A797">
        <v>7</v>
      </c>
      <c r="B797" t="s">
        <v>12</v>
      </c>
      <c r="C797">
        <v>2021</v>
      </c>
      <c r="D797">
        <v>79</v>
      </c>
      <c r="E797" t="s">
        <v>9</v>
      </c>
      <c r="F797">
        <v>16</v>
      </c>
      <c r="G797" s="1">
        <f>DATE(C797, CHOOSE(MATCH(UPPER(B797), {"ENERO","FEBRERO","MARZO","ABRIL","MAYO","JUNIO","JULIO","AGOSTO","SEPTIEMBRE","OCTUBRE","NOVIEMBRE","DICIEMBRE"}, 0), 1,2,3,4,5,6,7,8,9,10,11,12), A797)</f>
        <v>44262</v>
      </c>
      <c r="H797">
        <v>63</v>
      </c>
      <c r="I797">
        <v>40000</v>
      </c>
      <c r="J797" s="1">
        <f t="shared" si="25"/>
        <v>44262</v>
      </c>
      <c r="K797">
        <f t="shared" si="24"/>
        <v>63</v>
      </c>
    </row>
    <row r="798" spans="1:11" x14ac:dyDescent="0.25">
      <c r="A798">
        <v>8</v>
      </c>
      <c r="B798" t="s">
        <v>12</v>
      </c>
      <c r="C798">
        <v>2021</v>
      </c>
      <c r="D798">
        <v>16</v>
      </c>
      <c r="E798">
        <v>67</v>
      </c>
      <c r="F798">
        <v>39</v>
      </c>
      <c r="G798" s="1">
        <f>DATE(C798, CHOOSE(MATCH(UPPER(B798), {"ENERO","FEBRERO","MARZO","ABRIL","MAYO","JUNIO","JULIO","AGOSTO","SEPTIEMBRE","OCTUBRE","NOVIEMBRE","DICIEMBRE"}, 0), 1,2,3,4,5,6,7,8,9,10,11,12), A798)</f>
        <v>44263</v>
      </c>
      <c r="H798">
        <v>44</v>
      </c>
      <c r="I798">
        <v>40000</v>
      </c>
      <c r="J798" s="1">
        <f t="shared" si="25"/>
        <v>44263</v>
      </c>
      <c r="K798">
        <f t="shared" si="24"/>
        <v>44</v>
      </c>
    </row>
    <row r="799" spans="1:11" x14ac:dyDescent="0.25">
      <c r="A799">
        <v>9</v>
      </c>
      <c r="B799" t="s">
        <v>12</v>
      </c>
      <c r="C799">
        <v>2021</v>
      </c>
      <c r="D799">
        <v>39</v>
      </c>
      <c r="E799">
        <v>65</v>
      </c>
      <c r="F799">
        <v>87</v>
      </c>
      <c r="G799" s="1">
        <f>DATE(C799, CHOOSE(MATCH(UPPER(B799), {"ENERO","FEBRERO","MARZO","ABRIL","MAYO","JUNIO","JULIO","AGOSTO","SEPTIEMBRE","OCTUBRE","NOVIEMBRE","DICIEMBRE"}, 0), 1,2,3,4,5,6,7,8,9,10,11,12), A799)</f>
        <v>44264</v>
      </c>
      <c r="H799">
        <v>17</v>
      </c>
      <c r="I799">
        <v>40000</v>
      </c>
      <c r="J799" s="1">
        <f t="shared" si="25"/>
        <v>44264</v>
      </c>
      <c r="K799">
        <f t="shared" si="24"/>
        <v>17</v>
      </c>
    </row>
    <row r="800" spans="1:11" x14ac:dyDescent="0.25">
      <c r="A800">
        <v>10</v>
      </c>
      <c r="B800" t="s">
        <v>12</v>
      </c>
      <c r="C800">
        <v>2021</v>
      </c>
      <c r="D800">
        <v>87</v>
      </c>
      <c r="E800" t="s">
        <v>9</v>
      </c>
      <c r="F800">
        <v>63</v>
      </c>
      <c r="G800" s="1">
        <f>DATE(C800, CHOOSE(MATCH(UPPER(B800), {"ENERO","FEBRERO","MARZO","ABRIL","MAYO","JUNIO","JULIO","AGOSTO","SEPTIEMBRE","OCTUBRE","NOVIEMBRE","DICIEMBRE"}, 0), 1,2,3,4,5,6,7,8,9,10,11,12), A800)</f>
        <v>44265</v>
      </c>
      <c r="H800">
        <v>24</v>
      </c>
      <c r="I800">
        <v>40000</v>
      </c>
      <c r="J800" s="1">
        <f t="shared" si="25"/>
        <v>44265</v>
      </c>
      <c r="K800">
        <f t="shared" si="24"/>
        <v>24</v>
      </c>
    </row>
    <row r="801" spans="1:11" x14ac:dyDescent="0.25">
      <c r="A801">
        <v>11</v>
      </c>
      <c r="B801" t="s">
        <v>12</v>
      </c>
      <c r="C801">
        <v>2021</v>
      </c>
      <c r="D801">
        <v>63</v>
      </c>
      <c r="E801">
        <v>70</v>
      </c>
      <c r="F801">
        <v>100.5</v>
      </c>
      <c r="G801" s="1">
        <f>DATE(C801, CHOOSE(MATCH(UPPER(B801), {"ENERO","FEBRERO","MARZO","ABRIL","MAYO","JUNIO","JULIO","AGOSTO","SEPTIEMBRE","OCTUBRE","NOVIEMBRE","DICIEMBRE"}, 0), 1,2,3,4,5,6,7,8,9,10,11,12), A801)</f>
        <v>44266</v>
      </c>
      <c r="H801">
        <v>32.5</v>
      </c>
      <c r="I801">
        <v>40000</v>
      </c>
      <c r="J801" s="1">
        <f t="shared" si="25"/>
        <v>44266</v>
      </c>
      <c r="K801">
        <f t="shared" si="24"/>
        <v>32.5</v>
      </c>
    </row>
    <row r="802" spans="1:11" x14ac:dyDescent="0.25">
      <c r="A802">
        <v>12</v>
      </c>
      <c r="B802" t="s">
        <v>12</v>
      </c>
      <c r="C802">
        <v>2021</v>
      </c>
      <c r="D802">
        <v>100.5</v>
      </c>
      <c r="E802" t="s">
        <v>9</v>
      </c>
      <c r="F802">
        <v>53</v>
      </c>
      <c r="G802" s="1">
        <f>DATE(C802, CHOOSE(MATCH(UPPER(B802), {"ENERO","FEBRERO","MARZO","ABRIL","MAYO","JUNIO","JULIO","AGOSTO","SEPTIEMBRE","OCTUBRE","NOVIEMBRE","DICIEMBRE"}, 0), 1,2,3,4,5,6,7,8,9,10,11,12), A802)</f>
        <v>44267</v>
      </c>
      <c r="H802">
        <v>47.5</v>
      </c>
      <c r="I802">
        <v>40000</v>
      </c>
      <c r="J802" s="1">
        <f t="shared" si="25"/>
        <v>44267</v>
      </c>
      <c r="K802">
        <f t="shared" si="24"/>
        <v>47.5</v>
      </c>
    </row>
    <row r="803" spans="1:11" x14ac:dyDescent="0.25">
      <c r="A803">
        <v>13</v>
      </c>
      <c r="B803" t="s">
        <v>12</v>
      </c>
      <c r="C803">
        <v>2021</v>
      </c>
      <c r="D803">
        <v>53</v>
      </c>
      <c r="E803">
        <v>18</v>
      </c>
      <c r="F803">
        <v>26</v>
      </c>
      <c r="G803" s="1">
        <f>DATE(C803, CHOOSE(MATCH(UPPER(B803), {"ENERO","FEBRERO","MARZO","ABRIL","MAYO","JUNIO","JULIO","AGOSTO","SEPTIEMBRE","OCTUBRE","NOVIEMBRE","DICIEMBRE"}, 0), 1,2,3,4,5,6,7,8,9,10,11,12), A803)</f>
        <v>44268</v>
      </c>
      <c r="H803">
        <v>45</v>
      </c>
      <c r="I803">
        <v>40000</v>
      </c>
      <c r="J803" s="1">
        <f t="shared" si="25"/>
        <v>44268</v>
      </c>
      <c r="K803">
        <f t="shared" si="24"/>
        <v>45</v>
      </c>
    </row>
    <row r="804" spans="1:11" x14ac:dyDescent="0.25">
      <c r="A804">
        <v>14</v>
      </c>
      <c r="B804" t="s">
        <v>12</v>
      </c>
      <c r="C804">
        <v>2021</v>
      </c>
      <c r="D804">
        <v>26</v>
      </c>
      <c r="E804">
        <v>105</v>
      </c>
      <c r="F804">
        <v>77</v>
      </c>
      <c r="G804" s="1">
        <f>DATE(C804, CHOOSE(MATCH(UPPER(B804), {"ENERO","FEBRERO","MARZO","ABRIL","MAYO","JUNIO","JULIO","AGOSTO","SEPTIEMBRE","OCTUBRE","NOVIEMBRE","DICIEMBRE"}, 0), 1,2,3,4,5,6,7,8,9,10,11,12), A804)</f>
        <v>44269</v>
      </c>
      <c r="H804">
        <v>54</v>
      </c>
      <c r="I804">
        <v>40000</v>
      </c>
      <c r="J804" s="1">
        <f t="shared" si="25"/>
        <v>44269</v>
      </c>
      <c r="K804">
        <f t="shared" si="24"/>
        <v>54</v>
      </c>
    </row>
    <row r="805" spans="1:11" x14ac:dyDescent="0.25">
      <c r="A805">
        <v>15</v>
      </c>
      <c r="B805" t="s">
        <v>12</v>
      </c>
      <c r="C805">
        <v>2021</v>
      </c>
      <c r="D805">
        <v>77</v>
      </c>
      <c r="E805">
        <v>55</v>
      </c>
      <c r="F805">
        <v>99</v>
      </c>
      <c r="G805" s="1">
        <f>DATE(C805, CHOOSE(MATCH(UPPER(B805), {"ENERO","FEBRERO","MARZO","ABRIL","MAYO","JUNIO","JULIO","AGOSTO","SEPTIEMBRE","OCTUBRE","NOVIEMBRE","DICIEMBRE"}, 0), 1,2,3,4,5,6,7,8,9,10,11,12), A805)</f>
        <v>44270</v>
      </c>
      <c r="H805">
        <v>33</v>
      </c>
      <c r="I805">
        <v>40000</v>
      </c>
      <c r="J805" s="1">
        <f t="shared" si="25"/>
        <v>44270</v>
      </c>
      <c r="K805">
        <f t="shared" si="24"/>
        <v>33</v>
      </c>
    </row>
    <row r="806" spans="1:11" x14ac:dyDescent="0.25">
      <c r="A806">
        <v>16</v>
      </c>
      <c r="B806" t="s">
        <v>12</v>
      </c>
      <c r="C806">
        <v>2021</v>
      </c>
      <c r="D806">
        <v>99</v>
      </c>
      <c r="E806">
        <v>-3</v>
      </c>
      <c r="F806">
        <v>66.5</v>
      </c>
      <c r="G806" s="1">
        <f>DATE(C806, CHOOSE(MATCH(UPPER(B806), {"ENERO","FEBRERO","MARZO","ABRIL","MAYO","JUNIO","JULIO","AGOSTO","SEPTIEMBRE","OCTUBRE","NOVIEMBRE","DICIEMBRE"}, 0), 1,2,3,4,5,6,7,8,9,10,11,12), A806)</f>
        <v>44271</v>
      </c>
      <c r="H806">
        <v>29.5</v>
      </c>
      <c r="I806">
        <v>40000</v>
      </c>
      <c r="J806" s="1">
        <f t="shared" si="25"/>
        <v>44271</v>
      </c>
      <c r="K806">
        <f t="shared" si="24"/>
        <v>29.5</v>
      </c>
    </row>
    <row r="807" spans="1:11" x14ac:dyDescent="0.25">
      <c r="A807">
        <v>17</v>
      </c>
      <c r="B807" t="s">
        <v>12</v>
      </c>
      <c r="C807">
        <v>2021</v>
      </c>
      <c r="D807">
        <v>66.5</v>
      </c>
      <c r="E807" t="s">
        <v>9</v>
      </c>
      <c r="F807">
        <v>33.5</v>
      </c>
      <c r="G807" s="1">
        <f>DATE(C807, CHOOSE(MATCH(UPPER(B807), {"ENERO","FEBRERO","MARZO","ABRIL","MAYO","JUNIO","JULIO","AGOSTO","SEPTIEMBRE","OCTUBRE","NOVIEMBRE","DICIEMBRE"}, 0), 1,2,3,4,5,6,7,8,9,10,11,12), A807)</f>
        <v>44272</v>
      </c>
      <c r="H807">
        <v>33</v>
      </c>
      <c r="I807">
        <v>40000</v>
      </c>
      <c r="J807" s="1">
        <f t="shared" si="25"/>
        <v>44272</v>
      </c>
      <c r="K807">
        <f t="shared" si="24"/>
        <v>33</v>
      </c>
    </row>
    <row r="808" spans="1:11" x14ac:dyDescent="0.25">
      <c r="A808">
        <v>18</v>
      </c>
      <c r="B808" t="s">
        <v>12</v>
      </c>
      <c r="C808">
        <v>2021</v>
      </c>
      <c r="D808">
        <v>33.5</v>
      </c>
      <c r="E808">
        <v>50</v>
      </c>
      <c r="F808">
        <v>59</v>
      </c>
      <c r="G808" s="1">
        <f>DATE(C808, CHOOSE(MATCH(UPPER(B808), {"ENERO","FEBRERO","MARZO","ABRIL","MAYO","JUNIO","JULIO","AGOSTO","SEPTIEMBRE","OCTUBRE","NOVIEMBRE","DICIEMBRE"}, 0), 1,2,3,4,5,6,7,8,9,10,11,12), A808)</f>
        <v>44273</v>
      </c>
      <c r="H808">
        <v>24.5</v>
      </c>
      <c r="I808">
        <v>40000</v>
      </c>
      <c r="J808" s="1">
        <f t="shared" si="25"/>
        <v>44273</v>
      </c>
      <c r="K808">
        <f t="shared" si="24"/>
        <v>24.5</v>
      </c>
    </row>
    <row r="809" spans="1:11" x14ac:dyDescent="0.25">
      <c r="A809">
        <v>19</v>
      </c>
      <c r="B809" t="s">
        <v>12</v>
      </c>
      <c r="C809">
        <v>2021</v>
      </c>
      <c r="D809">
        <v>59</v>
      </c>
      <c r="E809">
        <v>120</v>
      </c>
      <c r="F809">
        <v>147</v>
      </c>
      <c r="G809" s="1">
        <f>DATE(C809, CHOOSE(MATCH(UPPER(B809), {"ENERO","FEBRERO","MARZO","ABRIL","MAYO","JUNIO","JULIO","AGOSTO","SEPTIEMBRE","OCTUBRE","NOVIEMBRE","DICIEMBRE"}, 0), 1,2,3,4,5,6,7,8,9,10,11,12), A809)</f>
        <v>44274</v>
      </c>
      <c r="H809">
        <v>32</v>
      </c>
      <c r="I809">
        <v>40000</v>
      </c>
      <c r="J809" s="1">
        <f t="shared" si="25"/>
        <v>44274</v>
      </c>
      <c r="K809">
        <f t="shared" si="24"/>
        <v>32</v>
      </c>
    </row>
    <row r="810" spans="1:11" x14ac:dyDescent="0.25">
      <c r="A810">
        <v>20</v>
      </c>
      <c r="B810" t="s">
        <v>12</v>
      </c>
      <c r="C810">
        <v>2021</v>
      </c>
      <c r="D810">
        <v>147</v>
      </c>
      <c r="E810" t="s">
        <v>9</v>
      </c>
      <c r="F810">
        <v>84</v>
      </c>
      <c r="G810" s="1">
        <f>DATE(C810, CHOOSE(MATCH(UPPER(B810), {"ENERO","FEBRERO","MARZO","ABRIL","MAYO","JUNIO","JULIO","AGOSTO","SEPTIEMBRE","OCTUBRE","NOVIEMBRE","DICIEMBRE"}, 0), 1,2,3,4,5,6,7,8,9,10,11,12), A810)</f>
        <v>44275</v>
      </c>
      <c r="H810">
        <v>63</v>
      </c>
      <c r="I810">
        <v>40000</v>
      </c>
      <c r="J810" s="1">
        <f t="shared" si="25"/>
        <v>44275</v>
      </c>
      <c r="K810">
        <f t="shared" si="24"/>
        <v>63</v>
      </c>
    </row>
    <row r="811" spans="1:11" x14ac:dyDescent="0.25">
      <c r="A811">
        <v>21</v>
      </c>
      <c r="B811" t="s">
        <v>12</v>
      </c>
      <c r="C811">
        <v>2021</v>
      </c>
      <c r="D811">
        <v>84</v>
      </c>
      <c r="E811">
        <v>50</v>
      </c>
      <c r="F811">
        <v>79.5</v>
      </c>
      <c r="G811" s="1">
        <f>DATE(C811, CHOOSE(MATCH(UPPER(B811), {"ENERO","FEBRERO","MARZO","ABRIL","MAYO","JUNIO","JULIO","AGOSTO","SEPTIEMBRE","OCTUBRE","NOVIEMBRE","DICIEMBRE"}, 0), 1,2,3,4,5,6,7,8,9,10,11,12), A811)</f>
        <v>44276</v>
      </c>
      <c r="H811">
        <v>54.5</v>
      </c>
      <c r="I811">
        <v>40000</v>
      </c>
      <c r="J811" s="1">
        <f t="shared" si="25"/>
        <v>44276</v>
      </c>
      <c r="K811">
        <f t="shared" si="24"/>
        <v>54.5</v>
      </c>
    </row>
    <row r="812" spans="1:11" x14ac:dyDescent="0.25">
      <c r="A812">
        <v>22</v>
      </c>
      <c r="B812" t="s">
        <v>12</v>
      </c>
      <c r="C812">
        <v>2021</v>
      </c>
      <c r="D812">
        <v>79.5</v>
      </c>
      <c r="E812" t="s">
        <v>9</v>
      </c>
      <c r="F812">
        <v>38.5</v>
      </c>
      <c r="G812" s="1">
        <f>DATE(C812, CHOOSE(MATCH(UPPER(B812), {"ENERO","FEBRERO","MARZO","ABRIL","MAYO","JUNIO","JULIO","AGOSTO","SEPTIEMBRE","OCTUBRE","NOVIEMBRE","DICIEMBRE"}, 0), 1,2,3,4,5,6,7,8,9,10,11,12), A812)</f>
        <v>44277</v>
      </c>
      <c r="H812">
        <v>41</v>
      </c>
      <c r="I812">
        <v>40000</v>
      </c>
      <c r="J812" s="1">
        <f t="shared" si="25"/>
        <v>44277</v>
      </c>
      <c r="K812">
        <f t="shared" si="24"/>
        <v>41</v>
      </c>
    </row>
    <row r="813" spans="1:11" x14ac:dyDescent="0.25">
      <c r="A813">
        <v>23</v>
      </c>
      <c r="B813" t="s">
        <v>12</v>
      </c>
      <c r="C813">
        <v>2021</v>
      </c>
      <c r="D813">
        <v>38.5</v>
      </c>
      <c r="E813">
        <v>110</v>
      </c>
      <c r="F813">
        <v>116</v>
      </c>
      <c r="G813" s="1">
        <f>DATE(C813, CHOOSE(MATCH(UPPER(B813), {"ENERO","FEBRERO","MARZO","ABRIL","MAYO","JUNIO","JULIO","AGOSTO","SEPTIEMBRE","OCTUBRE","NOVIEMBRE","DICIEMBRE"}, 0), 1,2,3,4,5,6,7,8,9,10,11,12), A813)</f>
        <v>44278</v>
      </c>
      <c r="H813">
        <v>32.5</v>
      </c>
      <c r="I813">
        <v>40000</v>
      </c>
      <c r="J813" s="1">
        <f t="shared" si="25"/>
        <v>44278</v>
      </c>
      <c r="K813">
        <f t="shared" si="24"/>
        <v>32.5</v>
      </c>
    </row>
    <row r="814" spans="1:11" x14ac:dyDescent="0.25">
      <c r="A814">
        <v>24</v>
      </c>
      <c r="B814" t="s">
        <v>12</v>
      </c>
      <c r="C814">
        <v>2021</v>
      </c>
      <c r="D814">
        <v>116</v>
      </c>
      <c r="E814" t="s">
        <v>9</v>
      </c>
      <c r="F814">
        <v>84</v>
      </c>
      <c r="G814" s="1">
        <f>DATE(C814, CHOOSE(MATCH(UPPER(B814), {"ENERO","FEBRERO","MARZO","ABRIL","MAYO","JUNIO","JULIO","AGOSTO","SEPTIEMBRE","OCTUBRE","NOVIEMBRE","DICIEMBRE"}, 0), 1,2,3,4,5,6,7,8,9,10,11,12), A814)</f>
        <v>44279</v>
      </c>
      <c r="H814">
        <v>32</v>
      </c>
      <c r="I814">
        <v>40000</v>
      </c>
      <c r="J814" s="1">
        <f t="shared" si="25"/>
        <v>44279</v>
      </c>
      <c r="K814">
        <f t="shared" si="24"/>
        <v>32</v>
      </c>
    </row>
    <row r="815" spans="1:11" x14ac:dyDescent="0.25">
      <c r="A815">
        <v>25</v>
      </c>
      <c r="B815" t="s">
        <v>12</v>
      </c>
      <c r="C815">
        <v>2021</v>
      </c>
      <c r="D815">
        <v>84</v>
      </c>
      <c r="E815" t="s">
        <v>9</v>
      </c>
      <c r="F815">
        <v>56.75</v>
      </c>
      <c r="G815" s="1">
        <f>DATE(C815, CHOOSE(MATCH(UPPER(B815), {"ENERO","FEBRERO","MARZO","ABRIL","MAYO","JUNIO","JULIO","AGOSTO","SEPTIEMBRE","OCTUBRE","NOVIEMBRE","DICIEMBRE"}, 0), 1,2,3,4,5,6,7,8,9,10,11,12), A815)</f>
        <v>44280</v>
      </c>
      <c r="H815">
        <v>27.25</v>
      </c>
      <c r="I815">
        <v>40000</v>
      </c>
      <c r="J815" s="1">
        <f t="shared" si="25"/>
        <v>44280</v>
      </c>
      <c r="K815">
        <f t="shared" si="24"/>
        <v>27.25</v>
      </c>
    </row>
    <row r="816" spans="1:11" x14ac:dyDescent="0.25">
      <c r="A816">
        <v>26</v>
      </c>
      <c r="B816" t="s">
        <v>12</v>
      </c>
      <c r="C816">
        <v>2021</v>
      </c>
      <c r="D816">
        <v>56.75</v>
      </c>
      <c r="E816">
        <v>20</v>
      </c>
      <c r="F816">
        <v>29.5</v>
      </c>
      <c r="G816" s="1">
        <f>DATE(C816, CHOOSE(MATCH(UPPER(B816), {"ENERO","FEBRERO","MARZO","ABRIL","MAYO","JUNIO","JULIO","AGOSTO","SEPTIEMBRE","OCTUBRE","NOVIEMBRE","DICIEMBRE"}, 0), 1,2,3,4,5,6,7,8,9,10,11,12), A816)</f>
        <v>44281</v>
      </c>
      <c r="H816">
        <v>47.25</v>
      </c>
      <c r="I816">
        <v>40000</v>
      </c>
      <c r="J816" s="1">
        <f t="shared" si="25"/>
        <v>44281</v>
      </c>
      <c r="K816">
        <f t="shared" si="24"/>
        <v>47.25</v>
      </c>
    </row>
    <row r="817" spans="1:11" x14ac:dyDescent="0.25">
      <c r="A817">
        <v>27</v>
      </c>
      <c r="B817" t="s">
        <v>12</v>
      </c>
      <c r="C817">
        <v>2021</v>
      </c>
      <c r="D817">
        <v>29.5</v>
      </c>
      <c r="E817">
        <v>180</v>
      </c>
      <c r="F817">
        <v>144.5</v>
      </c>
      <c r="G817" s="1">
        <f>DATE(C817, CHOOSE(MATCH(UPPER(B817), {"ENERO","FEBRERO","MARZO","ABRIL","MAYO","JUNIO","JULIO","AGOSTO","SEPTIEMBRE","OCTUBRE","NOVIEMBRE","DICIEMBRE"}, 0), 1,2,3,4,5,6,7,8,9,10,11,12), A817)</f>
        <v>44282</v>
      </c>
      <c r="H817">
        <v>65</v>
      </c>
      <c r="I817">
        <v>40000</v>
      </c>
      <c r="J817" s="1">
        <f t="shared" si="25"/>
        <v>44282</v>
      </c>
      <c r="K817">
        <f t="shared" si="24"/>
        <v>65</v>
      </c>
    </row>
    <row r="818" spans="1:11" x14ac:dyDescent="0.25">
      <c r="A818">
        <v>28</v>
      </c>
      <c r="B818" t="s">
        <v>12</v>
      </c>
      <c r="C818">
        <v>2021</v>
      </c>
      <c r="D818">
        <v>144.5</v>
      </c>
      <c r="E818" t="s">
        <v>9</v>
      </c>
      <c r="F818">
        <v>95.5</v>
      </c>
      <c r="G818" s="1">
        <f>DATE(C818, CHOOSE(MATCH(UPPER(B818), {"ENERO","FEBRERO","MARZO","ABRIL","MAYO","JUNIO","JULIO","AGOSTO","SEPTIEMBRE","OCTUBRE","NOVIEMBRE","DICIEMBRE"}, 0), 1,2,3,4,5,6,7,8,9,10,11,12), A818)</f>
        <v>44283</v>
      </c>
      <c r="H818">
        <v>49</v>
      </c>
      <c r="I818">
        <v>40000</v>
      </c>
      <c r="J818" s="1">
        <f t="shared" si="25"/>
        <v>44283</v>
      </c>
      <c r="K818">
        <f t="shared" si="24"/>
        <v>49</v>
      </c>
    </row>
    <row r="819" spans="1:11" x14ac:dyDescent="0.25">
      <c r="A819">
        <v>29</v>
      </c>
      <c r="B819" t="s">
        <v>12</v>
      </c>
      <c r="C819">
        <v>2021</v>
      </c>
      <c r="D819">
        <v>95.5</v>
      </c>
      <c r="E819">
        <v>100</v>
      </c>
      <c r="F819">
        <v>159</v>
      </c>
      <c r="G819" s="1">
        <f>DATE(C819, CHOOSE(MATCH(UPPER(B819), {"ENERO","FEBRERO","MARZO","ABRIL","MAYO","JUNIO","JULIO","AGOSTO","SEPTIEMBRE","OCTUBRE","NOVIEMBRE","DICIEMBRE"}, 0), 1,2,3,4,5,6,7,8,9,10,11,12), A819)</f>
        <v>44284</v>
      </c>
      <c r="H819">
        <v>36.5</v>
      </c>
      <c r="I819">
        <v>40000</v>
      </c>
      <c r="J819" s="1">
        <f t="shared" si="25"/>
        <v>44284</v>
      </c>
      <c r="K819">
        <f t="shared" si="24"/>
        <v>36.5</v>
      </c>
    </row>
    <row r="820" spans="1:11" x14ac:dyDescent="0.25">
      <c r="A820">
        <v>30</v>
      </c>
      <c r="B820" t="s">
        <v>12</v>
      </c>
      <c r="C820">
        <v>2021</v>
      </c>
      <c r="D820">
        <v>159</v>
      </c>
      <c r="E820" t="s">
        <v>9</v>
      </c>
      <c r="F820">
        <v>120</v>
      </c>
      <c r="G820" s="1">
        <f>DATE(C820, CHOOSE(MATCH(UPPER(B820), {"ENERO","FEBRERO","MARZO","ABRIL","MAYO","JUNIO","JULIO","AGOSTO","SEPTIEMBRE","OCTUBRE","NOVIEMBRE","DICIEMBRE"}, 0), 1,2,3,4,5,6,7,8,9,10,11,12), A820)</f>
        <v>44285</v>
      </c>
      <c r="H820">
        <v>39</v>
      </c>
      <c r="I820">
        <v>40000</v>
      </c>
      <c r="J820" s="1">
        <f t="shared" si="25"/>
        <v>44285</v>
      </c>
      <c r="K820">
        <f t="shared" si="24"/>
        <v>39</v>
      </c>
    </row>
    <row r="821" spans="1:11" x14ac:dyDescent="0.25">
      <c r="A821">
        <v>31</v>
      </c>
      <c r="B821" t="s">
        <v>12</v>
      </c>
      <c r="C821">
        <v>2021</v>
      </c>
      <c r="D821">
        <v>120</v>
      </c>
      <c r="E821" t="s">
        <v>9</v>
      </c>
      <c r="F821">
        <v>48.5</v>
      </c>
      <c r="G821" s="1">
        <f>DATE(C821, CHOOSE(MATCH(UPPER(B821), {"ENERO","FEBRERO","MARZO","ABRIL","MAYO","JUNIO","JULIO","AGOSTO","SEPTIEMBRE","OCTUBRE","NOVIEMBRE","DICIEMBRE"}, 0), 1,2,3,4,5,6,7,8,9,10,11,12), A821)</f>
        <v>44286</v>
      </c>
      <c r="H821">
        <v>71.5</v>
      </c>
      <c r="I821">
        <v>40000</v>
      </c>
      <c r="J821" s="1">
        <f t="shared" si="25"/>
        <v>44286</v>
      </c>
      <c r="K821">
        <f t="shared" si="24"/>
        <v>71.5</v>
      </c>
    </row>
    <row r="822" spans="1:11" x14ac:dyDescent="0.25">
      <c r="A822">
        <v>1</v>
      </c>
      <c r="B822" t="s">
        <v>13</v>
      </c>
      <c r="C822">
        <v>2021</v>
      </c>
      <c r="D822">
        <v>48.5</v>
      </c>
      <c r="E822">
        <v>50</v>
      </c>
      <c r="F822">
        <v>46</v>
      </c>
      <c r="G822" s="1">
        <f>DATE(C822, CHOOSE(MATCH(UPPER(B822), {"ENERO","FEBRERO","MARZO","ABRIL","MAYO","JUNIO","JULIO","AGOSTO","SEPTIEMBRE","OCTUBRE","NOVIEMBRE","DICIEMBRE"}, 0), 1,2,3,4,5,6,7,8,9,10,11,12), A822)</f>
        <v>44287</v>
      </c>
      <c r="H822">
        <v>52.5</v>
      </c>
      <c r="I822">
        <v>40000</v>
      </c>
      <c r="J822" s="1">
        <f t="shared" si="25"/>
        <v>44287</v>
      </c>
      <c r="K822">
        <f t="shared" si="24"/>
        <v>52.5</v>
      </c>
    </row>
    <row r="823" spans="1:11" x14ac:dyDescent="0.25">
      <c r="A823">
        <v>2</v>
      </c>
      <c r="B823" t="s">
        <v>13</v>
      </c>
      <c r="C823">
        <v>2021</v>
      </c>
      <c r="D823">
        <v>46</v>
      </c>
      <c r="E823">
        <v>100</v>
      </c>
      <c r="F823">
        <v>80</v>
      </c>
      <c r="G823" s="1">
        <f>DATE(C823, CHOOSE(MATCH(UPPER(B823), {"ENERO","FEBRERO","MARZO","ABRIL","MAYO","JUNIO","JULIO","AGOSTO","SEPTIEMBRE","OCTUBRE","NOVIEMBRE","DICIEMBRE"}, 0), 1,2,3,4,5,6,7,8,9,10,11,12), A823)</f>
        <v>44288</v>
      </c>
      <c r="H823">
        <v>66</v>
      </c>
      <c r="I823">
        <v>40000</v>
      </c>
      <c r="J823" s="1">
        <f t="shared" si="25"/>
        <v>44288</v>
      </c>
      <c r="K823">
        <f t="shared" si="24"/>
        <v>66</v>
      </c>
    </row>
    <row r="824" spans="1:11" x14ac:dyDescent="0.25">
      <c r="A824">
        <v>3</v>
      </c>
      <c r="B824" t="s">
        <v>13</v>
      </c>
      <c r="C824">
        <v>2021</v>
      </c>
      <c r="D824">
        <v>80</v>
      </c>
      <c r="E824">
        <v>60</v>
      </c>
      <c r="F824">
        <v>78</v>
      </c>
      <c r="G824" s="1">
        <f>DATE(C824, CHOOSE(MATCH(UPPER(B824), {"ENERO","FEBRERO","MARZO","ABRIL","MAYO","JUNIO","JULIO","AGOSTO","SEPTIEMBRE","OCTUBRE","NOVIEMBRE","DICIEMBRE"}, 0), 1,2,3,4,5,6,7,8,9,10,11,12), A824)</f>
        <v>44289</v>
      </c>
      <c r="H824">
        <v>62</v>
      </c>
      <c r="I824">
        <v>40000</v>
      </c>
      <c r="J824" s="1">
        <f t="shared" si="25"/>
        <v>44289</v>
      </c>
      <c r="K824">
        <f t="shared" si="24"/>
        <v>62</v>
      </c>
    </row>
    <row r="825" spans="1:11" x14ac:dyDescent="0.25">
      <c r="A825">
        <v>4</v>
      </c>
      <c r="B825" t="s">
        <v>13</v>
      </c>
      <c r="C825">
        <v>2021</v>
      </c>
      <c r="D825">
        <v>78</v>
      </c>
      <c r="E825" t="s">
        <v>9</v>
      </c>
      <c r="F825">
        <v>16</v>
      </c>
      <c r="G825" s="1">
        <f>DATE(C825, CHOOSE(MATCH(UPPER(B825), {"ENERO","FEBRERO","MARZO","ABRIL","MAYO","JUNIO","JULIO","AGOSTO","SEPTIEMBRE","OCTUBRE","NOVIEMBRE","DICIEMBRE"}, 0), 1,2,3,4,5,6,7,8,9,10,11,12), A825)</f>
        <v>44290</v>
      </c>
      <c r="H825">
        <v>62</v>
      </c>
      <c r="I825">
        <v>40000</v>
      </c>
      <c r="J825" s="1">
        <f t="shared" si="25"/>
        <v>44290</v>
      </c>
      <c r="K825">
        <f t="shared" si="24"/>
        <v>62</v>
      </c>
    </row>
    <row r="826" spans="1:11" x14ac:dyDescent="0.25">
      <c r="A826">
        <v>5</v>
      </c>
      <c r="B826" t="s">
        <v>13</v>
      </c>
      <c r="C826">
        <v>2021</v>
      </c>
      <c r="D826">
        <v>16</v>
      </c>
      <c r="E826">
        <v>110</v>
      </c>
      <c r="F826">
        <v>101</v>
      </c>
      <c r="G826" s="1">
        <f>DATE(C826, CHOOSE(MATCH(UPPER(B826), {"ENERO","FEBRERO","MARZO","ABRIL","MAYO","JUNIO","JULIO","AGOSTO","SEPTIEMBRE","OCTUBRE","NOVIEMBRE","DICIEMBRE"}, 0), 1,2,3,4,5,6,7,8,9,10,11,12), A826)</f>
        <v>44291</v>
      </c>
      <c r="H826">
        <v>25</v>
      </c>
      <c r="I826">
        <v>40000</v>
      </c>
      <c r="J826" s="1">
        <f t="shared" si="25"/>
        <v>44291</v>
      </c>
      <c r="K826">
        <f t="shared" si="24"/>
        <v>25</v>
      </c>
    </row>
    <row r="827" spans="1:11" x14ac:dyDescent="0.25">
      <c r="A827">
        <v>6</v>
      </c>
      <c r="B827" t="s">
        <v>13</v>
      </c>
      <c r="C827">
        <v>2021</v>
      </c>
      <c r="D827">
        <v>101</v>
      </c>
      <c r="E827" t="s">
        <v>9</v>
      </c>
      <c r="F827">
        <v>68</v>
      </c>
      <c r="G827" s="1">
        <f>DATE(C827, CHOOSE(MATCH(UPPER(B827), {"ENERO","FEBRERO","MARZO","ABRIL","MAYO","JUNIO","JULIO","AGOSTO","SEPTIEMBRE","OCTUBRE","NOVIEMBRE","DICIEMBRE"}, 0), 1,2,3,4,5,6,7,8,9,10,11,12), A827)</f>
        <v>44292</v>
      </c>
      <c r="H827">
        <v>33</v>
      </c>
      <c r="I827">
        <v>40000</v>
      </c>
      <c r="J827" s="1">
        <f t="shared" si="25"/>
        <v>44292</v>
      </c>
      <c r="K827">
        <f t="shared" si="24"/>
        <v>33</v>
      </c>
    </row>
    <row r="828" spans="1:11" x14ac:dyDescent="0.25">
      <c r="A828">
        <v>7</v>
      </c>
      <c r="B828" t="s">
        <v>13</v>
      </c>
      <c r="C828">
        <v>2021</v>
      </c>
      <c r="D828">
        <v>68</v>
      </c>
      <c r="E828" t="s">
        <v>9</v>
      </c>
      <c r="F828">
        <v>36</v>
      </c>
      <c r="G828" s="1">
        <f>DATE(C828, CHOOSE(MATCH(UPPER(B828), {"ENERO","FEBRERO","MARZO","ABRIL","MAYO","JUNIO","JULIO","AGOSTO","SEPTIEMBRE","OCTUBRE","NOVIEMBRE","DICIEMBRE"}, 0), 1,2,3,4,5,6,7,8,9,10,11,12), A828)</f>
        <v>44293</v>
      </c>
      <c r="H828">
        <v>32</v>
      </c>
      <c r="I828">
        <v>40000</v>
      </c>
      <c r="J828" s="1">
        <f t="shared" si="25"/>
        <v>44293</v>
      </c>
      <c r="K828">
        <f t="shared" si="24"/>
        <v>32</v>
      </c>
    </row>
    <row r="829" spans="1:11" x14ac:dyDescent="0.25">
      <c r="A829">
        <v>8</v>
      </c>
      <c r="B829" t="s">
        <v>13</v>
      </c>
      <c r="C829">
        <v>2021</v>
      </c>
      <c r="D829">
        <v>36</v>
      </c>
      <c r="E829">
        <v>150</v>
      </c>
      <c r="F829">
        <v>149.5</v>
      </c>
      <c r="G829" s="1">
        <f>DATE(C829, CHOOSE(MATCH(UPPER(B829), {"ENERO","FEBRERO","MARZO","ABRIL","MAYO","JUNIO","JULIO","AGOSTO","SEPTIEMBRE","OCTUBRE","NOVIEMBRE","DICIEMBRE"}, 0), 1,2,3,4,5,6,7,8,9,10,11,12), A829)</f>
        <v>44294</v>
      </c>
      <c r="H829">
        <v>36.5</v>
      </c>
      <c r="I829">
        <v>40000</v>
      </c>
      <c r="J829" s="1">
        <f t="shared" si="25"/>
        <v>44294</v>
      </c>
      <c r="K829">
        <f t="shared" si="24"/>
        <v>36.5</v>
      </c>
    </row>
    <row r="830" spans="1:11" x14ac:dyDescent="0.25">
      <c r="A830">
        <v>9</v>
      </c>
      <c r="B830" t="s">
        <v>13</v>
      </c>
      <c r="C830">
        <v>2021</v>
      </c>
      <c r="D830">
        <v>149.5</v>
      </c>
      <c r="E830" t="s">
        <v>9</v>
      </c>
      <c r="F830">
        <v>101</v>
      </c>
      <c r="G830" s="1">
        <f>DATE(C830, CHOOSE(MATCH(UPPER(B830), {"ENERO","FEBRERO","MARZO","ABRIL","MAYO","JUNIO","JULIO","AGOSTO","SEPTIEMBRE","OCTUBRE","NOVIEMBRE","DICIEMBRE"}, 0), 1,2,3,4,5,6,7,8,9,10,11,12), A830)</f>
        <v>44295</v>
      </c>
      <c r="H830">
        <v>48.5</v>
      </c>
      <c r="I830">
        <v>40000</v>
      </c>
      <c r="J830" s="1">
        <f t="shared" si="25"/>
        <v>44295</v>
      </c>
      <c r="K830">
        <f t="shared" si="24"/>
        <v>48.5</v>
      </c>
    </row>
    <row r="831" spans="1:11" x14ac:dyDescent="0.25">
      <c r="A831">
        <v>10</v>
      </c>
      <c r="B831" t="s">
        <v>13</v>
      </c>
      <c r="C831">
        <v>2021</v>
      </c>
      <c r="D831">
        <v>101</v>
      </c>
      <c r="E831" t="s">
        <v>9</v>
      </c>
      <c r="F831">
        <v>40</v>
      </c>
      <c r="G831" s="1">
        <f>DATE(C831, CHOOSE(MATCH(UPPER(B831), {"ENERO","FEBRERO","MARZO","ABRIL","MAYO","JUNIO","JULIO","AGOSTO","SEPTIEMBRE","OCTUBRE","NOVIEMBRE","DICIEMBRE"}, 0), 1,2,3,4,5,6,7,8,9,10,11,12), A831)</f>
        <v>44296</v>
      </c>
      <c r="H831">
        <v>61</v>
      </c>
      <c r="I831">
        <v>40000</v>
      </c>
      <c r="J831" s="1">
        <f t="shared" si="25"/>
        <v>44296</v>
      </c>
      <c r="K831">
        <f t="shared" si="24"/>
        <v>61</v>
      </c>
    </row>
    <row r="832" spans="1:11" x14ac:dyDescent="0.25">
      <c r="A832">
        <v>11</v>
      </c>
      <c r="B832" t="s">
        <v>13</v>
      </c>
      <c r="C832">
        <v>2021</v>
      </c>
      <c r="D832">
        <v>40</v>
      </c>
      <c r="E832">
        <v>90</v>
      </c>
      <c r="F832">
        <v>73</v>
      </c>
      <c r="G832" s="1">
        <f>DATE(C832, CHOOSE(MATCH(UPPER(B832), {"ENERO","FEBRERO","MARZO","ABRIL","MAYO","JUNIO","JULIO","AGOSTO","SEPTIEMBRE","OCTUBRE","NOVIEMBRE","DICIEMBRE"}, 0), 1,2,3,4,5,6,7,8,9,10,11,12), A832)</f>
        <v>44297</v>
      </c>
      <c r="H832">
        <v>57</v>
      </c>
      <c r="I832">
        <v>40000</v>
      </c>
      <c r="J832" s="1">
        <f t="shared" si="25"/>
        <v>44297</v>
      </c>
      <c r="K832">
        <f t="shared" si="24"/>
        <v>57</v>
      </c>
    </row>
    <row r="833" spans="1:11" x14ac:dyDescent="0.25">
      <c r="A833">
        <v>12</v>
      </c>
      <c r="B833" t="s">
        <v>13</v>
      </c>
      <c r="C833">
        <v>2021</v>
      </c>
      <c r="D833">
        <v>73</v>
      </c>
      <c r="E833" t="s">
        <v>9</v>
      </c>
      <c r="F833">
        <v>40.5</v>
      </c>
      <c r="G833" s="1">
        <f>DATE(C833, CHOOSE(MATCH(UPPER(B833), {"ENERO","FEBRERO","MARZO","ABRIL","MAYO","JUNIO","JULIO","AGOSTO","SEPTIEMBRE","OCTUBRE","NOVIEMBRE","DICIEMBRE"}, 0), 1,2,3,4,5,6,7,8,9,10,11,12), A833)</f>
        <v>44298</v>
      </c>
      <c r="H833">
        <v>32.5</v>
      </c>
      <c r="I833">
        <v>40000</v>
      </c>
      <c r="J833" s="1">
        <f t="shared" si="25"/>
        <v>44298</v>
      </c>
      <c r="K833">
        <f t="shared" si="24"/>
        <v>32.5</v>
      </c>
    </row>
    <row r="834" spans="1:11" x14ac:dyDescent="0.25">
      <c r="A834">
        <v>13</v>
      </c>
      <c r="B834" t="s">
        <v>13</v>
      </c>
      <c r="C834">
        <v>2021</v>
      </c>
      <c r="D834">
        <v>40.5</v>
      </c>
      <c r="E834">
        <v>30</v>
      </c>
      <c r="F834">
        <v>43</v>
      </c>
      <c r="G834" s="1">
        <f>DATE(C834, CHOOSE(MATCH(UPPER(B834), {"ENERO","FEBRERO","MARZO","ABRIL","MAYO","JUNIO","JULIO","AGOSTO","SEPTIEMBRE","OCTUBRE","NOVIEMBRE","DICIEMBRE"}, 0), 1,2,3,4,5,6,7,8,9,10,11,12), A834)</f>
        <v>44299</v>
      </c>
      <c r="H834">
        <v>27.5</v>
      </c>
      <c r="I834">
        <v>40000</v>
      </c>
      <c r="J834" s="1">
        <f t="shared" si="25"/>
        <v>44299</v>
      </c>
      <c r="K834">
        <f t="shared" si="24"/>
        <v>27.5</v>
      </c>
    </row>
    <row r="835" spans="1:11" x14ac:dyDescent="0.25">
      <c r="A835">
        <v>14</v>
      </c>
      <c r="B835" t="s">
        <v>13</v>
      </c>
      <c r="C835">
        <v>2021</v>
      </c>
      <c r="D835">
        <v>43</v>
      </c>
      <c r="E835" t="s">
        <v>9</v>
      </c>
      <c r="F835">
        <v>19.5</v>
      </c>
      <c r="G835" s="1">
        <f>DATE(C835, CHOOSE(MATCH(UPPER(B835), {"ENERO","FEBRERO","MARZO","ABRIL","MAYO","JUNIO","JULIO","AGOSTO","SEPTIEMBRE","OCTUBRE","NOVIEMBRE","DICIEMBRE"}, 0), 1,2,3,4,5,6,7,8,9,10,11,12), A835)</f>
        <v>44300</v>
      </c>
      <c r="H835">
        <v>23.5</v>
      </c>
      <c r="I835">
        <v>40000</v>
      </c>
      <c r="J835" s="1">
        <f t="shared" si="25"/>
        <v>44300</v>
      </c>
      <c r="K835">
        <f t="shared" ref="K835:K898" si="26">VLOOKUP(J835, G:H, 2, FALSE)</f>
        <v>23.5</v>
      </c>
    </row>
    <row r="836" spans="1:11" x14ac:dyDescent="0.25">
      <c r="A836">
        <v>15</v>
      </c>
      <c r="B836" t="s">
        <v>13</v>
      </c>
      <c r="C836">
        <v>2021</v>
      </c>
      <c r="D836">
        <v>19.5</v>
      </c>
      <c r="E836">
        <v>150</v>
      </c>
      <c r="F836">
        <v>133.5</v>
      </c>
      <c r="G836" s="1">
        <f>DATE(C836, CHOOSE(MATCH(UPPER(B836), {"ENERO","FEBRERO","MARZO","ABRIL","MAYO","JUNIO","JULIO","AGOSTO","SEPTIEMBRE","OCTUBRE","NOVIEMBRE","DICIEMBRE"}, 0), 1,2,3,4,5,6,7,8,9,10,11,12), A836)</f>
        <v>44301</v>
      </c>
      <c r="H836">
        <v>36</v>
      </c>
      <c r="I836">
        <v>40000</v>
      </c>
      <c r="J836" s="1">
        <f t="shared" si="25"/>
        <v>44301</v>
      </c>
      <c r="K836">
        <f t="shared" si="26"/>
        <v>36</v>
      </c>
    </row>
    <row r="837" spans="1:11" x14ac:dyDescent="0.25">
      <c r="A837">
        <v>16</v>
      </c>
      <c r="B837" t="s">
        <v>13</v>
      </c>
      <c r="C837">
        <v>2021</v>
      </c>
      <c r="D837">
        <v>133.5</v>
      </c>
      <c r="E837" t="s">
        <v>9</v>
      </c>
      <c r="F837">
        <v>83</v>
      </c>
      <c r="G837" s="1">
        <f>DATE(C837, CHOOSE(MATCH(UPPER(B837), {"ENERO","FEBRERO","MARZO","ABRIL","MAYO","JUNIO","JULIO","AGOSTO","SEPTIEMBRE","OCTUBRE","NOVIEMBRE","DICIEMBRE"}, 0), 1,2,3,4,5,6,7,8,9,10,11,12), A837)</f>
        <v>44302</v>
      </c>
      <c r="H837">
        <v>50.5</v>
      </c>
      <c r="I837">
        <v>40000</v>
      </c>
      <c r="J837" s="1">
        <f t="shared" ref="J837:J900" si="27">DATE(2019,1,1) + ROW()-1</f>
        <v>44302</v>
      </c>
      <c r="K837">
        <f t="shared" si="26"/>
        <v>50.5</v>
      </c>
    </row>
    <row r="838" spans="1:11" x14ac:dyDescent="0.25">
      <c r="A838">
        <v>17</v>
      </c>
      <c r="B838" t="s">
        <v>13</v>
      </c>
      <c r="C838">
        <v>2021</v>
      </c>
      <c r="D838">
        <v>83</v>
      </c>
      <c r="E838" t="s">
        <v>9</v>
      </c>
      <c r="F838">
        <v>29.5</v>
      </c>
      <c r="G838" s="1">
        <f>DATE(C838, CHOOSE(MATCH(UPPER(B838), {"ENERO","FEBRERO","MARZO","ABRIL","MAYO","JUNIO","JULIO","AGOSTO","SEPTIEMBRE","OCTUBRE","NOVIEMBRE","DICIEMBRE"}, 0), 1,2,3,4,5,6,7,8,9,10,11,12), A838)</f>
        <v>44303</v>
      </c>
      <c r="H838">
        <v>53.5</v>
      </c>
      <c r="I838">
        <v>40000</v>
      </c>
      <c r="J838" s="1">
        <f t="shared" si="27"/>
        <v>44303</v>
      </c>
      <c r="K838">
        <f t="shared" si="26"/>
        <v>53.5</v>
      </c>
    </row>
    <row r="839" spans="1:11" x14ac:dyDescent="0.25">
      <c r="A839">
        <v>18</v>
      </c>
      <c r="B839" t="s">
        <v>13</v>
      </c>
      <c r="C839">
        <v>2021</v>
      </c>
      <c r="D839">
        <v>29.5</v>
      </c>
      <c r="E839">
        <v>50</v>
      </c>
      <c r="F839">
        <v>19</v>
      </c>
      <c r="G839" s="1">
        <f>DATE(C839, CHOOSE(MATCH(UPPER(B839), {"ENERO","FEBRERO","MARZO","ABRIL","MAYO","JUNIO","JULIO","AGOSTO","SEPTIEMBRE","OCTUBRE","NOVIEMBRE","DICIEMBRE"}, 0), 1,2,3,4,5,6,7,8,9,10,11,12), A839)</f>
        <v>44304</v>
      </c>
      <c r="H839">
        <v>60.5</v>
      </c>
      <c r="I839">
        <v>40000</v>
      </c>
      <c r="J839" s="1">
        <f t="shared" si="27"/>
        <v>44304</v>
      </c>
      <c r="K839">
        <f t="shared" si="26"/>
        <v>60.5</v>
      </c>
    </row>
    <row r="840" spans="1:11" x14ac:dyDescent="0.25">
      <c r="A840">
        <v>19</v>
      </c>
      <c r="B840" t="s">
        <v>13</v>
      </c>
      <c r="C840">
        <v>2021</v>
      </c>
      <c r="D840">
        <v>19</v>
      </c>
      <c r="E840">
        <v>40</v>
      </c>
      <c r="F840">
        <v>35</v>
      </c>
      <c r="G840" s="1">
        <f>DATE(C840, CHOOSE(MATCH(UPPER(B840), {"ENERO","FEBRERO","MARZO","ABRIL","MAYO","JUNIO","JULIO","AGOSTO","SEPTIEMBRE","OCTUBRE","NOVIEMBRE","DICIEMBRE"}, 0), 1,2,3,4,5,6,7,8,9,10,11,12), A840)</f>
        <v>44305</v>
      </c>
      <c r="H840">
        <v>24</v>
      </c>
      <c r="I840">
        <v>40000</v>
      </c>
      <c r="J840" s="1">
        <f t="shared" si="27"/>
        <v>44305</v>
      </c>
      <c r="K840">
        <f t="shared" si="26"/>
        <v>24</v>
      </c>
    </row>
    <row r="841" spans="1:11" x14ac:dyDescent="0.25">
      <c r="A841">
        <v>20</v>
      </c>
      <c r="B841" t="s">
        <v>13</v>
      </c>
      <c r="C841">
        <v>2021</v>
      </c>
      <c r="D841">
        <v>35</v>
      </c>
      <c r="E841">
        <v>30</v>
      </c>
      <c r="F841">
        <v>35.5</v>
      </c>
      <c r="G841" s="1">
        <f>DATE(C841, CHOOSE(MATCH(UPPER(B841), {"ENERO","FEBRERO","MARZO","ABRIL","MAYO","JUNIO","JULIO","AGOSTO","SEPTIEMBRE","OCTUBRE","NOVIEMBRE","DICIEMBRE"}, 0), 1,2,3,4,5,6,7,8,9,10,11,12), A841)</f>
        <v>44306</v>
      </c>
      <c r="H841">
        <v>29.5</v>
      </c>
      <c r="I841">
        <v>40000</v>
      </c>
      <c r="J841" s="1">
        <f t="shared" si="27"/>
        <v>44306</v>
      </c>
      <c r="K841">
        <f t="shared" si="26"/>
        <v>29.5</v>
      </c>
    </row>
    <row r="842" spans="1:11" x14ac:dyDescent="0.25">
      <c r="A842">
        <v>21</v>
      </c>
      <c r="B842" t="s">
        <v>13</v>
      </c>
      <c r="C842">
        <v>2021</v>
      </c>
      <c r="D842">
        <v>35.5</v>
      </c>
      <c r="E842">
        <v>30</v>
      </c>
      <c r="F842">
        <v>42</v>
      </c>
      <c r="G842" s="1">
        <f>DATE(C842, CHOOSE(MATCH(UPPER(B842), {"ENERO","FEBRERO","MARZO","ABRIL","MAYO","JUNIO","JULIO","AGOSTO","SEPTIEMBRE","OCTUBRE","NOVIEMBRE","DICIEMBRE"}, 0), 1,2,3,4,5,6,7,8,9,10,11,12), A842)</f>
        <v>44307</v>
      </c>
      <c r="H842">
        <v>23.5</v>
      </c>
      <c r="I842">
        <v>40000</v>
      </c>
      <c r="J842" s="1">
        <f t="shared" si="27"/>
        <v>44307</v>
      </c>
      <c r="K842">
        <f t="shared" si="26"/>
        <v>23.5</v>
      </c>
    </row>
    <row r="843" spans="1:11" x14ac:dyDescent="0.25">
      <c r="A843">
        <v>22</v>
      </c>
      <c r="B843" t="s">
        <v>13</v>
      </c>
      <c r="C843">
        <v>2021</v>
      </c>
      <c r="D843">
        <v>42</v>
      </c>
      <c r="E843">
        <v>50</v>
      </c>
      <c r="F843">
        <v>63.375</v>
      </c>
      <c r="G843" s="1">
        <f>DATE(C843, CHOOSE(MATCH(UPPER(B843), {"ENERO","FEBRERO","MARZO","ABRIL","MAYO","JUNIO","JULIO","AGOSTO","SEPTIEMBRE","OCTUBRE","NOVIEMBRE","DICIEMBRE"}, 0), 1,2,3,4,5,6,7,8,9,10,11,12), A843)</f>
        <v>44308</v>
      </c>
      <c r="H843">
        <v>28.625</v>
      </c>
      <c r="I843">
        <v>40000</v>
      </c>
      <c r="J843" s="1">
        <f t="shared" si="27"/>
        <v>44308</v>
      </c>
      <c r="K843">
        <f t="shared" si="26"/>
        <v>28.625</v>
      </c>
    </row>
    <row r="844" spans="1:11" x14ac:dyDescent="0.25">
      <c r="A844">
        <v>23</v>
      </c>
      <c r="B844" t="s">
        <v>13</v>
      </c>
      <c r="C844">
        <v>2021</v>
      </c>
      <c r="D844">
        <v>63.375</v>
      </c>
      <c r="E844">
        <v>100</v>
      </c>
      <c r="F844">
        <v>125</v>
      </c>
      <c r="G844" s="1">
        <f>DATE(C844, CHOOSE(MATCH(UPPER(B844), {"ENERO","FEBRERO","MARZO","ABRIL","MAYO","JUNIO","JULIO","AGOSTO","SEPTIEMBRE","OCTUBRE","NOVIEMBRE","DICIEMBRE"}, 0), 1,2,3,4,5,6,7,8,9,10,11,12), A844)</f>
        <v>44309</v>
      </c>
      <c r="H844">
        <v>38.375</v>
      </c>
      <c r="I844">
        <v>40000</v>
      </c>
      <c r="J844" s="1">
        <f t="shared" si="27"/>
        <v>44309</v>
      </c>
      <c r="K844">
        <f t="shared" si="26"/>
        <v>38.375</v>
      </c>
    </row>
    <row r="845" spans="1:11" x14ac:dyDescent="0.25">
      <c r="A845">
        <v>24</v>
      </c>
      <c r="B845" t="s">
        <v>13</v>
      </c>
      <c r="C845">
        <v>2021</v>
      </c>
      <c r="D845">
        <v>125</v>
      </c>
      <c r="E845" t="s">
        <v>9</v>
      </c>
      <c r="F845">
        <v>55</v>
      </c>
      <c r="G845" s="1">
        <f>DATE(C845, CHOOSE(MATCH(UPPER(B845), {"ENERO","FEBRERO","MARZO","ABRIL","MAYO","JUNIO","JULIO","AGOSTO","SEPTIEMBRE","OCTUBRE","NOVIEMBRE","DICIEMBRE"}, 0), 1,2,3,4,5,6,7,8,9,10,11,12), A845)</f>
        <v>44310</v>
      </c>
      <c r="H845">
        <v>70</v>
      </c>
      <c r="I845">
        <v>40000</v>
      </c>
      <c r="J845" s="1">
        <f t="shared" si="27"/>
        <v>44310</v>
      </c>
      <c r="K845">
        <f t="shared" si="26"/>
        <v>70</v>
      </c>
    </row>
    <row r="846" spans="1:11" x14ac:dyDescent="0.25">
      <c r="A846">
        <v>25</v>
      </c>
      <c r="B846" t="s">
        <v>13</v>
      </c>
      <c r="C846">
        <v>2021</v>
      </c>
      <c r="D846">
        <v>55</v>
      </c>
      <c r="E846">
        <v>40</v>
      </c>
      <c r="F846">
        <v>44</v>
      </c>
      <c r="G846" s="1">
        <f>DATE(C846, CHOOSE(MATCH(UPPER(B846), {"ENERO","FEBRERO","MARZO","ABRIL","MAYO","JUNIO","JULIO","AGOSTO","SEPTIEMBRE","OCTUBRE","NOVIEMBRE","DICIEMBRE"}, 0), 1,2,3,4,5,6,7,8,9,10,11,12), A846)</f>
        <v>44311</v>
      </c>
      <c r="H846">
        <v>51</v>
      </c>
      <c r="I846">
        <v>40000</v>
      </c>
      <c r="J846" s="1">
        <f t="shared" si="27"/>
        <v>44311</v>
      </c>
      <c r="K846">
        <f t="shared" si="26"/>
        <v>51</v>
      </c>
    </row>
    <row r="847" spans="1:11" x14ac:dyDescent="0.25">
      <c r="A847">
        <v>26</v>
      </c>
      <c r="B847" t="s">
        <v>13</v>
      </c>
      <c r="C847">
        <v>2021</v>
      </c>
      <c r="D847">
        <v>44</v>
      </c>
      <c r="E847" t="s">
        <v>9</v>
      </c>
      <c r="F847">
        <v>20</v>
      </c>
      <c r="G847" s="1">
        <f>DATE(C847, CHOOSE(MATCH(UPPER(B847), {"ENERO","FEBRERO","MARZO","ABRIL","MAYO","JUNIO","JULIO","AGOSTO","SEPTIEMBRE","OCTUBRE","NOVIEMBRE","DICIEMBRE"}, 0), 1,2,3,4,5,6,7,8,9,10,11,12), A847)</f>
        <v>44312</v>
      </c>
      <c r="H847">
        <v>24</v>
      </c>
      <c r="I847">
        <v>40000</v>
      </c>
      <c r="J847" s="1">
        <f t="shared" si="27"/>
        <v>44312</v>
      </c>
      <c r="K847">
        <f t="shared" si="26"/>
        <v>24</v>
      </c>
    </row>
    <row r="848" spans="1:11" x14ac:dyDescent="0.25">
      <c r="A848">
        <v>27</v>
      </c>
      <c r="B848" t="s">
        <v>13</v>
      </c>
      <c r="C848">
        <v>2021</v>
      </c>
      <c r="D848">
        <v>20</v>
      </c>
      <c r="E848">
        <v>50</v>
      </c>
      <c r="F848">
        <v>47</v>
      </c>
      <c r="G848" s="1">
        <f>DATE(C848, CHOOSE(MATCH(UPPER(B848), {"ENERO","FEBRERO","MARZO","ABRIL","MAYO","JUNIO","JULIO","AGOSTO","SEPTIEMBRE","OCTUBRE","NOVIEMBRE","DICIEMBRE"}, 0), 1,2,3,4,5,6,7,8,9,10,11,12), A848)</f>
        <v>44313</v>
      </c>
      <c r="H848">
        <v>23</v>
      </c>
      <c r="I848">
        <v>40000</v>
      </c>
      <c r="J848" s="1">
        <f t="shared" si="27"/>
        <v>44313</v>
      </c>
      <c r="K848">
        <f t="shared" si="26"/>
        <v>23</v>
      </c>
    </row>
    <row r="849" spans="1:11" x14ac:dyDescent="0.25">
      <c r="A849">
        <v>28</v>
      </c>
      <c r="B849" t="s">
        <v>13</v>
      </c>
      <c r="C849">
        <v>2021</v>
      </c>
      <c r="D849">
        <v>47</v>
      </c>
      <c r="E849" t="s">
        <v>9</v>
      </c>
      <c r="F849">
        <v>41</v>
      </c>
      <c r="G849" s="1">
        <f>DATE(C849, CHOOSE(MATCH(UPPER(B849), {"ENERO","FEBRERO","MARZO","ABRIL","MAYO","JUNIO","JULIO","AGOSTO","SEPTIEMBRE","OCTUBRE","NOVIEMBRE","DICIEMBRE"}, 0), 1,2,3,4,5,6,7,8,9,10,11,12), A849)</f>
        <v>44314</v>
      </c>
      <c r="H849">
        <v>6</v>
      </c>
      <c r="I849">
        <v>40000</v>
      </c>
      <c r="J849" s="1">
        <f t="shared" si="27"/>
        <v>44314</v>
      </c>
      <c r="K849">
        <f t="shared" si="26"/>
        <v>6</v>
      </c>
    </row>
    <row r="850" spans="1:11" x14ac:dyDescent="0.25">
      <c r="A850">
        <v>29</v>
      </c>
      <c r="B850" t="s">
        <v>13</v>
      </c>
      <c r="C850">
        <v>2021</v>
      </c>
      <c r="D850">
        <v>41</v>
      </c>
      <c r="E850">
        <v>120</v>
      </c>
      <c r="F850">
        <v>144.5</v>
      </c>
      <c r="G850" s="1">
        <f>DATE(C850, CHOOSE(MATCH(UPPER(B850), {"ENERO","FEBRERO","MARZO","ABRIL","MAYO","JUNIO","JULIO","AGOSTO","SEPTIEMBRE","OCTUBRE","NOVIEMBRE","DICIEMBRE"}, 0), 1,2,3,4,5,6,7,8,9,10,11,12), A850)</f>
        <v>44315</v>
      </c>
      <c r="H850">
        <v>16.5</v>
      </c>
      <c r="I850">
        <v>40000</v>
      </c>
      <c r="J850" s="1">
        <f t="shared" si="27"/>
        <v>44315</v>
      </c>
      <c r="K850">
        <f t="shared" si="26"/>
        <v>16.5</v>
      </c>
    </row>
    <row r="851" spans="1:11" x14ac:dyDescent="0.25">
      <c r="A851">
        <v>30</v>
      </c>
      <c r="B851" t="s">
        <v>13</v>
      </c>
      <c r="C851">
        <v>2021</v>
      </c>
      <c r="D851">
        <v>144.5</v>
      </c>
      <c r="E851" t="s">
        <v>9</v>
      </c>
      <c r="F851">
        <v>109</v>
      </c>
      <c r="G851" s="1">
        <f>DATE(C851, CHOOSE(MATCH(UPPER(B851), {"ENERO","FEBRERO","MARZO","ABRIL","MAYO","JUNIO","JULIO","AGOSTO","SEPTIEMBRE","OCTUBRE","NOVIEMBRE","DICIEMBRE"}, 0), 1,2,3,4,5,6,7,8,9,10,11,12), A851)</f>
        <v>44316</v>
      </c>
      <c r="H851">
        <v>35.5</v>
      </c>
      <c r="I851">
        <v>40000</v>
      </c>
      <c r="J851" s="1">
        <f t="shared" si="27"/>
        <v>44316</v>
      </c>
      <c r="K851">
        <f t="shared" si="26"/>
        <v>35.5</v>
      </c>
    </row>
    <row r="852" spans="1:11" x14ac:dyDescent="0.25">
      <c r="A852">
        <v>1</v>
      </c>
      <c r="B852" t="s">
        <v>14</v>
      </c>
      <c r="C852">
        <v>2021</v>
      </c>
      <c r="D852">
        <v>109</v>
      </c>
      <c r="E852" t="s">
        <v>9</v>
      </c>
      <c r="F852">
        <v>60.375</v>
      </c>
      <c r="G852" s="1">
        <f>DATE(C852, CHOOSE(MATCH(UPPER(B852), {"ENERO","FEBRERO","MARZO","ABRIL","MAYO","JUNIO","JULIO","AGOSTO","SEPTIEMBRE","OCTUBRE","NOVIEMBRE","DICIEMBRE"}, 0), 1,2,3,4,5,6,7,8,9,10,11,12), A852)</f>
        <v>44317</v>
      </c>
      <c r="H852">
        <v>48.625</v>
      </c>
      <c r="I852">
        <v>40000</v>
      </c>
      <c r="J852" s="1">
        <f t="shared" si="27"/>
        <v>44317</v>
      </c>
      <c r="K852">
        <f t="shared" si="26"/>
        <v>48.625</v>
      </c>
    </row>
    <row r="853" spans="1:11" x14ac:dyDescent="0.25">
      <c r="A853">
        <v>2</v>
      </c>
      <c r="B853" t="s">
        <v>14</v>
      </c>
      <c r="C853">
        <v>2021</v>
      </c>
      <c r="D853">
        <v>60.375</v>
      </c>
      <c r="E853" t="s">
        <v>9</v>
      </c>
      <c r="F853">
        <v>23.375</v>
      </c>
      <c r="G853" s="1">
        <f>DATE(C853, CHOOSE(MATCH(UPPER(B853), {"ENERO","FEBRERO","MARZO","ABRIL","MAYO","JUNIO","JULIO","AGOSTO","SEPTIEMBRE","OCTUBRE","NOVIEMBRE","DICIEMBRE"}, 0), 1,2,3,4,5,6,7,8,9,10,11,12), A853)</f>
        <v>44318</v>
      </c>
      <c r="H853">
        <v>37</v>
      </c>
      <c r="I853">
        <v>40000</v>
      </c>
      <c r="J853" s="1">
        <f t="shared" si="27"/>
        <v>44318</v>
      </c>
      <c r="K853">
        <f t="shared" si="26"/>
        <v>37</v>
      </c>
    </row>
    <row r="854" spans="1:11" x14ac:dyDescent="0.25">
      <c r="A854">
        <v>3</v>
      </c>
      <c r="B854" t="s">
        <v>14</v>
      </c>
      <c r="C854">
        <v>2021</v>
      </c>
      <c r="D854">
        <v>23.375</v>
      </c>
      <c r="E854" t="s">
        <v>9</v>
      </c>
      <c r="F854">
        <v>23.375</v>
      </c>
      <c r="G854" s="1">
        <f>DATE(C854, CHOOSE(MATCH(UPPER(B854), {"ENERO","FEBRERO","MARZO","ABRIL","MAYO","JUNIO","JULIO","AGOSTO","SEPTIEMBRE","OCTUBRE","NOVIEMBRE","DICIEMBRE"}, 0), 1,2,3,4,5,6,7,8,9,10,11,12), A854)</f>
        <v>44319</v>
      </c>
      <c r="H854">
        <v>0</v>
      </c>
      <c r="I854">
        <v>40000</v>
      </c>
      <c r="J854" s="1">
        <f t="shared" si="27"/>
        <v>44319</v>
      </c>
      <c r="K854">
        <f t="shared" si="26"/>
        <v>0</v>
      </c>
    </row>
    <row r="855" spans="1:11" x14ac:dyDescent="0.25">
      <c r="A855">
        <v>4</v>
      </c>
      <c r="B855" t="s">
        <v>14</v>
      </c>
      <c r="C855">
        <v>2021</v>
      </c>
      <c r="D855">
        <v>23.375</v>
      </c>
      <c r="E855">
        <v>100</v>
      </c>
      <c r="F855">
        <v>104</v>
      </c>
      <c r="G855" s="1">
        <f>DATE(C855, CHOOSE(MATCH(UPPER(B855), {"ENERO","FEBRERO","MARZO","ABRIL","MAYO","JUNIO","JULIO","AGOSTO","SEPTIEMBRE","OCTUBRE","NOVIEMBRE","DICIEMBRE"}, 0), 1,2,3,4,5,6,7,8,9,10,11,12), A855)</f>
        <v>44320</v>
      </c>
      <c r="H855">
        <v>19.375</v>
      </c>
      <c r="I855">
        <v>40000</v>
      </c>
      <c r="J855" s="1">
        <f t="shared" si="27"/>
        <v>44320</v>
      </c>
      <c r="K855">
        <f t="shared" si="26"/>
        <v>19.375</v>
      </c>
    </row>
    <row r="856" spans="1:11" x14ac:dyDescent="0.25">
      <c r="A856">
        <v>5</v>
      </c>
      <c r="B856" t="s">
        <v>14</v>
      </c>
      <c r="C856">
        <v>2021</v>
      </c>
      <c r="D856">
        <v>104</v>
      </c>
      <c r="E856" t="s">
        <v>9</v>
      </c>
      <c r="F856">
        <v>44</v>
      </c>
      <c r="G856" s="1">
        <f>DATE(C856, CHOOSE(MATCH(UPPER(B856), {"ENERO","FEBRERO","MARZO","ABRIL","MAYO","JUNIO","JULIO","AGOSTO","SEPTIEMBRE","OCTUBRE","NOVIEMBRE","DICIEMBRE"}, 0), 1,2,3,4,5,6,7,8,9,10,11,12), A856)</f>
        <v>44321</v>
      </c>
      <c r="H856">
        <v>60</v>
      </c>
      <c r="I856">
        <v>40000</v>
      </c>
      <c r="J856" s="1">
        <f t="shared" si="27"/>
        <v>44321</v>
      </c>
      <c r="K856">
        <f t="shared" si="26"/>
        <v>60</v>
      </c>
    </row>
    <row r="857" spans="1:11" x14ac:dyDescent="0.25">
      <c r="A857">
        <v>6</v>
      </c>
      <c r="B857" t="s">
        <v>14</v>
      </c>
      <c r="C857">
        <v>2021</v>
      </c>
      <c r="D857">
        <v>44</v>
      </c>
      <c r="E857">
        <v>100</v>
      </c>
      <c r="F857">
        <v>98</v>
      </c>
      <c r="G857" s="1">
        <f>DATE(C857, CHOOSE(MATCH(UPPER(B857), {"ENERO","FEBRERO","MARZO","ABRIL","MAYO","JUNIO","JULIO","AGOSTO","SEPTIEMBRE","OCTUBRE","NOVIEMBRE","DICIEMBRE"}, 0), 1,2,3,4,5,6,7,8,9,10,11,12), A857)</f>
        <v>44322</v>
      </c>
      <c r="H857">
        <v>46</v>
      </c>
      <c r="I857">
        <v>40000</v>
      </c>
      <c r="J857" s="1">
        <f t="shared" si="27"/>
        <v>44322</v>
      </c>
      <c r="K857">
        <f t="shared" si="26"/>
        <v>46</v>
      </c>
    </row>
    <row r="858" spans="1:11" x14ac:dyDescent="0.25">
      <c r="A858">
        <v>7</v>
      </c>
      <c r="B858" t="s">
        <v>14</v>
      </c>
      <c r="C858">
        <v>2021</v>
      </c>
      <c r="D858">
        <v>98</v>
      </c>
      <c r="E858" t="s">
        <v>9</v>
      </c>
      <c r="F858">
        <v>45.125</v>
      </c>
      <c r="G858" s="1">
        <f>DATE(C858, CHOOSE(MATCH(UPPER(B858), {"ENERO","FEBRERO","MARZO","ABRIL","MAYO","JUNIO","JULIO","AGOSTO","SEPTIEMBRE","OCTUBRE","NOVIEMBRE","DICIEMBRE"}, 0), 1,2,3,4,5,6,7,8,9,10,11,12), A858)</f>
        <v>44323</v>
      </c>
      <c r="H858">
        <v>52.875</v>
      </c>
      <c r="I858">
        <v>40000</v>
      </c>
      <c r="J858" s="1">
        <f t="shared" si="27"/>
        <v>44323</v>
      </c>
      <c r="K858">
        <f t="shared" si="26"/>
        <v>52.875</v>
      </c>
    </row>
    <row r="859" spans="1:11" x14ac:dyDescent="0.25">
      <c r="A859">
        <v>8</v>
      </c>
      <c r="B859" t="s">
        <v>14</v>
      </c>
      <c r="C859">
        <v>2021</v>
      </c>
      <c r="D859">
        <v>45.125</v>
      </c>
      <c r="E859">
        <v>215</v>
      </c>
      <c r="F859">
        <v>114</v>
      </c>
      <c r="G859" s="1">
        <f>DATE(C859, CHOOSE(MATCH(UPPER(B859), {"ENERO","FEBRERO","MARZO","ABRIL","MAYO","JUNIO","JULIO","AGOSTO","SEPTIEMBRE","OCTUBRE","NOVIEMBRE","DICIEMBRE"}, 0), 1,2,3,4,5,6,7,8,9,10,11,12), A859)</f>
        <v>44324</v>
      </c>
      <c r="H859">
        <v>146.125</v>
      </c>
      <c r="I859">
        <v>40000</v>
      </c>
      <c r="J859" s="1">
        <f t="shared" si="27"/>
        <v>44324</v>
      </c>
      <c r="K859">
        <f t="shared" si="26"/>
        <v>146.125</v>
      </c>
    </row>
    <row r="860" spans="1:11" x14ac:dyDescent="0.25">
      <c r="A860">
        <v>9</v>
      </c>
      <c r="B860" t="s">
        <v>14</v>
      </c>
      <c r="C860">
        <v>2021</v>
      </c>
      <c r="D860">
        <v>114</v>
      </c>
      <c r="E860">
        <v>90</v>
      </c>
      <c r="F860">
        <v>132.875</v>
      </c>
      <c r="G860" s="1">
        <f>DATE(C860, CHOOSE(MATCH(UPPER(B860), {"ENERO","FEBRERO","MARZO","ABRIL","MAYO","JUNIO","JULIO","AGOSTO","SEPTIEMBRE","OCTUBRE","NOVIEMBRE","DICIEMBRE"}, 0), 1,2,3,4,5,6,7,8,9,10,11,12), A860)</f>
        <v>44325</v>
      </c>
      <c r="H860">
        <v>71.125</v>
      </c>
      <c r="I860">
        <v>40000</v>
      </c>
      <c r="J860" s="1">
        <f t="shared" si="27"/>
        <v>44325</v>
      </c>
      <c r="K860">
        <f t="shared" si="26"/>
        <v>71.125</v>
      </c>
    </row>
    <row r="861" spans="1:11" x14ac:dyDescent="0.25">
      <c r="A861">
        <v>10</v>
      </c>
      <c r="B861" t="s">
        <v>14</v>
      </c>
      <c r="C861">
        <v>2021</v>
      </c>
      <c r="D861">
        <v>132.875</v>
      </c>
      <c r="E861" t="s">
        <v>9</v>
      </c>
      <c r="F861">
        <v>96</v>
      </c>
      <c r="G861" s="1">
        <f>DATE(C861, CHOOSE(MATCH(UPPER(B861), {"ENERO","FEBRERO","MARZO","ABRIL","MAYO","JUNIO","JULIO","AGOSTO","SEPTIEMBRE","OCTUBRE","NOVIEMBRE","DICIEMBRE"}, 0), 1,2,3,4,5,6,7,8,9,10,11,12), A861)</f>
        <v>44326</v>
      </c>
      <c r="H861">
        <v>36.875</v>
      </c>
      <c r="I861">
        <v>40000</v>
      </c>
      <c r="J861" s="1">
        <f t="shared" si="27"/>
        <v>44326</v>
      </c>
      <c r="K861">
        <f t="shared" si="26"/>
        <v>36.875</v>
      </c>
    </row>
    <row r="862" spans="1:11" x14ac:dyDescent="0.25">
      <c r="A862">
        <v>11</v>
      </c>
      <c r="B862" t="s">
        <v>14</v>
      </c>
      <c r="C862">
        <v>2021</v>
      </c>
      <c r="D862">
        <v>96</v>
      </c>
      <c r="E862" t="s">
        <v>9</v>
      </c>
      <c r="F862">
        <v>58</v>
      </c>
      <c r="G862" s="1">
        <f>DATE(C862, CHOOSE(MATCH(UPPER(B862), {"ENERO","FEBRERO","MARZO","ABRIL","MAYO","JUNIO","JULIO","AGOSTO","SEPTIEMBRE","OCTUBRE","NOVIEMBRE","DICIEMBRE"}, 0), 1,2,3,4,5,6,7,8,9,10,11,12), A862)</f>
        <v>44327</v>
      </c>
      <c r="H862">
        <v>38</v>
      </c>
      <c r="I862">
        <v>40000</v>
      </c>
      <c r="J862" s="1">
        <f t="shared" si="27"/>
        <v>44327</v>
      </c>
      <c r="K862">
        <f t="shared" si="26"/>
        <v>38</v>
      </c>
    </row>
    <row r="863" spans="1:11" x14ac:dyDescent="0.25">
      <c r="A863">
        <v>12</v>
      </c>
      <c r="B863" t="s">
        <v>14</v>
      </c>
      <c r="C863">
        <v>2021</v>
      </c>
      <c r="D863">
        <v>58</v>
      </c>
      <c r="E863">
        <v>50</v>
      </c>
      <c r="F863">
        <v>66</v>
      </c>
      <c r="G863" s="1">
        <f>DATE(C863, CHOOSE(MATCH(UPPER(B863), {"ENERO","FEBRERO","MARZO","ABRIL","MAYO","JUNIO","JULIO","AGOSTO","SEPTIEMBRE","OCTUBRE","NOVIEMBRE","DICIEMBRE"}, 0), 1,2,3,4,5,6,7,8,9,10,11,12), A863)</f>
        <v>44328</v>
      </c>
      <c r="H863">
        <v>42</v>
      </c>
      <c r="I863">
        <v>40000</v>
      </c>
      <c r="J863" s="1">
        <f t="shared" si="27"/>
        <v>44328</v>
      </c>
      <c r="K863">
        <f t="shared" si="26"/>
        <v>42</v>
      </c>
    </row>
    <row r="864" spans="1:11" x14ac:dyDescent="0.25">
      <c r="A864">
        <v>13</v>
      </c>
      <c r="B864" t="s">
        <v>14</v>
      </c>
      <c r="C864">
        <v>2021</v>
      </c>
      <c r="D864">
        <v>66</v>
      </c>
      <c r="E864" t="s">
        <v>9</v>
      </c>
      <c r="F864">
        <v>24.5</v>
      </c>
      <c r="G864" s="1">
        <f>DATE(C864, CHOOSE(MATCH(UPPER(B864), {"ENERO","FEBRERO","MARZO","ABRIL","MAYO","JUNIO","JULIO","AGOSTO","SEPTIEMBRE","OCTUBRE","NOVIEMBRE","DICIEMBRE"}, 0), 1,2,3,4,5,6,7,8,9,10,11,12), A864)</f>
        <v>44329</v>
      </c>
      <c r="H864">
        <v>41.5</v>
      </c>
      <c r="I864">
        <v>40000</v>
      </c>
      <c r="J864" s="1">
        <f t="shared" si="27"/>
        <v>44329</v>
      </c>
      <c r="K864">
        <f t="shared" si="26"/>
        <v>41.5</v>
      </c>
    </row>
    <row r="865" spans="1:11" x14ac:dyDescent="0.25">
      <c r="A865">
        <v>14</v>
      </c>
      <c r="B865" t="s">
        <v>14</v>
      </c>
      <c r="C865">
        <v>2021</v>
      </c>
      <c r="D865">
        <v>24.5</v>
      </c>
      <c r="E865">
        <v>100</v>
      </c>
      <c r="F865">
        <v>81</v>
      </c>
      <c r="G865" s="1">
        <f>DATE(C865, CHOOSE(MATCH(UPPER(B865), {"ENERO","FEBRERO","MARZO","ABRIL","MAYO","JUNIO","JULIO","AGOSTO","SEPTIEMBRE","OCTUBRE","NOVIEMBRE","DICIEMBRE"}, 0), 1,2,3,4,5,6,7,8,9,10,11,12), A865)</f>
        <v>44330</v>
      </c>
      <c r="H865">
        <v>43.5</v>
      </c>
      <c r="I865">
        <v>40000</v>
      </c>
      <c r="J865" s="1">
        <f t="shared" si="27"/>
        <v>44330</v>
      </c>
      <c r="K865">
        <f t="shared" si="26"/>
        <v>43.5</v>
      </c>
    </row>
    <row r="866" spans="1:11" x14ac:dyDescent="0.25">
      <c r="A866">
        <v>15</v>
      </c>
      <c r="B866" t="s">
        <v>14</v>
      </c>
      <c r="C866">
        <v>2021</v>
      </c>
      <c r="D866">
        <v>81</v>
      </c>
      <c r="E866" t="s">
        <v>9</v>
      </c>
      <c r="F866">
        <v>36.5</v>
      </c>
      <c r="G866" s="1">
        <f>DATE(C866, CHOOSE(MATCH(UPPER(B866), {"ENERO","FEBRERO","MARZO","ABRIL","MAYO","JUNIO","JULIO","AGOSTO","SEPTIEMBRE","OCTUBRE","NOVIEMBRE","DICIEMBRE"}, 0), 1,2,3,4,5,6,7,8,9,10,11,12), A866)</f>
        <v>44331</v>
      </c>
      <c r="H866">
        <v>44.5</v>
      </c>
      <c r="I866">
        <v>40000</v>
      </c>
      <c r="J866" s="1">
        <f t="shared" si="27"/>
        <v>44331</v>
      </c>
      <c r="K866">
        <f t="shared" si="26"/>
        <v>44.5</v>
      </c>
    </row>
    <row r="867" spans="1:11" x14ac:dyDescent="0.25">
      <c r="A867">
        <v>16</v>
      </c>
      <c r="B867" t="s">
        <v>14</v>
      </c>
      <c r="C867">
        <v>2021</v>
      </c>
      <c r="D867">
        <v>36.5</v>
      </c>
      <c r="E867">
        <v>90</v>
      </c>
      <c r="F867">
        <v>71</v>
      </c>
      <c r="G867" s="1">
        <f>DATE(C867, CHOOSE(MATCH(UPPER(B867), {"ENERO","FEBRERO","MARZO","ABRIL","MAYO","JUNIO","JULIO","AGOSTO","SEPTIEMBRE","OCTUBRE","NOVIEMBRE","DICIEMBRE"}, 0), 1,2,3,4,5,6,7,8,9,10,11,12), A867)</f>
        <v>44332</v>
      </c>
      <c r="H867">
        <v>55.5</v>
      </c>
      <c r="I867">
        <v>40000</v>
      </c>
      <c r="J867" s="1">
        <f t="shared" si="27"/>
        <v>44332</v>
      </c>
      <c r="K867">
        <f t="shared" si="26"/>
        <v>55.5</v>
      </c>
    </row>
    <row r="868" spans="1:11" x14ac:dyDescent="0.25">
      <c r="A868">
        <v>17</v>
      </c>
      <c r="B868" t="s">
        <v>14</v>
      </c>
      <c r="C868">
        <v>2021</v>
      </c>
      <c r="D868">
        <v>71</v>
      </c>
      <c r="E868" t="s">
        <v>9</v>
      </c>
      <c r="F868">
        <v>40.375</v>
      </c>
      <c r="G868" s="1">
        <f>DATE(C868, CHOOSE(MATCH(UPPER(B868), {"ENERO","FEBRERO","MARZO","ABRIL","MAYO","JUNIO","JULIO","AGOSTO","SEPTIEMBRE","OCTUBRE","NOVIEMBRE","DICIEMBRE"}, 0), 1,2,3,4,5,6,7,8,9,10,11,12), A868)</f>
        <v>44333</v>
      </c>
      <c r="H868">
        <v>30.625</v>
      </c>
      <c r="I868">
        <v>40000</v>
      </c>
      <c r="J868" s="1">
        <f t="shared" si="27"/>
        <v>44333</v>
      </c>
      <c r="K868">
        <f t="shared" si="26"/>
        <v>30.625</v>
      </c>
    </row>
    <row r="869" spans="1:11" x14ac:dyDescent="0.25">
      <c r="A869">
        <v>18</v>
      </c>
      <c r="B869" t="s">
        <v>14</v>
      </c>
      <c r="C869">
        <v>2021</v>
      </c>
      <c r="D869">
        <v>40.375</v>
      </c>
      <c r="E869">
        <v>20</v>
      </c>
      <c r="F869">
        <v>31.5</v>
      </c>
      <c r="G869" s="1">
        <f>DATE(C869, CHOOSE(MATCH(UPPER(B869), {"ENERO","FEBRERO","MARZO","ABRIL","MAYO","JUNIO","JULIO","AGOSTO","SEPTIEMBRE","OCTUBRE","NOVIEMBRE","DICIEMBRE"}, 0), 1,2,3,4,5,6,7,8,9,10,11,12), A869)</f>
        <v>44334</v>
      </c>
      <c r="H869">
        <v>28.875</v>
      </c>
      <c r="I869">
        <v>40000</v>
      </c>
      <c r="J869" s="1">
        <f t="shared" si="27"/>
        <v>44334</v>
      </c>
      <c r="K869">
        <f t="shared" si="26"/>
        <v>28.875</v>
      </c>
    </row>
    <row r="870" spans="1:11" x14ac:dyDescent="0.25">
      <c r="A870">
        <v>19</v>
      </c>
      <c r="B870" t="s">
        <v>14</v>
      </c>
      <c r="C870">
        <v>2021</v>
      </c>
      <c r="D870">
        <v>31.5</v>
      </c>
      <c r="E870" t="s">
        <v>9</v>
      </c>
      <c r="F870">
        <v>31.5</v>
      </c>
      <c r="G870" s="1">
        <f>DATE(C870, CHOOSE(MATCH(UPPER(B870), {"ENERO","FEBRERO","MARZO","ABRIL","MAYO","JUNIO","JULIO","AGOSTO","SEPTIEMBRE","OCTUBRE","NOVIEMBRE","DICIEMBRE"}, 0), 1,2,3,4,5,6,7,8,9,10,11,12), A870)</f>
        <v>44335</v>
      </c>
      <c r="H870">
        <v>0</v>
      </c>
      <c r="I870">
        <v>40000</v>
      </c>
      <c r="J870" s="1">
        <f t="shared" si="27"/>
        <v>44335</v>
      </c>
      <c r="K870">
        <f t="shared" si="26"/>
        <v>0</v>
      </c>
    </row>
    <row r="871" spans="1:11" x14ac:dyDescent="0.25">
      <c r="A871">
        <v>20</v>
      </c>
      <c r="B871" t="s">
        <v>14</v>
      </c>
      <c r="C871">
        <v>2021</v>
      </c>
      <c r="D871">
        <v>31.5</v>
      </c>
      <c r="E871">
        <v>160</v>
      </c>
      <c r="F871">
        <v>153.5</v>
      </c>
      <c r="G871" s="1">
        <f>DATE(C871, CHOOSE(MATCH(UPPER(B871), {"ENERO","FEBRERO","MARZO","ABRIL","MAYO","JUNIO","JULIO","AGOSTO","SEPTIEMBRE","OCTUBRE","NOVIEMBRE","DICIEMBRE"}, 0), 1,2,3,4,5,6,7,8,9,10,11,12), A871)</f>
        <v>44336</v>
      </c>
      <c r="H871">
        <v>38</v>
      </c>
      <c r="I871">
        <v>40000</v>
      </c>
      <c r="J871" s="1">
        <f t="shared" si="27"/>
        <v>44336</v>
      </c>
      <c r="K871">
        <f t="shared" si="26"/>
        <v>38</v>
      </c>
    </row>
    <row r="872" spans="1:11" x14ac:dyDescent="0.25">
      <c r="A872">
        <v>21</v>
      </c>
      <c r="B872" t="s">
        <v>14</v>
      </c>
      <c r="C872">
        <v>2021</v>
      </c>
      <c r="D872">
        <v>153.5</v>
      </c>
      <c r="E872" t="s">
        <v>9</v>
      </c>
      <c r="F872">
        <v>118</v>
      </c>
      <c r="G872" s="1">
        <f>DATE(C872, CHOOSE(MATCH(UPPER(B872), {"ENERO","FEBRERO","MARZO","ABRIL","MAYO","JUNIO","JULIO","AGOSTO","SEPTIEMBRE","OCTUBRE","NOVIEMBRE","DICIEMBRE"}, 0), 1,2,3,4,5,6,7,8,9,10,11,12), A872)</f>
        <v>44337</v>
      </c>
      <c r="H872">
        <v>35.5</v>
      </c>
      <c r="I872">
        <v>40000</v>
      </c>
      <c r="J872" s="1">
        <f t="shared" si="27"/>
        <v>44337</v>
      </c>
      <c r="K872">
        <f t="shared" si="26"/>
        <v>35.5</v>
      </c>
    </row>
    <row r="873" spans="1:11" x14ac:dyDescent="0.25">
      <c r="A873">
        <v>22</v>
      </c>
      <c r="B873" t="s">
        <v>14</v>
      </c>
      <c r="C873">
        <v>2021</v>
      </c>
      <c r="D873">
        <v>118</v>
      </c>
      <c r="E873" t="s">
        <v>9</v>
      </c>
      <c r="F873">
        <v>70.5</v>
      </c>
      <c r="G873" s="1">
        <f>DATE(C873, CHOOSE(MATCH(UPPER(B873), {"ENERO","FEBRERO","MARZO","ABRIL","MAYO","JUNIO","JULIO","AGOSTO","SEPTIEMBRE","OCTUBRE","NOVIEMBRE","DICIEMBRE"}, 0), 1,2,3,4,5,6,7,8,9,10,11,12), A873)</f>
        <v>44338</v>
      </c>
      <c r="H873">
        <v>47.5</v>
      </c>
      <c r="I873">
        <v>40000</v>
      </c>
      <c r="J873" s="1">
        <f t="shared" si="27"/>
        <v>44338</v>
      </c>
      <c r="K873">
        <f t="shared" si="26"/>
        <v>47.5</v>
      </c>
    </row>
    <row r="874" spans="1:11" x14ac:dyDescent="0.25">
      <c r="A874">
        <v>23</v>
      </c>
      <c r="B874" t="s">
        <v>14</v>
      </c>
      <c r="C874">
        <v>2021</v>
      </c>
      <c r="D874">
        <v>70.5</v>
      </c>
      <c r="E874">
        <v>100</v>
      </c>
      <c r="F874">
        <v>128</v>
      </c>
      <c r="G874" s="1">
        <f>DATE(C874, CHOOSE(MATCH(UPPER(B874), {"ENERO","FEBRERO","MARZO","ABRIL","MAYO","JUNIO","JULIO","AGOSTO","SEPTIEMBRE","OCTUBRE","NOVIEMBRE","DICIEMBRE"}, 0), 1,2,3,4,5,6,7,8,9,10,11,12), A874)</f>
        <v>44339</v>
      </c>
      <c r="H874">
        <v>42.5</v>
      </c>
      <c r="I874">
        <v>40000</v>
      </c>
      <c r="J874" s="1">
        <f t="shared" si="27"/>
        <v>44339</v>
      </c>
      <c r="K874">
        <f t="shared" si="26"/>
        <v>42.5</v>
      </c>
    </row>
    <row r="875" spans="1:11" x14ac:dyDescent="0.25">
      <c r="A875">
        <v>24</v>
      </c>
      <c r="B875" t="s">
        <v>14</v>
      </c>
      <c r="C875">
        <v>2021</v>
      </c>
      <c r="D875">
        <v>128</v>
      </c>
      <c r="E875" t="s">
        <v>9</v>
      </c>
      <c r="F875">
        <v>95.5</v>
      </c>
      <c r="G875" s="1">
        <f>DATE(C875, CHOOSE(MATCH(UPPER(B875), {"ENERO","FEBRERO","MARZO","ABRIL","MAYO","JUNIO","JULIO","AGOSTO","SEPTIEMBRE","OCTUBRE","NOVIEMBRE","DICIEMBRE"}, 0), 1,2,3,4,5,6,7,8,9,10,11,12), A875)</f>
        <v>44340</v>
      </c>
      <c r="H875">
        <v>32.5</v>
      </c>
      <c r="I875">
        <v>40000</v>
      </c>
      <c r="J875" s="1">
        <f t="shared" si="27"/>
        <v>44340</v>
      </c>
      <c r="K875">
        <f t="shared" si="26"/>
        <v>32.5</v>
      </c>
    </row>
    <row r="876" spans="1:11" x14ac:dyDescent="0.25">
      <c r="A876">
        <v>25</v>
      </c>
      <c r="B876" t="s">
        <v>14</v>
      </c>
      <c r="C876">
        <v>2021</v>
      </c>
      <c r="D876">
        <v>95.5</v>
      </c>
      <c r="E876" t="s">
        <v>9</v>
      </c>
      <c r="F876">
        <v>74</v>
      </c>
      <c r="G876" s="1">
        <f>DATE(C876, CHOOSE(MATCH(UPPER(B876), {"ENERO","FEBRERO","MARZO","ABRIL","MAYO","JUNIO","JULIO","AGOSTO","SEPTIEMBRE","OCTUBRE","NOVIEMBRE","DICIEMBRE"}, 0), 1,2,3,4,5,6,7,8,9,10,11,12), A876)</f>
        <v>44341</v>
      </c>
      <c r="H876">
        <v>21.5</v>
      </c>
      <c r="I876">
        <v>40000</v>
      </c>
      <c r="J876" s="1">
        <f t="shared" si="27"/>
        <v>44341</v>
      </c>
      <c r="K876">
        <f t="shared" si="26"/>
        <v>21.5</v>
      </c>
    </row>
    <row r="877" spans="1:11" x14ac:dyDescent="0.25">
      <c r="A877">
        <v>26</v>
      </c>
      <c r="B877" t="s">
        <v>14</v>
      </c>
      <c r="C877">
        <v>2021</v>
      </c>
      <c r="D877">
        <v>74</v>
      </c>
      <c r="E877" t="s">
        <v>9</v>
      </c>
      <c r="F877">
        <v>50</v>
      </c>
      <c r="G877" s="1">
        <f>DATE(C877, CHOOSE(MATCH(UPPER(B877), {"ENERO","FEBRERO","MARZO","ABRIL","MAYO","JUNIO","JULIO","AGOSTO","SEPTIEMBRE","OCTUBRE","NOVIEMBRE","DICIEMBRE"}, 0), 1,2,3,4,5,6,7,8,9,10,11,12), A877)</f>
        <v>44342</v>
      </c>
      <c r="H877">
        <v>24</v>
      </c>
      <c r="I877">
        <v>40000</v>
      </c>
      <c r="J877" s="1">
        <f t="shared" si="27"/>
        <v>44342</v>
      </c>
      <c r="K877">
        <f t="shared" si="26"/>
        <v>24</v>
      </c>
    </row>
    <row r="878" spans="1:11" x14ac:dyDescent="0.25">
      <c r="A878">
        <v>27</v>
      </c>
      <c r="B878" t="s">
        <v>14</v>
      </c>
      <c r="C878">
        <v>2021</v>
      </c>
      <c r="D878">
        <v>50</v>
      </c>
      <c r="E878" t="s">
        <v>9</v>
      </c>
      <c r="F878">
        <v>24.5</v>
      </c>
      <c r="G878" s="1">
        <f>DATE(C878, CHOOSE(MATCH(UPPER(B878), {"ENERO","FEBRERO","MARZO","ABRIL","MAYO","JUNIO","JULIO","AGOSTO","SEPTIEMBRE","OCTUBRE","NOVIEMBRE","DICIEMBRE"}, 0), 1,2,3,4,5,6,7,8,9,10,11,12), A878)</f>
        <v>44343</v>
      </c>
      <c r="H878">
        <v>25.5</v>
      </c>
      <c r="I878">
        <v>40000</v>
      </c>
      <c r="J878" s="1">
        <f t="shared" si="27"/>
        <v>44343</v>
      </c>
      <c r="K878">
        <f t="shared" si="26"/>
        <v>25.5</v>
      </c>
    </row>
    <row r="879" spans="1:11" x14ac:dyDescent="0.25">
      <c r="A879">
        <v>28</v>
      </c>
      <c r="B879" t="s">
        <v>14</v>
      </c>
      <c r="C879">
        <v>2021</v>
      </c>
      <c r="D879">
        <v>24.5</v>
      </c>
      <c r="E879">
        <v>120</v>
      </c>
      <c r="F879">
        <v>125</v>
      </c>
      <c r="G879" s="1">
        <f>DATE(C879, CHOOSE(MATCH(UPPER(B879), {"ENERO","FEBRERO","MARZO","ABRIL","MAYO","JUNIO","JULIO","AGOSTO","SEPTIEMBRE","OCTUBRE","NOVIEMBRE","DICIEMBRE"}, 0), 1,2,3,4,5,6,7,8,9,10,11,12), A879)</f>
        <v>44344</v>
      </c>
      <c r="H879">
        <v>19.5</v>
      </c>
      <c r="I879">
        <v>40000</v>
      </c>
      <c r="J879" s="1">
        <f t="shared" si="27"/>
        <v>44344</v>
      </c>
      <c r="K879">
        <f t="shared" si="26"/>
        <v>19.5</v>
      </c>
    </row>
    <row r="880" spans="1:11" x14ac:dyDescent="0.25">
      <c r="A880">
        <v>29</v>
      </c>
      <c r="B880" t="s">
        <v>14</v>
      </c>
      <c r="C880">
        <v>2021</v>
      </c>
      <c r="D880">
        <v>125</v>
      </c>
      <c r="E880" t="s">
        <v>9</v>
      </c>
      <c r="F880">
        <v>69</v>
      </c>
      <c r="G880" s="1">
        <f>DATE(C880, CHOOSE(MATCH(UPPER(B880), {"ENERO","FEBRERO","MARZO","ABRIL","MAYO","JUNIO","JULIO","AGOSTO","SEPTIEMBRE","OCTUBRE","NOVIEMBRE","DICIEMBRE"}, 0), 1,2,3,4,5,6,7,8,9,10,11,12), A880)</f>
        <v>44345</v>
      </c>
      <c r="H880">
        <v>56</v>
      </c>
      <c r="I880">
        <v>40000</v>
      </c>
      <c r="J880" s="1">
        <f t="shared" si="27"/>
        <v>44345</v>
      </c>
      <c r="K880">
        <f t="shared" si="26"/>
        <v>56</v>
      </c>
    </row>
    <row r="881" spans="1:11" x14ac:dyDescent="0.25">
      <c r="A881">
        <v>30</v>
      </c>
      <c r="B881" t="s">
        <v>14</v>
      </c>
      <c r="C881">
        <v>2021</v>
      </c>
      <c r="D881">
        <v>69</v>
      </c>
      <c r="E881">
        <v>50</v>
      </c>
      <c r="F881">
        <v>74</v>
      </c>
      <c r="G881" s="1">
        <f>DATE(C881, CHOOSE(MATCH(UPPER(B881), {"ENERO","FEBRERO","MARZO","ABRIL","MAYO","JUNIO","JULIO","AGOSTO","SEPTIEMBRE","OCTUBRE","NOVIEMBRE","DICIEMBRE"}, 0), 1,2,3,4,5,6,7,8,9,10,11,12), A881)</f>
        <v>44346</v>
      </c>
      <c r="H881">
        <v>45</v>
      </c>
      <c r="I881">
        <v>40000</v>
      </c>
      <c r="J881" s="1">
        <f t="shared" si="27"/>
        <v>44346</v>
      </c>
      <c r="K881">
        <f t="shared" si="26"/>
        <v>45</v>
      </c>
    </row>
    <row r="882" spans="1:11" x14ac:dyDescent="0.25">
      <c r="A882">
        <v>31</v>
      </c>
      <c r="B882" t="s">
        <v>14</v>
      </c>
      <c r="C882">
        <v>2021</v>
      </c>
      <c r="D882">
        <v>74</v>
      </c>
      <c r="E882" t="s">
        <v>9</v>
      </c>
      <c r="F882">
        <v>47</v>
      </c>
      <c r="G882" s="1">
        <f>DATE(C882, CHOOSE(MATCH(UPPER(B882), {"ENERO","FEBRERO","MARZO","ABRIL","MAYO","JUNIO","JULIO","AGOSTO","SEPTIEMBRE","OCTUBRE","NOVIEMBRE","DICIEMBRE"}, 0), 1,2,3,4,5,6,7,8,9,10,11,12), A882)</f>
        <v>44347</v>
      </c>
      <c r="H882">
        <v>27</v>
      </c>
      <c r="I882">
        <v>40000</v>
      </c>
      <c r="J882" s="1">
        <f t="shared" si="27"/>
        <v>44347</v>
      </c>
      <c r="K882">
        <f t="shared" si="26"/>
        <v>27</v>
      </c>
    </row>
    <row r="883" spans="1:11" x14ac:dyDescent="0.25">
      <c r="A883">
        <v>1</v>
      </c>
      <c r="B883" t="s">
        <v>15</v>
      </c>
      <c r="C883">
        <v>2021</v>
      </c>
      <c r="D883">
        <v>47</v>
      </c>
      <c r="E883" t="s">
        <v>9</v>
      </c>
      <c r="F883">
        <v>15.5</v>
      </c>
      <c r="G883" s="1">
        <f>DATE(C883, CHOOSE(MATCH(UPPER(B883), {"ENERO","FEBRERO","MARZO","ABRIL","MAYO","JUNIO","JULIO","AGOSTO","SEPTIEMBRE","OCTUBRE","NOVIEMBRE","DICIEMBRE"}, 0), 1,2,3,4,5,6,7,8,9,10,11,12), A883)</f>
        <v>44348</v>
      </c>
      <c r="H883">
        <v>31.5</v>
      </c>
      <c r="I883">
        <v>40000</v>
      </c>
      <c r="J883" s="1">
        <f t="shared" si="27"/>
        <v>44348</v>
      </c>
      <c r="K883">
        <f t="shared" si="26"/>
        <v>31.5</v>
      </c>
    </row>
    <row r="884" spans="1:11" x14ac:dyDescent="0.25">
      <c r="A884">
        <v>2</v>
      </c>
      <c r="B884" t="s">
        <v>15</v>
      </c>
      <c r="C884">
        <v>2021</v>
      </c>
      <c r="D884">
        <v>15.5</v>
      </c>
      <c r="E884">
        <v>70</v>
      </c>
      <c r="F884">
        <v>61.5</v>
      </c>
      <c r="G884" s="1">
        <f>DATE(C884, CHOOSE(MATCH(UPPER(B884), {"ENERO","FEBRERO","MARZO","ABRIL","MAYO","JUNIO","JULIO","AGOSTO","SEPTIEMBRE","OCTUBRE","NOVIEMBRE","DICIEMBRE"}, 0), 1,2,3,4,5,6,7,8,9,10,11,12), A884)</f>
        <v>44349</v>
      </c>
      <c r="H884">
        <v>24</v>
      </c>
      <c r="I884">
        <v>40000</v>
      </c>
      <c r="J884" s="1">
        <f t="shared" si="27"/>
        <v>44349</v>
      </c>
      <c r="K884">
        <f t="shared" si="26"/>
        <v>24</v>
      </c>
    </row>
    <row r="885" spans="1:11" x14ac:dyDescent="0.25">
      <c r="A885">
        <v>3</v>
      </c>
      <c r="B885" t="s">
        <v>15</v>
      </c>
      <c r="C885">
        <v>2021</v>
      </c>
      <c r="D885">
        <v>61.5</v>
      </c>
      <c r="E885" t="s">
        <v>9</v>
      </c>
      <c r="F885">
        <v>19.5</v>
      </c>
      <c r="G885" s="1">
        <f>DATE(C885, CHOOSE(MATCH(UPPER(B885), {"ENERO","FEBRERO","MARZO","ABRIL","MAYO","JUNIO","JULIO","AGOSTO","SEPTIEMBRE","OCTUBRE","NOVIEMBRE","DICIEMBRE"}, 0), 1,2,3,4,5,6,7,8,9,10,11,12), A885)</f>
        <v>44350</v>
      </c>
      <c r="H885">
        <v>42</v>
      </c>
      <c r="I885">
        <v>40000</v>
      </c>
      <c r="J885" s="1">
        <f t="shared" si="27"/>
        <v>44350</v>
      </c>
      <c r="K885">
        <f t="shared" si="26"/>
        <v>42</v>
      </c>
    </row>
    <row r="886" spans="1:11" x14ac:dyDescent="0.25">
      <c r="A886">
        <v>4</v>
      </c>
      <c r="B886" t="s">
        <v>15</v>
      </c>
      <c r="C886">
        <v>2021</v>
      </c>
      <c r="D886">
        <v>19.5</v>
      </c>
      <c r="E886">
        <v>150</v>
      </c>
      <c r="F886">
        <v>124</v>
      </c>
      <c r="G886" s="1">
        <f>DATE(C886, CHOOSE(MATCH(UPPER(B886), {"ENERO","FEBRERO","MARZO","ABRIL","MAYO","JUNIO","JULIO","AGOSTO","SEPTIEMBRE","OCTUBRE","NOVIEMBRE","DICIEMBRE"}, 0), 1,2,3,4,5,6,7,8,9,10,11,12), A886)</f>
        <v>44351</v>
      </c>
      <c r="H886">
        <v>45.5</v>
      </c>
      <c r="I886">
        <v>40000</v>
      </c>
      <c r="J886" s="1">
        <f t="shared" si="27"/>
        <v>44351</v>
      </c>
      <c r="K886">
        <f t="shared" si="26"/>
        <v>45.5</v>
      </c>
    </row>
    <row r="887" spans="1:11" x14ac:dyDescent="0.25">
      <c r="A887">
        <v>5</v>
      </c>
      <c r="B887" t="s">
        <v>15</v>
      </c>
      <c r="C887">
        <v>2021</v>
      </c>
      <c r="D887">
        <v>124</v>
      </c>
      <c r="E887" t="s">
        <v>9</v>
      </c>
      <c r="F887">
        <v>65</v>
      </c>
      <c r="G887" s="1">
        <f>DATE(C887, CHOOSE(MATCH(UPPER(B887), {"ENERO","FEBRERO","MARZO","ABRIL","MAYO","JUNIO","JULIO","AGOSTO","SEPTIEMBRE","OCTUBRE","NOVIEMBRE","DICIEMBRE"}, 0), 1,2,3,4,5,6,7,8,9,10,11,12), A887)</f>
        <v>44352</v>
      </c>
      <c r="H887">
        <v>59</v>
      </c>
      <c r="I887">
        <v>40000</v>
      </c>
      <c r="J887" s="1">
        <f t="shared" si="27"/>
        <v>44352</v>
      </c>
      <c r="K887">
        <f t="shared" si="26"/>
        <v>59</v>
      </c>
    </row>
    <row r="888" spans="1:11" x14ac:dyDescent="0.25">
      <c r="A888">
        <v>6</v>
      </c>
      <c r="B888" t="s">
        <v>15</v>
      </c>
      <c r="C888">
        <v>2021</v>
      </c>
      <c r="D888">
        <v>65</v>
      </c>
      <c r="E888">
        <v>30</v>
      </c>
      <c r="F888">
        <v>31.5</v>
      </c>
      <c r="G888" s="1">
        <f>DATE(C888, CHOOSE(MATCH(UPPER(B888), {"ENERO","FEBRERO","MARZO","ABRIL","MAYO","JUNIO","JULIO","AGOSTO","SEPTIEMBRE","OCTUBRE","NOVIEMBRE","DICIEMBRE"}, 0), 1,2,3,4,5,6,7,8,9,10,11,12), A888)</f>
        <v>44353</v>
      </c>
      <c r="H888">
        <v>63.5</v>
      </c>
      <c r="I888">
        <v>40000</v>
      </c>
      <c r="J888" s="1">
        <f t="shared" si="27"/>
        <v>44353</v>
      </c>
      <c r="K888">
        <f t="shared" si="26"/>
        <v>63.5</v>
      </c>
    </row>
    <row r="889" spans="1:11" x14ac:dyDescent="0.25">
      <c r="A889">
        <v>7</v>
      </c>
      <c r="B889" t="s">
        <v>15</v>
      </c>
      <c r="C889">
        <v>2021</v>
      </c>
      <c r="D889">
        <v>31.5</v>
      </c>
      <c r="E889">
        <v>80</v>
      </c>
      <c r="F889">
        <v>51.75</v>
      </c>
      <c r="G889" s="1">
        <f>DATE(C889, CHOOSE(MATCH(UPPER(B889), {"ENERO","FEBRERO","MARZO","ABRIL","MAYO","JUNIO","JULIO","AGOSTO","SEPTIEMBRE","OCTUBRE","NOVIEMBRE","DICIEMBRE"}, 0), 1,2,3,4,5,6,7,8,9,10,11,12), A889)</f>
        <v>44354</v>
      </c>
      <c r="H889">
        <v>59.75</v>
      </c>
      <c r="I889">
        <v>40000</v>
      </c>
      <c r="J889" s="1">
        <f t="shared" si="27"/>
        <v>44354</v>
      </c>
      <c r="K889">
        <f t="shared" si="26"/>
        <v>59.75</v>
      </c>
    </row>
    <row r="890" spans="1:11" x14ac:dyDescent="0.25">
      <c r="A890">
        <v>8</v>
      </c>
      <c r="B890" t="s">
        <v>15</v>
      </c>
      <c r="C890">
        <v>2021</v>
      </c>
      <c r="D890">
        <v>51.75</v>
      </c>
      <c r="E890" t="s">
        <v>9</v>
      </c>
      <c r="F890">
        <v>7</v>
      </c>
      <c r="G890" s="1">
        <f>DATE(C890, CHOOSE(MATCH(UPPER(B890), {"ENERO","FEBRERO","MARZO","ABRIL","MAYO","JUNIO","JULIO","AGOSTO","SEPTIEMBRE","OCTUBRE","NOVIEMBRE","DICIEMBRE"}, 0), 1,2,3,4,5,6,7,8,9,10,11,12), A890)</f>
        <v>44355</v>
      </c>
      <c r="H890">
        <v>44.75</v>
      </c>
      <c r="I890">
        <v>40000</v>
      </c>
      <c r="J890" s="1">
        <f t="shared" si="27"/>
        <v>44355</v>
      </c>
      <c r="K890">
        <f t="shared" si="26"/>
        <v>44.75</v>
      </c>
    </row>
    <row r="891" spans="1:11" x14ac:dyDescent="0.25">
      <c r="A891">
        <v>9</v>
      </c>
      <c r="B891" t="s">
        <v>15</v>
      </c>
      <c r="C891">
        <v>2021</v>
      </c>
      <c r="D891">
        <v>7</v>
      </c>
      <c r="E891">
        <v>50</v>
      </c>
      <c r="F891">
        <v>23</v>
      </c>
      <c r="G891" s="1">
        <f>DATE(C891, CHOOSE(MATCH(UPPER(B891), {"ENERO","FEBRERO","MARZO","ABRIL","MAYO","JUNIO","JULIO","AGOSTO","SEPTIEMBRE","OCTUBRE","NOVIEMBRE","DICIEMBRE"}, 0), 1,2,3,4,5,6,7,8,9,10,11,12), A891)</f>
        <v>44356</v>
      </c>
      <c r="H891">
        <v>34</v>
      </c>
      <c r="I891">
        <v>40000</v>
      </c>
      <c r="J891" s="1">
        <f t="shared" si="27"/>
        <v>44356</v>
      </c>
      <c r="K891">
        <f t="shared" si="26"/>
        <v>34</v>
      </c>
    </row>
    <row r="892" spans="1:11" x14ac:dyDescent="0.25">
      <c r="A892">
        <v>10</v>
      </c>
      <c r="B892" t="s">
        <v>15</v>
      </c>
      <c r="C892">
        <v>2021</v>
      </c>
      <c r="D892">
        <v>23</v>
      </c>
      <c r="E892">
        <v>100</v>
      </c>
      <c r="F892">
        <v>90.75</v>
      </c>
      <c r="G892" s="1">
        <f>DATE(C892, CHOOSE(MATCH(UPPER(B892), {"ENERO","FEBRERO","MARZO","ABRIL","MAYO","JUNIO","JULIO","AGOSTO","SEPTIEMBRE","OCTUBRE","NOVIEMBRE","DICIEMBRE"}, 0), 1,2,3,4,5,6,7,8,9,10,11,12), A892)</f>
        <v>44357</v>
      </c>
      <c r="H892">
        <v>32.25</v>
      </c>
      <c r="I892">
        <v>40000</v>
      </c>
      <c r="J892" s="1">
        <f t="shared" si="27"/>
        <v>44357</v>
      </c>
      <c r="K892">
        <f t="shared" si="26"/>
        <v>32.25</v>
      </c>
    </row>
    <row r="893" spans="1:11" x14ac:dyDescent="0.25">
      <c r="A893">
        <v>11</v>
      </c>
      <c r="B893" t="s">
        <v>15</v>
      </c>
      <c r="C893">
        <v>2021</v>
      </c>
      <c r="D893">
        <v>90.75</v>
      </c>
      <c r="E893" t="s">
        <v>9</v>
      </c>
      <c r="F893">
        <v>45.875</v>
      </c>
      <c r="G893" s="1">
        <f>DATE(C893, CHOOSE(MATCH(UPPER(B893), {"ENERO","FEBRERO","MARZO","ABRIL","MAYO","JUNIO","JULIO","AGOSTO","SEPTIEMBRE","OCTUBRE","NOVIEMBRE","DICIEMBRE"}, 0), 1,2,3,4,5,6,7,8,9,10,11,12), A893)</f>
        <v>44358</v>
      </c>
      <c r="H893">
        <v>44.875</v>
      </c>
      <c r="I893">
        <v>40000</v>
      </c>
      <c r="J893" s="1">
        <f t="shared" si="27"/>
        <v>44358</v>
      </c>
      <c r="K893">
        <f t="shared" si="26"/>
        <v>44.875</v>
      </c>
    </row>
    <row r="894" spans="1:11" x14ac:dyDescent="0.25">
      <c r="A894">
        <v>12</v>
      </c>
      <c r="B894" t="s">
        <v>15</v>
      </c>
      <c r="C894">
        <v>2021</v>
      </c>
      <c r="D894">
        <v>45.875</v>
      </c>
      <c r="E894">
        <v>100</v>
      </c>
      <c r="F894">
        <v>101</v>
      </c>
      <c r="G894" s="1">
        <f>DATE(C894, CHOOSE(MATCH(UPPER(B894), {"ENERO","FEBRERO","MARZO","ABRIL","MAYO","JUNIO","JULIO","AGOSTO","SEPTIEMBRE","OCTUBRE","NOVIEMBRE","DICIEMBRE"}, 0), 1,2,3,4,5,6,7,8,9,10,11,12), A894)</f>
        <v>44359</v>
      </c>
      <c r="H894">
        <v>44.875</v>
      </c>
      <c r="I894">
        <v>40000</v>
      </c>
      <c r="J894" s="1">
        <f t="shared" si="27"/>
        <v>44359</v>
      </c>
      <c r="K894">
        <f t="shared" si="26"/>
        <v>44.875</v>
      </c>
    </row>
    <row r="895" spans="1:11" x14ac:dyDescent="0.25">
      <c r="A895">
        <v>13</v>
      </c>
      <c r="B895" t="s">
        <v>15</v>
      </c>
      <c r="C895">
        <v>2021</v>
      </c>
      <c r="D895">
        <v>101</v>
      </c>
      <c r="E895" t="s">
        <v>9</v>
      </c>
      <c r="F895">
        <v>58</v>
      </c>
      <c r="G895" s="1">
        <f>DATE(C895, CHOOSE(MATCH(UPPER(B895), {"ENERO","FEBRERO","MARZO","ABRIL","MAYO","JUNIO","JULIO","AGOSTO","SEPTIEMBRE","OCTUBRE","NOVIEMBRE","DICIEMBRE"}, 0), 1,2,3,4,5,6,7,8,9,10,11,12), A895)</f>
        <v>44360</v>
      </c>
      <c r="H895">
        <v>43</v>
      </c>
      <c r="I895">
        <v>40000</v>
      </c>
      <c r="J895" s="1">
        <f t="shared" si="27"/>
        <v>44360</v>
      </c>
      <c r="K895">
        <f t="shared" si="26"/>
        <v>43</v>
      </c>
    </row>
    <row r="896" spans="1:11" x14ac:dyDescent="0.25">
      <c r="A896">
        <v>14</v>
      </c>
      <c r="B896" t="s">
        <v>15</v>
      </c>
      <c r="C896">
        <v>2021</v>
      </c>
      <c r="D896">
        <v>58</v>
      </c>
      <c r="E896">
        <v>100</v>
      </c>
      <c r="F896">
        <v>111</v>
      </c>
      <c r="G896" s="1">
        <f>DATE(C896, CHOOSE(MATCH(UPPER(B896), {"ENERO","FEBRERO","MARZO","ABRIL","MAYO","JUNIO","JULIO","AGOSTO","SEPTIEMBRE","OCTUBRE","NOVIEMBRE","DICIEMBRE"}, 0), 1,2,3,4,5,6,7,8,9,10,11,12), A896)</f>
        <v>44361</v>
      </c>
      <c r="H896">
        <v>47</v>
      </c>
      <c r="I896">
        <v>40000</v>
      </c>
      <c r="J896" s="1">
        <f t="shared" si="27"/>
        <v>44361</v>
      </c>
      <c r="K896">
        <f t="shared" si="26"/>
        <v>47</v>
      </c>
    </row>
    <row r="897" spans="1:11" x14ac:dyDescent="0.25">
      <c r="A897">
        <v>15</v>
      </c>
      <c r="B897" t="s">
        <v>15</v>
      </c>
      <c r="C897">
        <v>2021</v>
      </c>
      <c r="D897">
        <v>111</v>
      </c>
      <c r="E897" t="s">
        <v>9</v>
      </c>
      <c r="F897">
        <v>73</v>
      </c>
      <c r="G897" s="1">
        <f>DATE(C897, CHOOSE(MATCH(UPPER(B897), {"ENERO","FEBRERO","MARZO","ABRIL","MAYO","JUNIO","JULIO","AGOSTO","SEPTIEMBRE","OCTUBRE","NOVIEMBRE","DICIEMBRE"}, 0), 1,2,3,4,5,6,7,8,9,10,11,12), A897)</f>
        <v>44362</v>
      </c>
      <c r="H897">
        <v>38</v>
      </c>
      <c r="I897">
        <v>40000</v>
      </c>
      <c r="J897" s="1">
        <f t="shared" si="27"/>
        <v>44362</v>
      </c>
      <c r="K897">
        <f t="shared" si="26"/>
        <v>38</v>
      </c>
    </row>
    <row r="898" spans="1:11" x14ac:dyDescent="0.25">
      <c r="A898">
        <v>16</v>
      </c>
      <c r="B898" t="s">
        <v>15</v>
      </c>
      <c r="C898">
        <v>2021</v>
      </c>
      <c r="D898">
        <v>73</v>
      </c>
      <c r="E898" t="s">
        <v>9</v>
      </c>
      <c r="F898">
        <v>30</v>
      </c>
      <c r="G898" s="1">
        <f>DATE(C898, CHOOSE(MATCH(UPPER(B898), {"ENERO","FEBRERO","MARZO","ABRIL","MAYO","JUNIO","JULIO","AGOSTO","SEPTIEMBRE","OCTUBRE","NOVIEMBRE","DICIEMBRE"}, 0), 1,2,3,4,5,6,7,8,9,10,11,12), A898)</f>
        <v>44363</v>
      </c>
      <c r="H898">
        <v>43</v>
      </c>
      <c r="I898">
        <v>40000</v>
      </c>
      <c r="J898" s="1">
        <f t="shared" si="27"/>
        <v>44363</v>
      </c>
      <c r="K898">
        <f t="shared" si="26"/>
        <v>43</v>
      </c>
    </row>
    <row r="899" spans="1:11" x14ac:dyDescent="0.25">
      <c r="A899">
        <v>17</v>
      </c>
      <c r="B899" t="s">
        <v>15</v>
      </c>
      <c r="C899">
        <v>2021</v>
      </c>
      <c r="D899">
        <v>30</v>
      </c>
      <c r="E899">
        <v>140</v>
      </c>
      <c r="F899">
        <v>121</v>
      </c>
      <c r="G899" s="1">
        <f>DATE(C899, CHOOSE(MATCH(UPPER(B899), {"ENERO","FEBRERO","MARZO","ABRIL","MAYO","JUNIO","JULIO","AGOSTO","SEPTIEMBRE","OCTUBRE","NOVIEMBRE","DICIEMBRE"}, 0), 1,2,3,4,5,6,7,8,9,10,11,12), A899)</f>
        <v>44364</v>
      </c>
      <c r="H899">
        <v>49</v>
      </c>
      <c r="I899">
        <v>40000</v>
      </c>
      <c r="J899" s="1">
        <f t="shared" si="27"/>
        <v>44364</v>
      </c>
      <c r="K899">
        <f t="shared" ref="K899:K962" si="28">VLOOKUP(J899, G:H, 2, FALSE)</f>
        <v>49</v>
      </c>
    </row>
    <row r="900" spans="1:11" x14ac:dyDescent="0.25">
      <c r="A900">
        <v>18</v>
      </c>
      <c r="B900" t="s">
        <v>15</v>
      </c>
      <c r="C900">
        <v>2021</v>
      </c>
      <c r="D900">
        <v>121</v>
      </c>
      <c r="E900" t="s">
        <v>9</v>
      </c>
      <c r="F900">
        <v>75</v>
      </c>
      <c r="G900" s="1">
        <f>DATE(C900, CHOOSE(MATCH(UPPER(B900), {"ENERO","FEBRERO","MARZO","ABRIL","MAYO","JUNIO","JULIO","AGOSTO","SEPTIEMBRE","OCTUBRE","NOVIEMBRE","DICIEMBRE"}, 0), 1,2,3,4,5,6,7,8,9,10,11,12), A900)</f>
        <v>44365</v>
      </c>
      <c r="H900">
        <v>46</v>
      </c>
      <c r="I900">
        <v>40000</v>
      </c>
      <c r="J900" s="1">
        <f t="shared" si="27"/>
        <v>44365</v>
      </c>
      <c r="K900">
        <f t="shared" si="28"/>
        <v>46</v>
      </c>
    </row>
    <row r="901" spans="1:11" x14ac:dyDescent="0.25">
      <c r="A901">
        <v>19</v>
      </c>
      <c r="B901" t="s">
        <v>15</v>
      </c>
      <c r="C901">
        <v>2021</v>
      </c>
      <c r="D901">
        <v>75</v>
      </c>
      <c r="E901">
        <v>50</v>
      </c>
      <c r="F901">
        <v>67</v>
      </c>
      <c r="G901" s="1">
        <f>DATE(C901, CHOOSE(MATCH(UPPER(B901), {"ENERO","FEBRERO","MARZO","ABRIL","MAYO","JUNIO","JULIO","AGOSTO","SEPTIEMBRE","OCTUBRE","NOVIEMBRE","DICIEMBRE"}, 0), 1,2,3,4,5,6,7,8,9,10,11,12), A901)</f>
        <v>44366</v>
      </c>
      <c r="H901">
        <v>58</v>
      </c>
      <c r="I901">
        <v>40000</v>
      </c>
      <c r="J901" s="1">
        <f t="shared" ref="J901:J964" si="29">DATE(2019,1,1) + ROW()-1</f>
        <v>44366</v>
      </c>
      <c r="K901">
        <f t="shared" si="28"/>
        <v>58</v>
      </c>
    </row>
    <row r="902" spans="1:11" x14ac:dyDescent="0.25">
      <c r="A902">
        <v>20</v>
      </c>
      <c r="B902" t="s">
        <v>15</v>
      </c>
      <c r="C902">
        <v>2021</v>
      </c>
      <c r="D902">
        <v>67</v>
      </c>
      <c r="E902">
        <v>100</v>
      </c>
      <c r="F902">
        <v>114.125</v>
      </c>
      <c r="G902" s="1">
        <f>DATE(C902, CHOOSE(MATCH(UPPER(B902), {"ENERO","FEBRERO","MARZO","ABRIL","MAYO","JUNIO","JULIO","AGOSTO","SEPTIEMBRE","OCTUBRE","NOVIEMBRE","DICIEMBRE"}, 0), 1,2,3,4,5,6,7,8,9,10,11,12), A902)</f>
        <v>44367</v>
      </c>
      <c r="H902">
        <v>52.875</v>
      </c>
      <c r="I902">
        <v>40000</v>
      </c>
      <c r="J902" s="1">
        <f t="shared" si="29"/>
        <v>44367</v>
      </c>
      <c r="K902">
        <f t="shared" si="28"/>
        <v>52.875</v>
      </c>
    </row>
    <row r="903" spans="1:11" x14ac:dyDescent="0.25">
      <c r="A903">
        <v>21</v>
      </c>
      <c r="B903" t="s">
        <v>15</v>
      </c>
      <c r="C903">
        <v>2021</v>
      </c>
      <c r="D903">
        <v>114.125</v>
      </c>
      <c r="E903" t="s">
        <v>9</v>
      </c>
      <c r="F903">
        <v>85</v>
      </c>
      <c r="G903" s="1">
        <f>DATE(C903, CHOOSE(MATCH(UPPER(B903), {"ENERO","FEBRERO","MARZO","ABRIL","MAYO","JUNIO","JULIO","AGOSTO","SEPTIEMBRE","OCTUBRE","NOVIEMBRE","DICIEMBRE"}, 0), 1,2,3,4,5,6,7,8,9,10,11,12), A903)</f>
        <v>44368</v>
      </c>
      <c r="H903">
        <v>29.125</v>
      </c>
      <c r="I903">
        <v>40000</v>
      </c>
      <c r="J903" s="1">
        <f t="shared" si="29"/>
        <v>44368</v>
      </c>
      <c r="K903">
        <f t="shared" si="28"/>
        <v>29.125</v>
      </c>
    </row>
    <row r="904" spans="1:11" x14ac:dyDescent="0.25">
      <c r="A904">
        <v>22</v>
      </c>
      <c r="B904" t="s">
        <v>15</v>
      </c>
      <c r="C904">
        <v>2021</v>
      </c>
      <c r="D904">
        <v>85</v>
      </c>
      <c r="E904" t="s">
        <v>9</v>
      </c>
      <c r="F904">
        <v>46.75</v>
      </c>
      <c r="G904" s="1">
        <f>DATE(C904, CHOOSE(MATCH(UPPER(B904), {"ENERO","FEBRERO","MARZO","ABRIL","MAYO","JUNIO","JULIO","AGOSTO","SEPTIEMBRE","OCTUBRE","NOVIEMBRE","DICIEMBRE"}, 0), 1,2,3,4,5,6,7,8,9,10,11,12), A904)</f>
        <v>44369</v>
      </c>
      <c r="H904">
        <v>38.25</v>
      </c>
      <c r="I904">
        <v>40000</v>
      </c>
      <c r="J904" s="1">
        <f t="shared" si="29"/>
        <v>44369</v>
      </c>
      <c r="K904">
        <f t="shared" si="28"/>
        <v>38.25</v>
      </c>
    </row>
    <row r="905" spans="1:11" x14ac:dyDescent="0.25">
      <c r="A905">
        <v>23</v>
      </c>
      <c r="B905" t="s">
        <v>15</v>
      </c>
      <c r="C905">
        <v>2021</v>
      </c>
      <c r="D905">
        <v>46.75</v>
      </c>
      <c r="E905">
        <v>150</v>
      </c>
      <c r="F905">
        <v>172.75</v>
      </c>
      <c r="G905" s="1">
        <f>DATE(C905, CHOOSE(MATCH(UPPER(B905), {"ENERO","FEBRERO","MARZO","ABRIL","MAYO","JUNIO","JULIO","AGOSTO","SEPTIEMBRE","OCTUBRE","NOVIEMBRE","DICIEMBRE"}, 0), 1,2,3,4,5,6,7,8,9,10,11,12), A905)</f>
        <v>44370</v>
      </c>
      <c r="H905">
        <v>24</v>
      </c>
      <c r="I905">
        <v>40000</v>
      </c>
      <c r="J905" s="1">
        <f t="shared" si="29"/>
        <v>44370</v>
      </c>
      <c r="K905">
        <f t="shared" si="28"/>
        <v>24</v>
      </c>
    </row>
    <row r="906" spans="1:11" x14ac:dyDescent="0.25">
      <c r="A906">
        <v>24</v>
      </c>
      <c r="B906" t="s">
        <v>15</v>
      </c>
      <c r="C906">
        <v>2021</v>
      </c>
      <c r="D906">
        <v>172.75</v>
      </c>
      <c r="E906" t="s">
        <v>9</v>
      </c>
      <c r="F906">
        <v>135</v>
      </c>
      <c r="G906" s="1">
        <f>DATE(C906, CHOOSE(MATCH(UPPER(B906), {"ENERO","FEBRERO","MARZO","ABRIL","MAYO","JUNIO","JULIO","AGOSTO","SEPTIEMBRE","OCTUBRE","NOVIEMBRE","DICIEMBRE"}, 0), 1,2,3,4,5,6,7,8,9,10,11,12), A906)</f>
        <v>44371</v>
      </c>
      <c r="H906">
        <v>37.75</v>
      </c>
      <c r="I906">
        <v>40000</v>
      </c>
      <c r="J906" s="1">
        <f t="shared" si="29"/>
        <v>44371</v>
      </c>
      <c r="K906">
        <f t="shared" si="28"/>
        <v>37.75</v>
      </c>
    </row>
    <row r="907" spans="1:11" x14ac:dyDescent="0.25">
      <c r="A907">
        <v>25</v>
      </c>
      <c r="B907" t="s">
        <v>15</v>
      </c>
      <c r="C907">
        <v>2021</v>
      </c>
      <c r="D907">
        <v>135</v>
      </c>
      <c r="E907" t="s">
        <v>9</v>
      </c>
      <c r="F907">
        <v>86</v>
      </c>
      <c r="G907" s="1">
        <f>DATE(C907, CHOOSE(MATCH(UPPER(B907), {"ENERO","FEBRERO","MARZO","ABRIL","MAYO","JUNIO","JULIO","AGOSTO","SEPTIEMBRE","OCTUBRE","NOVIEMBRE","DICIEMBRE"}, 0), 1,2,3,4,5,6,7,8,9,10,11,12), A907)</f>
        <v>44372</v>
      </c>
      <c r="H907">
        <v>49</v>
      </c>
      <c r="I907">
        <v>40000</v>
      </c>
      <c r="J907" s="1">
        <f t="shared" si="29"/>
        <v>44372</v>
      </c>
      <c r="K907">
        <f t="shared" si="28"/>
        <v>49</v>
      </c>
    </row>
    <row r="908" spans="1:11" x14ac:dyDescent="0.25">
      <c r="A908">
        <v>26</v>
      </c>
      <c r="B908" t="s">
        <v>15</v>
      </c>
      <c r="C908">
        <v>2021</v>
      </c>
      <c r="D908">
        <v>86</v>
      </c>
      <c r="E908">
        <v>100</v>
      </c>
      <c r="F908">
        <v>129</v>
      </c>
      <c r="G908" s="1">
        <f>DATE(C908, CHOOSE(MATCH(UPPER(B908), {"ENERO","FEBRERO","MARZO","ABRIL","MAYO","JUNIO","JULIO","AGOSTO","SEPTIEMBRE","OCTUBRE","NOVIEMBRE","DICIEMBRE"}, 0), 1,2,3,4,5,6,7,8,9,10,11,12), A908)</f>
        <v>44373</v>
      </c>
      <c r="H908">
        <v>57</v>
      </c>
      <c r="I908">
        <v>40000</v>
      </c>
      <c r="J908" s="1">
        <f t="shared" si="29"/>
        <v>44373</v>
      </c>
      <c r="K908">
        <f t="shared" si="28"/>
        <v>57</v>
      </c>
    </row>
    <row r="909" spans="1:11" x14ac:dyDescent="0.25">
      <c r="A909">
        <v>27</v>
      </c>
      <c r="B909" t="s">
        <v>15</v>
      </c>
      <c r="C909">
        <v>2021</v>
      </c>
      <c r="D909">
        <v>129</v>
      </c>
      <c r="E909" t="s">
        <v>9</v>
      </c>
      <c r="F909">
        <v>72</v>
      </c>
      <c r="G909" s="1">
        <f>DATE(C909, CHOOSE(MATCH(UPPER(B909), {"ENERO","FEBRERO","MARZO","ABRIL","MAYO","JUNIO","JULIO","AGOSTO","SEPTIEMBRE","OCTUBRE","NOVIEMBRE","DICIEMBRE"}, 0), 1,2,3,4,5,6,7,8,9,10,11,12), A909)</f>
        <v>44374</v>
      </c>
      <c r="H909">
        <v>57</v>
      </c>
      <c r="I909">
        <v>40000</v>
      </c>
      <c r="J909" s="1">
        <f t="shared" si="29"/>
        <v>44374</v>
      </c>
      <c r="K909">
        <f t="shared" si="28"/>
        <v>57</v>
      </c>
    </row>
    <row r="910" spans="1:11" x14ac:dyDescent="0.25">
      <c r="A910">
        <v>28</v>
      </c>
      <c r="B910" t="s">
        <v>15</v>
      </c>
      <c r="C910">
        <v>2021</v>
      </c>
      <c r="D910">
        <v>72</v>
      </c>
      <c r="E910" t="s">
        <v>9</v>
      </c>
      <c r="F910">
        <v>40.5</v>
      </c>
      <c r="G910" s="1">
        <f>DATE(C910, CHOOSE(MATCH(UPPER(B910), {"ENERO","FEBRERO","MARZO","ABRIL","MAYO","JUNIO","JULIO","AGOSTO","SEPTIEMBRE","OCTUBRE","NOVIEMBRE","DICIEMBRE"}, 0), 1,2,3,4,5,6,7,8,9,10,11,12), A910)</f>
        <v>44375</v>
      </c>
      <c r="H910">
        <v>31.5</v>
      </c>
      <c r="I910">
        <v>40000</v>
      </c>
      <c r="J910" s="1">
        <f t="shared" si="29"/>
        <v>44375</v>
      </c>
      <c r="K910">
        <f t="shared" si="28"/>
        <v>31.5</v>
      </c>
    </row>
    <row r="911" spans="1:11" x14ac:dyDescent="0.25">
      <c r="A911">
        <v>29</v>
      </c>
      <c r="B911" t="s">
        <v>15</v>
      </c>
      <c r="C911">
        <v>2021</v>
      </c>
      <c r="D911">
        <v>40.5</v>
      </c>
      <c r="E911">
        <v>30</v>
      </c>
      <c r="F911">
        <v>35</v>
      </c>
      <c r="G911" s="1">
        <f>DATE(C911, CHOOSE(MATCH(UPPER(B911), {"ENERO","FEBRERO","MARZO","ABRIL","MAYO","JUNIO","JULIO","AGOSTO","SEPTIEMBRE","OCTUBRE","NOVIEMBRE","DICIEMBRE"}, 0), 1,2,3,4,5,6,7,8,9,10,11,12), A911)</f>
        <v>44376</v>
      </c>
      <c r="H911">
        <v>35.5</v>
      </c>
      <c r="I911">
        <v>40000</v>
      </c>
      <c r="J911" s="1">
        <f t="shared" si="29"/>
        <v>44376</v>
      </c>
      <c r="K911">
        <f t="shared" si="28"/>
        <v>35.5</v>
      </c>
    </row>
    <row r="912" spans="1:11" x14ac:dyDescent="0.25">
      <c r="A912">
        <v>30</v>
      </c>
      <c r="B912" t="s">
        <v>15</v>
      </c>
      <c r="C912">
        <v>2021</v>
      </c>
      <c r="D912">
        <v>35</v>
      </c>
      <c r="E912">
        <v>140</v>
      </c>
      <c r="F912">
        <v>127</v>
      </c>
      <c r="G912" s="1">
        <f>DATE(C912, CHOOSE(MATCH(UPPER(B912), {"ENERO","FEBRERO","MARZO","ABRIL","MAYO","JUNIO","JULIO","AGOSTO","SEPTIEMBRE","OCTUBRE","NOVIEMBRE","DICIEMBRE"}, 0), 1,2,3,4,5,6,7,8,9,10,11,12), A912)</f>
        <v>44377</v>
      </c>
      <c r="H912">
        <v>48</v>
      </c>
      <c r="I912">
        <v>40000</v>
      </c>
      <c r="J912" s="1">
        <f t="shared" si="29"/>
        <v>44377</v>
      </c>
      <c r="K912">
        <f t="shared" si="28"/>
        <v>48</v>
      </c>
    </row>
    <row r="913" spans="1:11" x14ac:dyDescent="0.25">
      <c r="A913">
        <v>1</v>
      </c>
      <c r="B913" t="s">
        <v>16</v>
      </c>
      <c r="C913">
        <v>2021</v>
      </c>
      <c r="D913">
        <v>127</v>
      </c>
      <c r="E913" t="s">
        <v>9</v>
      </c>
      <c r="F913">
        <v>84</v>
      </c>
      <c r="G913" s="1">
        <f>DATE(C913, CHOOSE(MATCH(UPPER(B913), {"ENERO","FEBRERO","MARZO","ABRIL","MAYO","JUNIO","JULIO","AGOSTO","SEPTIEMBRE","OCTUBRE","NOVIEMBRE","DICIEMBRE"}, 0), 1,2,3,4,5,6,7,8,9,10,11,12), A913)</f>
        <v>44378</v>
      </c>
      <c r="H913">
        <v>43</v>
      </c>
      <c r="I913">
        <v>40000</v>
      </c>
      <c r="J913" s="1">
        <f t="shared" si="29"/>
        <v>44378</v>
      </c>
      <c r="K913">
        <f t="shared" si="28"/>
        <v>43</v>
      </c>
    </row>
    <row r="914" spans="1:11" x14ac:dyDescent="0.25">
      <c r="A914">
        <v>2</v>
      </c>
      <c r="B914" t="s">
        <v>16</v>
      </c>
      <c r="C914">
        <v>2021</v>
      </c>
      <c r="D914">
        <v>84</v>
      </c>
      <c r="E914" t="s">
        <v>9</v>
      </c>
      <c r="F914">
        <v>45</v>
      </c>
      <c r="G914" s="1">
        <f>DATE(C914, CHOOSE(MATCH(UPPER(B914), {"ENERO","FEBRERO","MARZO","ABRIL","MAYO","JUNIO","JULIO","AGOSTO","SEPTIEMBRE","OCTUBRE","NOVIEMBRE","DICIEMBRE"}, 0), 1,2,3,4,5,6,7,8,9,10,11,12), A914)</f>
        <v>44379</v>
      </c>
      <c r="H914">
        <v>39</v>
      </c>
      <c r="I914">
        <v>40000</v>
      </c>
      <c r="J914" s="1">
        <f t="shared" si="29"/>
        <v>44379</v>
      </c>
      <c r="K914">
        <f t="shared" si="28"/>
        <v>39</v>
      </c>
    </row>
    <row r="915" spans="1:11" x14ac:dyDescent="0.25">
      <c r="A915">
        <v>3</v>
      </c>
      <c r="B915" t="s">
        <v>16</v>
      </c>
      <c r="C915">
        <v>2021</v>
      </c>
      <c r="D915">
        <v>45</v>
      </c>
      <c r="E915">
        <v>150</v>
      </c>
      <c r="F915">
        <v>141</v>
      </c>
      <c r="G915" s="1">
        <f>DATE(C915, CHOOSE(MATCH(UPPER(B915), {"ENERO","FEBRERO","MARZO","ABRIL","MAYO","JUNIO","JULIO","AGOSTO","SEPTIEMBRE","OCTUBRE","NOVIEMBRE","DICIEMBRE"}, 0), 1,2,3,4,5,6,7,8,9,10,11,12), A915)</f>
        <v>44380</v>
      </c>
      <c r="H915">
        <v>54</v>
      </c>
      <c r="I915">
        <v>40000</v>
      </c>
      <c r="J915" s="1">
        <f t="shared" si="29"/>
        <v>44380</v>
      </c>
      <c r="K915">
        <f t="shared" si="28"/>
        <v>54</v>
      </c>
    </row>
    <row r="916" spans="1:11" x14ac:dyDescent="0.25">
      <c r="A916">
        <v>4</v>
      </c>
      <c r="B916" t="s">
        <v>16</v>
      </c>
      <c r="C916">
        <v>2021</v>
      </c>
      <c r="D916">
        <v>141</v>
      </c>
      <c r="E916" t="s">
        <v>9</v>
      </c>
      <c r="F916">
        <v>85</v>
      </c>
      <c r="G916" s="1">
        <f>DATE(C916, CHOOSE(MATCH(UPPER(B916), {"ENERO","FEBRERO","MARZO","ABRIL","MAYO","JUNIO","JULIO","AGOSTO","SEPTIEMBRE","OCTUBRE","NOVIEMBRE","DICIEMBRE"}, 0), 1,2,3,4,5,6,7,8,9,10,11,12), A916)</f>
        <v>44381</v>
      </c>
      <c r="H916">
        <v>56</v>
      </c>
      <c r="I916">
        <v>40000</v>
      </c>
      <c r="J916" s="1">
        <f t="shared" si="29"/>
        <v>44381</v>
      </c>
      <c r="K916">
        <f t="shared" si="28"/>
        <v>56</v>
      </c>
    </row>
    <row r="917" spans="1:11" x14ac:dyDescent="0.25">
      <c r="A917">
        <v>5</v>
      </c>
      <c r="B917" t="s">
        <v>16</v>
      </c>
      <c r="C917">
        <v>2021</v>
      </c>
      <c r="D917">
        <v>85</v>
      </c>
      <c r="E917" t="s">
        <v>9</v>
      </c>
      <c r="F917">
        <v>35</v>
      </c>
      <c r="G917" s="1">
        <f>DATE(C917, CHOOSE(MATCH(UPPER(B917), {"ENERO","FEBRERO","MARZO","ABRIL","MAYO","JUNIO","JULIO","AGOSTO","SEPTIEMBRE","OCTUBRE","NOVIEMBRE","DICIEMBRE"}, 0), 1,2,3,4,5,6,7,8,9,10,11,12), A917)</f>
        <v>44382</v>
      </c>
      <c r="H917">
        <v>50</v>
      </c>
      <c r="I917">
        <v>40000</v>
      </c>
      <c r="J917" s="1">
        <f t="shared" si="29"/>
        <v>44382</v>
      </c>
      <c r="K917">
        <f t="shared" si="28"/>
        <v>50</v>
      </c>
    </row>
    <row r="918" spans="1:11" x14ac:dyDescent="0.25">
      <c r="A918">
        <v>6</v>
      </c>
      <c r="B918" t="s">
        <v>16</v>
      </c>
      <c r="C918">
        <v>2021</v>
      </c>
      <c r="D918">
        <v>35</v>
      </c>
      <c r="E918">
        <v>150</v>
      </c>
      <c r="F918">
        <v>144.875</v>
      </c>
      <c r="G918" s="1">
        <f>DATE(C918, CHOOSE(MATCH(UPPER(B918), {"ENERO","FEBRERO","MARZO","ABRIL","MAYO","JUNIO","JULIO","AGOSTO","SEPTIEMBRE","OCTUBRE","NOVIEMBRE","DICIEMBRE"}, 0), 1,2,3,4,5,6,7,8,9,10,11,12), A918)</f>
        <v>44383</v>
      </c>
      <c r="H918">
        <v>40.125</v>
      </c>
      <c r="I918">
        <v>40000</v>
      </c>
      <c r="J918" s="1">
        <f t="shared" si="29"/>
        <v>44383</v>
      </c>
      <c r="K918">
        <f t="shared" si="28"/>
        <v>40.125</v>
      </c>
    </row>
    <row r="919" spans="1:11" x14ac:dyDescent="0.25">
      <c r="A919">
        <v>7</v>
      </c>
      <c r="B919" t="s">
        <v>16</v>
      </c>
      <c r="C919">
        <v>2021</v>
      </c>
      <c r="D919">
        <v>144.875</v>
      </c>
      <c r="E919" t="s">
        <v>9</v>
      </c>
      <c r="F919">
        <v>113</v>
      </c>
      <c r="G919" s="1">
        <f>DATE(C919, CHOOSE(MATCH(UPPER(B919), {"ENERO","FEBRERO","MARZO","ABRIL","MAYO","JUNIO","JULIO","AGOSTO","SEPTIEMBRE","OCTUBRE","NOVIEMBRE","DICIEMBRE"}, 0), 1,2,3,4,5,6,7,8,9,10,11,12), A919)</f>
        <v>44384</v>
      </c>
      <c r="H919">
        <v>31.875</v>
      </c>
      <c r="I919">
        <v>40000</v>
      </c>
      <c r="J919" s="1">
        <f t="shared" si="29"/>
        <v>44384</v>
      </c>
      <c r="K919">
        <f t="shared" si="28"/>
        <v>31.875</v>
      </c>
    </row>
    <row r="920" spans="1:11" x14ac:dyDescent="0.25">
      <c r="A920">
        <v>8</v>
      </c>
      <c r="B920" t="s">
        <v>16</v>
      </c>
      <c r="C920">
        <v>2021</v>
      </c>
      <c r="D920">
        <v>113</v>
      </c>
      <c r="E920" t="s">
        <v>9</v>
      </c>
      <c r="F920">
        <v>81</v>
      </c>
      <c r="G920" s="1">
        <f>DATE(C920, CHOOSE(MATCH(UPPER(B920), {"ENERO","FEBRERO","MARZO","ABRIL","MAYO","JUNIO","JULIO","AGOSTO","SEPTIEMBRE","OCTUBRE","NOVIEMBRE","DICIEMBRE"}, 0), 1,2,3,4,5,6,7,8,9,10,11,12), A920)</f>
        <v>44385</v>
      </c>
      <c r="H920">
        <v>32</v>
      </c>
      <c r="I920">
        <v>40000</v>
      </c>
      <c r="J920" s="1">
        <f t="shared" si="29"/>
        <v>44385</v>
      </c>
      <c r="K920">
        <f t="shared" si="28"/>
        <v>32</v>
      </c>
    </row>
    <row r="921" spans="1:11" x14ac:dyDescent="0.25">
      <c r="A921">
        <v>9</v>
      </c>
      <c r="B921" t="s">
        <v>16</v>
      </c>
      <c r="C921">
        <v>2021</v>
      </c>
      <c r="D921">
        <v>81</v>
      </c>
      <c r="E921" t="s">
        <v>9</v>
      </c>
      <c r="F921">
        <v>30</v>
      </c>
      <c r="G921" s="1">
        <f>DATE(C921, CHOOSE(MATCH(UPPER(B921), {"ENERO","FEBRERO","MARZO","ABRIL","MAYO","JUNIO","JULIO","AGOSTO","SEPTIEMBRE","OCTUBRE","NOVIEMBRE","DICIEMBRE"}, 0), 1,2,3,4,5,6,7,8,9,10,11,12), A921)</f>
        <v>44386</v>
      </c>
      <c r="H921">
        <v>51</v>
      </c>
      <c r="I921">
        <v>40000</v>
      </c>
      <c r="J921" s="1">
        <f t="shared" si="29"/>
        <v>44386</v>
      </c>
      <c r="K921">
        <f t="shared" si="28"/>
        <v>51</v>
      </c>
    </row>
    <row r="922" spans="1:11" x14ac:dyDescent="0.25">
      <c r="A922">
        <v>10</v>
      </c>
      <c r="B922" t="s">
        <v>16</v>
      </c>
      <c r="C922">
        <v>2021</v>
      </c>
      <c r="D922">
        <v>30</v>
      </c>
      <c r="E922">
        <v>150</v>
      </c>
      <c r="F922">
        <v>126</v>
      </c>
      <c r="G922" s="1">
        <f>DATE(C922, CHOOSE(MATCH(UPPER(B922), {"ENERO","FEBRERO","MARZO","ABRIL","MAYO","JUNIO","JULIO","AGOSTO","SEPTIEMBRE","OCTUBRE","NOVIEMBRE","DICIEMBRE"}, 0), 1,2,3,4,5,6,7,8,9,10,11,12), A922)</f>
        <v>44387</v>
      </c>
      <c r="H922">
        <v>54</v>
      </c>
      <c r="I922">
        <v>40000</v>
      </c>
      <c r="J922" s="1">
        <f t="shared" si="29"/>
        <v>44387</v>
      </c>
      <c r="K922">
        <f t="shared" si="28"/>
        <v>54</v>
      </c>
    </row>
    <row r="923" spans="1:11" x14ac:dyDescent="0.25">
      <c r="A923">
        <v>11</v>
      </c>
      <c r="B923" t="s">
        <v>16</v>
      </c>
      <c r="C923">
        <v>2021</v>
      </c>
      <c r="D923">
        <v>126</v>
      </c>
      <c r="E923" t="s">
        <v>9</v>
      </c>
      <c r="F923">
        <v>72</v>
      </c>
      <c r="G923" s="1">
        <f>DATE(C923, CHOOSE(MATCH(UPPER(B923), {"ENERO","FEBRERO","MARZO","ABRIL","MAYO","JUNIO","JULIO","AGOSTO","SEPTIEMBRE","OCTUBRE","NOVIEMBRE","DICIEMBRE"}, 0), 1,2,3,4,5,6,7,8,9,10,11,12), A923)</f>
        <v>44388</v>
      </c>
      <c r="H923">
        <v>54</v>
      </c>
      <c r="I923">
        <v>40000</v>
      </c>
      <c r="J923" s="1">
        <f t="shared" si="29"/>
        <v>44388</v>
      </c>
      <c r="K923">
        <f t="shared" si="28"/>
        <v>54</v>
      </c>
    </row>
    <row r="924" spans="1:11" x14ac:dyDescent="0.25">
      <c r="A924">
        <v>12</v>
      </c>
      <c r="B924" t="s">
        <v>16</v>
      </c>
      <c r="C924">
        <v>2021</v>
      </c>
      <c r="D924">
        <v>72</v>
      </c>
      <c r="E924" t="s">
        <v>9</v>
      </c>
      <c r="F924">
        <v>40</v>
      </c>
      <c r="G924" s="1">
        <f>DATE(C924, CHOOSE(MATCH(UPPER(B924), {"ENERO","FEBRERO","MARZO","ABRIL","MAYO","JUNIO","JULIO","AGOSTO","SEPTIEMBRE","OCTUBRE","NOVIEMBRE","DICIEMBRE"}, 0), 1,2,3,4,5,6,7,8,9,10,11,12), A924)</f>
        <v>44389</v>
      </c>
      <c r="H924">
        <v>32</v>
      </c>
      <c r="I924">
        <v>40000</v>
      </c>
      <c r="J924" s="1">
        <f t="shared" si="29"/>
        <v>44389</v>
      </c>
      <c r="K924">
        <f t="shared" si="28"/>
        <v>32</v>
      </c>
    </row>
    <row r="925" spans="1:11" x14ac:dyDescent="0.25">
      <c r="A925">
        <v>13</v>
      </c>
      <c r="B925" t="s">
        <v>16</v>
      </c>
      <c r="C925">
        <v>2021</v>
      </c>
      <c r="D925">
        <v>40</v>
      </c>
      <c r="E925">
        <v>150</v>
      </c>
      <c r="F925">
        <v>155</v>
      </c>
      <c r="G925" s="1">
        <f>DATE(C925, CHOOSE(MATCH(UPPER(B925), {"ENERO","FEBRERO","MARZO","ABRIL","MAYO","JUNIO","JULIO","AGOSTO","SEPTIEMBRE","OCTUBRE","NOVIEMBRE","DICIEMBRE"}, 0), 1,2,3,4,5,6,7,8,9,10,11,12), A925)</f>
        <v>44390</v>
      </c>
      <c r="H925">
        <v>35</v>
      </c>
      <c r="I925">
        <v>40000</v>
      </c>
      <c r="J925" s="1">
        <f t="shared" si="29"/>
        <v>44390</v>
      </c>
      <c r="K925">
        <f t="shared" si="28"/>
        <v>35</v>
      </c>
    </row>
    <row r="926" spans="1:11" x14ac:dyDescent="0.25">
      <c r="A926">
        <v>14</v>
      </c>
      <c r="B926" t="s">
        <v>16</v>
      </c>
      <c r="C926">
        <v>2021</v>
      </c>
      <c r="D926">
        <v>155</v>
      </c>
      <c r="E926" t="s">
        <v>9</v>
      </c>
      <c r="F926">
        <v>125</v>
      </c>
      <c r="G926" s="1">
        <f>DATE(C926, CHOOSE(MATCH(UPPER(B926), {"ENERO","FEBRERO","MARZO","ABRIL","MAYO","JUNIO","JULIO","AGOSTO","SEPTIEMBRE","OCTUBRE","NOVIEMBRE","DICIEMBRE"}, 0), 1,2,3,4,5,6,7,8,9,10,11,12), A926)</f>
        <v>44391</v>
      </c>
      <c r="H926">
        <v>30</v>
      </c>
      <c r="I926">
        <v>40000</v>
      </c>
      <c r="J926" s="1">
        <f t="shared" si="29"/>
        <v>44391</v>
      </c>
      <c r="K926">
        <f t="shared" si="28"/>
        <v>30</v>
      </c>
    </row>
    <row r="927" spans="1:11" x14ac:dyDescent="0.25">
      <c r="A927">
        <v>15</v>
      </c>
      <c r="B927" t="s">
        <v>16</v>
      </c>
      <c r="C927">
        <v>2021</v>
      </c>
      <c r="D927">
        <v>125</v>
      </c>
      <c r="E927" t="s">
        <v>9</v>
      </c>
      <c r="F927">
        <v>83</v>
      </c>
      <c r="G927" s="1">
        <f>DATE(C927, CHOOSE(MATCH(UPPER(B927), {"ENERO","FEBRERO","MARZO","ABRIL","MAYO","JUNIO","JULIO","AGOSTO","SEPTIEMBRE","OCTUBRE","NOVIEMBRE","DICIEMBRE"}, 0), 1,2,3,4,5,6,7,8,9,10,11,12), A927)</f>
        <v>44392</v>
      </c>
      <c r="H927">
        <v>42</v>
      </c>
      <c r="I927">
        <v>40000</v>
      </c>
      <c r="J927" s="1">
        <f t="shared" si="29"/>
        <v>44392</v>
      </c>
      <c r="K927">
        <f t="shared" si="28"/>
        <v>42</v>
      </c>
    </row>
    <row r="928" spans="1:11" x14ac:dyDescent="0.25">
      <c r="A928">
        <v>16</v>
      </c>
      <c r="B928" t="s">
        <v>16</v>
      </c>
      <c r="C928">
        <v>2021</v>
      </c>
      <c r="D928">
        <v>83</v>
      </c>
      <c r="E928" t="s">
        <v>9</v>
      </c>
      <c r="F928">
        <v>45</v>
      </c>
      <c r="G928" s="1">
        <f>DATE(C928, CHOOSE(MATCH(UPPER(B928), {"ENERO","FEBRERO","MARZO","ABRIL","MAYO","JUNIO","JULIO","AGOSTO","SEPTIEMBRE","OCTUBRE","NOVIEMBRE","DICIEMBRE"}, 0), 1,2,3,4,5,6,7,8,9,10,11,12), A928)</f>
        <v>44393</v>
      </c>
      <c r="H928">
        <v>38</v>
      </c>
      <c r="I928">
        <v>40000</v>
      </c>
      <c r="J928" s="1">
        <f t="shared" si="29"/>
        <v>44393</v>
      </c>
      <c r="K928">
        <f t="shared" si="28"/>
        <v>38</v>
      </c>
    </row>
    <row r="929" spans="1:11" x14ac:dyDescent="0.25">
      <c r="A929">
        <v>17</v>
      </c>
      <c r="B929" t="s">
        <v>16</v>
      </c>
      <c r="C929">
        <v>2021</v>
      </c>
      <c r="D929">
        <v>45</v>
      </c>
      <c r="E929">
        <v>150</v>
      </c>
      <c r="F929">
        <v>125.5</v>
      </c>
      <c r="G929" s="1">
        <f>DATE(C929, CHOOSE(MATCH(UPPER(B929), {"ENERO","FEBRERO","MARZO","ABRIL","MAYO","JUNIO","JULIO","AGOSTO","SEPTIEMBRE","OCTUBRE","NOVIEMBRE","DICIEMBRE"}, 0), 1,2,3,4,5,6,7,8,9,10,11,12), A929)</f>
        <v>44394</v>
      </c>
      <c r="H929">
        <v>69.5</v>
      </c>
      <c r="I929">
        <v>40000</v>
      </c>
      <c r="J929" s="1">
        <f t="shared" si="29"/>
        <v>44394</v>
      </c>
      <c r="K929">
        <f t="shared" si="28"/>
        <v>69.5</v>
      </c>
    </row>
    <row r="930" spans="1:11" x14ac:dyDescent="0.25">
      <c r="A930">
        <v>18</v>
      </c>
      <c r="B930" t="s">
        <v>16</v>
      </c>
      <c r="C930">
        <v>2021</v>
      </c>
      <c r="D930">
        <v>125.5</v>
      </c>
      <c r="E930">
        <v>20</v>
      </c>
      <c r="F930">
        <v>82</v>
      </c>
      <c r="G930" s="1">
        <f>DATE(C930, CHOOSE(MATCH(UPPER(B930), {"ENERO","FEBRERO","MARZO","ABRIL","MAYO","JUNIO","JULIO","AGOSTO","SEPTIEMBRE","OCTUBRE","NOVIEMBRE","DICIEMBRE"}, 0), 1,2,3,4,5,6,7,8,9,10,11,12), A930)</f>
        <v>44395</v>
      </c>
      <c r="H930">
        <v>63.5</v>
      </c>
      <c r="I930">
        <v>40000</v>
      </c>
      <c r="J930" s="1">
        <f t="shared" si="29"/>
        <v>44395</v>
      </c>
      <c r="K930">
        <f t="shared" si="28"/>
        <v>63.5</v>
      </c>
    </row>
    <row r="931" spans="1:11" x14ac:dyDescent="0.25">
      <c r="A931">
        <v>19</v>
      </c>
      <c r="B931" t="s">
        <v>16</v>
      </c>
      <c r="C931">
        <v>2021</v>
      </c>
      <c r="D931">
        <v>82</v>
      </c>
      <c r="E931">
        <v>70</v>
      </c>
      <c r="F931">
        <v>125</v>
      </c>
      <c r="G931" s="1">
        <f>DATE(C931, CHOOSE(MATCH(UPPER(B931), {"ENERO","FEBRERO","MARZO","ABRIL","MAYO","JUNIO","JULIO","AGOSTO","SEPTIEMBRE","OCTUBRE","NOVIEMBRE","DICIEMBRE"}, 0), 1,2,3,4,5,6,7,8,9,10,11,12), A931)</f>
        <v>44396</v>
      </c>
      <c r="H931">
        <v>27</v>
      </c>
      <c r="I931">
        <v>40000</v>
      </c>
      <c r="J931" s="1">
        <f t="shared" si="29"/>
        <v>44396</v>
      </c>
      <c r="K931">
        <f t="shared" si="28"/>
        <v>27</v>
      </c>
    </row>
    <row r="932" spans="1:11" x14ac:dyDescent="0.25">
      <c r="A932">
        <v>20</v>
      </c>
      <c r="B932" t="s">
        <v>16</v>
      </c>
      <c r="C932">
        <v>2021</v>
      </c>
      <c r="D932">
        <v>125</v>
      </c>
      <c r="E932" t="s">
        <v>9</v>
      </c>
      <c r="F932">
        <v>81</v>
      </c>
      <c r="G932" s="1">
        <f>DATE(C932, CHOOSE(MATCH(UPPER(B932), {"ENERO","FEBRERO","MARZO","ABRIL","MAYO","JUNIO","JULIO","AGOSTO","SEPTIEMBRE","OCTUBRE","NOVIEMBRE","DICIEMBRE"}, 0), 1,2,3,4,5,6,7,8,9,10,11,12), A932)</f>
        <v>44397</v>
      </c>
      <c r="H932">
        <v>44</v>
      </c>
      <c r="I932">
        <v>40000</v>
      </c>
      <c r="J932" s="1">
        <f t="shared" si="29"/>
        <v>44397</v>
      </c>
      <c r="K932">
        <f t="shared" si="28"/>
        <v>44</v>
      </c>
    </row>
    <row r="933" spans="1:11" x14ac:dyDescent="0.25">
      <c r="A933">
        <v>21</v>
      </c>
      <c r="B933" t="s">
        <v>16</v>
      </c>
      <c r="C933">
        <v>2021</v>
      </c>
      <c r="D933">
        <v>81</v>
      </c>
      <c r="E933">
        <v>120</v>
      </c>
      <c r="F933">
        <v>172</v>
      </c>
      <c r="G933" s="1">
        <f>DATE(C933, CHOOSE(MATCH(UPPER(B933), {"ENERO","FEBRERO","MARZO","ABRIL","MAYO","JUNIO","JULIO","AGOSTO","SEPTIEMBRE","OCTUBRE","NOVIEMBRE","DICIEMBRE"}, 0), 1,2,3,4,5,6,7,8,9,10,11,12), A933)</f>
        <v>44398</v>
      </c>
      <c r="H933">
        <v>29</v>
      </c>
      <c r="I933">
        <v>40000</v>
      </c>
      <c r="J933" s="1">
        <f t="shared" si="29"/>
        <v>44398</v>
      </c>
      <c r="K933">
        <f t="shared" si="28"/>
        <v>29</v>
      </c>
    </row>
    <row r="934" spans="1:11" x14ac:dyDescent="0.25">
      <c r="A934">
        <v>22</v>
      </c>
      <c r="B934" t="s">
        <v>16</v>
      </c>
      <c r="C934">
        <v>2021</v>
      </c>
      <c r="D934">
        <v>172</v>
      </c>
      <c r="E934" t="s">
        <v>9</v>
      </c>
      <c r="F934">
        <v>133</v>
      </c>
      <c r="G934" s="1">
        <f>DATE(C934, CHOOSE(MATCH(UPPER(B934), {"ENERO","FEBRERO","MARZO","ABRIL","MAYO","JUNIO","JULIO","AGOSTO","SEPTIEMBRE","OCTUBRE","NOVIEMBRE","DICIEMBRE"}, 0), 1,2,3,4,5,6,7,8,9,10,11,12), A934)</f>
        <v>44399</v>
      </c>
      <c r="H934">
        <v>39</v>
      </c>
      <c r="I934">
        <v>40000</v>
      </c>
      <c r="J934" s="1">
        <f t="shared" si="29"/>
        <v>44399</v>
      </c>
      <c r="K934">
        <f t="shared" si="28"/>
        <v>39</v>
      </c>
    </row>
    <row r="935" spans="1:11" x14ac:dyDescent="0.25">
      <c r="A935">
        <v>23</v>
      </c>
      <c r="B935" t="s">
        <v>16</v>
      </c>
      <c r="C935">
        <v>2021</v>
      </c>
      <c r="D935">
        <v>133</v>
      </c>
      <c r="E935" t="s">
        <v>9</v>
      </c>
      <c r="F935">
        <v>103</v>
      </c>
      <c r="G935" s="1">
        <f>DATE(C935, CHOOSE(MATCH(UPPER(B935), {"ENERO","FEBRERO","MARZO","ABRIL","MAYO","JUNIO","JULIO","AGOSTO","SEPTIEMBRE","OCTUBRE","NOVIEMBRE","DICIEMBRE"}, 0), 1,2,3,4,5,6,7,8,9,10,11,12), A935)</f>
        <v>44400</v>
      </c>
      <c r="H935">
        <v>30</v>
      </c>
      <c r="I935">
        <v>40000</v>
      </c>
      <c r="J935" s="1">
        <f t="shared" si="29"/>
        <v>44400</v>
      </c>
      <c r="K935">
        <f t="shared" si="28"/>
        <v>30</v>
      </c>
    </row>
    <row r="936" spans="1:11" x14ac:dyDescent="0.25">
      <c r="A936">
        <v>24</v>
      </c>
      <c r="B936" t="s">
        <v>16</v>
      </c>
      <c r="C936">
        <v>2021</v>
      </c>
      <c r="D936">
        <v>103</v>
      </c>
      <c r="E936">
        <v>100</v>
      </c>
      <c r="F936">
        <v>149.625</v>
      </c>
      <c r="G936" s="1">
        <f>DATE(C936, CHOOSE(MATCH(UPPER(B936), {"ENERO","FEBRERO","MARZO","ABRIL","MAYO","JUNIO","JULIO","AGOSTO","SEPTIEMBRE","OCTUBRE","NOVIEMBRE","DICIEMBRE"}, 0), 1,2,3,4,5,6,7,8,9,10,11,12), A936)</f>
        <v>44401</v>
      </c>
      <c r="H936">
        <v>53.375</v>
      </c>
      <c r="I936">
        <v>40000</v>
      </c>
      <c r="J936" s="1">
        <f t="shared" si="29"/>
        <v>44401</v>
      </c>
      <c r="K936">
        <f t="shared" si="28"/>
        <v>53.375</v>
      </c>
    </row>
    <row r="937" spans="1:11" x14ac:dyDescent="0.25">
      <c r="A937">
        <v>25</v>
      </c>
      <c r="B937" t="s">
        <v>16</v>
      </c>
      <c r="C937">
        <v>2021</v>
      </c>
      <c r="D937">
        <v>149.625</v>
      </c>
      <c r="E937" t="s">
        <v>9</v>
      </c>
      <c r="F937">
        <v>91</v>
      </c>
      <c r="G937" s="1">
        <f>DATE(C937, CHOOSE(MATCH(UPPER(B937), {"ENERO","FEBRERO","MARZO","ABRIL","MAYO","JUNIO","JULIO","AGOSTO","SEPTIEMBRE","OCTUBRE","NOVIEMBRE","DICIEMBRE"}, 0), 1,2,3,4,5,6,7,8,9,10,11,12), A937)</f>
        <v>44402</v>
      </c>
      <c r="H937">
        <v>58.625</v>
      </c>
      <c r="I937">
        <v>40000</v>
      </c>
      <c r="J937" s="1">
        <f t="shared" si="29"/>
        <v>44402</v>
      </c>
      <c r="K937">
        <f t="shared" si="28"/>
        <v>58.625</v>
      </c>
    </row>
    <row r="938" spans="1:11" x14ac:dyDescent="0.25">
      <c r="A938">
        <v>26</v>
      </c>
      <c r="B938" t="s">
        <v>16</v>
      </c>
      <c r="C938">
        <v>2021</v>
      </c>
      <c r="D938">
        <v>91</v>
      </c>
      <c r="E938" t="s">
        <v>9</v>
      </c>
      <c r="F938">
        <v>55</v>
      </c>
      <c r="G938" s="1">
        <f>DATE(C938, CHOOSE(MATCH(UPPER(B938), {"ENERO","FEBRERO","MARZO","ABRIL","MAYO","JUNIO","JULIO","AGOSTO","SEPTIEMBRE","OCTUBRE","NOVIEMBRE","DICIEMBRE"}, 0), 1,2,3,4,5,6,7,8,9,10,11,12), A938)</f>
        <v>44403</v>
      </c>
      <c r="H938">
        <v>36</v>
      </c>
      <c r="I938">
        <v>40000</v>
      </c>
      <c r="J938" s="1">
        <f t="shared" si="29"/>
        <v>44403</v>
      </c>
      <c r="K938">
        <f t="shared" si="28"/>
        <v>36</v>
      </c>
    </row>
    <row r="939" spans="1:11" x14ac:dyDescent="0.25">
      <c r="A939">
        <v>27</v>
      </c>
      <c r="B939" t="s">
        <v>16</v>
      </c>
      <c r="C939">
        <v>2021</v>
      </c>
      <c r="D939">
        <v>55</v>
      </c>
      <c r="E939">
        <v>150</v>
      </c>
      <c r="F939">
        <v>174</v>
      </c>
      <c r="G939" s="1">
        <f>DATE(C939, CHOOSE(MATCH(UPPER(B939), {"ENERO","FEBRERO","MARZO","ABRIL","MAYO","JUNIO","JULIO","AGOSTO","SEPTIEMBRE","OCTUBRE","NOVIEMBRE","DICIEMBRE"}, 0), 1,2,3,4,5,6,7,8,9,10,11,12), A939)</f>
        <v>44404</v>
      </c>
      <c r="H939">
        <v>31</v>
      </c>
      <c r="I939">
        <v>40000</v>
      </c>
      <c r="J939" s="1">
        <f t="shared" si="29"/>
        <v>44404</v>
      </c>
      <c r="K939">
        <f t="shared" si="28"/>
        <v>31</v>
      </c>
    </row>
    <row r="940" spans="1:11" x14ac:dyDescent="0.25">
      <c r="A940">
        <v>28</v>
      </c>
      <c r="B940" t="s">
        <v>16</v>
      </c>
      <c r="C940">
        <v>2021</v>
      </c>
      <c r="D940">
        <v>174</v>
      </c>
      <c r="E940" t="s">
        <v>9</v>
      </c>
      <c r="F940">
        <v>129</v>
      </c>
      <c r="G940" s="1">
        <f>DATE(C940, CHOOSE(MATCH(UPPER(B940), {"ENERO","FEBRERO","MARZO","ABRIL","MAYO","JUNIO","JULIO","AGOSTO","SEPTIEMBRE","OCTUBRE","NOVIEMBRE","DICIEMBRE"}, 0), 1,2,3,4,5,6,7,8,9,10,11,12), A940)</f>
        <v>44405</v>
      </c>
      <c r="H940">
        <v>45</v>
      </c>
      <c r="I940">
        <v>40000</v>
      </c>
      <c r="J940" s="1">
        <f t="shared" si="29"/>
        <v>44405</v>
      </c>
      <c r="K940">
        <f t="shared" si="28"/>
        <v>45</v>
      </c>
    </row>
    <row r="941" spans="1:11" x14ac:dyDescent="0.25">
      <c r="A941">
        <v>29</v>
      </c>
      <c r="B941" t="s">
        <v>16</v>
      </c>
      <c r="C941">
        <v>2021</v>
      </c>
      <c r="D941">
        <v>129</v>
      </c>
      <c r="E941" t="s">
        <v>9</v>
      </c>
      <c r="F941">
        <v>95</v>
      </c>
      <c r="G941" s="1">
        <f>DATE(C941, CHOOSE(MATCH(UPPER(B941), {"ENERO","FEBRERO","MARZO","ABRIL","MAYO","JUNIO","JULIO","AGOSTO","SEPTIEMBRE","OCTUBRE","NOVIEMBRE","DICIEMBRE"}, 0), 1,2,3,4,5,6,7,8,9,10,11,12), A941)</f>
        <v>44406</v>
      </c>
      <c r="H941">
        <v>34</v>
      </c>
      <c r="I941">
        <v>40000</v>
      </c>
      <c r="J941" s="1">
        <f t="shared" si="29"/>
        <v>44406</v>
      </c>
      <c r="K941">
        <f t="shared" si="28"/>
        <v>34</v>
      </c>
    </row>
    <row r="942" spans="1:11" x14ac:dyDescent="0.25">
      <c r="A942">
        <v>30</v>
      </c>
      <c r="B942" t="s">
        <v>16</v>
      </c>
      <c r="C942">
        <v>2021</v>
      </c>
      <c r="D942">
        <v>95</v>
      </c>
      <c r="E942" t="s">
        <v>9</v>
      </c>
      <c r="F942">
        <v>54</v>
      </c>
      <c r="G942" s="1">
        <f>DATE(C942, CHOOSE(MATCH(UPPER(B942), {"ENERO","FEBRERO","MARZO","ABRIL","MAYO","JUNIO","JULIO","AGOSTO","SEPTIEMBRE","OCTUBRE","NOVIEMBRE","DICIEMBRE"}, 0), 1,2,3,4,5,6,7,8,9,10,11,12), A942)</f>
        <v>44407</v>
      </c>
      <c r="H942">
        <v>41</v>
      </c>
      <c r="I942">
        <v>40000</v>
      </c>
      <c r="J942" s="1">
        <f t="shared" si="29"/>
        <v>44407</v>
      </c>
      <c r="K942">
        <f t="shared" si="28"/>
        <v>41</v>
      </c>
    </row>
    <row r="943" spans="1:11" x14ac:dyDescent="0.25">
      <c r="A943">
        <v>31</v>
      </c>
      <c r="B943" t="s">
        <v>16</v>
      </c>
      <c r="C943">
        <v>2021</v>
      </c>
      <c r="D943">
        <v>54</v>
      </c>
      <c r="E943">
        <v>160</v>
      </c>
      <c r="F943">
        <v>166</v>
      </c>
      <c r="G943" s="1">
        <f>DATE(C943, CHOOSE(MATCH(UPPER(B943), {"ENERO","FEBRERO","MARZO","ABRIL","MAYO","JUNIO","JULIO","AGOSTO","SEPTIEMBRE","OCTUBRE","NOVIEMBRE","DICIEMBRE"}, 0), 1,2,3,4,5,6,7,8,9,10,11,12), A943)</f>
        <v>44408</v>
      </c>
      <c r="H943">
        <v>48</v>
      </c>
      <c r="I943">
        <v>40000</v>
      </c>
      <c r="J943" s="1">
        <f t="shared" si="29"/>
        <v>44408</v>
      </c>
      <c r="K943">
        <f t="shared" si="28"/>
        <v>48</v>
      </c>
    </row>
    <row r="944" spans="1:11" x14ac:dyDescent="0.25">
      <c r="A944">
        <v>1</v>
      </c>
      <c r="B944" t="s">
        <v>17</v>
      </c>
      <c r="C944">
        <v>2021</v>
      </c>
      <c r="D944">
        <v>166</v>
      </c>
      <c r="E944" t="s">
        <v>9</v>
      </c>
      <c r="F944">
        <v>121</v>
      </c>
      <c r="G944" s="1">
        <f>DATE(C944, CHOOSE(MATCH(UPPER(B944), {"ENERO","FEBRERO","MARZO","ABRIL","MAYO","JUNIO","JULIO","AGOSTO","SEPTIEMBRE","OCTUBRE","NOVIEMBRE","DICIEMBRE"}, 0), 1,2,3,4,5,6,7,8,9,10,11,12), A944)</f>
        <v>44409</v>
      </c>
      <c r="H944">
        <v>45</v>
      </c>
      <c r="I944">
        <v>40000</v>
      </c>
      <c r="J944" s="1">
        <f t="shared" si="29"/>
        <v>44409</v>
      </c>
      <c r="K944">
        <f t="shared" si="28"/>
        <v>45</v>
      </c>
    </row>
    <row r="945" spans="1:11" x14ac:dyDescent="0.25">
      <c r="A945">
        <v>2</v>
      </c>
      <c r="B945" t="s">
        <v>17</v>
      </c>
      <c r="C945">
        <v>2021</v>
      </c>
      <c r="D945">
        <v>121</v>
      </c>
      <c r="E945" t="s">
        <v>9</v>
      </c>
      <c r="F945">
        <v>90.5</v>
      </c>
      <c r="G945" s="1">
        <f>DATE(C945, CHOOSE(MATCH(UPPER(B945), {"ENERO","FEBRERO","MARZO","ABRIL","MAYO","JUNIO","JULIO","AGOSTO","SEPTIEMBRE","OCTUBRE","NOVIEMBRE","DICIEMBRE"}, 0), 1,2,3,4,5,6,7,8,9,10,11,12), A945)</f>
        <v>44410</v>
      </c>
      <c r="H945">
        <v>30.5</v>
      </c>
      <c r="I945">
        <v>40000</v>
      </c>
      <c r="J945" s="1">
        <f t="shared" si="29"/>
        <v>44410</v>
      </c>
      <c r="K945">
        <f t="shared" si="28"/>
        <v>30.5</v>
      </c>
    </row>
    <row r="946" spans="1:11" x14ac:dyDescent="0.25">
      <c r="A946">
        <v>3</v>
      </c>
      <c r="B946" t="s">
        <v>17</v>
      </c>
      <c r="C946">
        <v>2021</v>
      </c>
      <c r="D946">
        <v>90.5</v>
      </c>
      <c r="E946" t="s">
        <v>9</v>
      </c>
      <c r="F946">
        <v>56</v>
      </c>
      <c r="G946" s="1">
        <f>DATE(C946, CHOOSE(MATCH(UPPER(B946), {"ENERO","FEBRERO","MARZO","ABRIL","MAYO","JUNIO","JULIO","AGOSTO","SEPTIEMBRE","OCTUBRE","NOVIEMBRE","DICIEMBRE"}, 0), 1,2,3,4,5,6,7,8,9,10,11,12), A946)</f>
        <v>44411</v>
      </c>
      <c r="H946">
        <v>34.5</v>
      </c>
      <c r="I946">
        <v>40000</v>
      </c>
      <c r="J946" s="1">
        <f t="shared" si="29"/>
        <v>44411</v>
      </c>
      <c r="K946">
        <f t="shared" si="28"/>
        <v>34.5</v>
      </c>
    </row>
    <row r="947" spans="1:11" x14ac:dyDescent="0.25">
      <c r="A947">
        <v>4</v>
      </c>
      <c r="B947" t="s">
        <v>17</v>
      </c>
      <c r="C947">
        <v>2021</v>
      </c>
      <c r="D947">
        <v>56</v>
      </c>
      <c r="E947">
        <v>50</v>
      </c>
      <c r="F947">
        <v>80</v>
      </c>
      <c r="G947" s="1">
        <f>DATE(C947, CHOOSE(MATCH(UPPER(B947), {"ENERO","FEBRERO","MARZO","ABRIL","MAYO","JUNIO","JULIO","AGOSTO","SEPTIEMBRE","OCTUBRE","NOVIEMBRE","DICIEMBRE"}, 0), 1,2,3,4,5,6,7,8,9,10,11,12), A947)</f>
        <v>44412</v>
      </c>
      <c r="H947">
        <v>26</v>
      </c>
      <c r="I947">
        <v>40000</v>
      </c>
      <c r="J947" s="1">
        <f t="shared" si="29"/>
        <v>44412</v>
      </c>
      <c r="K947">
        <f t="shared" si="28"/>
        <v>26</v>
      </c>
    </row>
    <row r="948" spans="1:11" x14ac:dyDescent="0.25">
      <c r="A948">
        <v>5</v>
      </c>
      <c r="B948" t="s">
        <v>17</v>
      </c>
      <c r="C948">
        <v>2021</v>
      </c>
      <c r="D948">
        <v>80</v>
      </c>
      <c r="E948" t="s">
        <v>9</v>
      </c>
      <c r="F948">
        <v>45</v>
      </c>
      <c r="G948" s="1">
        <f>DATE(C948, CHOOSE(MATCH(UPPER(B948), {"ENERO","FEBRERO","MARZO","ABRIL","MAYO","JUNIO","JULIO","AGOSTO","SEPTIEMBRE","OCTUBRE","NOVIEMBRE","DICIEMBRE"}, 0), 1,2,3,4,5,6,7,8,9,10,11,12), A948)</f>
        <v>44413</v>
      </c>
      <c r="H948">
        <v>35</v>
      </c>
      <c r="I948">
        <v>40000</v>
      </c>
      <c r="J948" s="1">
        <f t="shared" si="29"/>
        <v>44413</v>
      </c>
      <c r="K948">
        <f t="shared" si="28"/>
        <v>35</v>
      </c>
    </row>
    <row r="949" spans="1:11" x14ac:dyDescent="0.25">
      <c r="A949">
        <v>6</v>
      </c>
      <c r="B949" t="s">
        <v>17</v>
      </c>
      <c r="C949">
        <v>2021</v>
      </c>
      <c r="D949">
        <v>45</v>
      </c>
      <c r="E949" t="s">
        <v>9</v>
      </c>
      <c r="F949">
        <v>7</v>
      </c>
      <c r="G949" s="1">
        <f>DATE(C949, CHOOSE(MATCH(UPPER(B949), {"ENERO","FEBRERO","MARZO","ABRIL","MAYO","JUNIO","JULIO","AGOSTO","SEPTIEMBRE","OCTUBRE","NOVIEMBRE","DICIEMBRE"}, 0), 1,2,3,4,5,6,7,8,9,10,11,12), A949)</f>
        <v>44414</v>
      </c>
      <c r="H949">
        <v>38</v>
      </c>
      <c r="I949">
        <v>40000</v>
      </c>
      <c r="J949" s="1">
        <f t="shared" si="29"/>
        <v>44414</v>
      </c>
      <c r="K949">
        <f t="shared" si="28"/>
        <v>38</v>
      </c>
    </row>
    <row r="950" spans="1:11" x14ac:dyDescent="0.25">
      <c r="A950">
        <v>7</v>
      </c>
      <c r="B950" t="s">
        <v>17</v>
      </c>
      <c r="C950">
        <v>2021</v>
      </c>
      <c r="D950">
        <v>7</v>
      </c>
      <c r="E950">
        <v>80</v>
      </c>
      <c r="F950">
        <v>41</v>
      </c>
      <c r="G950" s="1">
        <f>DATE(C950, CHOOSE(MATCH(UPPER(B950), {"ENERO","FEBRERO","MARZO","ABRIL","MAYO","JUNIO","JULIO","AGOSTO","SEPTIEMBRE","OCTUBRE","NOVIEMBRE","DICIEMBRE"}, 0), 1,2,3,4,5,6,7,8,9,10,11,12), A950)</f>
        <v>44415</v>
      </c>
      <c r="H950">
        <v>46</v>
      </c>
      <c r="I950">
        <v>40000</v>
      </c>
      <c r="J950" s="1">
        <f t="shared" si="29"/>
        <v>44415</v>
      </c>
      <c r="K950">
        <f t="shared" si="28"/>
        <v>46</v>
      </c>
    </row>
    <row r="951" spans="1:11" x14ac:dyDescent="0.25">
      <c r="A951">
        <v>8</v>
      </c>
      <c r="B951" t="s">
        <v>17</v>
      </c>
      <c r="C951">
        <v>2021</v>
      </c>
      <c r="D951">
        <v>41</v>
      </c>
      <c r="E951">
        <v>80</v>
      </c>
      <c r="F951">
        <v>71</v>
      </c>
      <c r="G951" s="1">
        <f>DATE(C951, CHOOSE(MATCH(UPPER(B951), {"ENERO","FEBRERO","MARZO","ABRIL","MAYO","JUNIO","JULIO","AGOSTO","SEPTIEMBRE","OCTUBRE","NOVIEMBRE","DICIEMBRE"}, 0), 1,2,3,4,5,6,7,8,9,10,11,12), A951)</f>
        <v>44416</v>
      </c>
      <c r="H951">
        <v>50</v>
      </c>
      <c r="I951">
        <v>40000</v>
      </c>
      <c r="J951" s="1">
        <f t="shared" si="29"/>
        <v>44416</v>
      </c>
      <c r="K951">
        <f t="shared" si="28"/>
        <v>50</v>
      </c>
    </row>
    <row r="952" spans="1:11" x14ac:dyDescent="0.25">
      <c r="A952">
        <v>9</v>
      </c>
      <c r="B952" t="s">
        <v>17</v>
      </c>
      <c r="C952">
        <v>2021</v>
      </c>
      <c r="D952">
        <v>71</v>
      </c>
      <c r="E952" t="s">
        <v>9</v>
      </c>
      <c r="F952">
        <v>43</v>
      </c>
      <c r="G952" s="1">
        <f>DATE(C952, CHOOSE(MATCH(UPPER(B952), {"ENERO","FEBRERO","MARZO","ABRIL","MAYO","JUNIO","JULIO","AGOSTO","SEPTIEMBRE","OCTUBRE","NOVIEMBRE","DICIEMBRE"}, 0), 1,2,3,4,5,6,7,8,9,10,11,12), A952)</f>
        <v>44417</v>
      </c>
      <c r="H952">
        <v>28</v>
      </c>
      <c r="I952">
        <v>40000</v>
      </c>
      <c r="J952" s="1">
        <f t="shared" si="29"/>
        <v>44417</v>
      </c>
      <c r="K952">
        <f t="shared" si="28"/>
        <v>28</v>
      </c>
    </row>
    <row r="953" spans="1:11" x14ac:dyDescent="0.25">
      <c r="A953">
        <v>10</v>
      </c>
      <c r="B953" t="s">
        <v>17</v>
      </c>
      <c r="C953">
        <v>2021</v>
      </c>
      <c r="D953">
        <v>43</v>
      </c>
      <c r="E953">
        <v>20</v>
      </c>
      <c r="F953">
        <v>25</v>
      </c>
      <c r="G953" s="1">
        <f>DATE(C953, CHOOSE(MATCH(UPPER(B953), {"ENERO","FEBRERO","MARZO","ABRIL","MAYO","JUNIO","JULIO","AGOSTO","SEPTIEMBRE","OCTUBRE","NOVIEMBRE","DICIEMBRE"}, 0), 1,2,3,4,5,6,7,8,9,10,11,12), A953)</f>
        <v>44418</v>
      </c>
      <c r="H953">
        <v>38</v>
      </c>
      <c r="I953">
        <v>40000</v>
      </c>
      <c r="J953" s="1">
        <f t="shared" si="29"/>
        <v>44418</v>
      </c>
      <c r="K953">
        <f t="shared" si="28"/>
        <v>38</v>
      </c>
    </row>
    <row r="954" spans="1:11" x14ac:dyDescent="0.25">
      <c r="A954">
        <v>11</v>
      </c>
      <c r="B954" t="s">
        <v>17</v>
      </c>
      <c r="C954">
        <v>2021</v>
      </c>
      <c r="D954">
        <v>25</v>
      </c>
      <c r="E954">
        <v>140</v>
      </c>
      <c r="F954">
        <v>130</v>
      </c>
      <c r="G954" s="1">
        <f>DATE(C954, CHOOSE(MATCH(UPPER(B954), {"ENERO","FEBRERO","MARZO","ABRIL","MAYO","JUNIO","JULIO","AGOSTO","SEPTIEMBRE","OCTUBRE","NOVIEMBRE","DICIEMBRE"}, 0), 1,2,3,4,5,6,7,8,9,10,11,12), A954)</f>
        <v>44419</v>
      </c>
      <c r="H954">
        <v>35</v>
      </c>
      <c r="I954">
        <v>40000</v>
      </c>
      <c r="J954" s="1">
        <f t="shared" si="29"/>
        <v>44419</v>
      </c>
      <c r="K954">
        <f t="shared" si="28"/>
        <v>35</v>
      </c>
    </row>
    <row r="955" spans="1:11" x14ac:dyDescent="0.25">
      <c r="A955">
        <v>12</v>
      </c>
      <c r="B955" t="s">
        <v>17</v>
      </c>
      <c r="C955">
        <v>2021</v>
      </c>
      <c r="D955">
        <v>130</v>
      </c>
      <c r="E955" t="s">
        <v>9</v>
      </c>
      <c r="F955">
        <v>104</v>
      </c>
      <c r="G955" s="1">
        <f>DATE(C955, CHOOSE(MATCH(UPPER(B955), {"ENERO","FEBRERO","MARZO","ABRIL","MAYO","JUNIO","JULIO","AGOSTO","SEPTIEMBRE","OCTUBRE","NOVIEMBRE","DICIEMBRE"}, 0), 1,2,3,4,5,6,7,8,9,10,11,12), A955)</f>
        <v>44420</v>
      </c>
      <c r="H955">
        <v>26</v>
      </c>
      <c r="I955">
        <v>40000</v>
      </c>
      <c r="J955" s="1">
        <f t="shared" si="29"/>
        <v>44420</v>
      </c>
      <c r="K955">
        <f t="shared" si="28"/>
        <v>26</v>
      </c>
    </row>
    <row r="956" spans="1:11" x14ac:dyDescent="0.25">
      <c r="A956">
        <v>13</v>
      </c>
      <c r="B956" t="s">
        <v>17</v>
      </c>
      <c r="C956">
        <v>2021</v>
      </c>
      <c r="D956">
        <v>104</v>
      </c>
      <c r="E956" t="s">
        <v>9</v>
      </c>
      <c r="F956">
        <v>63</v>
      </c>
      <c r="G956" s="1">
        <f>DATE(C956, CHOOSE(MATCH(UPPER(B956), {"ENERO","FEBRERO","MARZO","ABRIL","MAYO","JUNIO","JULIO","AGOSTO","SEPTIEMBRE","OCTUBRE","NOVIEMBRE","DICIEMBRE"}, 0), 1,2,3,4,5,6,7,8,9,10,11,12), A956)</f>
        <v>44421</v>
      </c>
      <c r="H956">
        <v>41</v>
      </c>
      <c r="I956">
        <v>40000</v>
      </c>
      <c r="J956" s="1">
        <f t="shared" si="29"/>
        <v>44421</v>
      </c>
      <c r="K956">
        <f t="shared" si="28"/>
        <v>41</v>
      </c>
    </row>
    <row r="957" spans="1:11" x14ac:dyDescent="0.25">
      <c r="A957">
        <v>14</v>
      </c>
      <c r="B957" t="s">
        <v>17</v>
      </c>
      <c r="C957">
        <v>2021</v>
      </c>
      <c r="D957">
        <v>63</v>
      </c>
      <c r="E957">
        <v>130</v>
      </c>
      <c r="F957">
        <v>149</v>
      </c>
      <c r="G957" s="1">
        <f>DATE(C957, CHOOSE(MATCH(UPPER(B957), {"ENERO","FEBRERO","MARZO","ABRIL","MAYO","JUNIO","JULIO","AGOSTO","SEPTIEMBRE","OCTUBRE","NOVIEMBRE","DICIEMBRE"}, 0), 1,2,3,4,5,6,7,8,9,10,11,12), A957)</f>
        <v>44422</v>
      </c>
      <c r="H957">
        <v>44</v>
      </c>
      <c r="I957">
        <v>40000</v>
      </c>
      <c r="J957" s="1">
        <f t="shared" si="29"/>
        <v>44422</v>
      </c>
      <c r="K957">
        <f t="shared" si="28"/>
        <v>44</v>
      </c>
    </row>
    <row r="958" spans="1:11" x14ac:dyDescent="0.25">
      <c r="A958">
        <v>15</v>
      </c>
      <c r="B958" t="s">
        <v>17</v>
      </c>
      <c r="C958">
        <v>2021</v>
      </c>
      <c r="D958">
        <v>149</v>
      </c>
      <c r="E958" t="s">
        <v>9</v>
      </c>
      <c r="F958">
        <v>93</v>
      </c>
      <c r="G958" s="1">
        <f>DATE(C958, CHOOSE(MATCH(UPPER(B958), {"ENERO","FEBRERO","MARZO","ABRIL","MAYO","JUNIO","JULIO","AGOSTO","SEPTIEMBRE","OCTUBRE","NOVIEMBRE","DICIEMBRE"}, 0), 1,2,3,4,5,6,7,8,9,10,11,12), A958)</f>
        <v>44423</v>
      </c>
      <c r="H958">
        <v>56</v>
      </c>
      <c r="I958">
        <v>40000</v>
      </c>
      <c r="J958" s="1">
        <f t="shared" si="29"/>
        <v>44423</v>
      </c>
      <c r="K958">
        <f t="shared" si="28"/>
        <v>56</v>
      </c>
    </row>
    <row r="959" spans="1:11" x14ac:dyDescent="0.25">
      <c r="A959">
        <v>16</v>
      </c>
      <c r="B959" t="s">
        <v>17</v>
      </c>
      <c r="C959">
        <v>2021</v>
      </c>
      <c r="D959">
        <v>93</v>
      </c>
      <c r="E959">
        <v>90</v>
      </c>
      <c r="F959">
        <v>139</v>
      </c>
      <c r="G959" s="1">
        <f>DATE(C959, CHOOSE(MATCH(UPPER(B959), {"ENERO","FEBRERO","MARZO","ABRIL","MAYO","JUNIO","JULIO","AGOSTO","SEPTIEMBRE","OCTUBRE","NOVIEMBRE","DICIEMBRE"}, 0), 1,2,3,4,5,6,7,8,9,10,11,12), A959)</f>
        <v>44424</v>
      </c>
      <c r="H959">
        <v>44</v>
      </c>
      <c r="I959">
        <v>40000</v>
      </c>
      <c r="J959" s="1">
        <f t="shared" si="29"/>
        <v>44424</v>
      </c>
      <c r="K959">
        <f t="shared" si="28"/>
        <v>44</v>
      </c>
    </row>
    <row r="960" spans="1:11" x14ac:dyDescent="0.25">
      <c r="A960">
        <v>17</v>
      </c>
      <c r="B960" t="s">
        <v>17</v>
      </c>
      <c r="C960">
        <v>2021</v>
      </c>
      <c r="D960">
        <v>139</v>
      </c>
      <c r="E960" t="s">
        <v>9</v>
      </c>
      <c r="F960">
        <v>104</v>
      </c>
      <c r="G960" s="1">
        <f>DATE(C960, CHOOSE(MATCH(UPPER(B960), {"ENERO","FEBRERO","MARZO","ABRIL","MAYO","JUNIO","JULIO","AGOSTO","SEPTIEMBRE","OCTUBRE","NOVIEMBRE","DICIEMBRE"}, 0), 1,2,3,4,5,6,7,8,9,10,11,12), A960)</f>
        <v>44425</v>
      </c>
      <c r="H960">
        <v>35</v>
      </c>
      <c r="I960">
        <v>40000</v>
      </c>
      <c r="J960" s="1">
        <f t="shared" si="29"/>
        <v>44425</v>
      </c>
      <c r="K960">
        <f t="shared" si="28"/>
        <v>35</v>
      </c>
    </row>
    <row r="961" spans="1:11" x14ac:dyDescent="0.25">
      <c r="A961">
        <v>18</v>
      </c>
      <c r="B961" t="s">
        <v>17</v>
      </c>
      <c r="C961">
        <v>2021</v>
      </c>
      <c r="D961">
        <v>104</v>
      </c>
      <c r="E961" t="s">
        <v>9</v>
      </c>
      <c r="F961">
        <v>74</v>
      </c>
      <c r="G961" s="1">
        <f>DATE(C961, CHOOSE(MATCH(UPPER(B961), {"ENERO","FEBRERO","MARZO","ABRIL","MAYO","JUNIO","JULIO","AGOSTO","SEPTIEMBRE","OCTUBRE","NOVIEMBRE","DICIEMBRE"}, 0), 1,2,3,4,5,6,7,8,9,10,11,12), A961)</f>
        <v>44426</v>
      </c>
      <c r="H961">
        <v>30</v>
      </c>
      <c r="I961">
        <v>40000</v>
      </c>
      <c r="J961" s="1">
        <f t="shared" si="29"/>
        <v>44426</v>
      </c>
      <c r="K961">
        <f t="shared" si="28"/>
        <v>30</v>
      </c>
    </row>
    <row r="962" spans="1:11" x14ac:dyDescent="0.25">
      <c r="A962">
        <v>19</v>
      </c>
      <c r="B962" t="s">
        <v>17</v>
      </c>
      <c r="C962">
        <v>2021</v>
      </c>
      <c r="D962">
        <v>74</v>
      </c>
      <c r="E962" t="s">
        <v>9</v>
      </c>
      <c r="F962">
        <v>43.25</v>
      </c>
      <c r="G962" s="1">
        <f>DATE(C962, CHOOSE(MATCH(UPPER(B962), {"ENERO","FEBRERO","MARZO","ABRIL","MAYO","JUNIO","JULIO","AGOSTO","SEPTIEMBRE","OCTUBRE","NOVIEMBRE","DICIEMBRE"}, 0), 1,2,3,4,5,6,7,8,9,10,11,12), A962)</f>
        <v>44427</v>
      </c>
      <c r="H962">
        <v>30.75</v>
      </c>
      <c r="I962">
        <v>40000</v>
      </c>
      <c r="J962" s="1">
        <f t="shared" si="29"/>
        <v>44427</v>
      </c>
      <c r="K962">
        <f t="shared" si="28"/>
        <v>30.75</v>
      </c>
    </row>
    <row r="963" spans="1:11" x14ac:dyDescent="0.25">
      <c r="A963">
        <v>20</v>
      </c>
      <c r="B963" t="s">
        <v>17</v>
      </c>
      <c r="C963">
        <v>2021</v>
      </c>
      <c r="D963">
        <v>43.25</v>
      </c>
      <c r="E963">
        <v>10</v>
      </c>
      <c r="F963">
        <v>28</v>
      </c>
      <c r="G963" s="1">
        <f>DATE(C963, CHOOSE(MATCH(UPPER(B963), {"ENERO","FEBRERO","MARZO","ABRIL","MAYO","JUNIO","JULIO","AGOSTO","SEPTIEMBRE","OCTUBRE","NOVIEMBRE","DICIEMBRE"}, 0), 1,2,3,4,5,6,7,8,9,10,11,12), A963)</f>
        <v>44428</v>
      </c>
      <c r="H963">
        <v>25.25</v>
      </c>
      <c r="I963">
        <v>40000</v>
      </c>
      <c r="J963" s="1">
        <f t="shared" si="29"/>
        <v>44428</v>
      </c>
      <c r="K963">
        <f t="shared" ref="K963:K1026" si="30">VLOOKUP(J963, G:H, 2, FALSE)</f>
        <v>25.25</v>
      </c>
    </row>
    <row r="964" spans="1:11" x14ac:dyDescent="0.25">
      <c r="A964">
        <v>21</v>
      </c>
      <c r="B964" t="s">
        <v>17</v>
      </c>
      <c r="C964">
        <v>2021</v>
      </c>
      <c r="D964">
        <v>28</v>
      </c>
      <c r="E964">
        <v>140</v>
      </c>
      <c r="F964">
        <v>129</v>
      </c>
      <c r="G964" s="1">
        <f>DATE(C964, CHOOSE(MATCH(UPPER(B964), {"ENERO","FEBRERO","MARZO","ABRIL","MAYO","JUNIO","JULIO","AGOSTO","SEPTIEMBRE","OCTUBRE","NOVIEMBRE","DICIEMBRE"}, 0), 1,2,3,4,5,6,7,8,9,10,11,12), A964)</f>
        <v>44429</v>
      </c>
      <c r="H964">
        <v>39</v>
      </c>
      <c r="I964">
        <v>40000</v>
      </c>
      <c r="J964" s="1">
        <f t="shared" si="29"/>
        <v>44429</v>
      </c>
      <c r="K964">
        <f t="shared" si="30"/>
        <v>39</v>
      </c>
    </row>
    <row r="965" spans="1:11" x14ac:dyDescent="0.25">
      <c r="A965">
        <v>22</v>
      </c>
      <c r="B965" t="s">
        <v>17</v>
      </c>
      <c r="C965">
        <v>2021</v>
      </c>
      <c r="D965">
        <v>129</v>
      </c>
      <c r="E965" t="s">
        <v>9</v>
      </c>
      <c r="F965">
        <v>79</v>
      </c>
      <c r="G965" s="1">
        <f>DATE(C965, CHOOSE(MATCH(UPPER(B965), {"ENERO","FEBRERO","MARZO","ABRIL","MAYO","JUNIO","JULIO","AGOSTO","SEPTIEMBRE","OCTUBRE","NOVIEMBRE","DICIEMBRE"}, 0), 1,2,3,4,5,6,7,8,9,10,11,12), A965)</f>
        <v>44430</v>
      </c>
      <c r="H965">
        <v>50</v>
      </c>
      <c r="I965">
        <v>40000</v>
      </c>
      <c r="J965" s="1">
        <f t="shared" ref="J965:J1028" si="31">DATE(2019,1,1) + ROW()-1</f>
        <v>44430</v>
      </c>
      <c r="K965">
        <f t="shared" si="30"/>
        <v>50</v>
      </c>
    </row>
    <row r="966" spans="1:11" x14ac:dyDescent="0.25">
      <c r="A966">
        <v>23</v>
      </c>
      <c r="B966" t="s">
        <v>17</v>
      </c>
      <c r="C966">
        <v>2021</v>
      </c>
      <c r="D966">
        <v>79</v>
      </c>
      <c r="E966" t="s">
        <v>9</v>
      </c>
      <c r="F966">
        <v>51.5</v>
      </c>
      <c r="G966" s="1">
        <f>DATE(C966, CHOOSE(MATCH(UPPER(B966), {"ENERO","FEBRERO","MARZO","ABRIL","MAYO","JUNIO","JULIO","AGOSTO","SEPTIEMBRE","OCTUBRE","NOVIEMBRE","DICIEMBRE"}, 0), 1,2,3,4,5,6,7,8,9,10,11,12), A966)</f>
        <v>44431</v>
      </c>
      <c r="H966">
        <v>27.5</v>
      </c>
      <c r="I966">
        <v>40000</v>
      </c>
      <c r="J966" s="1">
        <f t="shared" si="31"/>
        <v>44431</v>
      </c>
      <c r="K966">
        <f t="shared" si="30"/>
        <v>27.5</v>
      </c>
    </row>
    <row r="967" spans="1:11" x14ac:dyDescent="0.25">
      <c r="A967">
        <v>24</v>
      </c>
      <c r="B967" t="s">
        <v>17</v>
      </c>
      <c r="C967">
        <v>2021</v>
      </c>
      <c r="D967">
        <v>51.5</v>
      </c>
      <c r="E967">
        <v>100</v>
      </c>
      <c r="F967">
        <v>126</v>
      </c>
      <c r="G967" s="1">
        <f>DATE(C967, CHOOSE(MATCH(UPPER(B967), {"ENERO","FEBRERO","MARZO","ABRIL","MAYO","JUNIO","JULIO","AGOSTO","SEPTIEMBRE","OCTUBRE","NOVIEMBRE","DICIEMBRE"}, 0), 1,2,3,4,5,6,7,8,9,10,11,12), A967)</f>
        <v>44432</v>
      </c>
      <c r="H967">
        <v>25.5</v>
      </c>
      <c r="I967">
        <v>40000</v>
      </c>
      <c r="J967" s="1">
        <f t="shared" si="31"/>
        <v>44432</v>
      </c>
      <c r="K967">
        <f t="shared" si="30"/>
        <v>25.5</v>
      </c>
    </row>
    <row r="968" spans="1:11" x14ac:dyDescent="0.25">
      <c r="A968">
        <v>25</v>
      </c>
      <c r="B968" t="s">
        <v>17</v>
      </c>
      <c r="C968">
        <v>2021</v>
      </c>
      <c r="D968">
        <v>126</v>
      </c>
      <c r="E968" t="s">
        <v>9</v>
      </c>
      <c r="F968">
        <v>94</v>
      </c>
      <c r="G968" s="1">
        <f>DATE(C968, CHOOSE(MATCH(UPPER(B968), {"ENERO","FEBRERO","MARZO","ABRIL","MAYO","JUNIO","JULIO","AGOSTO","SEPTIEMBRE","OCTUBRE","NOVIEMBRE","DICIEMBRE"}, 0), 1,2,3,4,5,6,7,8,9,10,11,12), A968)</f>
        <v>44433</v>
      </c>
      <c r="H968">
        <v>32</v>
      </c>
      <c r="I968">
        <v>40000</v>
      </c>
      <c r="J968" s="1">
        <f t="shared" si="31"/>
        <v>44433</v>
      </c>
      <c r="K968">
        <f t="shared" si="30"/>
        <v>32</v>
      </c>
    </row>
    <row r="969" spans="1:11" x14ac:dyDescent="0.25">
      <c r="A969">
        <v>26</v>
      </c>
      <c r="B969" t="s">
        <v>17</v>
      </c>
      <c r="C969">
        <v>2021</v>
      </c>
      <c r="D969">
        <v>94</v>
      </c>
      <c r="E969" t="s">
        <v>9</v>
      </c>
      <c r="F969">
        <v>62.5</v>
      </c>
      <c r="G969" s="1">
        <f>DATE(C969, CHOOSE(MATCH(UPPER(B969), {"ENERO","FEBRERO","MARZO","ABRIL","MAYO","JUNIO","JULIO","AGOSTO","SEPTIEMBRE","OCTUBRE","NOVIEMBRE","DICIEMBRE"}, 0), 1,2,3,4,5,6,7,8,9,10,11,12), A969)</f>
        <v>44434</v>
      </c>
      <c r="H969">
        <v>31.5</v>
      </c>
      <c r="I969">
        <v>40000</v>
      </c>
      <c r="J969" s="1">
        <f t="shared" si="31"/>
        <v>44434</v>
      </c>
      <c r="K969">
        <f t="shared" si="30"/>
        <v>31.5</v>
      </c>
    </row>
    <row r="970" spans="1:11" x14ac:dyDescent="0.25">
      <c r="A970">
        <v>27</v>
      </c>
      <c r="B970" t="s">
        <v>17</v>
      </c>
      <c r="C970">
        <v>2021</v>
      </c>
      <c r="D970">
        <v>62.5</v>
      </c>
      <c r="E970" t="s">
        <v>9</v>
      </c>
      <c r="F970">
        <v>18</v>
      </c>
      <c r="G970" s="1">
        <f>DATE(C970, CHOOSE(MATCH(UPPER(B970), {"ENERO","FEBRERO","MARZO","ABRIL","MAYO","JUNIO","JULIO","AGOSTO","SEPTIEMBRE","OCTUBRE","NOVIEMBRE","DICIEMBRE"}, 0), 1,2,3,4,5,6,7,8,9,10,11,12), A970)</f>
        <v>44435</v>
      </c>
      <c r="H970">
        <v>44.5</v>
      </c>
      <c r="I970">
        <v>40000</v>
      </c>
      <c r="J970" s="1">
        <f t="shared" si="31"/>
        <v>44435</v>
      </c>
      <c r="K970">
        <f t="shared" si="30"/>
        <v>44.5</v>
      </c>
    </row>
    <row r="971" spans="1:11" x14ac:dyDescent="0.25">
      <c r="A971">
        <v>28</v>
      </c>
      <c r="B971" t="s">
        <v>17</v>
      </c>
      <c r="C971">
        <v>2021</v>
      </c>
      <c r="D971">
        <v>18</v>
      </c>
      <c r="E971">
        <v>140</v>
      </c>
      <c r="F971">
        <v>99.75</v>
      </c>
      <c r="G971" s="1">
        <f>DATE(C971, CHOOSE(MATCH(UPPER(B971), {"ENERO","FEBRERO","MARZO","ABRIL","MAYO","JUNIO","JULIO","AGOSTO","SEPTIEMBRE","OCTUBRE","NOVIEMBRE","DICIEMBRE"}, 0), 1,2,3,4,5,6,7,8,9,10,11,12), A971)</f>
        <v>44436</v>
      </c>
      <c r="H971">
        <v>58.25</v>
      </c>
      <c r="I971">
        <v>40000</v>
      </c>
      <c r="J971" s="1">
        <f t="shared" si="31"/>
        <v>44436</v>
      </c>
      <c r="K971">
        <f t="shared" si="30"/>
        <v>58.25</v>
      </c>
    </row>
    <row r="972" spans="1:11" x14ac:dyDescent="0.25">
      <c r="A972">
        <v>29</v>
      </c>
      <c r="B972" t="s">
        <v>17</v>
      </c>
      <c r="C972">
        <v>2021</v>
      </c>
      <c r="D972">
        <v>99.75</v>
      </c>
      <c r="E972" t="s">
        <v>9</v>
      </c>
      <c r="F972">
        <v>45</v>
      </c>
      <c r="G972" s="1">
        <f>DATE(C972, CHOOSE(MATCH(UPPER(B972), {"ENERO","FEBRERO","MARZO","ABRIL","MAYO","JUNIO","JULIO","AGOSTO","SEPTIEMBRE","OCTUBRE","NOVIEMBRE","DICIEMBRE"}, 0), 1,2,3,4,5,6,7,8,9,10,11,12), A972)</f>
        <v>44437</v>
      </c>
      <c r="H972">
        <v>54.75</v>
      </c>
      <c r="I972">
        <v>40000</v>
      </c>
      <c r="J972" s="1">
        <f t="shared" si="31"/>
        <v>44437</v>
      </c>
      <c r="K972">
        <f t="shared" si="30"/>
        <v>54.75</v>
      </c>
    </row>
    <row r="973" spans="1:11" x14ac:dyDescent="0.25">
      <c r="A973">
        <v>30</v>
      </c>
      <c r="B973" t="s">
        <v>17</v>
      </c>
      <c r="C973">
        <v>2021</v>
      </c>
      <c r="D973">
        <v>45</v>
      </c>
      <c r="E973" t="s">
        <v>9</v>
      </c>
      <c r="F973">
        <v>18</v>
      </c>
      <c r="G973" s="1">
        <f>DATE(C973, CHOOSE(MATCH(UPPER(B973), {"ENERO","FEBRERO","MARZO","ABRIL","MAYO","JUNIO","JULIO","AGOSTO","SEPTIEMBRE","OCTUBRE","NOVIEMBRE","DICIEMBRE"}, 0), 1,2,3,4,5,6,7,8,9,10,11,12), A973)</f>
        <v>44438</v>
      </c>
      <c r="H973">
        <v>27</v>
      </c>
      <c r="I973">
        <v>40000</v>
      </c>
      <c r="J973" s="1">
        <f t="shared" si="31"/>
        <v>44438</v>
      </c>
      <c r="K973">
        <f t="shared" si="30"/>
        <v>27</v>
      </c>
    </row>
    <row r="974" spans="1:11" x14ac:dyDescent="0.25">
      <c r="A974">
        <v>31</v>
      </c>
      <c r="B974" t="s">
        <v>17</v>
      </c>
      <c r="C974">
        <v>2021</v>
      </c>
      <c r="D974">
        <v>18</v>
      </c>
      <c r="E974">
        <v>120</v>
      </c>
      <c r="F974">
        <v>105.5</v>
      </c>
      <c r="G974" s="1">
        <f>DATE(C974, CHOOSE(MATCH(UPPER(B974), {"ENERO","FEBRERO","MARZO","ABRIL","MAYO","JUNIO","JULIO","AGOSTO","SEPTIEMBRE","OCTUBRE","NOVIEMBRE","DICIEMBRE"}, 0), 1,2,3,4,5,6,7,8,9,10,11,12), A974)</f>
        <v>44439</v>
      </c>
      <c r="H974">
        <v>32.5</v>
      </c>
      <c r="I974">
        <v>40000</v>
      </c>
      <c r="J974" s="1">
        <f t="shared" si="31"/>
        <v>44439</v>
      </c>
      <c r="K974">
        <f t="shared" si="30"/>
        <v>32.5</v>
      </c>
    </row>
    <row r="975" spans="1:11" x14ac:dyDescent="0.25">
      <c r="A975">
        <v>1</v>
      </c>
      <c r="B975" t="s">
        <v>10</v>
      </c>
      <c r="C975">
        <v>2021</v>
      </c>
      <c r="D975">
        <v>105.5</v>
      </c>
      <c r="E975" t="s">
        <v>9</v>
      </c>
      <c r="F975">
        <v>65</v>
      </c>
      <c r="G975" s="1">
        <f>DATE(C975, CHOOSE(MATCH(UPPER(B975), {"ENERO","FEBRERO","MARZO","ABRIL","MAYO","JUNIO","JULIO","AGOSTO","SEPTIEMBRE","OCTUBRE","NOVIEMBRE","DICIEMBRE"}, 0), 1,2,3,4,5,6,7,8,9,10,11,12), A975)</f>
        <v>44440</v>
      </c>
      <c r="H975">
        <v>40.5</v>
      </c>
      <c r="I975">
        <v>40000</v>
      </c>
      <c r="J975" s="1">
        <f t="shared" si="31"/>
        <v>44440</v>
      </c>
      <c r="K975">
        <f t="shared" si="30"/>
        <v>40.5</v>
      </c>
    </row>
    <row r="976" spans="1:11" x14ac:dyDescent="0.25">
      <c r="A976">
        <v>2</v>
      </c>
      <c r="B976" t="s">
        <v>10</v>
      </c>
      <c r="C976">
        <v>2021</v>
      </c>
      <c r="D976">
        <v>65</v>
      </c>
      <c r="E976">
        <v>140</v>
      </c>
      <c r="F976">
        <v>161</v>
      </c>
      <c r="G976" s="1">
        <f>DATE(C976, CHOOSE(MATCH(UPPER(B976), {"ENERO","FEBRERO","MARZO","ABRIL","MAYO","JUNIO","JULIO","AGOSTO","SEPTIEMBRE","OCTUBRE","NOVIEMBRE","DICIEMBRE"}, 0), 1,2,3,4,5,6,7,8,9,10,11,12), A976)</f>
        <v>44441</v>
      </c>
      <c r="H976">
        <v>44</v>
      </c>
      <c r="I976">
        <v>40000</v>
      </c>
      <c r="J976" s="1">
        <f t="shared" si="31"/>
        <v>44441</v>
      </c>
      <c r="K976">
        <f t="shared" si="30"/>
        <v>44</v>
      </c>
    </row>
    <row r="977" spans="1:11" x14ac:dyDescent="0.25">
      <c r="A977">
        <v>3</v>
      </c>
      <c r="B977" t="s">
        <v>10</v>
      </c>
      <c r="C977">
        <v>2021</v>
      </c>
      <c r="D977">
        <v>161</v>
      </c>
      <c r="E977" t="s">
        <v>9</v>
      </c>
      <c r="F977">
        <v>100.625</v>
      </c>
      <c r="G977" s="1">
        <f>DATE(C977, CHOOSE(MATCH(UPPER(B977), {"ENERO","FEBRERO","MARZO","ABRIL","MAYO","JUNIO","JULIO","AGOSTO","SEPTIEMBRE","OCTUBRE","NOVIEMBRE","DICIEMBRE"}, 0), 1,2,3,4,5,6,7,8,9,10,11,12), A977)</f>
        <v>44442</v>
      </c>
      <c r="H977">
        <v>60.375</v>
      </c>
      <c r="I977">
        <v>40000</v>
      </c>
      <c r="J977" s="1">
        <f t="shared" si="31"/>
        <v>44442</v>
      </c>
      <c r="K977">
        <f t="shared" si="30"/>
        <v>60.375</v>
      </c>
    </row>
    <row r="978" spans="1:11" x14ac:dyDescent="0.25">
      <c r="A978">
        <v>4</v>
      </c>
      <c r="B978" t="s">
        <v>10</v>
      </c>
      <c r="C978">
        <v>2021</v>
      </c>
      <c r="D978">
        <v>100.625</v>
      </c>
      <c r="E978">
        <v>120</v>
      </c>
      <c r="F978">
        <v>166.5</v>
      </c>
      <c r="G978" s="1">
        <f>DATE(C978, CHOOSE(MATCH(UPPER(B978), {"ENERO","FEBRERO","MARZO","ABRIL","MAYO","JUNIO","JULIO","AGOSTO","SEPTIEMBRE","OCTUBRE","NOVIEMBRE","DICIEMBRE"}, 0), 1,2,3,4,5,6,7,8,9,10,11,12), A978)</f>
        <v>44443</v>
      </c>
      <c r="H978">
        <v>54.125</v>
      </c>
      <c r="I978">
        <v>40000</v>
      </c>
      <c r="J978" s="1">
        <f t="shared" si="31"/>
        <v>44443</v>
      </c>
      <c r="K978">
        <f t="shared" si="30"/>
        <v>54.125</v>
      </c>
    </row>
    <row r="979" spans="1:11" x14ac:dyDescent="0.25">
      <c r="A979">
        <v>5</v>
      </c>
      <c r="B979" t="s">
        <v>10</v>
      </c>
      <c r="C979">
        <v>2021</v>
      </c>
      <c r="D979">
        <v>166.5</v>
      </c>
      <c r="E979" t="s">
        <v>9</v>
      </c>
      <c r="F979">
        <v>112</v>
      </c>
      <c r="G979" s="1">
        <f>DATE(C979, CHOOSE(MATCH(UPPER(B979), {"ENERO","FEBRERO","MARZO","ABRIL","MAYO","JUNIO","JULIO","AGOSTO","SEPTIEMBRE","OCTUBRE","NOVIEMBRE","DICIEMBRE"}, 0), 1,2,3,4,5,6,7,8,9,10,11,12), A979)</f>
        <v>44444</v>
      </c>
      <c r="H979">
        <v>54.5</v>
      </c>
      <c r="I979">
        <v>40000</v>
      </c>
      <c r="J979" s="1">
        <f t="shared" si="31"/>
        <v>44444</v>
      </c>
      <c r="K979">
        <f t="shared" si="30"/>
        <v>54.5</v>
      </c>
    </row>
    <row r="980" spans="1:11" x14ac:dyDescent="0.25">
      <c r="A980">
        <v>6</v>
      </c>
      <c r="B980" t="s">
        <v>10</v>
      </c>
      <c r="C980">
        <v>2021</v>
      </c>
      <c r="D980">
        <v>112</v>
      </c>
      <c r="E980">
        <v>40</v>
      </c>
      <c r="F980">
        <v>119.8</v>
      </c>
      <c r="G980" s="1">
        <f>DATE(C980, CHOOSE(MATCH(UPPER(B980), {"ENERO","FEBRERO","MARZO","ABRIL","MAYO","JUNIO","JULIO","AGOSTO","SEPTIEMBRE","OCTUBRE","NOVIEMBRE","DICIEMBRE"}, 0), 1,2,3,4,5,6,7,8,9,10,11,12), A980)</f>
        <v>44445</v>
      </c>
      <c r="H980">
        <v>32.200000000000003</v>
      </c>
      <c r="I980">
        <v>40000</v>
      </c>
      <c r="J980" s="1">
        <f t="shared" si="31"/>
        <v>44445</v>
      </c>
      <c r="K980">
        <f t="shared" si="30"/>
        <v>32.200000000000003</v>
      </c>
    </row>
    <row r="981" spans="1:11" x14ac:dyDescent="0.25">
      <c r="A981">
        <v>7</v>
      </c>
      <c r="B981" t="s">
        <v>10</v>
      </c>
      <c r="C981">
        <v>2021</v>
      </c>
      <c r="D981">
        <v>119.8</v>
      </c>
      <c r="E981" t="s">
        <v>9</v>
      </c>
      <c r="F981">
        <v>88</v>
      </c>
      <c r="G981" s="1">
        <f>DATE(C981, CHOOSE(MATCH(UPPER(B981), {"ENERO","FEBRERO","MARZO","ABRIL","MAYO","JUNIO","JULIO","AGOSTO","SEPTIEMBRE","OCTUBRE","NOVIEMBRE","DICIEMBRE"}, 0), 1,2,3,4,5,6,7,8,9,10,11,12), A981)</f>
        <v>44446</v>
      </c>
      <c r="H981">
        <v>31.8</v>
      </c>
      <c r="I981">
        <v>40000</v>
      </c>
      <c r="J981" s="1">
        <f t="shared" si="31"/>
        <v>44446</v>
      </c>
      <c r="K981">
        <f t="shared" si="30"/>
        <v>31.8</v>
      </c>
    </row>
    <row r="982" spans="1:11" x14ac:dyDescent="0.25">
      <c r="A982">
        <v>8</v>
      </c>
      <c r="B982" t="s">
        <v>10</v>
      </c>
      <c r="C982">
        <v>2021</v>
      </c>
      <c r="D982">
        <v>88</v>
      </c>
      <c r="E982" t="s">
        <v>9</v>
      </c>
      <c r="F982">
        <v>59</v>
      </c>
      <c r="G982" s="1">
        <f>DATE(C982, CHOOSE(MATCH(UPPER(B982), {"ENERO","FEBRERO","MARZO","ABRIL","MAYO","JUNIO","JULIO","AGOSTO","SEPTIEMBRE","OCTUBRE","NOVIEMBRE","DICIEMBRE"}, 0), 1,2,3,4,5,6,7,8,9,10,11,12), A982)</f>
        <v>44447</v>
      </c>
      <c r="H982">
        <v>29</v>
      </c>
      <c r="I982">
        <v>40000</v>
      </c>
      <c r="J982" s="1">
        <f t="shared" si="31"/>
        <v>44447</v>
      </c>
      <c r="K982">
        <f t="shared" si="30"/>
        <v>29</v>
      </c>
    </row>
    <row r="983" spans="1:11" x14ac:dyDescent="0.25">
      <c r="A983">
        <v>9</v>
      </c>
      <c r="B983" t="s">
        <v>10</v>
      </c>
      <c r="C983">
        <v>2021</v>
      </c>
      <c r="D983">
        <v>59</v>
      </c>
      <c r="E983">
        <v>100</v>
      </c>
      <c r="F983">
        <v>128.25</v>
      </c>
      <c r="G983" s="1">
        <f>DATE(C983, CHOOSE(MATCH(UPPER(B983), {"ENERO","FEBRERO","MARZO","ABRIL","MAYO","JUNIO","JULIO","AGOSTO","SEPTIEMBRE","OCTUBRE","NOVIEMBRE","DICIEMBRE"}, 0), 1,2,3,4,5,6,7,8,9,10,11,12), A983)</f>
        <v>44448</v>
      </c>
      <c r="H983">
        <v>30.75</v>
      </c>
      <c r="I983">
        <v>40000</v>
      </c>
      <c r="J983" s="1">
        <f t="shared" si="31"/>
        <v>44448</v>
      </c>
      <c r="K983">
        <f t="shared" si="30"/>
        <v>30.75</v>
      </c>
    </row>
    <row r="984" spans="1:11" x14ac:dyDescent="0.25">
      <c r="A984">
        <v>10</v>
      </c>
      <c r="B984" t="s">
        <v>10</v>
      </c>
      <c r="C984">
        <v>2021</v>
      </c>
      <c r="D984">
        <v>128.25</v>
      </c>
      <c r="E984" t="s">
        <v>9</v>
      </c>
      <c r="F984">
        <v>81</v>
      </c>
      <c r="G984" s="1">
        <f>DATE(C984, CHOOSE(MATCH(UPPER(B984), {"ENERO","FEBRERO","MARZO","ABRIL","MAYO","JUNIO","JULIO","AGOSTO","SEPTIEMBRE","OCTUBRE","NOVIEMBRE","DICIEMBRE"}, 0), 1,2,3,4,5,6,7,8,9,10,11,12), A984)</f>
        <v>44449</v>
      </c>
      <c r="H984">
        <v>47.25</v>
      </c>
      <c r="I984">
        <v>40000</v>
      </c>
      <c r="J984" s="1">
        <f t="shared" si="31"/>
        <v>44449</v>
      </c>
      <c r="K984">
        <f t="shared" si="30"/>
        <v>47.25</v>
      </c>
    </row>
    <row r="985" spans="1:11" x14ac:dyDescent="0.25">
      <c r="A985">
        <v>11</v>
      </c>
      <c r="B985" t="s">
        <v>10</v>
      </c>
      <c r="C985">
        <v>2021</v>
      </c>
      <c r="D985">
        <v>81</v>
      </c>
      <c r="E985">
        <v>150</v>
      </c>
      <c r="F985">
        <v>174.375</v>
      </c>
      <c r="G985" s="1">
        <f>DATE(C985, CHOOSE(MATCH(UPPER(B985), {"ENERO","FEBRERO","MARZO","ABRIL","MAYO","JUNIO","JULIO","AGOSTO","SEPTIEMBRE","OCTUBRE","NOVIEMBRE","DICIEMBRE"}, 0), 1,2,3,4,5,6,7,8,9,10,11,12), A985)</f>
        <v>44450</v>
      </c>
      <c r="H985">
        <v>56.625</v>
      </c>
      <c r="I985">
        <v>40000</v>
      </c>
      <c r="J985" s="1">
        <f t="shared" si="31"/>
        <v>44450</v>
      </c>
      <c r="K985">
        <f t="shared" si="30"/>
        <v>56.625</v>
      </c>
    </row>
    <row r="986" spans="1:11" x14ac:dyDescent="0.25">
      <c r="A986">
        <v>12</v>
      </c>
      <c r="B986" t="s">
        <v>10</v>
      </c>
      <c r="C986">
        <v>2021</v>
      </c>
      <c r="D986">
        <v>174.375</v>
      </c>
      <c r="E986" t="s">
        <v>9</v>
      </c>
      <c r="F986">
        <v>128.75</v>
      </c>
      <c r="G986" s="1">
        <f>DATE(C986, CHOOSE(MATCH(UPPER(B986), {"ENERO","FEBRERO","MARZO","ABRIL","MAYO","JUNIO","JULIO","AGOSTO","SEPTIEMBRE","OCTUBRE","NOVIEMBRE","DICIEMBRE"}, 0), 1,2,3,4,5,6,7,8,9,10,11,12), A986)</f>
        <v>44451</v>
      </c>
      <c r="H986">
        <v>45.625</v>
      </c>
      <c r="I986">
        <v>40000</v>
      </c>
      <c r="J986" s="1">
        <f t="shared" si="31"/>
        <v>44451</v>
      </c>
      <c r="K986">
        <f t="shared" si="30"/>
        <v>45.625</v>
      </c>
    </row>
    <row r="987" spans="1:11" x14ac:dyDescent="0.25">
      <c r="A987">
        <v>13</v>
      </c>
      <c r="B987" t="s">
        <v>10</v>
      </c>
      <c r="C987">
        <v>2021</v>
      </c>
      <c r="D987">
        <v>128.75</v>
      </c>
      <c r="E987">
        <v>50</v>
      </c>
      <c r="F987">
        <v>148.5</v>
      </c>
      <c r="G987" s="1">
        <f>DATE(C987, CHOOSE(MATCH(UPPER(B987), {"ENERO","FEBRERO","MARZO","ABRIL","MAYO","JUNIO","JULIO","AGOSTO","SEPTIEMBRE","OCTUBRE","NOVIEMBRE","DICIEMBRE"}, 0), 1,2,3,4,5,6,7,8,9,10,11,12), A987)</f>
        <v>44452</v>
      </c>
      <c r="H987">
        <v>30.25</v>
      </c>
      <c r="I987">
        <v>40000</v>
      </c>
      <c r="J987" s="1">
        <f t="shared" si="31"/>
        <v>44452</v>
      </c>
      <c r="K987">
        <f t="shared" si="30"/>
        <v>30.25</v>
      </c>
    </row>
    <row r="988" spans="1:11" x14ac:dyDescent="0.25">
      <c r="A988">
        <v>14</v>
      </c>
      <c r="B988" t="s">
        <v>10</v>
      </c>
      <c r="C988">
        <v>2021</v>
      </c>
      <c r="D988">
        <v>148.5</v>
      </c>
      <c r="E988" t="s">
        <v>9</v>
      </c>
      <c r="F988">
        <v>118</v>
      </c>
      <c r="G988" s="1">
        <f>DATE(C988, CHOOSE(MATCH(UPPER(B988), {"ENERO","FEBRERO","MARZO","ABRIL","MAYO","JUNIO","JULIO","AGOSTO","SEPTIEMBRE","OCTUBRE","NOVIEMBRE","DICIEMBRE"}, 0), 1,2,3,4,5,6,7,8,9,10,11,12), A988)</f>
        <v>44453</v>
      </c>
      <c r="H988">
        <v>30.5</v>
      </c>
      <c r="I988">
        <v>40000</v>
      </c>
      <c r="J988" s="1">
        <f t="shared" si="31"/>
        <v>44453</v>
      </c>
      <c r="K988">
        <f t="shared" si="30"/>
        <v>30.5</v>
      </c>
    </row>
    <row r="989" spans="1:11" x14ac:dyDescent="0.25">
      <c r="A989">
        <v>15</v>
      </c>
      <c r="B989" t="s">
        <v>10</v>
      </c>
      <c r="C989">
        <v>2021</v>
      </c>
      <c r="D989">
        <v>118</v>
      </c>
      <c r="E989" t="s">
        <v>9</v>
      </c>
      <c r="F989">
        <v>87</v>
      </c>
      <c r="G989" s="1">
        <f>DATE(C989, CHOOSE(MATCH(UPPER(B989), {"ENERO","FEBRERO","MARZO","ABRIL","MAYO","JUNIO","JULIO","AGOSTO","SEPTIEMBRE","OCTUBRE","NOVIEMBRE","DICIEMBRE"}, 0), 1,2,3,4,5,6,7,8,9,10,11,12), A989)</f>
        <v>44454</v>
      </c>
      <c r="H989">
        <v>31</v>
      </c>
      <c r="I989">
        <v>40000</v>
      </c>
      <c r="J989" s="1">
        <f t="shared" si="31"/>
        <v>44454</v>
      </c>
      <c r="K989">
        <f t="shared" si="30"/>
        <v>31</v>
      </c>
    </row>
    <row r="990" spans="1:11" x14ac:dyDescent="0.25">
      <c r="A990">
        <v>16</v>
      </c>
      <c r="B990" t="s">
        <v>10</v>
      </c>
      <c r="C990">
        <v>2021</v>
      </c>
      <c r="D990">
        <v>87</v>
      </c>
      <c r="E990">
        <v>70</v>
      </c>
      <c r="F990">
        <v>128</v>
      </c>
      <c r="G990" s="1">
        <f>DATE(C990, CHOOSE(MATCH(UPPER(B990), {"ENERO","FEBRERO","MARZO","ABRIL","MAYO","JUNIO","JULIO","AGOSTO","SEPTIEMBRE","OCTUBRE","NOVIEMBRE","DICIEMBRE"}, 0), 1,2,3,4,5,6,7,8,9,10,11,12), A990)</f>
        <v>44455</v>
      </c>
      <c r="H990">
        <v>29</v>
      </c>
      <c r="I990">
        <v>40000</v>
      </c>
      <c r="J990" s="1">
        <f t="shared" si="31"/>
        <v>44455</v>
      </c>
      <c r="K990">
        <f t="shared" si="30"/>
        <v>29</v>
      </c>
    </row>
    <row r="991" spans="1:11" x14ac:dyDescent="0.25">
      <c r="A991">
        <v>17</v>
      </c>
      <c r="B991" t="s">
        <v>10</v>
      </c>
      <c r="C991">
        <v>2021</v>
      </c>
      <c r="D991">
        <v>128</v>
      </c>
      <c r="E991" t="s">
        <v>9</v>
      </c>
      <c r="F991">
        <v>77.875</v>
      </c>
      <c r="G991" s="1">
        <f>DATE(C991, CHOOSE(MATCH(UPPER(B991), {"ENERO","FEBRERO","MARZO","ABRIL","MAYO","JUNIO","JULIO","AGOSTO","SEPTIEMBRE","OCTUBRE","NOVIEMBRE","DICIEMBRE"}, 0), 1,2,3,4,5,6,7,8,9,10,11,12), A991)</f>
        <v>44456</v>
      </c>
      <c r="H991">
        <v>50.125</v>
      </c>
      <c r="I991">
        <v>40000</v>
      </c>
      <c r="J991" s="1">
        <f t="shared" si="31"/>
        <v>44456</v>
      </c>
      <c r="K991">
        <f t="shared" si="30"/>
        <v>50.125</v>
      </c>
    </row>
    <row r="992" spans="1:11" x14ac:dyDescent="0.25">
      <c r="A992">
        <v>18</v>
      </c>
      <c r="B992" t="s">
        <v>10</v>
      </c>
      <c r="C992">
        <v>2021</v>
      </c>
      <c r="D992">
        <v>77.875</v>
      </c>
      <c r="E992">
        <v>50</v>
      </c>
      <c r="F992">
        <v>58.375</v>
      </c>
      <c r="G992" s="1">
        <f>DATE(C992, CHOOSE(MATCH(UPPER(B992), {"ENERO","FEBRERO","MARZO","ABRIL","MAYO","JUNIO","JULIO","AGOSTO","SEPTIEMBRE","OCTUBRE","NOVIEMBRE","DICIEMBRE"}, 0), 1,2,3,4,5,6,7,8,9,10,11,12), A992)</f>
        <v>44457</v>
      </c>
      <c r="H992">
        <v>69.5</v>
      </c>
      <c r="I992">
        <v>40000</v>
      </c>
      <c r="J992" s="1">
        <f t="shared" si="31"/>
        <v>44457</v>
      </c>
      <c r="K992">
        <f t="shared" si="30"/>
        <v>69.5</v>
      </c>
    </row>
    <row r="993" spans="1:11" x14ac:dyDescent="0.25">
      <c r="A993">
        <v>19</v>
      </c>
      <c r="B993" t="s">
        <v>10</v>
      </c>
      <c r="C993">
        <v>2021</v>
      </c>
      <c r="D993">
        <v>58.375</v>
      </c>
      <c r="E993">
        <v>30</v>
      </c>
      <c r="F993">
        <v>37.75</v>
      </c>
      <c r="G993" s="1">
        <f>DATE(C993, CHOOSE(MATCH(UPPER(B993), {"ENERO","FEBRERO","MARZO","ABRIL","MAYO","JUNIO","JULIO","AGOSTO","SEPTIEMBRE","OCTUBRE","NOVIEMBRE","DICIEMBRE"}, 0), 1,2,3,4,5,6,7,8,9,10,11,12), A993)</f>
        <v>44458</v>
      </c>
      <c r="H993">
        <v>50.625</v>
      </c>
      <c r="I993">
        <v>40000</v>
      </c>
      <c r="J993" s="1">
        <f t="shared" si="31"/>
        <v>44458</v>
      </c>
      <c r="K993">
        <f t="shared" si="30"/>
        <v>50.625</v>
      </c>
    </row>
    <row r="994" spans="1:11" x14ac:dyDescent="0.25">
      <c r="A994">
        <v>20</v>
      </c>
      <c r="B994" t="s">
        <v>10</v>
      </c>
      <c r="C994">
        <v>2021</v>
      </c>
      <c r="D994">
        <v>37.75</v>
      </c>
      <c r="E994">
        <v>100</v>
      </c>
      <c r="F994">
        <v>105.375</v>
      </c>
      <c r="G994" s="1">
        <f>DATE(C994, CHOOSE(MATCH(UPPER(B994), {"ENERO","FEBRERO","MARZO","ABRIL","MAYO","JUNIO","JULIO","AGOSTO","SEPTIEMBRE","OCTUBRE","NOVIEMBRE","DICIEMBRE"}, 0), 1,2,3,4,5,6,7,8,9,10,11,12), A994)</f>
        <v>44459</v>
      </c>
      <c r="H994">
        <v>32.375</v>
      </c>
      <c r="I994">
        <v>40000</v>
      </c>
      <c r="J994" s="1">
        <f t="shared" si="31"/>
        <v>44459</v>
      </c>
      <c r="K994">
        <f t="shared" si="30"/>
        <v>32.375</v>
      </c>
    </row>
    <row r="995" spans="1:11" x14ac:dyDescent="0.25">
      <c r="A995">
        <v>21</v>
      </c>
      <c r="B995" t="s">
        <v>10</v>
      </c>
      <c r="C995">
        <v>2021</v>
      </c>
      <c r="D995">
        <v>105.375</v>
      </c>
      <c r="E995" t="s">
        <v>9</v>
      </c>
      <c r="F995">
        <v>79.25</v>
      </c>
      <c r="G995" s="1">
        <f>DATE(C995, CHOOSE(MATCH(UPPER(B995), {"ENERO","FEBRERO","MARZO","ABRIL","MAYO","JUNIO","JULIO","AGOSTO","SEPTIEMBRE","OCTUBRE","NOVIEMBRE","DICIEMBRE"}, 0), 1,2,3,4,5,6,7,8,9,10,11,12), A995)</f>
        <v>44460</v>
      </c>
      <c r="H995">
        <v>26.125</v>
      </c>
      <c r="I995">
        <v>40000</v>
      </c>
      <c r="J995" s="1">
        <f t="shared" si="31"/>
        <v>44460</v>
      </c>
      <c r="K995">
        <f t="shared" si="30"/>
        <v>26.125</v>
      </c>
    </row>
    <row r="996" spans="1:11" x14ac:dyDescent="0.25">
      <c r="A996">
        <v>22</v>
      </c>
      <c r="B996" t="s">
        <v>10</v>
      </c>
      <c r="C996">
        <v>2021</v>
      </c>
      <c r="D996">
        <v>79.25</v>
      </c>
      <c r="E996" t="s">
        <v>9</v>
      </c>
      <c r="F996">
        <v>47.5</v>
      </c>
      <c r="G996" s="1">
        <f>DATE(C996, CHOOSE(MATCH(UPPER(B996), {"ENERO","FEBRERO","MARZO","ABRIL","MAYO","JUNIO","JULIO","AGOSTO","SEPTIEMBRE","OCTUBRE","NOVIEMBRE","DICIEMBRE"}, 0), 1,2,3,4,5,6,7,8,9,10,11,12), A996)</f>
        <v>44461</v>
      </c>
      <c r="H996">
        <v>31.75</v>
      </c>
      <c r="I996">
        <v>40000</v>
      </c>
      <c r="J996" s="1">
        <f t="shared" si="31"/>
        <v>44461</v>
      </c>
      <c r="K996">
        <f t="shared" si="30"/>
        <v>31.75</v>
      </c>
    </row>
    <row r="997" spans="1:11" x14ac:dyDescent="0.25">
      <c r="A997">
        <v>23</v>
      </c>
      <c r="B997" t="s">
        <v>10</v>
      </c>
      <c r="C997">
        <v>2021</v>
      </c>
      <c r="D997">
        <v>47.5</v>
      </c>
      <c r="E997">
        <v>80</v>
      </c>
      <c r="F997">
        <v>91.5</v>
      </c>
      <c r="G997" s="1">
        <f>DATE(C997, CHOOSE(MATCH(UPPER(B997), {"ENERO","FEBRERO","MARZO","ABRIL","MAYO","JUNIO","JULIO","AGOSTO","SEPTIEMBRE","OCTUBRE","NOVIEMBRE","DICIEMBRE"}, 0), 1,2,3,4,5,6,7,8,9,10,11,12), A997)</f>
        <v>44462</v>
      </c>
      <c r="H997">
        <v>36</v>
      </c>
      <c r="I997">
        <v>40000</v>
      </c>
      <c r="J997" s="1">
        <f t="shared" si="31"/>
        <v>44462</v>
      </c>
      <c r="K997">
        <f t="shared" si="30"/>
        <v>36</v>
      </c>
    </row>
    <row r="998" spans="1:11" x14ac:dyDescent="0.25">
      <c r="A998">
        <v>24</v>
      </c>
      <c r="B998" t="s">
        <v>10</v>
      </c>
      <c r="C998">
        <v>2021</v>
      </c>
      <c r="D998">
        <v>91.5</v>
      </c>
      <c r="E998" t="s">
        <v>9</v>
      </c>
      <c r="F998">
        <v>55.5</v>
      </c>
      <c r="G998" s="1">
        <f>DATE(C998, CHOOSE(MATCH(UPPER(B998), {"ENERO","FEBRERO","MARZO","ABRIL","MAYO","JUNIO","JULIO","AGOSTO","SEPTIEMBRE","OCTUBRE","NOVIEMBRE","DICIEMBRE"}, 0), 1,2,3,4,5,6,7,8,9,10,11,12), A998)</f>
        <v>44463</v>
      </c>
      <c r="H998">
        <v>36</v>
      </c>
      <c r="I998">
        <v>40000</v>
      </c>
      <c r="J998" s="1">
        <f t="shared" si="31"/>
        <v>44463</v>
      </c>
      <c r="K998">
        <f t="shared" si="30"/>
        <v>36</v>
      </c>
    </row>
    <row r="999" spans="1:11" x14ac:dyDescent="0.25">
      <c r="A999">
        <v>25</v>
      </c>
      <c r="B999" t="s">
        <v>10</v>
      </c>
      <c r="C999">
        <v>2021</v>
      </c>
      <c r="D999">
        <v>55.5</v>
      </c>
      <c r="E999">
        <v>80</v>
      </c>
      <c r="F999">
        <v>78.625</v>
      </c>
      <c r="G999" s="1">
        <f>DATE(C999, CHOOSE(MATCH(UPPER(B999), {"ENERO","FEBRERO","MARZO","ABRIL","MAYO","JUNIO","JULIO","AGOSTO","SEPTIEMBRE","OCTUBRE","NOVIEMBRE","DICIEMBRE"}, 0), 1,2,3,4,5,6,7,8,9,10,11,12), A999)</f>
        <v>44464</v>
      </c>
      <c r="H999">
        <v>56.875</v>
      </c>
      <c r="I999">
        <v>40000</v>
      </c>
      <c r="J999" s="1">
        <f t="shared" si="31"/>
        <v>44464</v>
      </c>
      <c r="K999">
        <f t="shared" si="30"/>
        <v>56.875</v>
      </c>
    </row>
    <row r="1000" spans="1:11" x14ac:dyDescent="0.25">
      <c r="A1000">
        <v>26</v>
      </c>
      <c r="B1000" t="s">
        <v>10</v>
      </c>
      <c r="C1000">
        <v>2021</v>
      </c>
      <c r="D1000">
        <v>78.625</v>
      </c>
      <c r="E1000" t="s">
        <v>9</v>
      </c>
      <c r="F1000">
        <v>22.5</v>
      </c>
      <c r="G1000" s="1">
        <f>DATE(C1000, CHOOSE(MATCH(UPPER(B1000), {"ENERO","FEBRERO","MARZO","ABRIL","MAYO","JUNIO","JULIO","AGOSTO","SEPTIEMBRE","OCTUBRE","NOVIEMBRE","DICIEMBRE"}, 0), 1,2,3,4,5,6,7,8,9,10,11,12), A1000)</f>
        <v>44465</v>
      </c>
      <c r="H1000">
        <v>56.125</v>
      </c>
      <c r="I1000">
        <v>40000</v>
      </c>
      <c r="J1000" s="1">
        <f t="shared" si="31"/>
        <v>44465</v>
      </c>
      <c r="K1000">
        <f t="shared" si="30"/>
        <v>56.125</v>
      </c>
    </row>
    <row r="1001" spans="1:11" x14ac:dyDescent="0.25">
      <c r="A1001">
        <v>27</v>
      </c>
      <c r="B1001" t="s">
        <v>10</v>
      </c>
      <c r="C1001">
        <v>2021</v>
      </c>
      <c r="D1001">
        <v>22.5</v>
      </c>
      <c r="E1001">
        <v>90</v>
      </c>
      <c r="F1001">
        <v>87.25</v>
      </c>
      <c r="G1001" s="1">
        <f>DATE(C1001, CHOOSE(MATCH(UPPER(B1001), {"ENERO","FEBRERO","MARZO","ABRIL","MAYO","JUNIO","JULIO","AGOSTO","SEPTIEMBRE","OCTUBRE","NOVIEMBRE","DICIEMBRE"}, 0), 1,2,3,4,5,6,7,8,9,10,11,12), A1001)</f>
        <v>44466</v>
      </c>
      <c r="H1001">
        <v>25.25</v>
      </c>
      <c r="I1001">
        <v>40000</v>
      </c>
      <c r="J1001" s="1">
        <f t="shared" si="31"/>
        <v>44466</v>
      </c>
      <c r="K1001">
        <f t="shared" si="30"/>
        <v>25.25</v>
      </c>
    </row>
    <row r="1002" spans="1:11" x14ac:dyDescent="0.25">
      <c r="A1002">
        <v>28</v>
      </c>
      <c r="B1002" t="s">
        <v>10</v>
      </c>
      <c r="C1002">
        <v>2021</v>
      </c>
      <c r="D1002">
        <v>87.25</v>
      </c>
      <c r="E1002" t="s">
        <v>9</v>
      </c>
      <c r="F1002">
        <v>56.25</v>
      </c>
      <c r="G1002" s="1">
        <f>DATE(C1002, CHOOSE(MATCH(UPPER(B1002), {"ENERO","FEBRERO","MARZO","ABRIL","MAYO","JUNIO","JULIO","AGOSTO","SEPTIEMBRE","OCTUBRE","NOVIEMBRE","DICIEMBRE"}, 0), 1,2,3,4,5,6,7,8,9,10,11,12), A1002)</f>
        <v>44467</v>
      </c>
      <c r="H1002">
        <v>31</v>
      </c>
      <c r="I1002">
        <v>40000</v>
      </c>
      <c r="J1002" s="1">
        <f t="shared" si="31"/>
        <v>44467</v>
      </c>
      <c r="K1002">
        <f t="shared" si="30"/>
        <v>31</v>
      </c>
    </row>
    <row r="1003" spans="1:11" x14ac:dyDescent="0.25">
      <c r="A1003">
        <v>29</v>
      </c>
      <c r="B1003" t="s">
        <v>10</v>
      </c>
      <c r="C1003">
        <v>2021</v>
      </c>
      <c r="D1003">
        <v>56.25</v>
      </c>
      <c r="E1003" t="s">
        <v>9</v>
      </c>
      <c r="F1003">
        <v>22</v>
      </c>
      <c r="G1003" s="1">
        <f>DATE(C1003, CHOOSE(MATCH(UPPER(B1003), {"ENERO","FEBRERO","MARZO","ABRIL","MAYO","JUNIO","JULIO","AGOSTO","SEPTIEMBRE","OCTUBRE","NOVIEMBRE","DICIEMBRE"}, 0), 1,2,3,4,5,6,7,8,9,10,11,12), A1003)</f>
        <v>44468</v>
      </c>
      <c r="H1003">
        <v>34.25</v>
      </c>
      <c r="I1003">
        <v>40000</v>
      </c>
      <c r="J1003" s="1">
        <f t="shared" si="31"/>
        <v>44468</v>
      </c>
      <c r="K1003">
        <f t="shared" si="30"/>
        <v>34.25</v>
      </c>
    </row>
    <row r="1004" spans="1:11" x14ac:dyDescent="0.25">
      <c r="A1004">
        <v>30</v>
      </c>
      <c r="B1004" t="s">
        <v>10</v>
      </c>
      <c r="C1004">
        <v>2021</v>
      </c>
      <c r="D1004">
        <v>22</v>
      </c>
      <c r="E1004">
        <v>120</v>
      </c>
      <c r="F1004">
        <v>98.375</v>
      </c>
      <c r="G1004" s="1">
        <f>DATE(C1004, CHOOSE(MATCH(UPPER(B1004), {"ENERO","FEBRERO","MARZO","ABRIL","MAYO","JUNIO","JULIO","AGOSTO","SEPTIEMBRE","OCTUBRE","NOVIEMBRE","DICIEMBRE"}, 0), 1,2,3,4,5,6,7,8,9,10,11,12), A1004)</f>
        <v>44469</v>
      </c>
      <c r="H1004">
        <v>43.625</v>
      </c>
      <c r="I1004">
        <v>40000</v>
      </c>
      <c r="J1004" s="1">
        <f t="shared" si="31"/>
        <v>44469</v>
      </c>
      <c r="K1004">
        <f t="shared" si="30"/>
        <v>43.625</v>
      </c>
    </row>
    <row r="1005" spans="1:11" x14ac:dyDescent="0.25">
      <c r="A1005">
        <v>1</v>
      </c>
      <c r="B1005" t="s">
        <v>18</v>
      </c>
      <c r="C1005">
        <v>2021</v>
      </c>
      <c r="D1005">
        <v>98.375</v>
      </c>
      <c r="E1005" t="s">
        <v>9</v>
      </c>
      <c r="F1005">
        <v>57.25</v>
      </c>
      <c r="G1005" s="1">
        <f>DATE(C1005, CHOOSE(MATCH(UPPER(B1005), {"ENERO","FEBRERO","MARZO","ABRIL","MAYO","JUNIO","JULIO","AGOSTO","SEPTIEMBRE","OCTUBRE","NOVIEMBRE","DICIEMBRE"}, 0), 1,2,3,4,5,6,7,8,9,10,11,12), A1005)</f>
        <v>44470</v>
      </c>
      <c r="H1005">
        <v>41.125</v>
      </c>
      <c r="I1005">
        <v>40000</v>
      </c>
      <c r="J1005" s="1">
        <f t="shared" si="31"/>
        <v>44470</v>
      </c>
      <c r="K1005">
        <f t="shared" si="30"/>
        <v>41.125</v>
      </c>
    </row>
    <row r="1006" spans="1:11" x14ac:dyDescent="0.25">
      <c r="A1006">
        <v>2</v>
      </c>
      <c r="B1006" t="s">
        <v>18</v>
      </c>
      <c r="C1006">
        <v>2021</v>
      </c>
      <c r="D1006">
        <v>57.25</v>
      </c>
      <c r="E1006">
        <v>120</v>
      </c>
      <c r="F1006">
        <v>110.5</v>
      </c>
      <c r="G1006" s="1">
        <f>DATE(C1006, CHOOSE(MATCH(UPPER(B1006), {"ENERO","FEBRERO","MARZO","ABRIL","MAYO","JUNIO","JULIO","AGOSTO","SEPTIEMBRE","OCTUBRE","NOVIEMBRE","DICIEMBRE"}, 0), 1,2,3,4,5,6,7,8,9,10,11,12), A1006)</f>
        <v>44471</v>
      </c>
      <c r="H1006">
        <v>66.75</v>
      </c>
      <c r="I1006">
        <v>40000</v>
      </c>
      <c r="J1006" s="1">
        <f t="shared" si="31"/>
        <v>44471</v>
      </c>
      <c r="K1006">
        <f t="shared" si="30"/>
        <v>66.75</v>
      </c>
    </row>
    <row r="1007" spans="1:11" x14ac:dyDescent="0.25">
      <c r="A1007">
        <v>3</v>
      </c>
      <c r="B1007" t="s">
        <v>18</v>
      </c>
      <c r="C1007">
        <v>2021</v>
      </c>
      <c r="D1007">
        <v>110.5</v>
      </c>
      <c r="E1007" t="s">
        <v>9</v>
      </c>
      <c r="F1007">
        <v>46.25</v>
      </c>
      <c r="G1007" s="1">
        <f>DATE(C1007, CHOOSE(MATCH(UPPER(B1007), {"ENERO","FEBRERO","MARZO","ABRIL","MAYO","JUNIO","JULIO","AGOSTO","SEPTIEMBRE","OCTUBRE","NOVIEMBRE","DICIEMBRE"}, 0), 1,2,3,4,5,6,7,8,9,10,11,12), A1007)</f>
        <v>44472</v>
      </c>
      <c r="H1007">
        <v>64.25</v>
      </c>
      <c r="I1007">
        <v>40000</v>
      </c>
      <c r="J1007" s="1">
        <f t="shared" si="31"/>
        <v>44472</v>
      </c>
      <c r="K1007">
        <f t="shared" si="30"/>
        <v>64.25</v>
      </c>
    </row>
    <row r="1008" spans="1:11" x14ac:dyDescent="0.25">
      <c r="A1008">
        <v>4</v>
      </c>
      <c r="B1008" t="s">
        <v>18</v>
      </c>
      <c r="C1008">
        <v>2021</v>
      </c>
      <c r="D1008">
        <v>46.25</v>
      </c>
      <c r="E1008">
        <v>100</v>
      </c>
      <c r="F1008">
        <v>120.375</v>
      </c>
      <c r="G1008" s="1">
        <f>DATE(C1008, CHOOSE(MATCH(UPPER(B1008), {"ENERO","FEBRERO","MARZO","ABRIL","MAYO","JUNIO","JULIO","AGOSTO","SEPTIEMBRE","OCTUBRE","NOVIEMBRE","DICIEMBRE"}, 0), 1,2,3,4,5,6,7,8,9,10,11,12), A1008)</f>
        <v>44473</v>
      </c>
      <c r="H1008">
        <v>25.875</v>
      </c>
      <c r="I1008">
        <v>40000</v>
      </c>
      <c r="J1008" s="1">
        <f t="shared" si="31"/>
        <v>44473</v>
      </c>
      <c r="K1008">
        <f t="shared" si="30"/>
        <v>25.875</v>
      </c>
    </row>
    <row r="1009" spans="1:11" x14ac:dyDescent="0.25">
      <c r="A1009">
        <v>5</v>
      </c>
      <c r="B1009" t="s">
        <v>18</v>
      </c>
      <c r="C1009">
        <v>2021</v>
      </c>
      <c r="D1009">
        <v>120.375</v>
      </c>
      <c r="E1009" t="s">
        <v>9</v>
      </c>
      <c r="F1009">
        <v>83.875</v>
      </c>
      <c r="G1009" s="1">
        <f>DATE(C1009, CHOOSE(MATCH(UPPER(B1009), {"ENERO","FEBRERO","MARZO","ABRIL","MAYO","JUNIO","JULIO","AGOSTO","SEPTIEMBRE","OCTUBRE","NOVIEMBRE","DICIEMBRE"}, 0), 1,2,3,4,5,6,7,8,9,10,11,12), A1009)</f>
        <v>44474</v>
      </c>
      <c r="H1009">
        <v>36.5</v>
      </c>
      <c r="I1009">
        <v>40000</v>
      </c>
      <c r="J1009" s="1">
        <f t="shared" si="31"/>
        <v>44474</v>
      </c>
      <c r="K1009">
        <f t="shared" si="30"/>
        <v>36.5</v>
      </c>
    </row>
    <row r="1010" spans="1:11" x14ac:dyDescent="0.25">
      <c r="A1010">
        <v>6</v>
      </c>
      <c r="B1010" t="s">
        <v>18</v>
      </c>
      <c r="C1010">
        <v>2021</v>
      </c>
      <c r="D1010">
        <v>83.875</v>
      </c>
      <c r="E1010" t="s">
        <v>9</v>
      </c>
      <c r="F1010">
        <v>51.75</v>
      </c>
      <c r="G1010" s="1">
        <f>DATE(C1010, CHOOSE(MATCH(UPPER(B1010), {"ENERO","FEBRERO","MARZO","ABRIL","MAYO","JUNIO","JULIO","AGOSTO","SEPTIEMBRE","OCTUBRE","NOVIEMBRE","DICIEMBRE"}, 0), 1,2,3,4,5,6,7,8,9,10,11,12), A1010)</f>
        <v>44475</v>
      </c>
      <c r="H1010">
        <v>32.125</v>
      </c>
      <c r="I1010">
        <v>40000</v>
      </c>
      <c r="J1010" s="1">
        <f t="shared" si="31"/>
        <v>44475</v>
      </c>
      <c r="K1010">
        <f t="shared" si="30"/>
        <v>32.125</v>
      </c>
    </row>
    <row r="1011" spans="1:11" x14ac:dyDescent="0.25">
      <c r="A1011">
        <v>7</v>
      </c>
      <c r="B1011" t="s">
        <v>18</v>
      </c>
      <c r="C1011">
        <v>2021</v>
      </c>
      <c r="D1011">
        <v>51.75</v>
      </c>
      <c r="E1011">
        <v>120</v>
      </c>
      <c r="F1011">
        <v>131.5</v>
      </c>
      <c r="G1011" s="1">
        <f>DATE(C1011, CHOOSE(MATCH(UPPER(B1011), {"ENERO","FEBRERO","MARZO","ABRIL","MAYO","JUNIO","JULIO","AGOSTO","SEPTIEMBRE","OCTUBRE","NOVIEMBRE","DICIEMBRE"}, 0), 1,2,3,4,5,6,7,8,9,10,11,12), A1011)</f>
        <v>44476</v>
      </c>
      <c r="H1011">
        <v>40.25</v>
      </c>
      <c r="I1011">
        <v>40000</v>
      </c>
      <c r="J1011" s="1">
        <f t="shared" si="31"/>
        <v>44476</v>
      </c>
      <c r="K1011">
        <f t="shared" si="30"/>
        <v>40.25</v>
      </c>
    </row>
    <row r="1012" spans="1:11" x14ac:dyDescent="0.25">
      <c r="A1012">
        <v>8</v>
      </c>
      <c r="B1012" t="s">
        <v>18</v>
      </c>
      <c r="C1012">
        <v>2021</v>
      </c>
      <c r="D1012">
        <v>131.5</v>
      </c>
      <c r="E1012" t="s">
        <v>9</v>
      </c>
      <c r="F1012">
        <v>82.5</v>
      </c>
      <c r="G1012" s="1">
        <f>DATE(C1012, CHOOSE(MATCH(UPPER(B1012), {"ENERO","FEBRERO","MARZO","ABRIL","MAYO","JUNIO","JULIO","AGOSTO","SEPTIEMBRE","OCTUBRE","NOVIEMBRE","DICIEMBRE"}, 0), 1,2,3,4,5,6,7,8,9,10,11,12), A1012)</f>
        <v>44477</v>
      </c>
      <c r="H1012">
        <v>49</v>
      </c>
      <c r="I1012">
        <v>40000</v>
      </c>
      <c r="J1012" s="1">
        <f t="shared" si="31"/>
        <v>44477</v>
      </c>
      <c r="K1012">
        <f t="shared" si="30"/>
        <v>49</v>
      </c>
    </row>
    <row r="1013" spans="1:11" x14ac:dyDescent="0.25">
      <c r="A1013">
        <v>9</v>
      </c>
      <c r="B1013" t="s">
        <v>18</v>
      </c>
      <c r="C1013">
        <v>2021</v>
      </c>
      <c r="D1013">
        <v>82.5</v>
      </c>
      <c r="E1013">
        <v>80</v>
      </c>
      <c r="F1013">
        <v>106.5</v>
      </c>
      <c r="G1013" s="1">
        <f>DATE(C1013, CHOOSE(MATCH(UPPER(B1013), {"ENERO","FEBRERO","MARZO","ABRIL","MAYO","JUNIO","JULIO","AGOSTO","SEPTIEMBRE","OCTUBRE","NOVIEMBRE","DICIEMBRE"}, 0), 1,2,3,4,5,6,7,8,9,10,11,12), A1013)</f>
        <v>44478</v>
      </c>
      <c r="H1013">
        <v>56</v>
      </c>
      <c r="I1013">
        <v>40000</v>
      </c>
      <c r="J1013" s="1">
        <f t="shared" si="31"/>
        <v>44478</v>
      </c>
      <c r="K1013">
        <f t="shared" si="30"/>
        <v>56</v>
      </c>
    </row>
    <row r="1014" spans="1:11" x14ac:dyDescent="0.25">
      <c r="A1014">
        <v>10</v>
      </c>
      <c r="B1014" t="s">
        <v>18</v>
      </c>
      <c r="C1014">
        <v>2021</v>
      </c>
      <c r="D1014">
        <v>106.5</v>
      </c>
      <c r="E1014" t="s">
        <v>9</v>
      </c>
      <c r="F1014">
        <v>56.25</v>
      </c>
      <c r="G1014" s="1">
        <f>DATE(C1014, CHOOSE(MATCH(UPPER(B1014), {"ENERO","FEBRERO","MARZO","ABRIL","MAYO","JUNIO","JULIO","AGOSTO","SEPTIEMBRE","OCTUBRE","NOVIEMBRE","DICIEMBRE"}, 0), 1,2,3,4,5,6,7,8,9,10,11,12), A1014)</f>
        <v>44479</v>
      </c>
      <c r="H1014">
        <v>50.25</v>
      </c>
      <c r="I1014">
        <v>40000</v>
      </c>
      <c r="J1014" s="1">
        <f t="shared" si="31"/>
        <v>44479</v>
      </c>
      <c r="K1014">
        <f t="shared" si="30"/>
        <v>50.25</v>
      </c>
    </row>
    <row r="1015" spans="1:11" x14ac:dyDescent="0.25">
      <c r="A1015">
        <v>11</v>
      </c>
      <c r="B1015" t="s">
        <v>18</v>
      </c>
      <c r="C1015">
        <v>2021</v>
      </c>
      <c r="D1015">
        <v>56.25</v>
      </c>
      <c r="E1015">
        <v>70</v>
      </c>
      <c r="F1015">
        <v>93.25</v>
      </c>
      <c r="G1015" s="1">
        <f>DATE(C1015, CHOOSE(MATCH(UPPER(B1015), {"ENERO","FEBRERO","MARZO","ABRIL","MAYO","JUNIO","JULIO","AGOSTO","SEPTIEMBRE","OCTUBRE","NOVIEMBRE","DICIEMBRE"}, 0), 1,2,3,4,5,6,7,8,9,10,11,12), A1015)</f>
        <v>44480</v>
      </c>
      <c r="H1015">
        <v>33</v>
      </c>
      <c r="I1015">
        <v>40000</v>
      </c>
      <c r="J1015" s="1">
        <f t="shared" si="31"/>
        <v>44480</v>
      </c>
      <c r="K1015">
        <f t="shared" si="30"/>
        <v>33</v>
      </c>
    </row>
    <row r="1016" spans="1:11" x14ac:dyDescent="0.25">
      <c r="A1016">
        <v>12</v>
      </c>
      <c r="B1016" t="s">
        <v>18</v>
      </c>
      <c r="C1016">
        <v>2021</v>
      </c>
      <c r="D1016">
        <v>93.25</v>
      </c>
      <c r="E1016" t="s">
        <v>9</v>
      </c>
      <c r="F1016">
        <v>51.75</v>
      </c>
      <c r="G1016" s="1">
        <f>DATE(C1016, CHOOSE(MATCH(UPPER(B1016), {"ENERO","FEBRERO","MARZO","ABRIL","MAYO","JUNIO","JULIO","AGOSTO","SEPTIEMBRE","OCTUBRE","NOVIEMBRE","DICIEMBRE"}, 0), 1,2,3,4,5,6,7,8,9,10,11,12), A1016)</f>
        <v>44481</v>
      </c>
      <c r="H1016">
        <v>41.5</v>
      </c>
      <c r="I1016">
        <v>40000</v>
      </c>
      <c r="J1016" s="1">
        <f t="shared" si="31"/>
        <v>44481</v>
      </c>
      <c r="K1016">
        <f t="shared" si="30"/>
        <v>41.5</v>
      </c>
    </row>
    <row r="1017" spans="1:11" x14ac:dyDescent="0.25">
      <c r="A1017">
        <v>13</v>
      </c>
      <c r="B1017" t="s">
        <v>18</v>
      </c>
      <c r="C1017">
        <v>2021</v>
      </c>
      <c r="D1017">
        <v>51.75</v>
      </c>
      <c r="E1017" t="s">
        <v>9</v>
      </c>
      <c r="F1017">
        <v>15.75</v>
      </c>
      <c r="G1017" s="1">
        <f>DATE(C1017, CHOOSE(MATCH(UPPER(B1017), {"ENERO","FEBRERO","MARZO","ABRIL","MAYO","JUNIO","JULIO","AGOSTO","SEPTIEMBRE","OCTUBRE","NOVIEMBRE","DICIEMBRE"}, 0), 1,2,3,4,5,6,7,8,9,10,11,12), A1017)</f>
        <v>44482</v>
      </c>
      <c r="H1017">
        <v>36</v>
      </c>
      <c r="I1017">
        <v>48000</v>
      </c>
      <c r="J1017" s="1">
        <f t="shared" si="31"/>
        <v>44482</v>
      </c>
      <c r="K1017">
        <f t="shared" si="30"/>
        <v>36</v>
      </c>
    </row>
    <row r="1018" spans="1:11" x14ac:dyDescent="0.25">
      <c r="A1018">
        <v>14</v>
      </c>
      <c r="B1018" t="s">
        <v>18</v>
      </c>
      <c r="C1018">
        <v>2021</v>
      </c>
      <c r="D1018">
        <v>15.75</v>
      </c>
      <c r="E1018">
        <v>140</v>
      </c>
      <c r="F1018">
        <v>110.25</v>
      </c>
      <c r="G1018" s="1">
        <f>DATE(C1018, CHOOSE(MATCH(UPPER(B1018), {"ENERO","FEBRERO","MARZO","ABRIL","MAYO","JUNIO","JULIO","AGOSTO","SEPTIEMBRE","OCTUBRE","NOVIEMBRE","DICIEMBRE"}, 0), 1,2,3,4,5,6,7,8,9,10,11,12), A1018)</f>
        <v>44483</v>
      </c>
      <c r="H1018">
        <v>45.5</v>
      </c>
      <c r="I1018">
        <v>48000</v>
      </c>
      <c r="J1018" s="1">
        <f t="shared" si="31"/>
        <v>44483</v>
      </c>
      <c r="K1018">
        <f t="shared" si="30"/>
        <v>45.5</v>
      </c>
    </row>
    <row r="1019" spans="1:11" x14ac:dyDescent="0.25">
      <c r="A1019">
        <v>15</v>
      </c>
      <c r="B1019" t="s">
        <v>18</v>
      </c>
      <c r="C1019">
        <v>2021</v>
      </c>
      <c r="D1019">
        <v>110.25</v>
      </c>
      <c r="E1019" t="s">
        <v>9</v>
      </c>
      <c r="F1019">
        <v>53</v>
      </c>
      <c r="G1019" s="1">
        <f>DATE(C1019, CHOOSE(MATCH(UPPER(B1019), {"ENERO","FEBRERO","MARZO","ABRIL","MAYO","JUNIO","JULIO","AGOSTO","SEPTIEMBRE","OCTUBRE","NOVIEMBRE","DICIEMBRE"}, 0), 1,2,3,4,5,6,7,8,9,10,11,12), A1019)</f>
        <v>44484</v>
      </c>
      <c r="H1019">
        <v>57.25</v>
      </c>
      <c r="I1019">
        <v>48000</v>
      </c>
      <c r="J1019" s="1">
        <f t="shared" si="31"/>
        <v>44484</v>
      </c>
      <c r="K1019">
        <f t="shared" si="30"/>
        <v>57.25</v>
      </c>
    </row>
    <row r="1020" spans="1:11" x14ac:dyDescent="0.25">
      <c r="A1020">
        <v>16</v>
      </c>
      <c r="B1020" t="s">
        <v>18</v>
      </c>
      <c r="C1020">
        <v>2021</v>
      </c>
      <c r="D1020">
        <v>53</v>
      </c>
      <c r="E1020">
        <v>90</v>
      </c>
      <c r="F1020">
        <v>85.5</v>
      </c>
      <c r="G1020" s="1">
        <f>DATE(C1020, CHOOSE(MATCH(UPPER(B1020), {"ENERO","FEBRERO","MARZO","ABRIL","MAYO","JUNIO","JULIO","AGOSTO","SEPTIEMBRE","OCTUBRE","NOVIEMBRE","DICIEMBRE"}, 0), 1,2,3,4,5,6,7,8,9,10,11,12), A1020)</f>
        <v>44485</v>
      </c>
      <c r="H1020">
        <v>57.5</v>
      </c>
      <c r="I1020">
        <v>48000</v>
      </c>
      <c r="J1020" s="1">
        <f t="shared" si="31"/>
        <v>44485</v>
      </c>
      <c r="K1020">
        <f t="shared" si="30"/>
        <v>57.5</v>
      </c>
    </row>
    <row r="1021" spans="1:11" x14ac:dyDescent="0.25">
      <c r="A1021">
        <v>17</v>
      </c>
      <c r="B1021" t="s">
        <v>18</v>
      </c>
      <c r="C1021">
        <v>2021</v>
      </c>
      <c r="D1021">
        <v>85.5</v>
      </c>
      <c r="E1021" t="s">
        <v>9</v>
      </c>
      <c r="F1021">
        <v>21.125</v>
      </c>
      <c r="G1021" s="1">
        <f>DATE(C1021, CHOOSE(MATCH(UPPER(B1021), {"ENERO","FEBRERO","MARZO","ABRIL","MAYO","JUNIO","JULIO","AGOSTO","SEPTIEMBRE","OCTUBRE","NOVIEMBRE","DICIEMBRE"}, 0), 1,2,3,4,5,6,7,8,9,10,11,12), A1021)</f>
        <v>44486</v>
      </c>
      <c r="H1021">
        <v>64.375</v>
      </c>
      <c r="I1021">
        <v>48000</v>
      </c>
      <c r="J1021" s="1">
        <f t="shared" si="31"/>
        <v>44486</v>
      </c>
      <c r="K1021">
        <f t="shared" si="30"/>
        <v>64.375</v>
      </c>
    </row>
    <row r="1022" spans="1:11" x14ac:dyDescent="0.25">
      <c r="A1022">
        <v>18</v>
      </c>
      <c r="B1022" t="s">
        <v>18</v>
      </c>
      <c r="C1022">
        <v>2021</v>
      </c>
      <c r="D1022">
        <v>21.125</v>
      </c>
      <c r="E1022">
        <v>150</v>
      </c>
      <c r="F1022">
        <v>127.625</v>
      </c>
      <c r="G1022" s="1">
        <f>DATE(C1022, CHOOSE(MATCH(UPPER(B1022), {"ENERO","FEBRERO","MARZO","ABRIL","MAYO","JUNIO","JULIO","AGOSTO","SEPTIEMBRE","OCTUBRE","NOVIEMBRE","DICIEMBRE"}, 0), 1,2,3,4,5,6,7,8,9,10,11,12), A1022)</f>
        <v>44487</v>
      </c>
      <c r="H1022">
        <v>43.5</v>
      </c>
      <c r="I1022">
        <v>48000</v>
      </c>
      <c r="J1022" s="1">
        <f t="shared" si="31"/>
        <v>44487</v>
      </c>
      <c r="K1022">
        <f t="shared" si="30"/>
        <v>43.5</v>
      </c>
    </row>
    <row r="1023" spans="1:11" x14ac:dyDescent="0.25">
      <c r="A1023">
        <v>19</v>
      </c>
      <c r="B1023" t="s">
        <v>18</v>
      </c>
      <c r="C1023">
        <v>2021</v>
      </c>
      <c r="D1023">
        <v>127.625</v>
      </c>
      <c r="E1023" t="s">
        <v>9</v>
      </c>
      <c r="F1023">
        <v>96</v>
      </c>
      <c r="G1023" s="1">
        <f>DATE(C1023, CHOOSE(MATCH(UPPER(B1023), {"ENERO","FEBRERO","MARZO","ABRIL","MAYO","JUNIO","JULIO","AGOSTO","SEPTIEMBRE","OCTUBRE","NOVIEMBRE","DICIEMBRE"}, 0), 1,2,3,4,5,6,7,8,9,10,11,12), A1023)</f>
        <v>44488</v>
      </c>
      <c r="H1023">
        <v>31.625</v>
      </c>
      <c r="I1023">
        <v>48000</v>
      </c>
      <c r="J1023" s="1">
        <f t="shared" si="31"/>
        <v>44488</v>
      </c>
      <c r="K1023">
        <f t="shared" si="30"/>
        <v>31.625</v>
      </c>
    </row>
    <row r="1024" spans="1:11" x14ac:dyDescent="0.25">
      <c r="A1024">
        <v>20</v>
      </c>
      <c r="B1024" t="s">
        <v>18</v>
      </c>
      <c r="C1024">
        <v>2021</v>
      </c>
      <c r="D1024">
        <v>96</v>
      </c>
      <c r="E1024" t="s">
        <v>9</v>
      </c>
      <c r="F1024">
        <v>69.25</v>
      </c>
      <c r="G1024" s="1">
        <f>DATE(C1024, CHOOSE(MATCH(UPPER(B1024), {"ENERO","FEBRERO","MARZO","ABRIL","MAYO","JUNIO","JULIO","AGOSTO","SEPTIEMBRE","OCTUBRE","NOVIEMBRE","DICIEMBRE"}, 0), 1,2,3,4,5,6,7,8,9,10,11,12), A1024)</f>
        <v>44489</v>
      </c>
      <c r="H1024">
        <v>26.75</v>
      </c>
      <c r="I1024">
        <v>48000</v>
      </c>
      <c r="J1024" s="1">
        <f t="shared" si="31"/>
        <v>44489</v>
      </c>
      <c r="K1024">
        <f t="shared" si="30"/>
        <v>26.75</v>
      </c>
    </row>
    <row r="1025" spans="1:11" x14ac:dyDescent="0.25">
      <c r="A1025">
        <v>21</v>
      </c>
      <c r="B1025" t="s">
        <v>18</v>
      </c>
      <c r="C1025">
        <v>2021</v>
      </c>
      <c r="D1025">
        <v>69.25</v>
      </c>
      <c r="E1025">
        <v>130</v>
      </c>
      <c r="F1025">
        <v>162.625</v>
      </c>
      <c r="G1025" s="1">
        <f>DATE(C1025, CHOOSE(MATCH(UPPER(B1025), {"ENERO","FEBRERO","MARZO","ABRIL","MAYO","JUNIO","JULIO","AGOSTO","SEPTIEMBRE","OCTUBRE","NOVIEMBRE","DICIEMBRE"}, 0), 1,2,3,4,5,6,7,8,9,10,11,12), A1025)</f>
        <v>44490</v>
      </c>
      <c r="H1025">
        <v>36.625</v>
      </c>
      <c r="I1025">
        <v>48000</v>
      </c>
      <c r="J1025" s="1">
        <f t="shared" si="31"/>
        <v>44490</v>
      </c>
      <c r="K1025">
        <f t="shared" si="30"/>
        <v>36.625</v>
      </c>
    </row>
    <row r="1026" spans="1:11" x14ac:dyDescent="0.25">
      <c r="A1026">
        <v>22</v>
      </c>
      <c r="B1026" t="s">
        <v>18</v>
      </c>
      <c r="C1026">
        <v>2021</v>
      </c>
      <c r="D1026">
        <v>162.625</v>
      </c>
      <c r="E1026" t="s">
        <v>9</v>
      </c>
      <c r="F1026">
        <v>110</v>
      </c>
      <c r="G1026" s="1">
        <f>DATE(C1026, CHOOSE(MATCH(UPPER(B1026), {"ENERO","FEBRERO","MARZO","ABRIL","MAYO","JUNIO","JULIO","AGOSTO","SEPTIEMBRE","OCTUBRE","NOVIEMBRE","DICIEMBRE"}, 0), 1,2,3,4,5,6,7,8,9,10,11,12), A1026)</f>
        <v>44491</v>
      </c>
      <c r="H1026">
        <v>52.625</v>
      </c>
      <c r="I1026">
        <v>48000</v>
      </c>
      <c r="J1026" s="1">
        <f t="shared" si="31"/>
        <v>44491</v>
      </c>
      <c r="K1026">
        <f t="shared" si="30"/>
        <v>52.625</v>
      </c>
    </row>
    <row r="1027" spans="1:11" x14ac:dyDescent="0.25">
      <c r="A1027">
        <v>23</v>
      </c>
      <c r="B1027" t="s">
        <v>18</v>
      </c>
      <c r="C1027">
        <v>2021</v>
      </c>
      <c r="D1027">
        <v>110</v>
      </c>
      <c r="E1027" t="s">
        <v>9</v>
      </c>
      <c r="F1027">
        <v>58.5</v>
      </c>
      <c r="G1027" s="1">
        <f>DATE(C1027, CHOOSE(MATCH(UPPER(B1027), {"ENERO","FEBRERO","MARZO","ABRIL","MAYO","JUNIO","JULIO","AGOSTO","SEPTIEMBRE","OCTUBRE","NOVIEMBRE","DICIEMBRE"}, 0), 1,2,3,4,5,6,7,8,9,10,11,12), A1027)</f>
        <v>44492</v>
      </c>
      <c r="H1027">
        <v>51.5</v>
      </c>
      <c r="I1027">
        <v>48000</v>
      </c>
      <c r="J1027" s="1">
        <f t="shared" si="31"/>
        <v>44492</v>
      </c>
      <c r="K1027">
        <f t="shared" ref="K1027:K1090" si="32">VLOOKUP(J1027, G:H, 2, FALSE)</f>
        <v>51.5</v>
      </c>
    </row>
    <row r="1028" spans="1:11" x14ac:dyDescent="0.25">
      <c r="A1028">
        <v>24</v>
      </c>
      <c r="B1028" t="s">
        <v>18</v>
      </c>
      <c r="C1028">
        <v>2021</v>
      </c>
      <c r="D1028">
        <v>58.5</v>
      </c>
      <c r="E1028">
        <v>140</v>
      </c>
      <c r="F1028">
        <v>146.25</v>
      </c>
      <c r="G1028" s="1">
        <f>DATE(C1028, CHOOSE(MATCH(UPPER(B1028), {"ENERO","FEBRERO","MARZO","ABRIL","MAYO","JUNIO","JULIO","AGOSTO","SEPTIEMBRE","OCTUBRE","NOVIEMBRE","DICIEMBRE"}, 0), 1,2,3,4,5,6,7,8,9,10,11,12), A1028)</f>
        <v>44493</v>
      </c>
      <c r="H1028">
        <v>52.25</v>
      </c>
      <c r="I1028">
        <v>48000</v>
      </c>
      <c r="J1028" s="1">
        <f t="shared" si="31"/>
        <v>44493</v>
      </c>
      <c r="K1028">
        <f t="shared" si="32"/>
        <v>52.25</v>
      </c>
    </row>
    <row r="1029" spans="1:11" x14ac:dyDescent="0.25">
      <c r="A1029">
        <v>25</v>
      </c>
      <c r="B1029" t="s">
        <v>18</v>
      </c>
      <c r="C1029">
        <v>2021</v>
      </c>
      <c r="D1029">
        <v>146.25</v>
      </c>
      <c r="E1029" t="s">
        <v>9</v>
      </c>
      <c r="F1029">
        <v>117.75</v>
      </c>
      <c r="G1029" s="1">
        <f>DATE(C1029, CHOOSE(MATCH(UPPER(B1029), {"ENERO","FEBRERO","MARZO","ABRIL","MAYO","JUNIO","JULIO","AGOSTO","SEPTIEMBRE","OCTUBRE","NOVIEMBRE","DICIEMBRE"}, 0), 1,2,3,4,5,6,7,8,9,10,11,12), A1029)</f>
        <v>44494</v>
      </c>
      <c r="H1029">
        <v>28.5</v>
      </c>
      <c r="I1029">
        <v>48000</v>
      </c>
      <c r="J1029" s="1">
        <f t="shared" ref="J1029:J1092" si="33">DATE(2019,1,1) + ROW()-1</f>
        <v>44494</v>
      </c>
      <c r="K1029">
        <f t="shared" si="32"/>
        <v>28.5</v>
      </c>
    </row>
    <row r="1030" spans="1:11" x14ac:dyDescent="0.25">
      <c r="A1030">
        <v>26</v>
      </c>
      <c r="B1030" t="s">
        <v>18</v>
      </c>
      <c r="C1030">
        <v>2021</v>
      </c>
      <c r="D1030">
        <v>117.75</v>
      </c>
      <c r="E1030">
        <v>70</v>
      </c>
      <c r="F1030">
        <v>164.875</v>
      </c>
      <c r="G1030" s="1">
        <f>DATE(C1030, CHOOSE(MATCH(UPPER(B1030), {"ENERO","FEBRERO","MARZO","ABRIL","MAYO","JUNIO","JULIO","AGOSTO","SEPTIEMBRE","OCTUBRE","NOVIEMBRE","DICIEMBRE"}, 0), 1,2,3,4,5,6,7,8,9,10,11,12), A1030)</f>
        <v>44495</v>
      </c>
      <c r="H1030">
        <v>22.875</v>
      </c>
      <c r="I1030">
        <v>48000</v>
      </c>
      <c r="J1030" s="1">
        <f t="shared" si="33"/>
        <v>44495</v>
      </c>
      <c r="K1030">
        <f t="shared" si="32"/>
        <v>22.875</v>
      </c>
    </row>
    <row r="1031" spans="1:11" x14ac:dyDescent="0.25">
      <c r="A1031">
        <v>27</v>
      </c>
      <c r="B1031" t="s">
        <v>18</v>
      </c>
      <c r="C1031">
        <v>2021</v>
      </c>
      <c r="D1031">
        <v>164.875</v>
      </c>
      <c r="E1031" t="s">
        <v>9</v>
      </c>
      <c r="F1031">
        <v>134.25</v>
      </c>
      <c r="G1031" s="1">
        <f>DATE(C1031, CHOOSE(MATCH(UPPER(B1031), {"ENERO","FEBRERO","MARZO","ABRIL","MAYO","JUNIO","JULIO","AGOSTO","SEPTIEMBRE","OCTUBRE","NOVIEMBRE","DICIEMBRE"}, 0), 1,2,3,4,5,6,7,8,9,10,11,12), A1031)</f>
        <v>44496</v>
      </c>
      <c r="H1031">
        <v>30.625</v>
      </c>
      <c r="I1031">
        <v>48000</v>
      </c>
      <c r="J1031" s="1">
        <f t="shared" si="33"/>
        <v>44496</v>
      </c>
      <c r="K1031">
        <f t="shared" si="32"/>
        <v>30.625</v>
      </c>
    </row>
    <row r="1032" spans="1:11" x14ac:dyDescent="0.25">
      <c r="A1032">
        <v>28</v>
      </c>
      <c r="B1032" t="s">
        <v>18</v>
      </c>
      <c r="C1032">
        <v>2021</v>
      </c>
      <c r="D1032">
        <v>134.25</v>
      </c>
      <c r="E1032">
        <v>120</v>
      </c>
      <c r="F1032">
        <v>206.5</v>
      </c>
      <c r="G1032" s="1">
        <f>DATE(C1032, CHOOSE(MATCH(UPPER(B1032), {"ENERO","FEBRERO","MARZO","ABRIL","MAYO","JUNIO","JULIO","AGOSTO","SEPTIEMBRE","OCTUBRE","NOVIEMBRE","DICIEMBRE"}, 0), 1,2,3,4,5,6,7,8,9,10,11,12), A1032)</f>
        <v>44497</v>
      </c>
      <c r="H1032">
        <v>47.75</v>
      </c>
      <c r="I1032">
        <v>48000</v>
      </c>
      <c r="J1032" s="1">
        <f t="shared" si="33"/>
        <v>44497</v>
      </c>
      <c r="K1032">
        <f t="shared" si="32"/>
        <v>47.75</v>
      </c>
    </row>
    <row r="1033" spans="1:11" x14ac:dyDescent="0.25">
      <c r="A1033">
        <v>29</v>
      </c>
      <c r="B1033" t="s">
        <v>18</v>
      </c>
      <c r="C1033">
        <v>2021</v>
      </c>
      <c r="D1033">
        <v>206.5</v>
      </c>
      <c r="E1033" t="s">
        <v>9</v>
      </c>
      <c r="F1033">
        <v>155</v>
      </c>
      <c r="G1033" s="1">
        <f>DATE(C1033, CHOOSE(MATCH(UPPER(B1033), {"ENERO","FEBRERO","MARZO","ABRIL","MAYO","JUNIO","JULIO","AGOSTO","SEPTIEMBRE","OCTUBRE","NOVIEMBRE","DICIEMBRE"}, 0), 1,2,3,4,5,6,7,8,9,10,11,12), A1033)</f>
        <v>44498</v>
      </c>
      <c r="H1033">
        <v>51.5</v>
      </c>
      <c r="I1033">
        <v>48000</v>
      </c>
      <c r="J1033" s="1">
        <f t="shared" si="33"/>
        <v>44498</v>
      </c>
      <c r="K1033">
        <f t="shared" si="32"/>
        <v>51.5</v>
      </c>
    </row>
    <row r="1034" spans="1:11" x14ac:dyDescent="0.25">
      <c r="A1034">
        <v>30</v>
      </c>
      <c r="B1034" t="s">
        <v>18</v>
      </c>
      <c r="C1034">
        <v>2021</v>
      </c>
      <c r="D1034">
        <v>155</v>
      </c>
      <c r="E1034">
        <v>150</v>
      </c>
      <c r="F1034">
        <v>251.625</v>
      </c>
      <c r="G1034" s="1">
        <f>DATE(C1034, CHOOSE(MATCH(UPPER(B1034), {"ENERO","FEBRERO","MARZO","ABRIL","MAYO","JUNIO","JULIO","AGOSTO","SEPTIEMBRE","OCTUBRE","NOVIEMBRE","DICIEMBRE"}, 0), 1,2,3,4,5,6,7,8,9,10,11,12), A1034)</f>
        <v>44499</v>
      </c>
      <c r="H1034">
        <v>53.375</v>
      </c>
      <c r="I1034">
        <v>48000</v>
      </c>
      <c r="J1034" s="1">
        <f t="shared" si="33"/>
        <v>44499</v>
      </c>
      <c r="K1034">
        <f t="shared" si="32"/>
        <v>53.375</v>
      </c>
    </row>
    <row r="1035" spans="1:11" x14ac:dyDescent="0.25">
      <c r="A1035">
        <v>31</v>
      </c>
      <c r="B1035" t="s">
        <v>18</v>
      </c>
      <c r="C1035">
        <v>2021</v>
      </c>
      <c r="D1035">
        <v>251.625</v>
      </c>
      <c r="E1035" t="s">
        <v>9</v>
      </c>
      <c r="F1035">
        <v>123</v>
      </c>
      <c r="G1035" s="1">
        <f>DATE(C1035, CHOOSE(MATCH(UPPER(B1035), {"ENERO","FEBRERO","MARZO","ABRIL","MAYO","JUNIO","JULIO","AGOSTO","SEPTIEMBRE","OCTUBRE","NOVIEMBRE","DICIEMBRE"}, 0), 1,2,3,4,5,6,7,8,9,10,11,12), A1035)</f>
        <v>44500</v>
      </c>
      <c r="H1035">
        <v>128.625</v>
      </c>
      <c r="I1035">
        <v>48000</v>
      </c>
      <c r="J1035" s="1">
        <f t="shared" si="33"/>
        <v>44500</v>
      </c>
      <c r="K1035">
        <f t="shared" si="32"/>
        <v>128.625</v>
      </c>
    </row>
    <row r="1036" spans="1:11" x14ac:dyDescent="0.25">
      <c r="A1036">
        <v>1</v>
      </c>
      <c r="B1036" t="s">
        <v>19</v>
      </c>
      <c r="C1036">
        <v>2021</v>
      </c>
      <c r="D1036">
        <v>123</v>
      </c>
      <c r="E1036" t="s">
        <v>9</v>
      </c>
      <c r="F1036">
        <v>71.5</v>
      </c>
      <c r="G1036" s="1">
        <f>DATE(C1036, CHOOSE(MATCH(UPPER(B1036), {"ENERO","FEBRERO","MARZO","ABRIL","MAYO","JUNIO","JULIO","AGOSTO","SEPTIEMBRE","OCTUBRE","NOVIEMBRE","DICIEMBRE"}, 0), 1,2,3,4,5,6,7,8,9,10,11,12), A1036)</f>
        <v>44501</v>
      </c>
      <c r="H1036">
        <v>51.5</v>
      </c>
      <c r="I1036">
        <v>48000</v>
      </c>
      <c r="J1036" s="1">
        <f t="shared" si="33"/>
        <v>44501</v>
      </c>
      <c r="K1036">
        <f t="shared" si="32"/>
        <v>51.5</v>
      </c>
    </row>
    <row r="1037" spans="1:11" x14ac:dyDescent="0.25">
      <c r="A1037">
        <v>2</v>
      </c>
      <c r="B1037" t="s">
        <v>19</v>
      </c>
      <c r="C1037">
        <v>2021</v>
      </c>
      <c r="D1037">
        <v>71.5</v>
      </c>
      <c r="E1037" t="s">
        <v>9</v>
      </c>
      <c r="F1037">
        <v>42</v>
      </c>
      <c r="G1037" s="1">
        <f>DATE(C1037, CHOOSE(MATCH(UPPER(B1037), {"ENERO","FEBRERO","MARZO","ABRIL","MAYO","JUNIO","JULIO","AGOSTO","SEPTIEMBRE","OCTUBRE","NOVIEMBRE","DICIEMBRE"}, 0), 1,2,3,4,5,6,7,8,9,10,11,12), A1037)</f>
        <v>44502</v>
      </c>
      <c r="H1037">
        <v>29.5</v>
      </c>
      <c r="I1037">
        <v>48000</v>
      </c>
      <c r="J1037" s="1">
        <f t="shared" si="33"/>
        <v>44502</v>
      </c>
      <c r="K1037">
        <f t="shared" si="32"/>
        <v>29.5</v>
      </c>
    </row>
    <row r="1038" spans="1:11" x14ac:dyDescent="0.25">
      <c r="A1038">
        <v>3</v>
      </c>
      <c r="B1038" t="s">
        <v>19</v>
      </c>
      <c r="C1038">
        <v>2021</v>
      </c>
      <c r="D1038">
        <v>42</v>
      </c>
      <c r="E1038">
        <v>150</v>
      </c>
      <c r="F1038">
        <v>156.75</v>
      </c>
      <c r="G1038" s="1">
        <f>DATE(C1038, CHOOSE(MATCH(UPPER(B1038), {"ENERO","FEBRERO","MARZO","ABRIL","MAYO","JUNIO","JULIO","AGOSTO","SEPTIEMBRE","OCTUBRE","NOVIEMBRE","DICIEMBRE"}, 0), 1,2,3,4,5,6,7,8,9,10,11,12), A1038)</f>
        <v>44503</v>
      </c>
      <c r="H1038">
        <v>35.25</v>
      </c>
      <c r="I1038">
        <v>48000</v>
      </c>
      <c r="J1038" s="1">
        <f t="shared" si="33"/>
        <v>44503</v>
      </c>
      <c r="K1038">
        <f t="shared" si="32"/>
        <v>35.25</v>
      </c>
    </row>
    <row r="1039" spans="1:11" x14ac:dyDescent="0.25">
      <c r="A1039">
        <v>4</v>
      </c>
      <c r="B1039" t="s">
        <v>19</v>
      </c>
      <c r="C1039">
        <v>2021</v>
      </c>
      <c r="D1039">
        <v>156.75</v>
      </c>
      <c r="E1039" t="s">
        <v>9</v>
      </c>
      <c r="F1039">
        <v>123</v>
      </c>
      <c r="G1039" s="1">
        <f>DATE(C1039, CHOOSE(MATCH(UPPER(B1039), {"ENERO","FEBRERO","MARZO","ABRIL","MAYO","JUNIO","JULIO","AGOSTO","SEPTIEMBRE","OCTUBRE","NOVIEMBRE","DICIEMBRE"}, 0), 1,2,3,4,5,6,7,8,9,10,11,12), A1039)</f>
        <v>44504</v>
      </c>
      <c r="H1039">
        <v>33.75</v>
      </c>
      <c r="I1039">
        <v>48000</v>
      </c>
      <c r="J1039" s="1">
        <f t="shared" si="33"/>
        <v>44504</v>
      </c>
      <c r="K1039">
        <f t="shared" si="32"/>
        <v>33.75</v>
      </c>
    </row>
    <row r="1040" spans="1:11" x14ac:dyDescent="0.25">
      <c r="A1040">
        <v>5</v>
      </c>
      <c r="B1040" t="s">
        <v>19</v>
      </c>
      <c r="C1040">
        <v>2021</v>
      </c>
      <c r="D1040">
        <v>123</v>
      </c>
      <c r="E1040" t="s">
        <v>9</v>
      </c>
      <c r="F1040">
        <v>77.5</v>
      </c>
      <c r="G1040" s="1">
        <f>DATE(C1040, CHOOSE(MATCH(UPPER(B1040), {"ENERO","FEBRERO","MARZO","ABRIL","MAYO","JUNIO","JULIO","AGOSTO","SEPTIEMBRE","OCTUBRE","NOVIEMBRE","DICIEMBRE"}, 0), 1,2,3,4,5,6,7,8,9,10,11,12), A1040)</f>
        <v>44505</v>
      </c>
      <c r="H1040">
        <v>45.5</v>
      </c>
      <c r="I1040">
        <v>48000</v>
      </c>
      <c r="J1040" s="1">
        <f t="shared" si="33"/>
        <v>44505</v>
      </c>
      <c r="K1040">
        <f t="shared" si="32"/>
        <v>45.5</v>
      </c>
    </row>
    <row r="1041" spans="1:11" x14ac:dyDescent="0.25">
      <c r="A1041">
        <v>6</v>
      </c>
      <c r="B1041" t="s">
        <v>19</v>
      </c>
      <c r="C1041">
        <v>2021</v>
      </c>
      <c r="D1041">
        <v>77.5</v>
      </c>
      <c r="E1041">
        <v>150</v>
      </c>
      <c r="F1041">
        <v>178.125</v>
      </c>
      <c r="G1041" s="1">
        <f>DATE(C1041, CHOOSE(MATCH(UPPER(B1041), {"ENERO","FEBRERO","MARZO","ABRIL","MAYO","JUNIO","JULIO","AGOSTO","SEPTIEMBRE","OCTUBRE","NOVIEMBRE","DICIEMBRE"}, 0), 1,2,3,4,5,6,7,8,9,10,11,12), A1041)</f>
        <v>44506</v>
      </c>
      <c r="H1041">
        <v>49.375</v>
      </c>
      <c r="I1041">
        <v>48000</v>
      </c>
      <c r="J1041" s="1">
        <f t="shared" si="33"/>
        <v>44506</v>
      </c>
      <c r="K1041">
        <f t="shared" si="32"/>
        <v>49.375</v>
      </c>
    </row>
    <row r="1042" spans="1:11" x14ac:dyDescent="0.25">
      <c r="A1042">
        <v>7</v>
      </c>
      <c r="B1042" t="s">
        <v>19</v>
      </c>
      <c r="C1042">
        <v>2021</v>
      </c>
      <c r="D1042">
        <v>178.125</v>
      </c>
      <c r="E1042" t="s">
        <v>9</v>
      </c>
      <c r="F1042">
        <v>121.125</v>
      </c>
      <c r="G1042" s="1">
        <f>DATE(C1042, CHOOSE(MATCH(UPPER(B1042), {"ENERO","FEBRERO","MARZO","ABRIL","MAYO","JUNIO","JULIO","AGOSTO","SEPTIEMBRE","OCTUBRE","NOVIEMBRE","DICIEMBRE"}, 0), 1,2,3,4,5,6,7,8,9,10,11,12), A1042)</f>
        <v>44507</v>
      </c>
      <c r="H1042">
        <v>57</v>
      </c>
      <c r="I1042">
        <v>48000</v>
      </c>
      <c r="J1042" s="1">
        <f t="shared" si="33"/>
        <v>44507</v>
      </c>
      <c r="K1042">
        <f t="shared" si="32"/>
        <v>57</v>
      </c>
    </row>
    <row r="1043" spans="1:11" x14ac:dyDescent="0.25">
      <c r="A1043">
        <v>8</v>
      </c>
      <c r="B1043" t="s">
        <v>19</v>
      </c>
      <c r="C1043">
        <v>2021</v>
      </c>
      <c r="D1043">
        <v>121.125</v>
      </c>
      <c r="E1043">
        <v>50</v>
      </c>
      <c r="F1043">
        <v>147.25</v>
      </c>
      <c r="G1043" s="1">
        <f>DATE(C1043, CHOOSE(MATCH(UPPER(B1043), {"ENERO","FEBRERO","MARZO","ABRIL","MAYO","JUNIO","JULIO","AGOSTO","SEPTIEMBRE","OCTUBRE","NOVIEMBRE","DICIEMBRE"}, 0), 1,2,3,4,5,6,7,8,9,10,11,12), A1043)</f>
        <v>44508</v>
      </c>
      <c r="H1043">
        <v>23.875</v>
      </c>
      <c r="I1043">
        <v>48000</v>
      </c>
      <c r="J1043" s="1">
        <f t="shared" si="33"/>
        <v>44508</v>
      </c>
      <c r="K1043">
        <f t="shared" si="32"/>
        <v>23.875</v>
      </c>
    </row>
    <row r="1044" spans="1:11" x14ac:dyDescent="0.25">
      <c r="A1044">
        <v>9</v>
      </c>
      <c r="B1044" t="s">
        <v>19</v>
      </c>
      <c r="C1044">
        <v>2021</v>
      </c>
      <c r="D1044">
        <v>147.25</v>
      </c>
      <c r="E1044" t="s">
        <v>9</v>
      </c>
      <c r="F1044">
        <v>113.75</v>
      </c>
      <c r="G1044" s="1">
        <f>DATE(C1044, CHOOSE(MATCH(UPPER(B1044), {"ENERO","FEBRERO","MARZO","ABRIL","MAYO","JUNIO","JULIO","AGOSTO","SEPTIEMBRE","OCTUBRE","NOVIEMBRE","DICIEMBRE"}, 0), 1,2,3,4,5,6,7,8,9,10,11,12), A1044)</f>
        <v>44509</v>
      </c>
      <c r="H1044">
        <v>33.5</v>
      </c>
      <c r="I1044">
        <v>48000</v>
      </c>
      <c r="J1044" s="1">
        <f t="shared" si="33"/>
        <v>44509</v>
      </c>
      <c r="K1044">
        <f t="shared" si="32"/>
        <v>33.5</v>
      </c>
    </row>
    <row r="1045" spans="1:11" x14ac:dyDescent="0.25">
      <c r="A1045">
        <v>10</v>
      </c>
      <c r="B1045" t="s">
        <v>19</v>
      </c>
      <c r="C1045">
        <v>2021</v>
      </c>
      <c r="D1045">
        <v>113.75</v>
      </c>
      <c r="E1045" t="s">
        <v>9</v>
      </c>
      <c r="F1045">
        <v>84</v>
      </c>
      <c r="G1045" s="1">
        <f>DATE(C1045, CHOOSE(MATCH(UPPER(B1045), {"ENERO","FEBRERO","MARZO","ABRIL","MAYO","JUNIO","JULIO","AGOSTO","SEPTIEMBRE","OCTUBRE","NOVIEMBRE","DICIEMBRE"}, 0), 1,2,3,4,5,6,7,8,9,10,11,12), A1045)</f>
        <v>44510</v>
      </c>
      <c r="H1045">
        <v>29.75</v>
      </c>
      <c r="I1045">
        <v>48000</v>
      </c>
      <c r="J1045" s="1">
        <f t="shared" si="33"/>
        <v>44510</v>
      </c>
      <c r="K1045">
        <f t="shared" si="32"/>
        <v>29.75</v>
      </c>
    </row>
    <row r="1046" spans="1:11" x14ac:dyDescent="0.25">
      <c r="A1046">
        <v>11</v>
      </c>
      <c r="B1046" t="s">
        <v>19</v>
      </c>
      <c r="C1046">
        <v>2021</v>
      </c>
      <c r="D1046">
        <v>84</v>
      </c>
      <c r="E1046">
        <v>100</v>
      </c>
      <c r="F1046">
        <v>148.5</v>
      </c>
      <c r="G1046" s="1">
        <f>DATE(C1046, CHOOSE(MATCH(UPPER(B1046), {"ENERO","FEBRERO","MARZO","ABRIL","MAYO","JUNIO","JULIO","AGOSTO","SEPTIEMBRE","OCTUBRE","NOVIEMBRE","DICIEMBRE"}, 0), 1,2,3,4,5,6,7,8,9,10,11,12), A1046)</f>
        <v>44511</v>
      </c>
      <c r="H1046">
        <v>35.5</v>
      </c>
      <c r="I1046">
        <v>48000</v>
      </c>
      <c r="J1046" s="1">
        <f t="shared" si="33"/>
        <v>44511</v>
      </c>
      <c r="K1046">
        <f t="shared" si="32"/>
        <v>35.5</v>
      </c>
    </row>
    <row r="1047" spans="1:11" x14ac:dyDescent="0.25">
      <c r="A1047">
        <v>12</v>
      </c>
      <c r="B1047" t="s">
        <v>19</v>
      </c>
      <c r="C1047">
        <v>2021</v>
      </c>
      <c r="D1047">
        <v>148.5</v>
      </c>
      <c r="E1047" t="s">
        <v>9</v>
      </c>
      <c r="F1047">
        <v>118.25</v>
      </c>
      <c r="G1047" s="1">
        <f>DATE(C1047, CHOOSE(MATCH(UPPER(B1047), {"ENERO","FEBRERO","MARZO","ABRIL","MAYO","JUNIO","JULIO","AGOSTO","SEPTIEMBRE","OCTUBRE","NOVIEMBRE","DICIEMBRE"}, 0), 1,2,3,4,5,6,7,8,9,10,11,12), A1047)</f>
        <v>44512</v>
      </c>
      <c r="H1047">
        <v>30.25</v>
      </c>
      <c r="I1047">
        <v>48000</v>
      </c>
      <c r="J1047" s="1">
        <f t="shared" si="33"/>
        <v>44512</v>
      </c>
      <c r="K1047">
        <f t="shared" si="32"/>
        <v>30.25</v>
      </c>
    </row>
    <row r="1048" spans="1:11" x14ac:dyDescent="0.25">
      <c r="A1048">
        <v>13</v>
      </c>
      <c r="B1048" t="s">
        <v>19</v>
      </c>
      <c r="C1048">
        <v>2021</v>
      </c>
      <c r="D1048">
        <v>118.25</v>
      </c>
      <c r="E1048">
        <v>100</v>
      </c>
      <c r="F1048">
        <v>159.5</v>
      </c>
      <c r="G1048" s="1">
        <f>DATE(C1048, CHOOSE(MATCH(UPPER(B1048), {"ENERO","FEBRERO","MARZO","ABRIL","MAYO","JUNIO","JULIO","AGOSTO","SEPTIEMBRE","OCTUBRE","NOVIEMBRE","DICIEMBRE"}, 0), 1,2,3,4,5,6,7,8,9,10,11,12), A1048)</f>
        <v>44513</v>
      </c>
      <c r="H1048">
        <v>58.75</v>
      </c>
      <c r="I1048">
        <v>48000</v>
      </c>
      <c r="J1048" s="1">
        <f t="shared" si="33"/>
        <v>44513</v>
      </c>
      <c r="K1048">
        <f t="shared" si="32"/>
        <v>58.75</v>
      </c>
    </row>
    <row r="1049" spans="1:11" x14ac:dyDescent="0.25">
      <c r="A1049">
        <v>14</v>
      </c>
      <c r="B1049" t="s">
        <v>19</v>
      </c>
      <c r="C1049">
        <v>2021</v>
      </c>
      <c r="D1049">
        <v>159.5</v>
      </c>
      <c r="E1049" t="s">
        <v>9</v>
      </c>
      <c r="F1049">
        <v>99</v>
      </c>
      <c r="G1049" s="1">
        <f>DATE(C1049, CHOOSE(MATCH(UPPER(B1049), {"ENERO","FEBRERO","MARZO","ABRIL","MAYO","JUNIO","JULIO","AGOSTO","SEPTIEMBRE","OCTUBRE","NOVIEMBRE","DICIEMBRE"}, 0), 1,2,3,4,5,6,7,8,9,10,11,12), A1049)</f>
        <v>44514</v>
      </c>
      <c r="H1049">
        <v>60.5</v>
      </c>
      <c r="I1049">
        <v>48000</v>
      </c>
      <c r="J1049" s="1">
        <f t="shared" si="33"/>
        <v>44514</v>
      </c>
      <c r="K1049">
        <f t="shared" si="32"/>
        <v>60.5</v>
      </c>
    </row>
    <row r="1050" spans="1:11" x14ac:dyDescent="0.25">
      <c r="A1050">
        <v>15</v>
      </c>
      <c r="B1050" t="s">
        <v>19</v>
      </c>
      <c r="C1050">
        <v>2021</v>
      </c>
      <c r="D1050">
        <v>99</v>
      </c>
      <c r="E1050">
        <v>70</v>
      </c>
      <c r="F1050">
        <v>111.5</v>
      </c>
      <c r="G1050" s="1">
        <f>DATE(C1050, CHOOSE(MATCH(UPPER(B1050), {"ENERO","FEBRERO","MARZO","ABRIL","MAYO","JUNIO","JULIO","AGOSTO","SEPTIEMBRE","OCTUBRE","NOVIEMBRE","DICIEMBRE"}, 0), 1,2,3,4,5,6,7,8,9,10,11,12), A1050)</f>
        <v>44515</v>
      </c>
      <c r="H1050">
        <v>57.5</v>
      </c>
      <c r="I1050">
        <v>48000</v>
      </c>
      <c r="J1050" s="1">
        <f t="shared" si="33"/>
        <v>44515</v>
      </c>
      <c r="K1050">
        <f t="shared" si="32"/>
        <v>57.5</v>
      </c>
    </row>
    <row r="1051" spans="1:11" x14ac:dyDescent="0.25">
      <c r="A1051">
        <v>16</v>
      </c>
      <c r="B1051" t="s">
        <v>19</v>
      </c>
      <c r="C1051">
        <v>2021</v>
      </c>
      <c r="D1051">
        <v>111.5</v>
      </c>
      <c r="E1051" t="s">
        <v>9</v>
      </c>
      <c r="F1051">
        <v>70.5</v>
      </c>
      <c r="G1051" s="1">
        <f>DATE(C1051, CHOOSE(MATCH(UPPER(B1051), {"ENERO","FEBRERO","MARZO","ABRIL","MAYO","JUNIO","JULIO","AGOSTO","SEPTIEMBRE","OCTUBRE","NOVIEMBRE","DICIEMBRE"}, 0), 1,2,3,4,5,6,7,8,9,10,11,12), A1051)</f>
        <v>44516</v>
      </c>
      <c r="H1051">
        <v>41</v>
      </c>
      <c r="I1051">
        <v>48000</v>
      </c>
      <c r="J1051" s="1">
        <f t="shared" si="33"/>
        <v>44516</v>
      </c>
      <c r="K1051">
        <f t="shared" si="32"/>
        <v>41</v>
      </c>
    </row>
    <row r="1052" spans="1:11" x14ac:dyDescent="0.25">
      <c r="A1052">
        <v>17</v>
      </c>
      <c r="B1052" t="s">
        <v>19</v>
      </c>
      <c r="C1052">
        <v>2021</v>
      </c>
      <c r="D1052">
        <v>70.5</v>
      </c>
      <c r="E1052" t="s">
        <v>9</v>
      </c>
      <c r="F1052">
        <v>39.5</v>
      </c>
      <c r="G1052" s="1">
        <f>DATE(C1052, CHOOSE(MATCH(UPPER(B1052), {"ENERO","FEBRERO","MARZO","ABRIL","MAYO","JUNIO","JULIO","AGOSTO","SEPTIEMBRE","OCTUBRE","NOVIEMBRE","DICIEMBRE"}, 0), 1,2,3,4,5,6,7,8,9,10,11,12), A1052)</f>
        <v>44517</v>
      </c>
      <c r="H1052">
        <v>31</v>
      </c>
      <c r="I1052">
        <v>48000</v>
      </c>
      <c r="J1052" s="1">
        <f t="shared" si="33"/>
        <v>44517</v>
      </c>
      <c r="K1052">
        <f t="shared" si="32"/>
        <v>31</v>
      </c>
    </row>
    <row r="1053" spans="1:11" x14ac:dyDescent="0.25">
      <c r="A1053">
        <v>18</v>
      </c>
      <c r="B1053" t="s">
        <v>19</v>
      </c>
      <c r="C1053">
        <v>2021</v>
      </c>
      <c r="D1053">
        <v>39.5</v>
      </c>
      <c r="E1053" t="s">
        <v>9</v>
      </c>
      <c r="F1053">
        <v>14.625</v>
      </c>
      <c r="G1053" s="1">
        <f>DATE(C1053, CHOOSE(MATCH(UPPER(B1053), {"ENERO","FEBRERO","MARZO","ABRIL","MAYO","JUNIO","JULIO","AGOSTO","SEPTIEMBRE","OCTUBRE","NOVIEMBRE","DICIEMBRE"}, 0), 1,2,3,4,5,6,7,8,9,10,11,12), A1053)</f>
        <v>44518</v>
      </c>
      <c r="H1053">
        <v>24.875</v>
      </c>
      <c r="I1053">
        <v>48000</v>
      </c>
      <c r="J1053" s="1">
        <f t="shared" si="33"/>
        <v>44518</v>
      </c>
      <c r="K1053">
        <f t="shared" si="32"/>
        <v>24.875</v>
      </c>
    </row>
    <row r="1054" spans="1:11" x14ac:dyDescent="0.25">
      <c r="A1054">
        <v>19</v>
      </c>
      <c r="B1054" t="s">
        <v>19</v>
      </c>
      <c r="C1054">
        <v>2021</v>
      </c>
      <c r="D1054">
        <v>14.625</v>
      </c>
      <c r="E1054">
        <v>150</v>
      </c>
      <c r="F1054">
        <v>112</v>
      </c>
      <c r="G1054" s="1">
        <f>DATE(C1054, CHOOSE(MATCH(UPPER(B1054), {"ENERO","FEBRERO","MARZO","ABRIL","MAYO","JUNIO","JULIO","AGOSTO","SEPTIEMBRE","OCTUBRE","NOVIEMBRE","DICIEMBRE"}, 0), 1,2,3,4,5,6,7,8,9,10,11,12), A1054)</f>
        <v>44519</v>
      </c>
      <c r="H1054">
        <v>52.625</v>
      </c>
      <c r="I1054">
        <v>48000</v>
      </c>
      <c r="J1054" s="1">
        <f t="shared" si="33"/>
        <v>44519</v>
      </c>
      <c r="K1054">
        <f t="shared" si="32"/>
        <v>52.625</v>
      </c>
    </row>
    <row r="1055" spans="1:11" x14ac:dyDescent="0.25">
      <c r="A1055">
        <v>20</v>
      </c>
      <c r="B1055" t="s">
        <v>19</v>
      </c>
      <c r="C1055">
        <v>2021</v>
      </c>
      <c r="D1055">
        <v>112</v>
      </c>
      <c r="E1055" t="s">
        <v>9</v>
      </c>
      <c r="F1055">
        <v>54.75</v>
      </c>
      <c r="G1055" s="1">
        <f>DATE(C1055, CHOOSE(MATCH(UPPER(B1055), {"ENERO","FEBRERO","MARZO","ABRIL","MAYO","JUNIO","JULIO","AGOSTO","SEPTIEMBRE","OCTUBRE","NOVIEMBRE","DICIEMBRE"}, 0), 1,2,3,4,5,6,7,8,9,10,11,12), A1055)</f>
        <v>44520</v>
      </c>
      <c r="H1055">
        <v>57.25</v>
      </c>
      <c r="I1055">
        <v>48000</v>
      </c>
      <c r="J1055" s="1">
        <f t="shared" si="33"/>
        <v>44520</v>
      </c>
      <c r="K1055">
        <f t="shared" si="32"/>
        <v>57.25</v>
      </c>
    </row>
    <row r="1056" spans="1:11" x14ac:dyDescent="0.25">
      <c r="A1056">
        <v>21</v>
      </c>
      <c r="B1056" t="s">
        <v>19</v>
      </c>
      <c r="C1056">
        <v>2021</v>
      </c>
      <c r="D1056">
        <v>54.75</v>
      </c>
      <c r="E1056">
        <v>49</v>
      </c>
      <c r="F1056">
        <v>52.25</v>
      </c>
      <c r="G1056" s="1">
        <f>DATE(C1056, CHOOSE(MATCH(UPPER(B1056), {"ENERO","FEBRERO","MARZO","ABRIL","MAYO","JUNIO","JULIO","AGOSTO","SEPTIEMBRE","OCTUBRE","NOVIEMBRE","DICIEMBRE"}, 0), 1,2,3,4,5,6,7,8,9,10,11,12), A1056)</f>
        <v>44521</v>
      </c>
      <c r="H1056">
        <v>51.5</v>
      </c>
      <c r="I1056">
        <v>48000</v>
      </c>
      <c r="J1056" s="1">
        <f t="shared" si="33"/>
        <v>44521</v>
      </c>
      <c r="K1056">
        <f t="shared" si="32"/>
        <v>51.5</v>
      </c>
    </row>
    <row r="1057" spans="1:11" x14ac:dyDescent="0.25">
      <c r="A1057">
        <v>22</v>
      </c>
      <c r="B1057" t="s">
        <v>19</v>
      </c>
      <c r="C1057">
        <v>2021</v>
      </c>
      <c r="D1057">
        <v>52.25</v>
      </c>
      <c r="E1057">
        <v>110</v>
      </c>
      <c r="F1057">
        <v>137</v>
      </c>
      <c r="G1057" s="1">
        <f>DATE(C1057, CHOOSE(MATCH(UPPER(B1057), {"ENERO","FEBRERO","MARZO","ABRIL","MAYO","JUNIO","JULIO","AGOSTO","SEPTIEMBRE","OCTUBRE","NOVIEMBRE","DICIEMBRE"}, 0), 1,2,3,4,5,6,7,8,9,10,11,12), A1057)</f>
        <v>44522</v>
      </c>
      <c r="H1057">
        <v>25.25</v>
      </c>
      <c r="I1057">
        <v>48000</v>
      </c>
      <c r="J1057" s="1">
        <f t="shared" si="33"/>
        <v>44522</v>
      </c>
      <c r="K1057">
        <f t="shared" si="32"/>
        <v>25.25</v>
      </c>
    </row>
    <row r="1058" spans="1:11" x14ac:dyDescent="0.25">
      <c r="A1058">
        <v>23</v>
      </c>
      <c r="B1058" t="s">
        <v>19</v>
      </c>
      <c r="C1058">
        <v>2021</v>
      </c>
      <c r="D1058">
        <v>137</v>
      </c>
      <c r="E1058" t="s">
        <v>9</v>
      </c>
      <c r="F1058">
        <v>106.25</v>
      </c>
      <c r="G1058" s="1">
        <f>DATE(C1058, CHOOSE(MATCH(UPPER(B1058), {"ENERO","FEBRERO","MARZO","ABRIL","MAYO","JUNIO","JULIO","AGOSTO","SEPTIEMBRE","OCTUBRE","NOVIEMBRE","DICIEMBRE"}, 0), 1,2,3,4,5,6,7,8,9,10,11,12), A1058)</f>
        <v>44523</v>
      </c>
      <c r="H1058">
        <v>30.75</v>
      </c>
      <c r="I1058">
        <v>48000</v>
      </c>
      <c r="J1058" s="1">
        <f t="shared" si="33"/>
        <v>44523</v>
      </c>
      <c r="K1058">
        <f t="shared" si="32"/>
        <v>30.75</v>
      </c>
    </row>
    <row r="1059" spans="1:11" x14ac:dyDescent="0.25">
      <c r="A1059">
        <v>24</v>
      </c>
      <c r="B1059" t="s">
        <v>19</v>
      </c>
      <c r="C1059">
        <v>2021</v>
      </c>
      <c r="D1059">
        <v>106.25</v>
      </c>
      <c r="E1059" t="s">
        <v>9</v>
      </c>
      <c r="F1059">
        <v>62.75</v>
      </c>
      <c r="G1059" s="1">
        <f>DATE(C1059, CHOOSE(MATCH(UPPER(B1059), {"ENERO","FEBRERO","MARZO","ABRIL","MAYO","JUNIO","JULIO","AGOSTO","SEPTIEMBRE","OCTUBRE","NOVIEMBRE","DICIEMBRE"}, 0), 1,2,3,4,5,6,7,8,9,10,11,12), A1059)</f>
        <v>44524</v>
      </c>
      <c r="H1059">
        <v>43.5</v>
      </c>
      <c r="I1059">
        <v>48000</v>
      </c>
      <c r="J1059" s="1">
        <f t="shared" si="33"/>
        <v>44524</v>
      </c>
      <c r="K1059">
        <f t="shared" si="32"/>
        <v>43.5</v>
      </c>
    </row>
    <row r="1060" spans="1:11" x14ac:dyDescent="0.25">
      <c r="A1060">
        <v>25</v>
      </c>
      <c r="B1060" t="s">
        <v>19</v>
      </c>
      <c r="C1060">
        <v>2021</v>
      </c>
      <c r="D1060">
        <v>62.75</v>
      </c>
      <c r="E1060">
        <v>100</v>
      </c>
      <c r="F1060">
        <v>125.75</v>
      </c>
      <c r="G1060" s="1">
        <f>DATE(C1060, CHOOSE(MATCH(UPPER(B1060), {"ENERO","FEBRERO","MARZO","ABRIL","MAYO","JUNIO","JULIO","AGOSTO","SEPTIEMBRE","OCTUBRE","NOVIEMBRE","DICIEMBRE"}, 0), 1,2,3,4,5,6,7,8,9,10,11,12), A1060)</f>
        <v>44525</v>
      </c>
      <c r="H1060">
        <v>37</v>
      </c>
      <c r="I1060">
        <v>48000</v>
      </c>
      <c r="J1060" s="1">
        <f t="shared" si="33"/>
        <v>44525</v>
      </c>
      <c r="K1060">
        <f t="shared" si="32"/>
        <v>37</v>
      </c>
    </row>
    <row r="1061" spans="1:11" x14ac:dyDescent="0.25">
      <c r="A1061">
        <v>26</v>
      </c>
      <c r="B1061" t="s">
        <v>19</v>
      </c>
      <c r="C1061">
        <v>2021</v>
      </c>
      <c r="D1061">
        <v>125.75</v>
      </c>
      <c r="E1061" t="s">
        <v>9</v>
      </c>
      <c r="F1061">
        <v>74</v>
      </c>
      <c r="G1061" s="1">
        <f>DATE(C1061, CHOOSE(MATCH(UPPER(B1061), {"ENERO","FEBRERO","MARZO","ABRIL","MAYO","JUNIO","JULIO","AGOSTO","SEPTIEMBRE","OCTUBRE","NOVIEMBRE","DICIEMBRE"}, 0), 1,2,3,4,5,6,7,8,9,10,11,12), A1061)</f>
        <v>44526</v>
      </c>
      <c r="H1061">
        <v>51.75</v>
      </c>
      <c r="I1061">
        <v>48000</v>
      </c>
      <c r="J1061" s="1">
        <f t="shared" si="33"/>
        <v>44526</v>
      </c>
      <c r="K1061">
        <f t="shared" si="32"/>
        <v>51.75</v>
      </c>
    </row>
    <row r="1062" spans="1:11" x14ac:dyDescent="0.25">
      <c r="A1062">
        <v>27</v>
      </c>
      <c r="B1062" t="s">
        <v>19</v>
      </c>
      <c r="C1062">
        <v>2021</v>
      </c>
      <c r="D1062">
        <v>74</v>
      </c>
      <c r="E1062">
        <v>101</v>
      </c>
      <c r="F1062">
        <v>115</v>
      </c>
      <c r="G1062" s="1">
        <f>DATE(C1062, CHOOSE(MATCH(UPPER(B1062), {"ENERO","FEBRERO","MARZO","ABRIL","MAYO","JUNIO","JULIO","AGOSTO","SEPTIEMBRE","OCTUBRE","NOVIEMBRE","DICIEMBRE"}, 0), 1,2,3,4,5,6,7,8,9,10,11,12), A1062)</f>
        <v>44527</v>
      </c>
      <c r="H1062">
        <v>60</v>
      </c>
      <c r="I1062">
        <v>48000</v>
      </c>
      <c r="J1062" s="1">
        <f t="shared" si="33"/>
        <v>44527</v>
      </c>
      <c r="K1062">
        <f t="shared" si="32"/>
        <v>60</v>
      </c>
    </row>
    <row r="1063" spans="1:11" x14ac:dyDescent="0.25">
      <c r="A1063">
        <v>28</v>
      </c>
      <c r="B1063" t="s">
        <v>19</v>
      </c>
      <c r="C1063">
        <v>2021</v>
      </c>
      <c r="D1063">
        <v>115</v>
      </c>
      <c r="E1063" t="s">
        <v>9</v>
      </c>
      <c r="F1063">
        <v>49</v>
      </c>
      <c r="G1063" s="1">
        <f>DATE(C1063, CHOOSE(MATCH(UPPER(B1063), {"ENERO","FEBRERO","MARZO","ABRIL","MAYO","JUNIO","JULIO","AGOSTO","SEPTIEMBRE","OCTUBRE","NOVIEMBRE","DICIEMBRE"}, 0), 1,2,3,4,5,6,7,8,9,10,11,12), A1063)</f>
        <v>44528</v>
      </c>
      <c r="H1063">
        <v>66</v>
      </c>
      <c r="I1063">
        <v>48000</v>
      </c>
      <c r="J1063" s="1">
        <f t="shared" si="33"/>
        <v>44528</v>
      </c>
      <c r="K1063">
        <f t="shared" si="32"/>
        <v>66</v>
      </c>
    </row>
    <row r="1064" spans="1:11" x14ac:dyDescent="0.25">
      <c r="A1064">
        <v>29</v>
      </c>
      <c r="B1064" t="s">
        <v>19</v>
      </c>
      <c r="C1064">
        <v>2021</v>
      </c>
      <c r="D1064">
        <v>49</v>
      </c>
      <c r="E1064" t="s">
        <v>9</v>
      </c>
      <c r="F1064">
        <v>14.5</v>
      </c>
      <c r="G1064" s="1">
        <f>DATE(C1064, CHOOSE(MATCH(UPPER(B1064), {"ENERO","FEBRERO","MARZO","ABRIL","MAYO","JUNIO","JULIO","AGOSTO","SEPTIEMBRE","OCTUBRE","NOVIEMBRE","DICIEMBRE"}, 0), 1,2,3,4,5,6,7,8,9,10,11,12), A1064)</f>
        <v>44529</v>
      </c>
      <c r="H1064">
        <v>34.5</v>
      </c>
      <c r="I1064">
        <v>48000</v>
      </c>
      <c r="J1064" s="1">
        <f t="shared" si="33"/>
        <v>44529</v>
      </c>
      <c r="K1064">
        <f t="shared" si="32"/>
        <v>34.5</v>
      </c>
    </row>
    <row r="1065" spans="1:11" x14ac:dyDescent="0.25">
      <c r="A1065">
        <v>30</v>
      </c>
      <c r="B1065" t="s">
        <v>19</v>
      </c>
      <c r="C1065">
        <v>2021</v>
      </c>
      <c r="D1065">
        <v>14.5</v>
      </c>
      <c r="E1065">
        <v>100</v>
      </c>
      <c r="F1065">
        <v>74.5</v>
      </c>
      <c r="G1065" s="1">
        <f>DATE(C1065, CHOOSE(MATCH(UPPER(B1065), {"ENERO","FEBRERO","MARZO","ABRIL","MAYO","JUNIO","JULIO","AGOSTO","SEPTIEMBRE","OCTUBRE","NOVIEMBRE","DICIEMBRE"}, 0), 1,2,3,4,5,6,7,8,9,10,11,12), A1065)</f>
        <v>44530</v>
      </c>
      <c r="H1065">
        <v>40</v>
      </c>
      <c r="I1065">
        <v>48000</v>
      </c>
      <c r="J1065" s="1">
        <f t="shared" si="33"/>
        <v>44530</v>
      </c>
      <c r="K1065">
        <f t="shared" si="32"/>
        <v>40</v>
      </c>
    </row>
    <row r="1066" spans="1:11" x14ac:dyDescent="0.25">
      <c r="A1066">
        <v>1</v>
      </c>
      <c r="B1066" t="s">
        <v>20</v>
      </c>
      <c r="C1066">
        <v>2021</v>
      </c>
      <c r="D1066">
        <v>74.5</v>
      </c>
      <c r="E1066" t="s">
        <v>9</v>
      </c>
      <c r="F1066">
        <v>24</v>
      </c>
      <c r="G1066" s="1">
        <f>DATE(C1066, CHOOSE(MATCH(UPPER(B1066), {"ENERO","FEBRERO","MARZO","ABRIL","MAYO","JUNIO","JULIO","AGOSTO","SEPTIEMBRE","OCTUBRE","NOVIEMBRE","DICIEMBRE"}, 0), 1,2,3,4,5,6,7,8,9,10,11,12), A1066)</f>
        <v>44531</v>
      </c>
      <c r="H1066">
        <v>50.5</v>
      </c>
      <c r="I1066">
        <v>48000</v>
      </c>
      <c r="J1066" s="1">
        <f t="shared" si="33"/>
        <v>44531</v>
      </c>
      <c r="K1066">
        <f t="shared" si="32"/>
        <v>50.5</v>
      </c>
    </row>
    <row r="1067" spans="1:11" x14ac:dyDescent="0.25">
      <c r="A1067">
        <v>2</v>
      </c>
      <c r="B1067" t="s">
        <v>20</v>
      </c>
      <c r="C1067">
        <v>2021</v>
      </c>
      <c r="D1067">
        <v>24</v>
      </c>
      <c r="E1067">
        <v>40</v>
      </c>
      <c r="F1067">
        <v>18</v>
      </c>
      <c r="G1067" s="1">
        <f>DATE(C1067, CHOOSE(MATCH(UPPER(B1067), {"ENERO","FEBRERO","MARZO","ABRIL","MAYO","JUNIO","JULIO","AGOSTO","SEPTIEMBRE","OCTUBRE","NOVIEMBRE","DICIEMBRE"}, 0), 1,2,3,4,5,6,7,8,9,10,11,12), A1067)</f>
        <v>44532</v>
      </c>
      <c r="H1067">
        <v>46</v>
      </c>
      <c r="I1067">
        <v>48000</v>
      </c>
      <c r="J1067" s="1">
        <f t="shared" si="33"/>
        <v>44532</v>
      </c>
      <c r="K1067">
        <f t="shared" si="32"/>
        <v>46</v>
      </c>
    </row>
    <row r="1068" spans="1:11" x14ac:dyDescent="0.25">
      <c r="A1068">
        <v>3</v>
      </c>
      <c r="B1068" t="s">
        <v>20</v>
      </c>
      <c r="C1068">
        <v>2021</v>
      </c>
      <c r="D1068">
        <v>18</v>
      </c>
      <c r="E1068">
        <v>150</v>
      </c>
      <c r="F1068">
        <v>97.5</v>
      </c>
      <c r="G1068" s="1">
        <f>DATE(C1068, CHOOSE(MATCH(UPPER(B1068), {"ENERO","FEBRERO","MARZO","ABRIL","MAYO","JUNIO","JULIO","AGOSTO","SEPTIEMBRE","OCTUBRE","NOVIEMBRE","DICIEMBRE"}, 0), 1,2,3,4,5,6,7,8,9,10,11,12), A1068)</f>
        <v>44533</v>
      </c>
      <c r="H1068">
        <v>70.5</v>
      </c>
      <c r="I1068">
        <v>48000</v>
      </c>
      <c r="J1068" s="1">
        <f t="shared" si="33"/>
        <v>44533</v>
      </c>
      <c r="K1068">
        <f t="shared" si="32"/>
        <v>70.5</v>
      </c>
    </row>
    <row r="1069" spans="1:11" x14ac:dyDescent="0.25">
      <c r="A1069">
        <v>4</v>
      </c>
      <c r="B1069" t="s">
        <v>20</v>
      </c>
      <c r="C1069">
        <v>2021</v>
      </c>
      <c r="D1069">
        <v>97.5</v>
      </c>
      <c r="E1069" t="s">
        <v>9</v>
      </c>
      <c r="F1069">
        <v>41</v>
      </c>
      <c r="G1069" s="1">
        <f>DATE(C1069, CHOOSE(MATCH(UPPER(B1069), {"ENERO","FEBRERO","MARZO","ABRIL","MAYO","JUNIO","JULIO","AGOSTO","SEPTIEMBRE","OCTUBRE","NOVIEMBRE","DICIEMBRE"}, 0), 1,2,3,4,5,6,7,8,9,10,11,12), A1069)</f>
        <v>44534</v>
      </c>
      <c r="H1069">
        <v>56.5</v>
      </c>
      <c r="I1069">
        <v>48000</v>
      </c>
      <c r="J1069" s="1">
        <f t="shared" si="33"/>
        <v>44534</v>
      </c>
      <c r="K1069">
        <f t="shared" si="32"/>
        <v>56.5</v>
      </c>
    </row>
    <row r="1070" spans="1:11" x14ac:dyDescent="0.25">
      <c r="A1070">
        <v>5</v>
      </c>
      <c r="B1070" t="s">
        <v>20</v>
      </c>
      <c r="C1070">
        <v>2021</v>
      </c>
      <c r="D1070">
        <v>41</v>
      </c>
      <c r="E1070">
        <v>100</v>
      </c>
      <c r="F1070">
        <v>82.125</v>
      </c>
      <c r="G1070" s="1">
        <f>DATE(C1070, CHOOSE(MATCH(UPPER(B1070), {"ENERO","FEBRERO","MARZO","ABRIL","MAYO","JUNIO","JULIO","AGOSTO","SEPTIEMBRE","OCTUBRE","NOVIEMBRE","DICIEMBRE"}, 0), 1,2,3,4,5,6,7,8,9,10,11,12), A1070)</f>
        <v>44535</v>
      </c>
      <c r="H1070">
        <v>58.875</v>
      </c>
      <c r="I1070">
        <v>48000</v>
      </c>
      <c r="J1070" s="1">
        <f t="shared" si="33"/>
        <v>44535</v>
      </c>
      <c r="K1070">
        <f t="shared" si="32"/>
        <v>58.875</v>
      </c>
    </row>
    <row r="1071" spans="1:11" x14ac:dyDescent="0.25">
      <c r="A1071">
        <v>6</v>
      </c>
      <c r="B1071" t="s">
        <v>20</v>
      </c>
      <c r="C1071">
        <v>2021</v>
      </c>
      <c r="D1071">
        <v>82.125</v>
      </c>
      <c r="E1071" t="s">
        <v>9</v>
      </c>
      <c r="F1071">
        <v>46.5</v>
      </c>
      <c r="G1071" s="1">
        <f>DATE(C1071, CHOOSE(MATCH(UPPER(B1071), {"ENERO","FEBRERO","MARZO","ABRIL","MAYO","JUNIO","JULIO","AGOSTO","SEPTIEMBRE","OCTUBRE","NOVIEMBRE","DICIEMBRE"}, 0), 1,2,3,4,5,6,7,8,9,10,11,12), A1071)</f>
        <v>44536</v>
      </c>
      <c r="H1071">
        <v>35.625</v>
      </c>
      <c r="I1071">
        <v>48000</v>
      </c>
      <c r="J1071" s="1">
        <f t="shared" si="33"/>
        <v>44536</v>
      </c>
      <c r="K1071">
        <f t="shared" si="32"/>
        <v>35.625</v>
      </c>
    </row>
    <row r="1072" spans="1:11" x14ac:dyDescent="0.25">
      <c r="A1072">
        <v>7</v>
      </c>
      <c r="B1072" t="s">
        <v>20</v>
      </c>
      <c r="C1072">
        <v>2021</v>
      </c>
      <c r="D1072">
        <v>46.5</v>
      </c>
      <c r="E1072">
        <v>200</v>
      </c>
      <c r="F1072">
        <v>182</v>
      </c>
      <c r="G1072" s="1">
        <f>DATE(C1072, CHOOSE(MATCH(UPPER(B1072), {"ENERO","FEBRERO","MARZO","ABRIL","MAYO","JUNIO","JULIO","AGOSTO","SEPTIEMBRE","OCTUBRE","NOVIEMBRE","DICIEMBRE"}, 0), 1,2,3,4,5,6,7,8,9,10,11,12), A1072)</f>
        <v>44537</v>
      </c>
      <c r="H1072">
        <v>64.5</v>
      </c>
      <c r="I1072">
        <v>48000</v>
      </c>
      <c r="J1072" s="1">
        <f t="shared" si="33"/>
        <v>44537</v>
      </c>
      <c r="K1072">
        <f t="shared" si="32"/>
        <v>64.5</v>
      </c>
    </row>
    <row r="1073" spans="1:11" x14ac:dyDescent="0.25">
      <c r="A1073">
        <v>8</v>
      </c>
      <c r="B1073" t="s">
        <v>20</v>
      </c>
      <c r="C1073">
        <v>2021</v>
      </c>
      <c r="D1073">
        <v>182</v>
      </c>
      <c r="E1073" t="s">
        <v>9</v>
      </c>
      <c r="F1073">
        <v>118</v>
      </c>
      <c r="G1073" s="1">
        <f>DATE(C1073, CHOOSE(MATCH(UPPER(B1073), {"ENERO","FEBRERO","MARZO","ABRIL","MAYO","JUNIO","JULIO","AGOSTO","SEPTIEMBRE","OCTUBRE","NOVIEMBRE","DICIEMBRE"}, 0), 1,2,3,4,5,6,7,8,9,10,11,12), A1073)</f>
        <v>44538</v>
      </c>
      <c r="H1073">
        <v>64</v>
      </c>
      <c r="I1073">
        <v>48000</v>
      </c>
      <c r="J1073" s="1">
        <f t="shared" si="33"/>
        <v>44538</v>
      </c>
      <c r="K1073">
        <f t="shared" si="32"/>
        <v>64</v>
      </c>
    </row>
    <row r="1074" spans="1:11" x14ac:dyDescent="0.25">
      <c r="A1074">
        <v>9</v>
      </c>
      <c r="B1074" t="s">
        <v>20</v>
      </c>
      <c r="C1074">
        <v>2021</v>
      </c>
      <c r="D1074">
        <v>118</v>
      </c>
      <c r="E1074" t="s">
        <v>9</v>
      </c>
      <c r="F1074">
        <v>75.25</v>
      </c>
      <c r="G1074" s="1">
        <f>DATE(C1074, CHOOSE(MATCH(UPPER(B1074), {"ENERO","FEBRERO","MARZO","ABRIL","MAYO","JUNIO","JULIO","AGOSTO","SEPTIEMBRE","OCTUBRE","NOVIEMBRE","DICIEMBRE"}, 0), 1,2,3,4,5,6,7,8,9,10,11,12), A1074)</f>
        <v>44539</v>
      </c>
      <c r="H1074">
        <v>42.75</v>
      </c>
      <c r="I1074">
        <v>48000</v>
      </c>
      <c r="J1074" s="1">
        <f t="shared" si="33"/>
        <v>44539</v>
      </c>
      <c r="K1074">
        <f t="shared" si="32"/>
        <v>42.75</v>
      </c>
    </row>
    <row r="1075" spans="1:11" x14ac:dyDescent="0.25">
      <c r="A1075">
        <v>10</v>
      </c>
      <c r="B1075" t="s">
        <v>20</v>
      </c>
      <c r="C1075">
        <v>2021</v>
      </c>
      <c r="D1075">
        <v>75.25</v>
      </c>
      <c r="E1075">
        <v>150</v>
      </c>
      <c r="F1075">
        <v>174.25</v>
      </c>
      <c r="G1075" s="1">
        <f>DATE(C1075, CHOOSE(MATCH(UPPER(B1075), {"ENERO","FEBRERO","MARZO","ABRIL","MAYO","JUNIO","JULIO","AGOSTO","SEPTIEMBRE","OCTUBRE","NOVIEMBRE","DICIEMBRE"}, 0), 1,2,3,4,5,6,7,8,9,10,11,12), A1075)</f>
        <v>44540</v>
      </c>
      <c r="H1075">
        <v>51</v>
      </c>
      <c r="I1075">
        <v>48000</v>
      </c>
      <c r="J1075" s="1">
        <f t="shared" si="33"/>
        <v>44540</v>
      </c>
      <c r="K1075">
        <f t="shared" si="32"/>
        <v>51</v>
      </c>
    </row>
    <row r="1076" spans="1:11" x14ac:dyDescent="0.25">
      <c r="A1076">
        <v>11</v>
      </c>
      <c r="B1076" t="s">
        <v>20</v>
      </c>
      <c r="C1076">
        <v>2021</v>
      </c>
      <c r="D1076">
        <v>174.25</v>
      </c>
      <c r="E1076" t="s">
        <v>9</v>
      </c>
      <c r="F1076">
        <v>112</v>
      </c>
      <c r="G1076" s="1">
        <f>DATE(C1076, CHOOSE(MATCH(UPPER(B1076), {"ENERO","FEBRERO","MARZO","ABRIL","MAYO","JUNIO","JULIO","AGOSTO","SEPTIEMBRE","OCTUBRE","NOVIEMBRE","DICIEMBRE"}, 0), 1,2,3,4,5,6,7,8,9,10,11,12), A1076)</f>
        <v>44541</v>
      </c>
      <c r="H1076">
        <v>62.25</v>
      </c>
      <c r="I1076">
        <v>48000</v>
      </c>
      <c r="J1076" s="1">
        <f t="shared" si="33"/>
        <v>44541</v>
      </c>
      <c r="K1076">
        <f t="shared" si="32"/>
        <v>62.25</v>
      </c>
    </row>
    <row r="1077" spans="1:11" x14ac:dyDescent="0.25">
      <c r="A1077">
        <v>12</v>
      </c>
      <c r="B1077" t="s">
        <v>20</v>
      </c>
      <c r="C1077">
        <v>2021</v>
      </c>
      <c r="D1077">
        <v>112</v>
      </c>
      <c r="E1077" t="s">
        <v>9</v>
      </c>
      <c r="F1077">
        <v>67.5</v>
      </c>
      <c r="G1077" s="1">
        <f>DATE(C1077, CHOOSE(MATCH(UPPER(B1077), {"ENERO","FEBRERO","MARZO","ABRIL","MAYO","JUNIO","JULIO","AGOSTO","SEPTIEMBRE","OCTUBRE","NOVIEMBRE","DICIEMBRE"}, 0), 1,2,3,4,5,6,7,8,9,10,11,12), A1077)</f>
        <v>44542</v>
      </c>
      <c r="H1077">
        <v>44.5</v>
      </c>
      <c r="I1077">
        <v>48000</v>
      </c>
      <c r="J1077" s="1">
        <f t="shared" si="33"/>
        <v>44542</v>
      </c>
      <c r="K1077">
        <f t="shared" si="32"/>
        <v>44.5</v>
      </c>
    </row>
    <row r="1078" spans="1:11" x14ac:dyDescent="0.25">
      <c r="A1078">
        <v>13</v>
      </c>
      <c r="B1078" t="s">
        <v>20</v>
      </c>
      <c r="C1078">
        <v>2021</v>
      </c>
      <c r="D1078">
        <v>67.5</v>
      </c>
      <c r="E1078" t="s">
        <v>9</v>
      </c>
      <c r="F1078">
        <v>30.5</v>
      </c>
      <c r="G1078" s="1">
        <f>DATE(C1078, CHOOSE(MATCH(UPPER(B1078), {"ENERO","FEBRERO","MARZO","ABRIL","MAYO","JUNIO","JULIO","AGOSTO","SEPTIEMBRE","OCTUBRE","NOVIEMBRE","DICIEMBRE"}, 0), 1,2,3,4,5,6,7,8,9,10,11,12), A1078)</f>
        <v>44543</v>
      </c>
      <c r="H1078">
        <v>37</v>
      </c>
      <c r="I1078">
        <v>48000</v>
      </c>
      <c r="J1078" s="1">
        <f t="shared" si="33"/>
        <v>44543</v>
      </c>
      <c r="K1078">
        <f t="shared" si="32"/>
        <v>37</v>
      </c>
    </row>
    <row r="1079" spans="1:11" x14ac:dyDescent="0.25">
      <c r="A1079">
        <v>14</v>
      </c>
      <c r="B1079" t="s">
        <v>20</v>
      </c>
      <c r="C1079">
        <v>2021</v>
      </c>
      <c r="D1079">
        <v>30.5</v>
      </c>
      <c r="E1079">
        <v>200</v>
      </c>
      <c r="F1079">
        <v>189.5</v>
      </c>
      <c r="G1079" s="1">
        <f>DATE(C1079, CHOOSE(MATCH(UPPER(B1079), {"ENERO","FEBRERO","MARZO","ABRIL","MAYO","JUNIO","JULIO","AGOSTO","SEPTIEMBRE","OCTUBRE","NOVIEMBRE","DICIEMBRE"}, 0), 1,2,3,4,5,6,7,8,9,10,11,12), A1079)</f>
        <v>44544</v>
      </c>
      <c r="H1079">
        <v>41</v>
      </c>
      <c r="I1079">
        <v>48000</v>
      </c>
      <c r="J1079" s="1">
        <f t="shared" si="33"/>
        <v>44544</v>
      </c>
      <c r="K1079">
        <f t="shared" si="32"/>
        <v>41</v>
      </c>
    </row>
    <row r="1080" spans="1:11" x14ac:dyDescent="0.25">
      <c r="A1080">
        <v>15</v>
      </c>
      <c r="B1080" t="s">
        <v>20</v>
      </c>
      <c r="C1080">
        <v>2021</v>
      </c>
      <c r="D1080">
        <v>189.5</v>
      </c>
      <c r="E1080" t="s">
        <v>9</v>
      </c>
      <c r="F1080">
        <v>137</v>
      </c>
      <c r="G1080" s="1">
        <f>DATE(C1080, CHOOSE(MATCH(UPPER(B1080), {"ENERO","FEBRERO","MARZO","ABRIL","MAYO","JUNIO","JULIO","AGOSTO","SEPTIEMBRE","OCTUBRE","NOVIEMBRE","DICIEMBRE"}, 0), 1,2,3,4,5,6,7,8,9,10,11,12), A1080)</f>
        <v>44545</v>
      </c>
      <c r="H1080">
        <v>52.5</v>
      </c>
      <c r="I1080">
        <v>48000</v>
      </c>
      <c r="J1080" s="1">
        <f t="shared" si="33"/>
        <v>44545</v>
      </c>
      <c r="K1080">
        <f t="shared" si="32"/>
        <v>52.5</v>
      </c>
    </row>
    <row r="1081" spans="1:11" x14ac:dyDescent="0.25">
      <c r="A1081">
        <v>16</v>
      </c>
      <c r="B1081" t="s">
        <v>20</v>
      </c>
      <c r="C1081">
        <v>2021</v>
      </c>
      <c r="D1081">
        <v>137</v>
      </c>
      <c r="E1081">
        <v>100</v>
      </c>
      <c r="F1081">
        <v>189</v>
      </c>
      <c r="G1081" s="1">
        <f>DATE(C1081, CHOOSE(MATCH(UPPER(B1081), {"ENERO","FEBRERO","MARZO","ABRIL","MAYO","JUNIO","JULIO","AGOSTO","SEPTIEMBRE","OCTUBRE","NOVIEMBRE","DICIEMBRE"}, 0), 1,2,3,4,5,6,7,8,9,10,11,12), A1081)</f>
        <v>44546</v>
      </c>
      <c r="H1081">
        <v>48</v>
      </c>
      <c r="I1081">
        <v>48000</v>
      </c>
      <c r="J1081" s="1">
        <f t="shared" si="33"/>
        <v>44546</v>
      </c>
      <c r="K1081">
        <f t="shared" si="32"/>
        <v>48</v>
      </c>
    </row>
    <row r="1082" spans="1:11" x14ac:dyDescent="0.25">
      <c r="A1082">
        <v>17</v>
      </c>
      <c r="B1082" t="s">
        <v>20</v>
      </c>
      <c r="C1082">
        <v>2021</v>
      </c>
      <c r="D1082">
        <v>189</v>
      </c>
      <c r="E1082" t="s">
        <v>9</v>
      </c>
      <c r="F1082">
        <v>138.375</v>
      </c>
      <c r="G1082" s="1">
        <f>DATE(C1082, CHOOSE(MATCH(UPPER(B1082), {"ENERO","FEBRERO","MARZO","ABRIL","MAYO","JUNIO","JULIO","AGOSTO","SEPTIEMBRE","OCTUBRE","NOVIEMBRE","DICIEMBRE"}, 0), 1,2,3,4,5,6,7,8,9,10,11,12), A1082)</f>
        <v>44547</v>
      </c>
      <c r="H1082">
        <v>50.625</v>
      </c>
      <c r="I1082">
        <v>48000</v>
      </c>
      <c r="J1082" s="1">
        <f t="shared" si="33"/>
        <v>44547</v>
      </c>
      <c r="K1082">
        <f t="shared" si="32"/>
        <v>50.625</v>
      </c>
    </row>
    <row r="1083" spans="1:11" x14ac:dyDescent="0.25">
      <c r="A1083">
        <v>18</v>
      </c>
      <c r="B1083" t="s">
        <v>20</v>
      </c>
      <c r="C1083">
        <v>2021</v>
      </c>
      <c r="D1083">
        <v>138.375</v>
      </c>
      <c r="E1083">
        <v>50</v>
      </c>
      <c r="F1083">
        <v>132.5</v>
      </c>
      <c r="G1083" s="1">
        <f>DATE(C1083, CHOOSE(MATCH(UPPER(B1083), {"ENERO","FEBRERO","MARZO","ABRIL","MAYO","JUNIO","JULIO","AGOSTO","SEPTIEMBRE","OCTUBRE","NOVIEMBRE","DICIEMBRE"}, 0), 1,2,3,4,5,6,7,8,9,10,11,12), A1083)</f>
        <v>44548</v>
      </c>
      <c r="H1083">
        <v>55.875</v>
      </c>
      <c r="I1083">
        <v>48000</v>
      </c>
      <c r="J1083" s="1">
        <f t="shared" si="33"/>
        <v>44548</v>
      </c>
      <c r="K1083">
        <f t="shared" si="32"/>
        <v>55.875</v>
      </c>
    </row>
    <row r="1084" spans="1:11" x14ac:dyDescent="0.25">
      <c r="A1084">
        <v>19</v>
      </c>
      <c r="B1084" t="s">
        <v>20</v>
      </c>
      <c r="C1084">
        <v>2021</v>
      </c>
      <c r="D1084">
        <v>132.5</v>
      </c>
      <c r="E1084" t="s">
        <v>9</v>
      </c>
      <c r="F1084">
        <v>54.5</v>
      </c>
      <c r="G1084" s="1">
        <f>DATE(C1084, CHOOSE(MATCH(UPPER(B1084), {"ENERO","FEBRERO","MARZO","ABRIL","MAYO","JUNIO","JULIO","AGOSTO","SEPTIEMBRE","OCTUBRE","NOVIEMBRE","DICIEMBRE"}, 0), 1,2,3,4,5,6,7,8,9,10,11,12), A1084)</f>
        <v>44549</v>
      </c>
      <c r="H1084">
        <v>78</v>
      </c>
      <c r="I1084">
        <v>48000</v>
      </c>
      <c r="J1084" s="1">
        <f t="shared" si="33"/>
        <v>44549</v>
      </c>
      <c r="K1084">
        <f t="shared" si="32"/>
        <v>78</v>
      </c>
    </row>
    <row r="1085" spans="1:11" x14ac:dyDescent="0.25">
      <c r="A1085">
        <v>20</v>
      </c>
      <c r="B1085" t="s">
        <v>20</v>
      </c>
      <c r="C1085">
        <v>2021</v>
      </c>
      <c r="D1085">
        <v>54.5</v>
      </c>
      <c r="E1085">
        <v>100</v>
      </c>
      <c r="F1085">
        <v>105.5</v>
      </c>
      <c r="G1085" s="1">
        <f>DATE(C1085, CHOOSE(MATCH(UPPER(B1085), {"ENERO","FEBRERO","MARZO","ABRIL","MAYO","JUNIO","JULIO","AGOSTO","SEPTIEMBRE","OCTUBRE","NOVIEMBRE","DICIEMBRE"}, 0), 1,2,3,4,5,6,7,8,9,10,11,12), A1085)</f>
        <v>44550</v>
      </c>
      <c r="H1085">
        <v>49</v>
      </c>
      <c r="I1085">
        <v>48000</v>
      </c>
      <c r="J1085" s="1">
        <f t="shared" si="33"/>
        <v>44550</v>
      </c>
      <c r="K1085">
        <f t="shared" si="32"/>
        <v>49</v>
      </c>
    </row>
    <row r="1086" spans="1:11" x14ac:dyDescent="0.25">
      <c r="A1086">
        <v>21</v>
      </c>
      <c r="B1086" t="s">
        <v>20</v>
      </c>
      <c r="C1086">
        <v>2021</v>
      </c>
      <c r="D1086">
        <v>105.5</v>
      </c>
      <c r="E1086" t="s">
        <v>9</v>
      </c>
      <c r="F1086">
        <v>47.375</v>
      </c>
      <c r="G1086" s="1">
        <f>DATE(C1086, CHOOSE(MATCH(UPPER(B1086), {"ENERO","FEBRERO","MARZO","ABRIL","MAYO","JUNIO","JULIO","AGOSTO","SEPTIEMBRE","OCTUBRE","NOVIEMBRE","DICIEMBRE"}, 0), 1,2,3,4,5,6,7,8,9,10,11,12), A1086)</f>
        <v>44551</v>
      </c>
      <c r="H1086">
        <v>58.125</v>
      </c>
      <c r="I1086">
        <v>48000</v>
      </c>
      <c r="J1086" s="1">
        <f t="shared" si="33"/>
        <v>44551</v>
      </c>
      <c r="K1086">
        <f t="shared" si="32"/>
        <v>58.125</v>
      </c>
    </row>
    <row r="1087" spans="1:11" x14ac:dyDescent="0.25">
      <c r="A1087">
        <v>22</v>
      </c>
      <c r="B1087" t="s">
        <v>20</v>
      </c>
      <c r="C1087">
        <v>2021</v>
      </c>
      <c r="D1087">
        <v>47.375</v>
      </c>
      <c r="E1087">
        <v>200</v>
      </c>
      <c r="F1087">
        <v>189.25</v>
      </c>
      <c r="G1087" s="1">
        <f>DATE(C1087, CHOOSE(MATCH(UPPER(B1087), {"ENERO","FEBRERO","MARZO","ABRIL","MAYO","JUNIO","JULIO","AGOSTO","SEPTIEMBRE","OCTUBRE","NOVIEMBRE","DICIEMBRE"}, 0), 1,2,3,4,5,6,7,8,9,10,11,12), A1087)</f>
        <v>44552</v>
      </c>
      <c r="H1087">
        <v>58.125</v>
      </c>
      <c r="I1087">
        <v>48000</v>
      </c>
      <c r="J1087" s="1">
        <f t="shared" si="33"/>
        <v>44552</v>
      </c>
      <c r="K1087">
        <f t="shared" si="32"/>
        <v>58.125</v>
      </c>
    </row>
    <row r="1088" spans="1:11" x14ac:dyDescent="0.25">
      <c r="A1088">
        <v>23</v>
      </c>
      <c r="B1088" t="s">
        <v>20</v>
      </c>
      <c r="C1088">
        <v>2021</v>
      </c>
      <c r="D1088">
        <v>189.25</v>
      </c>
      <c r="E1088" t="s">
        <v>9</v>
      </c>
      <c r="F1088">
        <v>135.25</v>
      </c>
      <c r="G1088" s="1">
        <f>DATE(C1088, CHOOSE(MATCH(UPPER(B1088), {"ENERO","FEBRERO","MARZO","ABRIL","MAYO","JUNIO","JULIO","AGOSTO","SEPTIEMBRE","OCTUBRE","NOVIEMBRE","DICIEMBRE"}, 0), 1,2,3,4,5,6,7,8,9,10,11,12), A1088)</f>
        <v>44553</v>
      </c>
      <c r="H1088">
        <v>54</v>
      </c>
      <c r="I1088">
        <v>48000</v>
      </c>
      <c r="J1088" s="1">
        <f t="shared" si="33"/>
        <v>44553</v>
      </c>
      <c r="K1088">
        <f t="shared" si="32"/>
        <v>54</v>
      </c>
    </row>
    <row r="1089" spans="1:11" x14ac:dyDescent="0.25">
      <c r="A1089">
        <v>24</v>
      </c>
      <c r="B1089" t="s">
        <v>20</v>
      </c>
      <c r="C1089">
        <v>2021</v>
      </c>
      <c r="D1089">
        <v>135.25</v>
      </c>
      <c r="E1089" t="s">
        <v>9</v>
      </c>
      <c r="F1089">
        <v>135.25</v>
      </c>
      <c r="G1089" s="1">
        <f>DATE(C1089, CHOOSE(MATCH(UPPER(B1089), {"ENERO","FEBRERO","MARZO","ABRIL","MAYO","JUNIO","JULIO","AGOSTO","SEPTIEMBRE","OCTUBRE","NOVIEMBRE","DICIEMBRE"}, 0), 1,2,3,4,5,6,7,8,9,10,11,12), A1089)</f>
        <v>44554</v>
      </c>
      <c r="H1089">
        <v>0</v>
      </c>
      <c r="I1089">
        <v>48000</v>
      </c>
      <c r="J1089" s="1">
        <f t="shared" si="33"/>
        <v>44554</v>
      </c>
      <c r="K1089">
        <f t="shared" si="32"/>
        <v>0</v>
      </c>
    </row>
    <row r="1090" spans="1:11" x14ac:dyDescent="0.25">
      <c r="A1090">
        <v>25</v>
      </c>
      <c r="B1090" t="s">
        <v>20</v>
      </c>
      <c r="C1090">
        <v>2021</v>
      </c>
      <c r="D1090">
        <v>135.25</v>
      </c>
      <c r="E1090" t="s">
        <v>9</v>
      </c>
      <c r="F1090">
        <v>55</v>
      </c>
      <c r="G1090" s="1">
        <f>DATE(C1090, CHOOSE(MATCH(UPPER(B1090), {"ENERO","FEBRERO","MARZO","ABRIL","MAYO","JUNIO","JULIO","AGOSTO","SEPTIEMBRE","OCTUBRE","NOVIEMBRE","DICIEMBRE"}, 0), 1,2,3,4,5,6,7,8,9,10,11,12), A1090)</f>
        <v>44555</v>
      </c>
      <c r="H1090">
        <v>80.25</v>
      </c>
      <c r="I1090">
        <v>48000</v>
      </c>
      <c r="J1090" s="1">
        <f t="shared" si="33"/>
        <v>44555</v>
      </c>
      <c r="K1090">
        <f t="shared" si="32"/>
        <v>80.25</v>
      </c>
    </row>
    <row r="1091" spans="1:11" x14ac:dyDescent="0.25">
      <c r="A1091">
        <v>26</v>
      </c>
      <c r="B1091" t="s">
        <v>20</v>
      </c>
      <c r="C1091">
        <v>2021</v>
      </c>
      <c r="D1091">
        <v>55</v>
      </c>
      <c r="E1091">
        <v>100</v>
      </c>
      <c r="F1091">
        <v>76</v>
      </c>
      <c r="G1091" s="1">
        <f>DATE(C1091, CHOOSE(MATCH(UPPER(B1091), {"ENERO","FEBRERO","MARZO","ABRIL","MAYO","JUNIO","JULIO","AGOSTO","SEPTIEMBRE","OCTUBRE","NOVIEMBRE","DICIEMBRE"}, 0), 1,2,3,4,5,6,7,8,9,10,11,12), A1091)</f>
        <v>44556</v>
      </c>
      <c r="H1091">
        <v>79</v>
      </c>
      <c r="I1091">
        <v>48000</v>
      </c>
      <c r="J1091" s="1">
        <f t="shared" si="33"/>
        <v>44556</v>
      </c>
      <c r="K1091">
        <f t="shared" ref="K1091:K1154" si="34">VLOOKUP(J1091, G:H, 2, FALSE)</f>
        <v>79</v>
      </c>
    </row>
    <row r="1092" spans="1:11" x14ac:dyDescent="0.25">
      <c r="A1092">
        <v>27</v>
      </c>
      <c r="B1092" t="s">
        <v>20</v>
      </c>
      <c r="C1092">
        <v>2021</v>
      </c>
      <c r="D1092">
        <v>76</v>
      </c>
      <c r="E1092" t="s">
        <v>9</v>
      </c>
      <c r="F1092">
        <v>39.625</v>
      </c>
      <c r="G1092" s="1">
        <f>DATE(C1092, CHOOSE(MATCH(UPPER(B1092), {"ENERO","FEBRERO","MARZO","ABRIL","MAYO","JUNIO","JULIO","AGOSTO","SEPTIEMBRE","OCTUBRE","NOVIEMBRE","DICIEMBRE"}, 0), 1,2,3,4,5,6,7,8,9,10,11,12), A1092)</f>
        <v>44557</v>
      </c>
      <c r="H1092">
        <v>36.375</v>
      </c>
      <c r="I1092">
        <v>48000</v>
      </c>
      <c r="J1092" s="1">
        <f t="shared" si="33"/>
        <v>44557</v>
      </c>
      <c r="K1092">
        <f t="shared" si="34"/>
        <v>36.375</v>
      </c>
    </row>
    <row r="1093" spans="1:11" x14ac:dyDescent="0.25">
      <c r="A1093">
        <v>28</v>
      </c>
      <c r="B1093" t="s">
        <v>20</v>
      </c>
      <c r="C1093">
        <v>2021</v>
      </c>
      <c r="D1093">
        <v>39.625</v>
      </c>
      <c r="E1093">
        <v>140</v>
      </c>
      <c r="F1093">
        <v>139</v>
      </c>
      <c r="G1093" s="1">
        <f>DATE(C1093, CHOOSE(MATCH(UPPER(B1093), {"ENERO","FEBRERO","MARZO","ABRIL","MAYO","JUNIO","JULIO","AGOSTO","SEPTIEMBRE","OCTUBRE","NOVIEMBRE","DICIEMBRE"}, 0), 1,2,3,4,5,6,7,8,9,10,11,12), A1093)</f>
        <v>44558</v>
      </c>
      <c r="H1093">
        <v>40.625</v>
      </c>
      <c r="I1093">
        <v>48000</v>
      </c>
      <c r="J1093" s="1">
        <f t="shared" ref="J1093:J1156" si="35">DATE(2019,1,1) + ROW()-1</f>
        <v>44558</v>
      </c>
      <c r="K1093">
        <f t="shared" si="34"/>
        <v>40.625</v>
      </c>
    </row>
    <row r="1094" spans="1:11" x14ac:dyDescent="0.25">
      <c r="A1094">
        <v>29</v>
      </c>
      <c r="B1094" t="s">
        <v>20</v>
      </c>
      <c r="C1094">
        <v>2021</v>
      </c>
      <c r="D1094">
        <v>139</v>
      </c>
      <c r="E1094" t="s">
        <v>9</v>
      </c>
      <c r="F1094">
        <v>95</v>
      </c>
      <c r="G1094" s="1">
        <f>DATE(C1094, CHOOSE(MATCH(UPPER(B1094), {"ENERO","FEBRERO","MARZO","ABRIL","MAYO","JUNIO","JULIO","AGOSTO","SEPTIEMBRE","OCTUBRE","NOVIEMBRE","DICIEMBRE"}, 0), 1,2,3,4,5,6,7,8,9,10,11,12), A1094)</f>
        <v>44559</v>
      </c>
      <c r="H1094">
        <v>44</v>
      </c>
      <c r="I1094">
        <v>48000</v>
      </c>
      <c r="J1094" s="1">
        <f t="shared" si="35"/>
        <v>44559</v>
      </c>
      <c r="K1094">
        <f t="shared" si="34"/>
        <v>44</v>
      </c>
    </row>
    <row r="1095" spans="1:11" x14ac:dyDescent="0.25">
      <c r="A1095">
        <v>30</v>
      </c>
      <c r="B1095" t="s">
        <v>20</v>
      </c>
      <c r="C1095">
        <v>2021</v>
      </c>
      <c r="D1095">
        <v>95</v>
      </c>
      <c r="E1095">
        <v>150</v>
      </c>
      <c r="F1095">
        <v>193</v>
      </c>
      <c r="G1095" s="1">
        <f>DATE(C1095, CHOOSE(MATCH(UPPER(B1095), {"ENERO","FEBRERO","MARZO","ABRIL","MAYO","JUNIO","JULIO","AGOSTO","SEPTIEMBRE","OCTUBRE","NOVIEMBRE","DICIEMBRE"}, 0), 1,2,3,4,5,6,7,8,9,10,11,12), A1095)</f>
        <v>44560</v>
      </c>
      <c r="H1095">
        <v>52</v>
      </c>
      <c r="I1095">
        <v>48000</v>
      </c>
      <c r="J1095" s="1">
        <f t="shared" si="35"/>
        <v>44560</v>
      </c>
      <c r="K1095">
        <f t="shared" si="34"/>
        <v>52</v>
      </c>
    </row>
    <row r="1096" spans="1:11" x14ac:dyDescent="0.25">
      <c r="A1096">
        <v>31</v>
      </c>
      <c r="B1096" t="s">
        <v>20</v>
      </c>
      <c r="C1096">
        <v>2021</v>
      </c>
      <c r="D1096">
        <v>193</v>
      </c>
      <c r="E1096" t="s">
        <v>9</v>
      </c>
      <c r="F1096">
        <v>193</v>
      </c>
      <c r="G1096" s="1">
        <f>DATE(C1096, CHOOSE(MATCH(UPPER(B1096), {"ENERO","FEBRERO","MARZO","ABRIL","MAYO","JUNIO","JULIO","AGOSTO","SEPTIEMBRE","OCTUBRE","NOVIEMBRE","DICIEMBRE"}, 0), 1,2,3,4,5,6,7,8,9,10,11,12), A1096)</f>
        <v>44561</v>
      </c>
      <c r="H1096">
        <v>0</v>
      </c>
      <c r="I1096">
        <v>48000</v>
      </c>
      <c r="J1096" s="1">
        <f t="shared" si="35"/>
        <v>44561</v>
      </c>
      <c r="K1096">
        <f t="shared" si="34"/>
        <v>0</v>
      </c>
    </row>
    <row r="1097" spans="1:11" x14ac:dyDescent="0.25">
      <c r="A1097">
        <v>1</v>
      </c>
      <c r="B1097" t="s">
        <v>11</v>
      </c>
      <c r="C1097">
        <v>2022</v>
      </c>
      <c r="D1097">
        <v>46.75</v>
      </c>
      <c r="E1097">
        <v>100</v>
      </c>
      <c r="F1097">
        <v>112</v>
      </c>
      <c r="G1097" s="1">
        <f>DATE(C1097, CHOOSE(MATCH(UPPER(B1097), {"ENERO","FEBRERO","MARZO","ABRIL","MAYO","JUNIO","JULIO","AGOSTO","SEPTIEMBRE","OCTUBRE","NOVIEMBRE","DICIEMBRE"}, 0), 1,2,3,4,5,6,7,8,9,10,11,12), A1097)</f>
        <v>44593</v>
      </c>
      <c r="H1097">
        <v>34.75</v>
      </c>
      <c r="I1097">
        <v>48000</v>
      </c>
      <c r="J1097" s="1">
        <f t="shared" si="35"/>
        <v>44562</v>
      </c>
      <c r="K1097" t="e">
        <f t="shared" si="34"/>
        <v>#N/A</v>
      </c>
    </row>
    <row r="1098" spans="1:11" x14ac:dyDescent="0.25">
      <c r="A1098">
        <v>2</v>
      </c>
      <c r="B1098" t="s">
        <v>11</v>
      </c>
      <c r="C1098">
        <v>2022</v>
      </c>
      <c r="D1098">
        <v>112</v>
      </c>
      <c r="E1098" t="s">
        <v>9</v>
      </c>
      <c r="F1098">
        <v>90.375</v>
      </c>
      <c r="G1098" s="1">
        <f>DATE(C1098, CHOOSE(MATCH(UPPER(B1098), {"ENERO","FEBRERO","MARZO","ABRIL","MAYO","JUNIO","JULIO","AGOSTO","SEPTIEMBRE","OCTUBRE","NOVIEMBRE","DICIEMBRE"}, 0), 1,2,3,4,5,6,7,8,9,10,11,12), A1098)</f>
        <v>44594</v>
      </c>
      <c r="H1098">
        <v>21.625</v>
      </c>
      <c r="I1098">
        <v>48000</v>
      </c>
      <c r="J1098" s="1">
        <f t="shared" si="35"/>
        <v>44563</v>
      </c>
      <c r="K1098" t="e">
        <f t="shared" si="34"/>
        <v>#N/A</v>
      </c>
    </row>
    <row r="1099" spans="1:11" x14ac:dyDescent="0.25">
      <c r="A1099">
        <v>3</v>
      </c>
      <c r="B1099" t="s">
        <v>11</v>
      </c>
      <c r="C1099">
        <v>2022</v>
      </c>
      <c r="D1099">
        <v>90.375</v>
      </c>
      <c r="E1099" t="s">
        <v>9</v>
      </c>
      <c r="F1099">
        <v>68.5</v>
      </c>
      <c r="G1099" s="1">
        <f>DATE(C1099, CHOOSE(MATCH(UPPER(B1099), {"ENERO","FEBRERO","MARZO","ABRIL","MAYO","JUNIO","JULIO","AGOSTO","SEPTIEMBRE","OCTUBRE","NOVIEMBRE","DICIEMBRE"}, 0), 1,2,3,4,5,6,7,8,9,10,11,12), A1099)</f>
        <v>44595</v>
      </c>
      <c r="H1099">
        <v>21.875</v>
      </c>
      <c r="I1099">
        <v>48000</v>
      </c>
      <c r="J1099" s="1">
        <f t="shared" si="35"/>
        <v>44564</v>
      </c>
      <c r="K1099" t="e">
        <f t="shared" si="34"/>
        <v>#N/A</v>
      </c>
    </row>
    <row r="1100" spans="1:11" x14ac:dyDescent="0.25">
      <c r="A1100">
        <v>4</v>
      </c>
      <c r="B1100" t="s">
        <v>11</v>
      </c>
      <c r="C1100">
        <v>2022</v>
      </c>
      <c r="D1100">
        <v>68.5</v>
      </c>
      <c r="E1100" t="s">
        <v>9</v>
      </c>
      <c r="F1100">
        <v>28.125</v>
      </c>
      <c r="G1100" s="1">
        <f>DATE(C1100, CHOOSE(MATCH(UPPER(B1100), {"ENERO","FEBRERO","MARZO","ABRIL","MAYO","JUNIO","JULIO","AGOSTO","SEPTIEMBRE","OCTUBRE","NOVIEMBRE","DICIEMBRE"}, 0), 1,2,3,4,5,6,7,8,9,10,11,12), A1100)</f>
        <v>44596</v>
      </c>
      <c r="H1100">
        <v>40.375</v>
      </c>
      <c r="I1100">
        <v>48000</v>
      </c>
      <c r="J1100" s="1">
        <f t="shared" si="35"/>
        <v>44565</v>
      </c>
      <c r="K1100" t="e">
        <f t="shared" si="34"/>
        <v>#N/A</v>
      </c>
    </row>
    <row r="1101" spans="1:11" x14ac:dyDescent="0.25">
      <c r="A1101">
        <v>5</v>
      </c>
      <c r="B1101" t="s">
        <v>11</v>
      </c>
      <c r="C1101">
        <v>2022</v>
      </c>
      <c r="D1101">
        <v>28.125</v>
      </c>
      <c r="E1101">
        <v>150</v>
      </c>
      <c r="F1101">
        <v>138.625</v>
      </c>
      <c r="G1101" s="1">
        <f>DATE(C1101, CHOOSE(MATCH(UPPER(B1101), {"ENERO","FEBRERO","MARZO","ABRIL","MAYO","JUNIO","JULIO","AGOSTO","SEPTIEMBRE","OCTUBRE","NOVIEMBRE","DICIEMBRE"}, 0), 1,2,3,4,5,6,7,8,9,10,11,12), A1101)</f>
        <v>44597</v>
      </c>
      <c r="H1101">
        <v>39.5</v>
      </c>
      <c r="I1101">
        <v>48000</v>
      </c>
      <c r="J1101" s="1">
        <f t="shared" si="35"/>
        <v>44566</v>
      </c>
      <c r="K1101" t="e">
        <f t="shared" si="34"/>
        <v>#N/A</v>
      </c>
    </row>
    <row r="1102" spans="1:11" x14ac:dyDescent="0.25">
      <c r="A1102">
        <v>6</v>
      </c>
      <c r="B1102" t="s">
        <v>11</v>
      </c>
      <c r="C1102">
        <v>2022</v>
      </c>
      <c r="D1102">
        <v>138.625</v>
      </c>
      <c r="E1102" t="s">
        <v>9</v>
      </c>
      <c r="F1102">
        <v>86.5</v>
      </c>
      <c r="G1102" s="1">
        <f>DATE(C1102, CHOOSE(MATCH(UPPER(B1102), {"ENERO","FEBRERO","MARZO","ABRIL","MAYO","JUNIO","JULIO","AGOSTO","SEPTIEMBRE","OCTUBRE","NOVIEMBRE","DICIEMBRE"}, 0), 1,2,3,4,5,6,7,8,9,10,11,12), A1102)</f>
        <v>44598</v>
      </c>
      <c r="H1102">
        <v>52.125</v>
      </c>
      <c r="I1102">
        <v>48000</v>
      </c>
      <c r="J1102" s="1">
        <f t="shared" si="35"/>
        <v>44567</v>
      </c>
      <c r="K1102" t="e">
        <f t="shared" si="34"/>
        <v>#N/A</v>
      </c>
    </row>
    <row r="1103" spans="1:11" x14ac:dyDescent="0.25">
      <c r="A1103">
        <v>7</v>
      </c>
      <c r="B1103" t="s">
        <v>11</v>
      </c>
      <c r="C1103">
        <v>2022</v>
      </c>
      <c r="D1103">
        <v>86.5</v>
      </c>
      <c r="E1103" t="s">
        <v>9</v>
      </c>
      <c r="F1103">
        <v>64.5</v>
      </c>
      <c r="G1103" s="1">
        <f>DATE(C1103, CHOOSE(MATCH(UPPER(B1103), {"ENERO","FEBRERO","MARZO","ABRIL","MAYO","JUNIO","JULIO","AGOSTO","SEPTIEMBRE","OCTUBRE","NOVIEMBRE","DICIEMBRE"}, 0), 1,2,3,4,5,6,7,8,9,10,11,12), A1103)</f>
        <v>44599</v>
      </c>
      <c r="H1103">
        <v>22</v>
      </c>
      <c r="I1103">
        <v>48000</v>
      </c>
      <c r="J1103" s="1">
        <f t="shared" si="35"/>
        <v>44568</v>
      </c>
      <c r="K1103" t="e">
        <f t="shared" si="34"/>
        <v>#N/A</v>
      </c>
    </row>
    <row r="1104" spans="1:11" x14ac:dyDescent="0.25">
      <c r="A1104">
        <v>8</v>
      </c>
      <c r="B1104" t="s">
        <v>11</v>
      </c>
      <c r="C1104">
        <v>2022</v>
      </c>
      <c r="D1104">
        <v>64.5</v>
      </c>
      <c r="E1104" t="s">
        <v>9</v>
      </c>
      <c r="F1104">
        <v>42.875</v>
      </c>
      <c r="G1104" s="1">
        <f>DATE(C1104, CHOOSE(MATCH(UPPER(B1104), {"ENERO","FEBRERO","MARZO","ABRIL","MAYO","JUNIO","JULIO","AGOSTO","SEPTIEMBRE","OCTUBRE","NOVIEMBRE","DICIEMBRE"}, 0), 1,2,3,4,5,6,7,8,9,10,11,12), A1104)</f>
        <v>44600</v>
      </c>
      <c r="H1104">
        <v>21.625</v>
      </c>
      <c r="I1104">
        <v>48000</v>
      </c>
      <c r="J1104" s="1">
        <f t="shared" si="35"/>
        <v>44569</v>
      </c>
      <c r="K1104" t="e">
        <f t="shared" si="34"/>
        <v>#N/A</v>
      </c>
    </row>
    <row r="1105" spans="1:11" x14ac:dyDescent="0.25">
      <c r="A1105">
        <v>9</v>
      </c>
      <c r="B1105" t="s">
        <v>11</v>
      </c>
      <c r="C1105">
        <v>2022</v>
      </c>
      <c r="D1105">
        <v>42.875</v>
      </c>
      <c r="E1105">
        <v>150</v>
      </c>
      <c r="F1105">
        <v>162.125</v>
      </c>
      <c r="G1105" s="1">
        <f>DATE(C1105, CHOOSE(MATCH(UPPER(B1105), {"ENERO","FEBRERO","MARZO","ABRIL","MAYO","JUNIO","JULIO","AGOSTO","SEPTIEMBRE","OCTUBRE","NOVIEMBRE","DICIEMBRE"}, 0), 1,2,3,4,5,6,7,8,9,10,11,12), A1105)</f>
        <v>44601</v>
      </c>
      <c r="H1105">
        <v>30.75</v>
      </c>
      <c r="I1105">
        <v>48000</v>
      </c>
      <c r="J1105" s="1">
        <f t="shared" si="35"/>
        <v>44570</v>
      </c>
      <c r="K1105" t="e">
        <f t="shared" si="34"/>
        <v>#N/A</v>
      </c>
    </row>
    <row r="1106" spans="1:11" x14ac:dyDescent="0.25">
      <c r="A1106">
        <v>10</v>
      </c>
      <c r="B1106" t="s">
        <v>11</v>
      </c>
      <c r="C1106">
        <v>2022</v>
      </c>
      <c r="D1106">
        <v>162.125</v>
      </c>
      <c r="E1106" t="s">
        <v>9</v>
      </c>
      <c r="F1106">
        <v>137.375</v>
      </c>
      <c r="G1106" s="1">
        <f>DATE(C1106, CHOOSE(MATCH(UPPER(B1106), {"ENERO","FEBRERO","MARZO","ABRIL","MAYO","JUNIO","JULIO","AGOSTO","SEPTIEMBRE","OCTUBRE","NOVIEMBRE","DICIEMBRE"}, 0), 1,2,3,4,5,6,7,8,9,10,11,12), A1106)</f>
        <v>44602</v>
      </c>
      <c r="H1106">
        <v>24.75</v>
      </c>
      <c r="I1106">
        <v>48000</v>
      </c>
      <c r="J1106" s="1">
        <f t="shared" si="35"/>
        <v>44571</v>
      </c>
      <c r="K1106" t="e">
        <f t="shared" si="34"/>
        <v>#N/A</v>
      </c>
    </row>
    <row r="1107" spans="1:11" x14ac:dyDescent="0.25">
      <c r="A1107">
        <v>11</v>
      </c>
      <c r="B1107" t="s">
        <v>11</v>
      </c>
      <c r="C1107">
        <v>2022</v>
      </c>
      <c r="D1107">
        <v>137.375</v>
      </c>
      <c r="E1107" t="s">
        <v>9</v>
      </c>
      <c r="F1107">
        <v>91</v>
      </c>
      <c r="G1107" s="1">
        <f>DATE(C1107, CHOOSE(MATCH(UPPER(B1107), {"ENERO","FEBRERO","MARZO","ABRIL","MAYO","JUNIO","JULIO","AGOSTO","SEPTIEMBRE","OCTUBRE","NOVIEMBRE","DICIEMBRE"}, 0), 1,2,3,4,5,6,7,8,9,10,11,12), A1107)</f>
        <v>44603</v>
      </c>
      <c r="H1107">
        <v>46.375</v>
      </c>
      <c r="I1107">
        <v>48000</v>
      </c>
      <c r="J1107" s="1">
        <f t="shared" si="35"/>
        <v>44572</v>
      </c>
      <c r="K1107" t="e">
        <f t="shared" si="34"/>
        <v>#N/A</v>
      </c>
    </row>
    <row r="1108" spans="1:11" x14ac:dyDescent="0.25">
      <c r="A1108">
        <v>12</v>
      </c>
      <c r="B1108" t="s">
        <v>11</v>
      </c>
      <c r="C1108">
        <v>2022</v>
      </c>
      <c r="D1108">
        <v>91</v>
      </c>
      <c r="E1108">
        <v>100</v>
      </c>
      <c r="F1108">
        <v>134.25</v>
      </c>
      <c r="G1108" s="1">
        <f>DATE(C1108, CHOOSE(MATCH(UPPER(B1108), {"ENERO","FEBRERO","MARZO","ABRIL","MAYO","JUNIO","JULIO","AGOSTO","SEPTIEMBRE","OCTUBRE","NOVIEMBRE","DICIEMBRE"}, 0), 1,2,3,4,5,6,7,8,9,10,11,12), A1108)</f>
        <v>44604</v>
      </c>
      <c r="H1108">
        <v>56.75</v>
      </c>
      <c r="I1108">
        <v>48000</v>
      </c>
      <c r="J1108" s="1">
        <f t="shared" si="35"/>
        <v>44573</v>
      </c>
      <c r="K1108" t="e">
        <f t="shared" si="34"/>
        <v>#N/A</v>
      </c>
    </row>
    <row r="1109" spans="1:11" x14ac:dyDescent="0.25">
      <c r="A1109">
        <v>13</v>
      </c>
      <c r="B1109" t="s">
        <v>11</v>
      </c>
      <c r="C1109">
        <v>2022</v>
      </c>
      <c r="D1109">
        <v>134.25</v>
      </c>
      <c r="E1109" t="s">
        <v>9</v>
      </c>
      <c r="F1109">
        <v>99.5</v>
      </c>
      <c r="G1109" s="1">
        <f>DATE(C1109, CHOOSE(MATCH(UPPER(B1109), {"ENERO","FEBRERO","MARZO","ABRIL","MAYO","JUNIO","JULIO","AGOSTO","SEPTIEMBRE","OCTUBRE","NOVIEMBRE","DICIEMBRE"}, 0), 1,2,3,4,5,6,7,8,9,10,11,12), A1109)</f>
        <v>44605</v>
      </c>
      <c r="H1109">
        <v>34.75</v>
      </c>
      <c r="I1109">
        <v>48000</v>
      </c>
      <c r="J1109" s="1">
        <f t="shared" si="35"/>
        <v>44574</v>
      </c>
      <c r="K1109" t="e">
        <f t="shared" si="34"/>
        <v>#N/A</v>
      </c>
    </row>
    <row r="1110" spans="1:11" x14ac:dyDescent="0.25">
      <c r="A1110">
        <v>14</v>
      </c>
      <c r="B1110" t="s">
        <v>11</v>
      </c>
      <c r="C1110">
        <v>2022</v>
      </c>
      <c r="D1110">
        <v>99.5</v>
      </c>
      <c r="E1110">
        <v>50</v>
      </c>
      <c r="F1110">
        <v>113.25</v>
      </c>
      <c r="G1110" s="1">
        <f>DATE(C1110, CHOOSE(MATCH(UPPER(B1110), {"ENERO","FEBRERO","MARZO","ABRIL","MAYO","JUNIO","JULIO","AGOSTO","SEPTIEMBRE","OCTUBRE","NOVIEMBRE","DICIEMBRE"}, 0), 1,2,3,4,5,6,7,8,9,10,11,12), A1110)</f>
        <v>44606</v>
      </c>
      <c r="H1110">
        <v>36.25</v>
      </c>
      <c r="I1110">
        <v>48000</v>
      </c>
      <c r="J1110" s="1">
        <f t="shared" si="35"/>
        <v>44575</v>
      </c>
      <c r="K1110" t="e">
        <f t="shared" si="34"/>
        <v>#N/A</v>
      </c>
    </row>
    <row r="1111" spans="1:11" x14ac:dyDescent="0.25">
      <c r="A1111">
        <v>15</v>
      </c>
      <c r="B1111" t="s">
        <v>11</v>
      </c>
      <c r="C1111">
        <v>2022</v>
      </c>
      <c r="D1111">
        <v>113.25</v>
      </c>
      <c r="E1111" t="s">
        <v>9</v>
      </c>
      <c r="F1111">
        <v>85.875</v>
      </c>
      <c r="G1111" s="1">
        <f>DATE(C1111, CHOOSE(MATCH(UPPER(B1111), {"ENERO","FEBRERO","MARZO","ABRIL","MAYO","JUNIO","JULIO","AGOSTO","SEPTIEMBRE","OCTUBRE","NOVIEMBRE","DICIEMBRE"}, 0), 1,2,3,4,5,6,7,8,9,10,11,12), A1111)</f>
        <v>44607</v>
      </c>
      <c r="H1111">
        <v>27.375</v>
      </c>
      <c r="I1111">
        <v>48000</v>
      </c>
      <c r="J1111" s="1">
        <f t="shared" si="35"/>
        <v>44576</v>
      </c>
      <c r="K1111" t="e">
        <f t="shared" si="34"/>
        <v>#N/A</v>
      </c>
    </row>
    <row r="1112" spans="1:11" x14ac:dyDescent="0.25">
      <c r="A1112">
        <v>16</v>
      </c>
      <c r="B1112" t="s">
        <v>11</v>
      </c>
      <c r="C1112">
        <v>2022</v>
      </c>
      <c r="D1112">
        <v>85.875</v>
      </c>
      <c r="E1112">
        <v>70</v>
      </c>
      <c r="F1112">
        <v>124.5</v>
      </c>
      <c r="G1112" s="1">
        <f>DATE(C1112, CHOOSE(MATCH(UPPER(B1112), {"ENERO","FEBRERO","MARZO","ABRIL","MAYO","JUNIO","JULIO","AGOSTO","SEPTIEMBRE","OCTUBRE","NOVIEMBRE","DICIEMBRE"}, 0), 1,2,3,4,5,6,7,8,9,10,11,12), A1112)</f>
        <v>44608</v>
      </c>
      <c r="H1112">
        <v>31.375</v>
      </c>
      <c r="I1112">
        <v>48000</v>
      </c>
      <c r="J1112" s="1">
        <f t="shared" si="35"/>
        <v>44577</v>
      </c>
      <c r="K1112" t="e">
        <f t="shared" si="34"/>
        <v>#N/A</v>
      </c>
    </row>
    <row r="1113" spans="1:11" x14ac:dyDescent="0.25">
      <c r="A1113">
        <v>17</v>
      </c>
      <c r="B1113" t="s">
        <v>11</v>
      </c>
      <c r="C1113">
        <v>2022</v>
      </c>
      <c r="D1113">
        <v>124.5</v>
      </c>
      <c r="E1113" t="s">
        <v>9</v>
      </c>
      <c r="F1113">
        <v>105.75</v>
      </c>
      <c r="G1113" s="1">
        <f>DATE(C1113, CHOOSE(MATCH(UPPER(B1113), {"ENERO","FEBRERO","MARZO","ABRIL","MAYO","JUNIO","JULIO","AGOSTO","SEPTIEMBRE","OCTUBRE","NOVIEMBRE","DICIEMBRE"}, 0), 1,2,3,4,5,6,7,8,9,10,11,12), A1113)</f>
        <v>44609</v>
      </c>
      <c r="H1113">
        <v>18.75</v>
      </c>
      <c r="I1113">
        <v>48000</v>
      </c>
      <c r="J1113" s="1">
        <f t="shared" si="35"/>
        <v>44578</v>
      </c>
      <c r="K1113" t="e">
        <f t="shared" si="34"/>
        <v>#N/A</v>
      </c>
    </row>
    <row r="1114" spans="1:11" x14ac:dyDescent="0.25">
      <c r="A1114">
        <v>18</v>
      </c>
      <c r="B1114" t="s">
        <v>11</v>
      </c>
      <c r="C1114">
        <v>2022</v>
      </c>
      <c r="D1114">
        <v>105.75</v>
      </c>
      <c r="E1114" t="s">
        <v>9</v>
      </c>
      <c r="F1114">
        <v>73</v>
      </c>
      <c r="G1114" s="1">
        <f>DATE(C1114, CHOOSE(MATCH(UPPER(B1114), {"ENERO","FEBRERO","MARZO","ABRIL","MAYO","JUNIO","JULIO","AGOSTO","SEPTIEMBRE","OCTUBRE","NOVIEMBRE","DICIEMBRE"}, 0), 1,2,3,4,5,6,7,8,9,10,11,12), A1114)</f>
        <v>44610</v>
      </c>
      <c r="H1114">
        <v>32.75</v>
      </c>
      <c r="I1114">
        <v>48000</v>
      </c>
      <c r="J1114" s="1">
        <f t="shared" si="35"/>
        <v>44579</v>
      </c>
      <c r="K1114" t="e">
        <f t="shared" si="34"/>
        <v>#N/A</v>
      </c>
    </row>
    <row r="1115" spans="1:11" x14ac:dyDescent="0.25">
      <c r="A1115">
        <v>19</v>
      </c>
      <c r="B1115" t="s">
        <v>11</v>
      </c>
      <c r="C1115">
        <v>2022</v>
      </c>
      <c r="D1115">
        <v>73</v>
      </c>
      <c r="E1115">
        <v>100</v>
      </c>
      <c r="F1115">
        <v>134.25</v>
      </c>
      <c r="G1115" s="1">
        <f>DATE(C1115, CHOOSE(MATCH(UPPER(B1115), {"ENERO","FEBRERO","MARZO","ABRIL","MAYO","JUNIO","JULIO","AGOSTO","SEPTIEMBRE","OCTUBRE","NOVIEMBRE","DICIEMBRE"}, 0), 1,2,3,4,5,6,7,8,9,10,11,12), A1115)</f>
        <v>44611</v>
      </c>
      <c r="H1115">
        <v>38.75</v>
      </c>
      <c r="I1115">
        <v>48000</v>
      </c>
      <c r="J1115" s="1">
        <f t="shared" si="35"/>
        <v>44580</v>
      </c>
      <c r="K1115" t="e">
        <f t="shared" si="34"/>
        <v>#N/A</v>
      </c>
    </row>
    <row r="1116" spans="1:11" x14ac:dyDescent="0.25">
      <c r="A1116">
        <v>20</v>
      </c>
      <c r="B1116" t="s">
        <v>11</v>
      </c>
      <c r="C1116">
        <v>2022</v>
      </c>
      <c r="D1116">
        <v>134.25</v>
      </c>
      <c r="E1116" t="s">
        <v>9</v>
      </c>
      <c r="F1116">
        <v>99.875</v>
      </c>
      <c r="G1116" s="1">
        <f>DATE(C1116, CHOOSE(MATCH(UPPER(B1116), {"ENERO","FEBRERO","MARZO","ABRIL","MAYO","JUNIO","JULIO","AGOSTO","SEPTIEMBRE","OCTUBRE","NOVIEMBRE","DICIEMBRE"}, 0), 1,2,3,4,5,6,7,8,9,10,11,12), A1116)</f>
        <v>44612</v>
      </c>
      <c r="H1116">
        <v>34.375</v>
      </c>
      <c r="I1116">
        <v>48000</v>
      </c>
      <c r="J1116" s="1">
        <f t="shared" si="35"/>
        <v>44581</v>
      </c>
      <c r="K1116" t="e">
        <f t="shared" si="34"/>
        <v>#N/A</v>
      </c>
    </row>
    <row r="1117" spans="1:11" x14ac:dyDescent="0.25">
      <c r="A1117">
        <v>21</v>
      </c>
      <c r="B1117" t="s">
        <v>11</v>
      </c>
      <c r="C1117">
        <v>2022</v>
      </c>
      <c r="D1117">
        <v>99.875</v>
      </c>
      <c r="E1117">
        <v>50</v>
      </c>
      <c r="F1117">
        <v>133</v>
      </c>
      <c r="G1117" s="1">
        <f>DATE(C1117, CHOOSE(MATCH(UPPER(B1117), {"ENERO","FEBRERO","MARZO","ABRIL","MAYO","JUNIO","JULIO","AGOSTO","SEPTIEMBRE","OCTUBRE","NOVIEMBRE","DICIEMBRE"}, 0), 1,2,3,4,5,6,7,8,9,10,11,12), A1117)</f>
        <v>44613</v>
      </c>
      <c r="H1117">
        <v>16.875</v>
      </c>
      <c r="I1117">
        <v>48000</v>
      </c>
      <c r="J1117" s="1">
        <f t="shared" si="35"/>
        <v>44582</v>
      </c>
      <c r="K1117" t="e">
        <f t="shared" si="34"/>
        <v>#N/A</v>
      </c>
    </row>
    <row r="1118" spans="1:11" x14ac:dyDescent="0.25">
      <c r="A1118">
        <v>22</v>
      </c>
      <c r="B1118" t="s">
        <v>11</v>
      </c>
      <c r="C1118">
        <v>2022</v>
      </c>
      <c r="D1118">
        <v>133</v>
      </c>
      <c r="E1118" t="s">
        <v>9</v>
      </c>
      <c r="F1118">
        <v>114.25</v>
      </c>
      <c r="G1118" s="1">
        <f>DATE(C1118, CHOOSE(MATCH(UPPER(B1118), {"ENERO","FEBRERO","MARZO","ABRIL","MAYO","JUNIO","JULIO","AGOSTO","SEPTIEMBRE","OCTUBRE","NOVIEMBRE","DICIEMBRE"}, 0), 1,2,3,4,5,6,7,8,9,10,11,12), A1118)</f>
        <v>44614</v>
      </c>
      <c r="H1118">
        <v>18.75</v>
      </c>
      <c r="I1118">
        <v>48000</v>
      </c>
      <c r="J1118" s="1">
        <f t="shared" si="35"/>
        <v>44583</v>
      </c>
      <c r="K1118" t="e">
        <f t="shared" si="34"/>
        <v>#N/A</v>
      </c>
    </row>
    <row r="1119" spans="1:11" x14ac:dyDescent="0.25">
      <c r="A1119">
        <v>23</v>
      </c>
      <c r="B1119" t="s">
        <v>11</v>
      </c>
      <c r="C1119">
        <v>2022</v>
      </c>
      <c r="D1119">
        <v>114.25</v>
      </c>
      <c r="E1119">
        <v>50</v>
      </c>
      <c r="F1119">
        <v>141</v>
      </c>
      <c r="G1119" s="1">
        <f>DATE(C1119, CHOOSE(MATCH(UPPER(B1119), {"ENERO","FEBRERO","MARZO","ABRIL","MAYO","JUNIO","JULIO","AGOSTO","SEPTIEMBRE","OCTUBRE","NOVIEMBRE","DICIEMBRE"}, 0), 1,2,3,4,5,6,7,8,9,10,11,12), A1119)</f>
        <v>44615</v>
      </c>
      <c r="H1119">
        <v>23.25</v>
      </c>
      <c r="I1119">
        <v>48000</v>
      </c>
      <c r="J1119" s="1">
        <f t="shared" si="35"/>
        <v>44584</v>
      </c>
      <c r="K1119" t="e">
        <f t="shared" si="34"/>
        <v>#N/A</v>
      </c>
    </row>
    <row r="1120" spans="1:11" x14ac:dyDescent="0.25">
      <c r="A1120">
        <v>24</v>
      </c>
      <c r="B1120" t="s">
        <v>11</v>
      </c>
      <c r="C1120">
        <v>2022</v>
      </c>
      <c r="D1120">
        <v>141</v>
      </c>
      <c r="E1120" t="s">
        <v>9</v>
      </c>
      <c r="F1120">
        <v>124.625</v>
      </c>
      <c r="G1120" s="1">
        <f>DATE(C1120, CHOOSE(MATCH(UPPER(B1120), {"ENERO","FEBRERO","MARZO","ABRIL","MAYO","JUNIO","JULIO","AGOSTO","SEPTIEMBRE","OCTUBRE","NOVIEMBRE","DICIEMBRE"}, 0), 1,2,3,4,5,6,7,8,9,10,11,12), A1120)</f>
        <v>44616</v>
      </c>
      <c r="H1120">
        <v>16.375</v>
      </c>
      <c r="I1120">
        <v>48000</v>
      </c>
      <c r="J1120" s="1">
        <f t="shared" si="35"/>
        <v>44585</v>
      </c>
      <c r="K1120" t="e">
        <f t="shared" si="34"/>
        <v>#N/A</v>
      </c>
    </row>
    <row r="1121" spans="1:11" x14ac:dyDescent="0.25">
      <c r="A1121">
        <v>25</v>
      </c>
      <c r="B1121" t="s">
        <v>11</v>
      </c>
      <c r="C1121">
        <v>2022</v>
      </c>
      <c r="D1121">
        <v>124.625</v>
      </c>
      <c r="E1121" t="s">
        <v>9</v>
      </c>
      <c r="F1121">
        <v>77</v>
      </c>
      <c r="G1121" s="1">
        <f>DATE(C1121, CHOOSE(MATCH(UPPER(B1121), {"ENERO","FEBRERO","MARZO","ABRIL","MAYO","JUNIO","JULIO","AGOSTO","SEPTIEMBRE","OCTUBRE","NOVIEMBRE","DICIEMBRE"}, 0), 1,2,3,4,5,6,7,8,9,10,11,12), A1121)</f>
        <v>44617</v>
      </c>
      <c r="H1121">
        <v>47.625</v>
      </c>
      <c r="I1121">
        <v>48000</v>
      </c>
      <c r="J1121" s="1">
        <f t="shared" si="35"/>
        <v>44586</v>
      </c>
      <c r="K1121" t="e">
        <f t="shared" si="34"/>
        <v>#N/A</v>
      </c>
    </row>
    <row r="1122" spans="1:11" x14ac:dyDescent="0.25">
      <c r="A1122">
        <v>26</v>
      </c>
      <c r="B1122" t="s">
        <v>11</v>
      </c>
      <c r="C1122">
        <v>2022</v>
      </c>
      <c r="D1122">
        <v>77</v>
      </c>
      <c r="E1122">
        <v>100</v>
      </c>
      <c r="F1122">
        <v>128</v>
      </c>
      <c r="G1122" s="1">
        <f>DATE(C1122, CHOOSE(MATCH(UPPER(B1122), {"ENERO","FEBRERO","MARZO","ABRIL","MAYO","JUNIO","JULIO","AGOSTO","SEPTIEMBRE","OCTUBRE","NOVIEMBRE","DICIEMBRE"}, 0), 1,2,3,4,5,6,7,8,9,10,11,12), A1122)</f>
        <v>44618</v>
      </c>
      <c r="H1122">
        <v>49</v>
      </c>
      <c r="I1122">
        <v>48000</v>
      </c>
      <c r="J1122" s="1">
        <f t="shared" si="35"/>
        <v>44587</v>
      </c>
      <c r="K1122" t="e">
        <f t="shared" si="34"/>
        <v>#N/A</v>
      </c>
    </row>
    <row r="1123" spans="1:11" x14ac:dyDescent="0.25">
      <c r="A1123">
        <v>27</v>
      </c>
      <c r="B1123" t="s">
        <v>11</v>
      </c>
      <c r="C1123">
        <v>2022</v>
      </c>
      <c r="D1123">
        <v>128</v>
      </c>
      <c r="E1123" t="s">
        <v>9</v>
      </c>
      <c r="F1123">
        <v>68.5</v>
      </c>
      <c r="G1123" s="1">
        <f>DATE(C1123, CHOOSE(MATCH(UPPER(B1123), {"ENERO","FEBRERO","MARZO","ABRIL","MAYO","JUNIO","JULIO","AGOSTO","SEPTIEMBRE","OCTUBRE","NOVIEMBRE","DICIEMBRE"}, 0), 1,2,3,4,5,6,7,8,9,10,11,12), A1123)</f>
        <v>44619</v>
      </c>
      <c r="H1123">
        <v>59.5</v>
      </c>
      <c r="I1123">
        <v>48000</v>
      </c>
      <c r="J1123" s="1">
        <f t="shared" si="35"/>
        <v>44588</v>
      </c>
      <c r="K1123" t="e">
        <f t="shared" si="34"/>
        <v>#N/A</v>
      </c>
    </row>
    <row r="1124" spans="1:11" x14ac:dyDescent="0.25">
      <c r="A1124">
        <v>28</v>
      </c>
      <c r="B1124" t="s">
        <v>11</v>
      </c>
      <c r="C1124">
        <v>2022</v>
      </c>
      <c r="D1124">
        <v>68.5</v>
      </c>
      <c r="E1124">
        <v>50</v>
      </c>
      <c r="F1124">
        <v>86.75</v>
      </c>
      <c r="G1124" s="1">
        <f>DATE(C1124, CHOOSE(MATCH(UPPER(B1124), {"ENERO","FEBRERO","MARZO","ABRIL","MAYO","JUNIO","JULIO","AGOSTO","SEPTIEMBRE","OCTUBRE","NOVIEMBRE","DICIEMBRE"}, 0), 1,2,3,4,5,6,7,8,9,10,11,12), A1124)</f>
        <v>44620</v>
      </c>
      <c r="H1124">
        <v>31.75</v>
      </c>
      <c r="I1124">
        <v>48000</v>
      </c>
      <c r="J1124" s="1">
        <f t="shared" si="35"/>
        <v>44589</v>
      </c>
      <c r="K1124" t="e">
        <f t="shared" si="34"/>
        <v>#N/A</v>
      </c>
    </row>
    <row r="1125" spans="1:11" x14ac:dyDescent="0.25">
      <c r="A1125">
        <v>1</v>
      </c>
      <c r="B1125" t="s">
        <v>12</v>
      </c>
      <c r="C1125">
        <v>2022</v>
      </c>
      <c r="D1125">
        <v>86.75</v>
      </c>
      <c r="E1125" t="s">
        <v>9</v>
      </c>
      <c r="F1125">
        <v>65.625</v>
      </c>
      <c r="G1125" s="1">
        <f>DATE(C1125, CHOOSE(MATCH(UPPER(B1125), {"ENERO","FEBRERO","MARZO","ABRIL","MAYO","JUNIO","JULIO","AGOSTO","SEPTIEMBRE","OCTUBRE","NOVIEMBRE","DICIEMBRE"}, 0), 1,2,3,4,5,6,7,8,9,10,11,12), A1125)</f>
        <v>44621</v>
      </c>
      <c r="H1125">
        <v>21.125</v>
      </c>
      <c r="I1125">
        <v>48000</v>
      </c>
      <c r="J1125" s="1">
        <f t="shared" si="35"/>
        <v>44590</v>
      </c>
      <c r="K1125" t="e">
        <f t="shared" si="34"/>
        <v>#N/A</v>
      </c>
    </row>
    <row r="1126" spans="1:11" x14ac:dyDescent="0.25">
      <c r="A1126">
        <v>2</v>
      </c>
      <c r="B1126" t="s">
        <v>12</v>
      </c>
      <c r="C1126">
        <v>2022</v>
      </c>
      <c r="D1126">
        <v>65.625</v>
      </c>
      <c r="E1126">
        <v>80</v>
      </c>
      <c r="F1126">
        <v>125</v>
      </c>
      <c r="G1126" s="1">
        <f>DATE(C1126, CHOOSE(MATCH(UPPER(B1126), {"ENERO","FEBRERO","MARZO","ABRIL","MAYO","JUNIO","JULIO","AGOSTO","SEPTIEMBRE","OCTUBRE","NOVIEMBRE","DICIEMBRE"}, 0), 1,2,3,4,5,6,7,8,9,10,11,12), A1126)</f>
        <v>44622</v>
      </c>
      <c r="H1126">
        <v>20.625</v>
      </c>
      <c r="I1126">
        <v>48000</v>
      </c>
      <c r="J1126" s="1">
        <f t="shared" si="35"/>
        <v>44591</v>
      </c>
      <c r="K1126" t="e">
        <f t="shared" si="34"/>
        <v>#N/A</v>
      </c>
    </row>
    <row r="1127" spans="1:11" x14ac:dyDescent="0.25">
      <c r="A1127">
        <v>3</v>
      </c>
      <c r="B1127" t="s">
        <v>12</v>
      </c>
      <c r="C1127">
        <v>2022</v>
      </c>
      <c r="D1127">
        <v>125</v>
      </c>
      <c r="E1127" t="s">
        <v>9</v>
      </c>
      <c r="F1127">
        <v>102.125</v>
      </c>
      <c r="G1127" s="1">
        <f>DATE(C1127, CHOOSE(MATCH(UPPER(B1127), {"ENERO","FEBRERO","MARZO","ABRIL","MAYO","JUNIO","JULIO","AGOSTO","SEPTIEMBRE","OCTUBRE","NOVIEMBRE","DICIEMBRE"}, 0), 1,2,3,4,5,6,7,8,9,10,11,12), A1127)</f>
        <v>44623</v>
      </c>
      <c r="H1127">
        <v>22.875</v>
      </c>
      <c r="I1127">
        <v>48000</v>
      </c>
      <c r="J1127" s="1">
        <f t="shared" si="35"/>
        <v>44592</v>
      </c>
      <c r="K1127" t="e">
        <f t="shared" si="34"/>
        <v>#N/A</v>
      </c>
    </row>
    <row r="1128" spans="1:11" x14ac:dyDescent="0.25">
      <c r="A1128">
        <v>4</v>
      </c>
      <c r="B1128" t="s">
        <v>12</v>
      </c>
      <c r="C1128">
        <v>2022</v>
      </c>
      <c r="D1128">
        <v>102.125</v>
      </c>
      <c r="E1128" t="s">
        <v>9</v>
      </c>
      <c r="F1128">
        <v>63.125</v>
      </c>
      <c r="G1128" s="1">
        <f>DATE(C1128, CHOOSE(MATCH(UPPER(B1128), {"ENERO","FEBRERO","MARZO","ABRIL","MAYO","JUNIO","JULIO","AGOSTO","SEPTIEMBRE","OCTUBRE","NOVIEMBRE","DICIEMBRE"}, 0), 1,2,3,4,5,6,7,8,9,10,11,12), A1128)</f>
        <v>44624</v>
      </c>
      <c r="H1128">
        <v>39</v>
      </c>
      <c r="I1128">
        <v>48000</v>
      </c>
      <c r="J1128" s="1">
        <f t="shared" si="35"/>
        <v>44593</v>
      </c>
      <c r="K1128">
        <f t="shared" si="34"/>
        <v>34.75</v>
      </c>
    </row>
    <row r="1129" spans="1:11" x14ac:dyDescent="0.25">
      <c r="A1129">
        <v>5</v>
      </c>
      <c r="B1129" t="s">
        <v>12</v>
      </c>
      <c r="C1129">
        <v>2022</v>
      </c>
      <c r="D1129">
        <v>63.125</v>
      </c>
      <c r="E1129">
        <v>150</v>
      </c>
      <c r="F1129">
        <v>163</v>
      </c>
      <c r="G1129" s="1">
        <f>DATE(C1129, CHOOSE(MATCH(UPPER(B1129), {"ENERO","FEBRERO","MARZO","ABRIL","MAYO","JUNIO","JULIO","AGOSTO","SEPTIEMBRE","OCTUBRE","NOVIEMBRE","DICIEMBRE"}, 0), 1,2,3,4,5,6,7,8,9,10,11,12), A1129)</f>
        <v>44625</v>
      </c>
      <c r="H1129">
        <v>50.125</v>
      </c>
      <c r="I1129">
        <v>48000</v>
      </c>
      <c r="J1129" s="1">
        <f t="shared" si="35"/>
        <v>44594</v>
      </c>
      <c r="K1129">
        <f t="shared" si="34"/>
        <v>21.625</v>
      </c>
    </row>
    <row r="1130" spans="1:11" x14ac:dyDescent="0.25">
      <c r="A1130">
        <v>6</v>
      </c>
      <c r="B1130" t="s">
        <v>12</v>
      </c>
      <c r="C1130">
        <v>2022</v>
      </c>
      <c r="D1130">
        <v>163</v>
      </c>
      <c r="E1130" t="s">
        <v>9</v>
      </c>
      <c r="F1130">
        <v>116.5</v>
      </c>
      <c r="G1130" s="1">
        <f>DATE(C1130, CHOOSE(MATCH(UPPER(B1130), {"ENERO","FEBRERO","MARZO","ABRIL","MAYO","JUNIO","JULIO","AGOSTO","SEPTIEMBRE","OCTUBRE","NOVIEMBRE","DICIEMBRE"}, 0), 1,2,3,4,5,6,7,8,9,10,11,12), A1130)</f>
        <v>44626</v>
      </c>
      <c r="H1130">
        <v>46.5</v>
      </c>
      <c r="I1130">
        <v>48000</v>
      </c>
      <c r="J1130" s="1">
        <f t="shared" si="35"/>
        <v>44595</v>
      </c>
      <c r="K1130">
        <f t="shared" si="34"/>
        <v>21.875</v>
      </c>
    </row>
    <row r="1131" spans="1:11" x14ac:dyDescent="0.25">
      <c r="A1131">
        <v>7</v>
      </c>
      <c r="B1131" t="s">
        <v>12</v>
      </c>
      <c r="C1131">
        <v>2022</v>
      </c>
      <c r="D1131">
        <v>116.5</v>
      </c>
      <c r="E1131">
        <v>50</v>
      </c>
      <c r="F1131">
        <v>144.75</v>
      </c>
      <c r="G1131" s="1">
        <f>DATE(C1131, CHOOSE(MATCH(UPPER(B1131), {"ENERO","FEBRERO","MARZO","ABRIL","MAYO","JUNIO","JULIO","AGOSTO","SEPTIEMBRE","OCTUBRE","NOVIEMBRE","DICIEMBRE"}, 0), 1,2,3,4,5,6,7,8,9,10,11,12), A1131)</f>
        <v>44627</v>
      </c>
      <c r="H1131">
        <v>21.75</v>
      </c>
      <c r="I1131">
        <v>48000</v>
      </c>
      <c r="J1131" s="1">
        <f t="shared" si="35"/>
        <v>44596</v>
      </c>
      <c r="K1131">
        <f t="shared" si="34"/>
        <v>40.375</v>
      </c>
    </row>
    <row r="1132" spans="1:11" x14ac:dyDescent="0.25">
      <c r="A1132">
        <v>8</v>
      </c>
      <c r="B1132" t="s">
        <v>12</v>
      </c>
      <c r="C1132">
        <v>2022</v>
      </c>
      <c r="D1132">
        <v>144.75</v>
      </c>
      <c r="E1132" t="s">
        <v>9</v>
      </c>
      <c r="F1132">
        <v>89</v>
      </c>
      <c r="G1132" s="1">
        <f>DATE(C1132, CHOOSE(MATCH(UPPER(B1132), {"ENERO","FEBRERO","MARZO","ABRIL","MAYO","JUNIO","JULIO","AGOSTO","SEPTIEMBRE","OCTUBRE","NOVIEMBRE","DICIEMBRE"}, 0), 1,2,3,4,5,6,7,8,9,10,11,12), A1132)</f>
        <v>44628</v>
      </c>
      <c r="H1132">
        <v>55.75</v>
      </c>
      <c r="I1132">
        <v>48000</v>
      </c>
      <c r="J1132" s="1">
        <f t="shared" si="35"/>
        <v>44597</v>
      </c>
      <c r="K1132">
        <f t="shared" si="34"/>
        <v>39.5</v>
      </c>
    </row>
    <row r="1133" spans="1:11" x14ac:dyDescent="0.25">
      <c r="A1133">
        <v>9</v>
      </c>
      <c r="B1133" t="s">
        <v>12</v>
      </c>
      <c r="C1133">
        <v>2022</v>
      </c>
      <c r="D1133">
        <v>89</v>
      </c>
      <c r="E1133">
        <v>90</v>
      </c>
      <c r="F1133">
        <v>152.125</v>
      </c>
      <c r="G1133" s="1">
        <f>DATE(C1133, CHOOSE(MATCH(UPPER(B1133), {"ENERO","FEBRERO","MARZO","ABRIL","MAYO","JUNIO","JULIO","AGOSTO","SEPTIEMBRE","OCTUBRE","NOVIEMBRE","DICIEMBRE"}, 0), 1,2,3,4,5,6,7,8,9,10,11,12), A1133)</f>
        <v>44629</v>
      </c>
      <c r="H1133">
        <v>26.875</v>
      </c>
      <c r="I1133">
        <v>48000</v>
      </c>
      <c r="J1133" s="1">
        <f t="shared" si="35"/>
        <v>44598</v>
      </c>
      <c r="K1133">
        <f t="shared" si="34"/>
        <v>52.125</v>
      </c>
    </row>
    <row r="1134" spans="1:11" x14ac:dyDescent="0.25">
      <c r="A1134">
        <v>10</v>
      </c>
      <c r="B1134" t="s">
        <v>12</v>
      </c>
      <c r="C1134">
        <v>2022</v>
      </c>
      <c r="D1134">
        <v>152.125</v>
      </c>
      <c r="E1134" t="s">
        <v>9</v>
      </c>
      <c r="F1134">
        <v>121.5</v>
      </c>
      <c r="G1134" s="1">
        <f>DATE(C1134, CHOOSE(MATCH(UPPER(B1134), {"ENERO","FEBRERO","MARZO","ABRIL","MAYO","JUNIO","JULIO","AGOSTO","SEPTIEMBRE","OCTUBRE","NOVIEMBRE","DICIEMBRE"}, 0), 1,2,3,4,5,6,7,8,9,10,11,12), A1134)</f>
        <v>44630</v>
      </c>
      <c r="H1134">
        <v>30.625</v>
      </c>
      <c r="I1134">
        <v>48000</v>
      </c>
      <c r="J1134" s="1">
        <f t="shared" si="35"/>
        <v>44599</v>
      </c>
      <c r="K1134">
        <f t="shared" si="34"/>
        <v>22</v>
      </c>
    </row>
    <row r="1135" spans="1:11" x14ac:dyDescent="0.25">
      <c r="A1135">
        <v>11</v>
      </c>
      <c r="B1135" t="s">
        <v>12</v>
      </c>
      <c r="C1135">
        <v>2022</v>
      </c>
      <c r="D1135">
        <v>121.5</v>
      </c>
      <c r="E1135" t="s">
        <v>9</v>
      </c>
      <c r="F1135">
        <v>55.5</v>
      </c>
      <c r="G1135" s="1">
        <f>DATE(C1135, CHOOSE(MATCH(UPPER(B1135), {"ENERO","FEBRERO","MARZO","ABRIL","MAYO","JUNIO","JULIO","AGOSTO","SEPTIEMBRE","OCTUBRE","NOVIEMBRE","DICIEMBRE"}, 0), 1,2,3,4,5,6,7,8,9,10,11,12), A1135)</f>
        <v>44631</v>
      </c>
      <c r="H1135">
        <v>66</v>
      </c>
      <c r="I1135">
        <v>48000</v>
      </c>
      <c r="J1135" s="1">
        <f t="shared" si="35"/>
        <v>44600</v>
      </c>
      <c r="K1135">
        <f t="shared" si="34"/>
        <v>21.625</v>
      </c>
    </row>
    <row r="1136" spans="1:11" x14ac:dyDescent="0.25">
      <c r="A1136">
        <v>12</v>
      </c>
      <c r="B1136" t="s">
        <v>12</v>
      </c>
      <c r="C1136">
        <v>2022</v>
      </c>
      <c r="D1136">
        <v>55.5</v>
      </c>
      <c r="E1136">
        <v>90</v>
      </c>
      <c r="F1136">
        <v>86.25</v>
      </c>
      <c r="G1136" s="1">
        <f>DATE(C1136, CHOOSE(MATCH(UPPER(B1136), {"ENERO","FEBRERO","MARZO","ABRIL","MAYO","JUNIO","JULIO","AGOSTO","SEPTIEMBRE","OCTUBRE","NOVIEMBRE","DICIEMBRE"}, 0), 1,2,3,4,5,6,7,8,9,10,11,12), A1136)</f>
        <v>44632</v>
      </c>
      <c r="H1136">
        <v>59.25</v>
      </c>
      <c r="I1136">
        <v>48000</v>
      </c>
      <c r="J1136" s="1">
        <f t="shared" si="35"/>
        <v>44601</v>
      </c>
      <c r="K1136">
        <f t="shared" si="34"/>
        <v>30.75</v>
      </c>
    </row>
    <row r="1137" spans="1:11" x14ac:dyDescent="0.25">
      <c r="A1137">
        <v>13</v>
      </c>
      <c r="B1137" t="s">
        <v>12</v>
      </c>
      <c r="C1137">
        <v>2022</v>
      </c>
      <c r="D1137">
        <v>86.25</v>
      </c>
      <c r="E1137" t="s">
        <v>9</v>
      </c>
      <c r="F1137">
        <v>34</v>
      </c>
      <c r="G1137" s="1">
        <f>DATE(C1137, CHOOSE(MATCH(UPPER(B1137), {"ENERO","FEBRERO","MARZO","ABRIL","MAYO","JUNIO","JULIO","AGOSTO","SEPTIEMBRE","OCTUBRE","NOVIEMBRE","DICIEMBRE"}, 0), 1,2,3,4,5,6,7,8,9,10,11,12), A1137)</f>
        <v>44633</v>
      </c>
      <c r="H1137">
        <v>52.25</v>
      </c>
      <c r="I1137">
        <v>48000</v>
      </c>
      <c r="J1137" s="1">
        <f t="shared" si="35"/>
        <v>44602</v>
      </c>
      <c r="K1137">
        <f t="shared" si="34"/>
        <v>24.75</v>
      </c>
    </row>
    <row r="1138" spans="1:11" x14ac:dyDescent="0.25">
      <c r="A1138">
        <v>14</v>
      </c>
      <c r="B1138" t="s">
        <v>12</v>
      </c>
      <c r="C1138">
        <v>2022</v>
      </c>
      <c r="D1138">
        <v>34</v>
      </c>
      <c r="E1138">
        <v>60</v>
      </c>
      <c r="F1138">
        <v>79</v>
      </c>
      <c r="G1138" s="1">
        <f>DATE(C1138, CHOOSE(MATCH(UPPER(B1138), {"ENERO","FEBRERO","MARZO","ABRIL","MAYO","JUNIO","JULIO","AGOSTO","SEPTIEMBRE","OCTUBRE","NOVIEMBRE","DICIEMBRE"}, 0), 1,2,3,4,5,6,7,8,9,10,11,12), A1138)</f>
        <v>44634</v>
      </c>
      <c r="H1138">
        <v>15</v>
      </c>
      <c r="I1138">
        <v>48000</v>
      </c>
      <c r="J1138" s="1">
        <f t="shared" si="35"/>
        <v>44603</v>
      </c>
      <c r="K1138">
        <f t="shared" si="34"/>
        <v>46.375</v>
      </c>
    </row>
    <row r="1139" spans="1:11" x14ac:dyDescent="0.25">
      <c r="A1139">
        <v>15</v>
      </c>
      <c r="B1139" t="s">
        <v>12</v>
      </c>
      <c r="C1139">
        <v>2022</v>
      </c>
      <c r="D1139">
        <v>79</v>
      </c>
      <c r="E1139" t="s">
        <v>9</v>
      </c>
      <c r="F1139">
        <v>48.625</v>
      </c>
      <c r="G1139" s="1">
        <f>DATE(C1139, CHOOSE(MATCH(UPPER(B1139), {"ENERO","FEBRERO","MARZO","ABRIL","MAYO","JUNIO","JULIO","AGOSTO","SEPTIEMBRE","OCTUBRE","NOVIEMBRE","DICIEMBRE"}, 0), 1,2,3,4,5,6,7,8,9,10,11,12), A1139)</f>
        <v>44635</v>
      </c>
      <c r="H1139">
        <v>30.375</v>
      </c>
      <c r="I1139">
        <v>48000</v>
      </c>
      <c r="J1139" s="1">
        <f t="shared" si="35"/>
        <v>44604</v>
      </c>
      <c r="K1139">
        <f t="shared" si="34"/>
        <v>56.75</v>
      </c>
    </row>
    <row r="1140" spans="1:11" x14ac:dyDescent="0.25">
      <c r="A1140">
        <v>16</v>
      </c>
      <c r="B1140" t="s">
        <v>12</v>
      </c>
      <c r="C1140">
        <v>2022</v>
      </c>
      <c r="D1140">
        <v>48.625</v>
      </c>
      <c r="E1140">
        <v>90</v>
      </c>
      <c r="F1140">
        <v>105.625</v>
      </c>
      <c r="G1140" s="1">
        <f>DATE(C1140, CHOOSE(MATCH(UPPER(B1140), {"ENERO","FEBRERO","MARZO","ABRIL","MAYO","JUNIO","JULIO","AGOSTO","SEPTIEMBRE","OCTUBRE","NOVIEMBRE","DICIEMBRE"}, 0), 1,2,3,4,5,6,7,8,9,10,11,12), A1140)</f>
        <v>44636</v>
      </c>
      <c r="H1140">
        <v>33</v>
      </c>
      <c r="I1140">
        <v>48000</v>
      </c>
      <c r="J1140" s="1">
        <f t="shared" si="35"/>
        <v>44605</v>
      </c>
      <c r="K1140">
        <f t="shared" si="34"/>
        <v>34.75</v>
      </c>
    </row>
    <row r="1141" spans="1:11" x14ac:dyDescent="0.25">
      <c r="A1141">
        <v>17</v>
      </c>
      <c r="B1141" t="s">
        <v>12</v>
      </c>
      <c r="C1141">
        <v>2022</v>
      </c>
      <c r="D1141">
        <v>105.625</v>
      </c>
      <c r="E1141" t="s">
        <v>9</v>
      </c>
      <c r="F1141">
        <v>79</v>
      </c>
      <c r="G1141" s="1">
        <f>DATE(C1141, CHOOSE(MATCH(UPPER(B1141), {"ENERO","FEBRERO","MARZO","ABRIL","MAYO","JUNIO","JULIO","AGOSTO","SEPTIEMBRE","OCTUBRE","NOVIEMBRE","DICIEMBRE"}, 0), 1,2,3,4,5,6,7,8,9,10,11,12), A1141)</f>
        <v>44637</v>
      </c>
      <c r="H1141">
        <v>26.625</v>
      </c>
      <c r="I1141">
        <v>48000</v>
      </c>
      <c r="J1141" s="1">
        <f t="shared" si="35"/>
        <v>44606</v>
      </c>
      <c r="K1141">
        <f t="shared" si="34"/>
        <v>36.25</v>
      </c>
    </row>
    <row r="1142" spans="1:11" x14ac:dyDescent="0.25">
      <c r="A1142">
        <v>18</v>
      </c>
      <c r="B1142" t="s">
        <v>12</v>
      </c>
      <c r="C1142">
        <v>2022</v>
      </c>
      <c r="D1142">
        <v>79</v>
      </c>
      <c r="E1142" t="s">
        <v>9</v>
      </c>
      <c r="F1142">
        <v>40.75</v>
      </c>
      <c r="G1142" s="1">
        <f>DATE(C1142, CHOOSE(MATCH(UPPER(B1142), {"ENERO","FEBRERO","MARZO","ABRIL","MAYO","JUNIO","JULIO","AGOSTO","SEPTIEMBRE","OCTUBRE","NOVIEMBRE","DICIEMBRE"}, 0), 1,2,3,4,5,6,7,8,9,10,11,12), A1142)</f>
        <v>44638</v>
      </c>
      <c r="H1142">
        <v>38.25</v>
      </c>
      <c r="I1142">
        <v>48000</v>
      </c>
      <c r="J1142" s="1">
        <f t="shared" si="35"/>
        <v>44607</v>
      </c>
      <c r="K1142">
        <f t="shared" si="34"/>
        <v>27.375</v>
      </c>
    </row>
    <row r="1143" spans="1:11" x14ac:dyDescent="0.25">
      <c r="A1143">
        <v>19</v>
      </c>
      <c r="B1143" t="s">
        <v>12</v>
      </c>
      <c r="C1143">
        <v>2022</v>
      </c>
      <c r="D1143">
        <v>40.75</v>
      </c>
      <c r="E1143">
        <v>150</v>
      </c>
      <c r="F1143">
        <v>142</v>
      </c>
      <c r="G1143" s="1">
        <f>DATE(C1143, CHOOSE(MATCH(UPPER(B1143), {"ENERO","FEBRERO","MARZO","ABRIL","MAYO","JUNIO","JULIO","AGOSTO","SEPTIEMBRE","OCTUBRE","NOVIEMBRE","DICIEMBRE"}, 0), 1,2,3,4,5,6,7,8,9,10,11,12), A1143)</f>
        <v>44639</v>
      </c>
      <c r="H1143">
        <v>48.75</v>
      </c>
      <c r="I1143">
        <v>48000</v>
      </c>
      <c r="J1143" s="1">
        <f t="shared" si="35"/>
        <v>44608</v>
      </c>
      <c r="K1143">
        <f t="shared" si="34"/>
        <v>31.375</v>
      </c>
    </row>
    <row r="1144" spans="1:11" x14ac:dyDescent="0.25">
      <c r="A1144">
        <v>20</v>
      </c>
      <c r="B1144" t="s">
        <v>12</v>
      </c>
      <c r="C1144">
        <v>2022</v>
      </c>
      <c r="D1144">
        <v>142</v>
      </c>
      <c r="E1144" t="s">
        <v>9</v>
      </c>
      <c r="F1144">
        <v>77.5</v>
      </c>
      <c r="G1144" s="1">
        <f>DATE(C1144, CHOOSE(MATCH(UPPER(B1144), {"ENERO","FEBRERO","MARZO","ABRIL","MAYO","JUNIO","JULIO","AGOSTO","SEPTIEMBRE","OCTUBRE","NOVIEMBRE","DICIEMBRE"}, 0), 1,2,3,4,5,6,7,8,9,10,11,12), A1144)</f>
        <v>44640</v>
      </c>
      <c r="H1144">
        <v>64.5</v>
      </c>
      <c r="I1144">
        <v>48000</v>
      </c>
      <c r="J1144" s="1">
        <f t="shared" si="35"/>
        <v>44609</v>
      </c>
      <c r="K1144">
        <f t="shared" si="34"/>
        <v>18.75</v>
      </c>
    </row>
    <row r="1145" spans="1:11" x14ac:dyDescent="0.25">
      <c r="A1145">
        <v>21</v>
      </c>
      <c r="B1145" t="s">
        <v>12</v>
      </c>
      <c r="C1145">
        <v>2022</v>
      </c>
      <c r="D1145">
        <v>77.5</v>
      </c>
      <c r="E1145">
        <v>30</v>
      </c>
      <c r="F1145">
        <v>61</v>
      </c>
      <c r="G1145" s="1">
        <f>DATE(C1145, CHOOSE(MATCH(UPPER(B1145), {"ENERO","FEBRERO","MARZO","ABRIL","MAYO","JUNIO","JULIO","AGOSTO","SEPTIEMBRE","OCTUBRE","NOVIEMBRE","DICIEMBRE"}, 0), 1,2,3,4,5,6,7,8,9,10,11,12), A1145)</f>
        <v>44641</v>
      </c>
      <c r="H1145">
        <v>46.5</v>
      </c>
      <c r="I1145">
        <v>48000</v>
      </c>
      <c r="J1145" s="1">
        <f t="shared" si="35"/>
        <v>44610</v>
      </c>
      <c r="K1145">
        <f t="shared" si="34"/>
        <v>32.75</v>
      </c>
    </row>
    <row r="1146" spans="1:11" x14ac:dyDescent="0.25">
      <c r="A1146">
        <v>22</v>
      </c>
      <c r="B1146" t="s">
        <v>12</v>
      </c>
      <c r="C1146">
        <v>2022</v>
      </c>
      <c r="D1146">
        <v>61</v>
      </c>
      <c r="E1146">
        <v>130</v>
      </c>
      <c r="F1146">
        <v>178.875</v>
      </c>
      <c r="G1146" s="1">
        <f>DATE(C1146, CHOOSE(MATCH(UPPER(B1146), {"ENERO","FEBRERO","MARZO","ABRIL","MAYO","JUNIO","JULIO","AGOSTO","SEPTIEMBRE","OCTUBRE","NOVIEMBRE","DICIEMBRE"}, 0), 1,2,3,4,5,6,7,8,9,10,11,12), A1146)</f>
        <v>44642</v>
      </c>
      <c r="H1146">
        <v>12.125</v>
      </c>
      <c r="I1146">
        <v>48000</v>
      </c>
      <c r="J1146" s="1">
        <f t="shared" si="35"/>
        <v>44611</v>
      </c>
      <c r="K1146">
        <f t="shared" si="34"/>
        <v>38.75</v>
      </c>
    </row>
    <row r="1147" spans="1:11" x14ac:dyDescent="0.25">
      <c r="A1147">
        <v>23</v>
      </c>
      <c r="B1147" t="s">
        <v>12</v>
      </c>
      <c r="C1147">
        <v>2022</v>
      </c>
      <c r="D1147">
        <v>178.875</v>
      </c>
      <c r="E1147" t="s">
        <v>9</v>
      </c>
      <c r="F1147">
        <v>154.125</v>
      </c>
      <c r="G1147" s="1">
        <f>DATE(C1147, CHOOSE(MATCH(UPPER(B1147), {"ENERO","FEBRERO","MARZO","ABRIL","MAYO","JUNIO","JULIO","AGOSTO","SEPTIEMBRE","OCTUBRE","NOVIEMBRE","DICIEMBRE"}, 0), 1,2,3,4,5,6,7,8,9,10,11,12), A1147)</f>
        <v>44643</v>
      </c>
      <c r="H1147">
        <v>24.75</v>
      </c>
      <c r="I1147">
        <v>48000</v>
      </c>
      <c r="J1147" s="1">
        <f t="shared" si="35"/>
        <v>44612</v>
      </c>
      <c r="K1147">
        <f t="shared" si="34"/>
        <v>34.375</v>
      </c>
    </row>
    <row r="1148" spans="1:11" x14ac:dyDescent="0.25">
      <c r="A1148">
        <v>24</v>
      </c>
      <c r="B1148" t="s">
        <v>12</v>
      </c>
      <c r="C1148">
        <v>2022</v>
      </c>
      <c r="D1148">
        <v>154.125</v>
      </c>
      <c r="E1148" t="s">
        <v>9</v>
      </c>
      <c r="F1148">
        <v>139.25</v>
      </c>
      <c r="G1148" s="1">
        <f>DATE(C1148, CHOOSE(MATCH(UPPER(B1148), {"ENERO","FEBRERO","MARZO","ABRIL","MAYO","JUNIO","JULIO","AGOSTO","SEPTIEMBRE","OCTUBRE","NOVIEMBRE","DICIEMBRE"}, 0), 1,2,3,4,5,6,7,8,9,10,11,12), A1148)</f>
        <v>44644</v>
      </c>
      <c r="H1148">
        <v>14.875</v>
      </c>
      <c r="I1148">
        <v>48000</v>
      </c>
      <c r="J1148" s="1">
        <f t="shared" si="35"/>
        <v>44613</v>
      </c>
      <c r="K1148">
        <f t="shared" si="34"/>
        <v>16.875</v>
      </c>
    </row>
    <row r="1149" spans="1:11" x14ac:dyDescent="0.25">
      <c r="A1149">
        <v>25</v>
      </c>
      <c r="B1149" t="s">
        <v>12</v>
      </c>
      <c r="C1149">
        <v>2022</v>
      </c>
      <c r="D1149">
        <v>139.25</v>
      </c>
      <c r="E1149" t="s">
        <v>9</v>
      </c>
      <c r="F1149">
        <v>108.75</v>
      </c>
      <c r="G1149" s="1">
        <f>DATE(C1149, CHOOSE(MATCH(UPPER(B1149), {"ENERO","FEBRERO","MARZO","ABRIL","MAYO","JUNIO","JULIO","AGOSTO","SEPTIEMBRE","OCTUBRE","NOVIEMBRE","DICIEMBRE"}, 0), 1,2,3,4,5,6,7,8,9,10,11,12), A1149)</f>
        <v>44645</v>
      </c>
      <c r="H1149">
        <v>30.5</v>
      </c>
      <c r="I1149">
        <v>48000</v>
      </c>
      <c r="J1149" s="1">
        <f t="shared" si="35"/>
        <v>44614</v>
      </c>
      <c r="K1149">
        <f t="shared" si="34"/>
        <v>18.75</v>
      </c>
    </row>
    <row r="1150" spans="1:11" x14ac:dyDescent="0.25">
      <c r="A1150">
        <v>26</v>
      </c>
      <c r="B1150" t="s">
        <v>12</v>
      </c>
      <c r="C1150">
        <v>2022</v>
      </c>
      <c r="D1150">
        <v>108.75</v>
      </c>
      <c r="E1150">
        <v>90</v>
      </c>
      <c r="F1150">
        <v>143.25</v>
      </c>
      <c r="G1150" s="1">
        <f>DATE(C1150, CHOOSE(MATCH(UPPER(B1150), {"ENERO","FEBRERO","MARZO","ABRIL","MAYO","JUNIO","JULIO","AGOSTO","SEPTIEMBRE","OCTUBRE","NOVIEMBRE","DICIEMBRE"}, 0), 1,2,3,4,5,6,7,8,9,10,11,12), A1150)</f>
        <v>44646</v>
      </c>
      <c r="H1150">
        <v>55.5</v>
      </c>
      <c r="I1150">
        <v>48000</v>
      </c>
      <c r="J1150" s="1">
        <f t="shared" si="35"/>
        <v>44615</v>
      </c>
      <c r="K1150">
        <f t="shared" si="34"/>
        <v>23.25</v>
      </c>
    </row>
    <row r="1151" spans="1:11" x14ac:dyDescent="0.25">
      <c r="A1151">
        <v>27</v>
      </c>
      <c r="B1151" t="s">
        <v>12</v>
      </c>
      <c r="C1151">
        <v>2022</v>
      </c>
      <c r="D1151">
        <v>143.25</v>
      </c>
      <c r="E1151" t="s">
        <v>9</v>
      </c>
      <c r="F1151">
        <v>93.125</v>
      </c>
      <c r="G1151" s="1">
        <f>DATE(C1151, CHOOSE(MATCH(UPPER(B1151), {"ENERO","FEBRERO","MARZO","ABRIL","MAYO","JUNIO","JULIO","AGOSTO","SEPTIEMBRE","OCTUBRE","NOVIEMBRE","DICIEMBRE"}, 0), 1,2,3,4,5,6,7,8,9,10,11,12), A1151)</f>
        <v>44647</v>
      </c>
      <c r="H1151">
        <v>50.125</v>
      </c>
      <c r="I1151">
        <v>48000</v>
      </c>
      <c r="J1151" s="1">
        <f t="shared" si="35"/>
        <v>44616</v>
      </c>
      <c r="K1151">
        <f t="shared" si="34"/>
        <v>16.375</v>
      </c>
    </row>
    <row r="1152" spans="1:11" x14ac:dyDescent="0.25">
      <c r="A1152">
        <v>28</v>
      </c>
      <c r="B1152" t="s">
        <v>12</v>
      </c>
      <c r="C1152">
        <v>2022</v>
      </c>
      <c r="D1152">
        <v>93.125</v>
      </c>
      <c r="E1152" t="s">
        <v>9</v>
      </c>
      <c r="F1152">
        <v>73</v>
      </c>
      <c r="G1152" s="1">
        <f>DATE(C1152, CHOOSE(MATCH(UPPER(B1152), {"ENERO","FEBRERO","MARZO","ABRIL","MAYO","JUNIO","JULIO","AGOSTO","SEPTIEMBRE","OCTUBRE","NOVIEMBRE","DICIEMBRE"}, 0), 1,2,3,4,5,6,7,8,9,10,11,12), A1152)</f>
        <v>44648</v>
      </c>
      <c r="H1152">
        <v>20.125</v>
      </c>
      <c r="I1152">
        <v>48000</v>
      </c>
      <c r="J1152" s="1">
        <f t="shared" si="35"/>
        <v>44617</v>
      </c>
      <c r="K1152">
        <f t="shared" si="34"/>
        <v>47.625</v>
      </c>
    </row>
    <row r="1153" spans="1:11" x14ac:dyDescent="0.25">
      <c r="A1153">
        <v>29</v>
      </c>
      <c r="B1153" t="s">
        <v>12</v>
      </c>
      <c r="C1153">
        <v>2022</v>
      </c>
      <c r="D1153">
        <v>73</v>
      </c>
      <c r="E1153" t="s">
        <v>9</v>
      </c>
      <c r="F1153">
        <v>43.75</v>
      </c>
      <c r="G1153" s="1">
        <f>DATE(C1153, CHOOSE(MATCH(UPPER(B1153), {"ENERO","FEBRERO","MARZO","ABRIL","MAYO","JUNIO","JULIO","AGOSTO","SEPTIEMBRE","OCTUBRE","NOVIEMBRE","DICIEMBRE"}, 0), 1,2,3,4,5,6,7,8,9,10,11,12), A1153)</f>
        <v>44649</v>
      </c>
      <c r="H1153">
        <v>29.25</v>
      </c>
      <c r="I1153">
        <v>48000</v>
      </c>
      <c r="J1153" s="1">
        <f t="shared" si="35"/>
        <v>44618</v>
      </c>
      <c r="K1153">
        <f t="shared" si="34"/>
        <v>49</v>
      </c>
    </row>
    <row r="1154" spans="1:11" x14ac:dyDescent="0.25">
      <c r="A1154">
        <v>30</v>
      </c>
      <c r="B1154" t="s">
        <v>12</v>
      </c>
      <c r="C1154">
        <v>2022</v>
      </c>
      <c r="D1154">
        <v>43.75</v>
      </c>
      <c r="E1154">
        <v>60</v>
      </c>
      <c r="F1154">
        <v>76.5</v>
      </c>
      <c r="G1154" s="1">
        <f>DATE(C1154, CHOOSE(MATCH(UPPER(B1154), {"ENERO","FEBRERO","MARZO","ABRIL","MAYO","JUNIO","JULIO","AGOSTO","SEPTIEMBRE","OCTUBRE","NOVIEMBRE","DICIEMBRE"}, 0), 1,2,3,4,5,6,7,8,9,10,11,12), A1154)</f>
        <v>44650</v>
      </c>
      <c r="H1154">
        <v>27.25</v>
      </c>
      <c r="I1154">
        <v>48000</v>
      </c>
      <c r="J1154" s="1">
        <f t="shared" si="35"/>
        <v>44619</v>
      </c>
      <c r="K1154">
        <f t="shared" si="34"/>
        <v>59.5</v>
      </c>
    </row>
    <row r="1155" spans="1:11" x14ac:dyDescent="0.25">
      <c r="A1155">
        <v>31</v>
      </c>
      <c r="B1155" t="s">
        <v>12</v>
      </c>
      <c r="C1155">
        <v>2022</v>
      </c>
      <c r="D1155">
        <v>76.5</v>
      </c>
      <c r="E1155" t="s">
        <v>9</v>
      </c>
      <c r="F1155">
        <v>54</v>
      </c>
      <c r="G1155" s="1">
        <f>DATE(C1155, CHOOSE(MATCH(UPPER(B1155), {"ENERO","FEBRERO","MARZO","ABRIL","MAYO","JUNIO","JULIO","AGOSTO","SEPTIEMBRE","OCTUBRE","NOVIEMBRE","DICIEMBRE"}, 0), 1,2,3,4,5,6,7,8,9,10,11,12), A1155)</f>
        <v>44651</v>
      </c>
      <c r="H1155">
        <v>22.5</v>
      </c>
      <c r="I1155">
        <v>48000</v>
      </c>
      <c r="J1155" s="1">
        <f t="shared" si="35"/>
        <v>44620</v>
      </c>
      <c r="K1155">
        <f t="shared" ref="K1155:K1218" si="36">VLOOKUP(J1155, G:H, 2, FALSE)</f>
        <v>31.75</v>
      </c>
    </row>
    <row r="1156" spans="1:11" x14ac:dyDescent="0.25">
      <c r="A1156">
        <v>1</v>
      </c>
      <c r="B1156" t="s">
        <v>13</v>
      </c>
      <c r="C1156">
        <v>2022</v>
      </c>
      <c r="D1156">
        <v>54</v>
      </c>
      <c r="E1156">
        <v>30</v>
      </c>
      <c r="F1156">
        <v>45.5</v>
      </c>
      <c r="G1156" s="1">
        <f>DATE(C1156, CHOOSE(MATCH(UPPER(B1156), {"ENERO","FEBRERO","MARZO","ABRIL","MAYO","JUNIO","JULIO","AGOSTO","SEPTIEMBRE","OCTUBRE","NOVIEMBRE","DICIEMBRE"}, 0), 1,2,3,4,5,6,7,8,9,10,11,12), A1156)</f>
        <v>44652</v>
      </c>
      <c r="H1156">
        <v>38.5</v>
      </c>
      <c r="I1156">
        <v>48000</v>
      </c>
      <c r="J1156" s="1">
        <f t="shared" si="35"/>
        <v>44621</v>
      </c>
      <c r="K1156">
        <f t="shared" si="36"/>
        <v>21.125</v>
      </c>
    </row>
    <row r="1157" spans="1:11" x14ac:dyDescent="0.25">
      <c r="A1157">
        <v>2</v>
      </c>
      <c r="B1157" t="s">
        <v>13</v>
      </c>
      <c r="C1157">
        <v>2022</v>
      </c>
      <c r="D1157">
        <v>45.5</v>
      </c>
      <c r="E1157">
        <v>120</v>
      </c>
      <c r="F1157">
        <v>114.125</v>
      </c>
      <c r="G1157" s="1">
        <f>DATE(C1157, CHOOSE(MATCH(UPPER(B1157), {"ENERO","FEBRERO","MARZO","ABRIL","MAYO","JUNIO","JULIO","AGOSTO","SEPTIEMBRE","OCTUBRE","NOVIEMBRE","DICIEMBRE"}, 0), 1,2,3,4,5,6,7,8,9,10,11,12), A1157)</f>
        <v>44653</v>
      </c>
      <c r="H1157">
        <v>51.375</v>
      </c>
      <c r="I1157">
        <v>48000</v>
      </c>
      <c r="J1157" s="1">
        <f t="shared" ref="J1157:J1220" si="37">DATE(2019,1,1) + ROW()-1</f>
        <v>44622</v>
      </c>
      <c r="K1157">
        <f t="shared" si="36"/>
        <v>20.625</v>
      </c>
    </row>
    <row r="1158" spans="1:11" x14ac:dyDescent="0.25">
      <c r="A1158">
        <v>3</v>
      </c>
      <c r="B1158" t="s">
        <v>13</v>
      </c>
      <c r="C1158">
        <v>2022</v>
      </c>
      <c r="D1158">
        <v>114.125</v>
      </c>
      <c r="E1158" t="s">
        <v>9</v>
      </c>
      <c r="F1158">
        <v>51</v>
      </c>
      <c r="G1158" s="1">
        <f>DATE(C1158, CHOOSE(MATCH(UPPER(B1158), {"ENERO","FEBRERO","MARZO","ABRIL","MAYO","JUNIO","JULIO","AGOSTO","SEPTIEMBRE","OCTUBRE","NOVIEMBRE","DICIEMBRE"}, 0), 1,2,3,4,5,6,7,8,9,10,11,12), A1158)</f>
        <v>44654</v>
      </c>
      <c r="H1158">
        <v>63.125</v>
      </c>
      <c r="I1158">
        <v>48000</v>
      </c>
      <c r="J1158" s="1">
        <f t="shared" si="37"/>
        <v>44623</v>
      </c>
      <c r="K1158">
        <f t="shared" si="36"/>
        <v>22.875</v>
      </c>
    </row>
    <row r="1159" spans="1:11" x14ac:dyDescent="0.25">
      <c r="A1159">
        <v>4</v>
      </c>
      <c r="B1159" t="s">
        <v>13</v>
      </c>
      <c r="C1159">
        <v>2022</v>
      </c>
      <c r="D1159">
        <v>51</v>
      </c>
      <c r="E1159">
        <v>50</v>
      </c>
      <c r="F1159">
        <v>78.75</v>
      </c>
      <c r="G1159" s="1">
        <f>DATE(C1159, CHOOSE(MATCH(UPPER(B1159), {"ENERO","FEBRERO","MARZO","ABRIL","MAYO","JUNIO","JULIO","AGOSTO","SEPTIEMBRE","OCTUBRE","NOVIEMBRE","DICIEMBRE"}, 0), 1,2,3,4,5,6,7,8,9,10,11,12), A1159)</f>
        <v>44655</v>
      </c>
      <c r="H1159">
        <v>22.25</v>
      </c>
      <c r="I1159">
        <v>48000</v>
      </c>
      <c r="J1159" s="1">
        <f t="shared" si="37"/>
        <v>44624</v>
      </c>
      <c r="K1159">
        <f t="shared" si="36"/>
        <v>39</v>
      </c>
    </row>
    <row r="1160" spans="1:11" x14ac:dyDescent="0.25">
      <c r="A1160">
        <v>5</v>
      </c>
      <c r="B1160" t="s">
        <v>13</v>
      </c>
      <c r="C1160">
        <v>2022</v>
      </c>
      <c r="D1160">
        <v>78.75</v>
      </c>
      <c r="E1160" t="s">
        <v>9</v>
      </c>
      <c r="F1160">
        <v>55.375</v>
      </c>
      <c r="G1160" s="1">
        <f>DATE(C1160, CHOOSE(MATCH(UPPER(B1160), {"ENERO","FEBRERO","MARZO","ABRIL","MAYO","JUNIO","JULIO","AGOSTO","SEPTIEMBRE","OCTUBRE","NOVIEMBRE","DICIEMBRE"}, 0), 1,2,3,4,5,6,7,8,9,10,11,12), A1160)</f>
        <v>44656</v>
      </c>
      <c r="H1160">
        <v>23.375</v>
      </c>
      <c r="I1160">
        <v>48000</v>
      </c>
      <c r="J1160" s="1">
        <f t="shared" si="37"/>
        <v>44625</v>
      </c>
      <c r="K1160">
        <f t="shared" si="36"/>
        <v>50.125</v>
      </c>
    </row>
    <row r="1161" spans="1:11" x14ac:dyDescent="0.25">
      <c r="A1161">
        <v>6</v>
      </c>
      <c r="B1161" t="s">
        <v>13</v>
      </c>
      <c r="C1161">
        <v>2022</v>
      </c>
      <c r="D1161">
        <v>55.375</v>
      </c>
      <c r="E1161">
        <v>120</v>
      </c>
      <c r="F1161">
        <v>148.375</v>
      </c>
      <c r="G1161" s="1">
        <f>DATE(C1161, CHOOSE(MATCH(UPPER(B1161), {"ENERO","FEBRERO","MARZO","ABRIL","MAYO","JUNIO","JULIO","AGOSTO","SEPTIEMBRE","OCTUBRE","NOVIEMBRE","DICIEMBRE"}, 0), 1,2,3,4,5,6,7,8,9,10,11,12), A1161)</f>
        <v>44657</v>
      </c>
      <c r="H1161">
        <v>27</v>
      </c>
      <c r="I1161">
        <v>48000</v>
      </c>
      <c r="J1161" s="1">
        <f t="shared" si="37"/>
        <v>44626</v>
      </c>
      <c r="K1161">
        <f t="shared" si="36"/>
        <v>46.5</v>
      </c>
    </row>
    <row r="1162" spans="1:11" x14ac:dyDescent="0.25">
      <c r="A1162">
        <v>7</v>
      </c>
      <c r="B1162" t="s">
        <v>13</v>
      </c>
      <c r="C1162">
        <v>2022</v>
      </c>
      <c r="D1162">
        <v>148.375</v>
      </c>
      <c r="E1162" t="s">
        <v>9</v>
      </c>
      <c r="F1162">
        <v>125.875</v>
      </c>
      <c r="G1162" s="1">
        <f>DATE(C1162, CHOOSE(MATCH(UPPER(B1162), {"ENERO","FEBRERO","MARZO","ABRIL","MAYO","JUNIO","JULIO","AGOSTO","SEPTIEMBRE","OCTUBRE","NOVIEMBRE","DICIEMBRE"}, 0), 1,2,3,4,5,6,7,8,9,10,11,12), A1162)</f>
        <v>44658</v>
      </c>
      <c r="H1162">
        <v>22.5</v>
      </c>
      <c r="I1162">
        <v>48000</v>
      </c>
      <c r="J1162" s="1">
        <f t="shared" si="37"/>
        <v>44627</v>
      </c>
      <c r="K1162">
        <f t="shared" si="36"/>
        <v>21.75</v>
      </c>
    </row>
    <row r="1163" spans="1:11" x14ac:dyDescent="0.25">
      <c r="A1163">
        <v>8</v>
      </c>
      <c r="B1163" t="s">
        <v>13</v>
      </c>
      <c r="C1163">
        <v>2022</v>
      </c>
      <c r="D1163">
        <v>125.875</v>
      </c>
      <c r="E1163" t="s">
        <v>9</v>
      </c>
      <c r="F1163">
        <v>92.875</v>
      </c>
      <c r="G1163" s="1">
        <f>DATE(C1163, CHOOSE(MATCH(UPPER(B1163), {"ENERO","FEBRERO","MARZO","ABRIL","MAYO","JUNIO","JULIO","AGOSTO","SEPTIEMBRE","OCTUBRE","NOVIEMBRE","DICIEMBRE"}, 0), 1,2,3,4,5,6,7,8,9,10,11,12), A1163)</f>
        <v>44659</v>
      </c>
      <c r="H1163">
        <v>33</v>
      </c>
      <c r="I1163">
        <v>48000</v>
      </c>
      <c r="J1163" s="1">
        <f t="shared" si="37"/>
        <v>44628</v>
      </c>
      <c r="K1163">
        <f t="shared" si="36"/>
        <v>55.75</v>
      </c>
    </row>
    <row r="1164" spans="1:11" x14ac:dyDescent="0.25">
      <c r="A1164">
        <v>9</v>
      </c>
      <c r="B1164" t="s">
        <v>13</v>
      </c>
      <c r="C1164">
        <v>2022</v>
      </c>
      <c r="D1164">
        <v>92.875</v>
      </c>
      <c r="E1164">
        <v>150</v>
      </c>
      <c r="F1164">
        <v>184</v>
      </c>
      <c r="G1164" s="1">
        <f>DATE(C1164, CHOOSE(MATCH(UPPER(B1164), {"ENERO","FEBRERO","MARZO","ABRIL","MAYO","JUNIO","JULIO","AGOSTO","SEPTIEMBRE","OCTUBRE","NOVIEMBRE","DICIEMBRE"}, 0), 1,2,3,4,5,6,7,8,9,10,11,12), A1164)</f>
        <v>44660</v>
      </c>
      <c r="H1164">
        <v>58.875</v>
      </c>
      <c r="I1164">
        <v>48000</v>
      </c>
      <c r="J1164" s="1">
        <f t="shared" si="37"/>
        <v>44629</v>
      </c>
      <c r="K1164">
        <f t="shared" si="36"/>
        <v>26.875</v>
      </c>
    </row>
    <row r="1165" spans="1:11" x14ac:dyDescent="0.25">
      <c r="A1165">
        <v>10</v>
      </c>
      <c r="B1165" t="s">
        <v>13</v>
      </c>
      <c r="C1165">
        <v>2022</v>
      </c>
      <c r="D1165">
        <v>184</v>
      </c>
      <c r="E1165" t="s">
        <v>9</v>
      </c>
      <c r="F1165">
        <v>114</v>
      </c>
      <c r="G1165" s="1">
        <f>DATE(C1165, CHOOSE(MATCH(UPPER(B1165), {"ENERO","FEBRERO","MARZO","ABRIL","MAYO","JUNIO","JULIO","AGOSTO","SEPTIEMBRE","OCTUBRE","NOVIEMBRE","DICIEMBRE"}, 0), 1,2,3,4,5,6,7,8,9,10,11,12), A1165)</f>
        <v>44661</v>
      </c>
      <c r="H1165">
        <v>70</v>
      </c>
      <c r="I1165">
        <v>48000</v>
      </c>
      <c r="J1165" s="1">
        <f t="shared" si="37"/>
        <v>44630</v>
      </c>
      <c r="K1165">
        <f t="shared" si="36"/>
        <v>30.625</v>
      </c>
    </row>
    <row r="1166" spans="1:11" x14ac:dyDescent="0.25">
      <c r="A1166">
        <v>11</v>
      </c>
      <c r="B1166" t="s">
        <v>13</v>
      </c>
      <c r="C1166">
        <v>2022</v>
      </c>
      <c r="D1166">
        <v>114</v>
      </c>
      <c r="E1166">
        <v>50</v>
      </c>
      <c r="F1166">
        <v>135.75</v>
      </c>
      <c r="G1166" s="1">
        <f>DATE(C1166, CHOOSE(MATCH(UPPER(B1166), {"ENERO","FEBRERO","MARZO","ABRIL","MAYO","JUNIO","JULIO","AGOSTO","SEPTIEMBRE","OCTUBRE","NOVIEMBRE","DICIEMBRE"}, 0), 1,2,3,4,5,6,7,8,9,10,11,12), A1166)</f>
        <v>44662</v>
      </c>
      <c r="H1166">
        <v>28.25</v>
      </c>
      <c r="I1166">
        <v>48000</v>
      </c>
      <c r="J1166" s="1">
        <f t="shared" si="37"/>
        <v>44631</v>
      </c>
      <c r="K1166">
        <f t="shared" si="36"/>
        <v>66</v>
      </c>
    </row>
    <row r="1167" spans="1:11" x14ac:dyDescent="0.25">
      <c r="A1167">
        <v>12</v>
      </c>
      <c r="B1167" t="s">
        <v>13</v>
      </c>
      <c r="C1167">
        <v>2022</v>
      </c>
      <c r="D1167">
        <v>135.75</v>
      </c>
      <c r="E1167" t="s">
        <v>9</v>
      </c>
      <c r="F1167">
        <v>109.25</v>
      </c>
      <c r="G1167" s="1">
        <f>DATE(C1167, CHOOSE(MATCH(UPPER(B1167), {"ENERO","FEBRERO","MARZO","ABRIL","MAYO","JUNIO","JULIO","AGOSTO","SEPTIEMBRE","OCTUBRE","NOVIEMBRE","DICIEMBRE"}, 0), 1,2,3,4,5,6,7,8,9,10,11,12), A1167)</f>
        <v>44663</v>
      </c>
      <c r="H1167">
        <v>26.5</v>
      </c>
      <c r="I1167">
        <v>48000</v>
      </c>
      <c r="J1167" s="1">
        <f t="shared" si="37"/>
        <v>44632</v>
      </c>
      <c r="K1167">
        <f t="shared" si="36"/>
        <v>59.25</v>
      </c>
    </row>
    <row r="1168" spans="1:11" x14ac:dyDescent="0.25">
      <c r="A1168">
        <v>13</v>
      </c>
      <c r="B1168" t="s">
        <v>13</v>
      </c>
      <c r="C1168">
        <v>2022</v>
      </c>
      <c r="D1168">
        <v>109.25</v>
      </c>
      <c r="E1168">
        <v>90</v>
      </c>
      <c r="F1168">
        <v>157</v>
      </c>
      <c r="G1168" s="1">
        <f>DATE(C1168, CHOOSE(MATCH(UPPER(B1168), {"ENERO","FEBRERO","MARZO","ABRIL","MAYO","JUNIO","JULIO","AGOSTO","SEPTIEMBRE","OCTUBRE","NOVIEMBRE","DICIEMBRE"}, 0), 1,2,3,4,5,6,7,8,9,10,11,12), A1168)</f>
        <v>44664</v>
      </c>
      <c r="H1168">
        <v>42.25</v>
      </c>
      <c r="I1168">
        <v>48000</v>
      </c>
      <c r="J1168" s="1">
        <f t="shared" si="37"/>
        <v>44633</v>
      </c>
      <c r="K1168">
        <f t="shared" si="36"/>
        <v>52.25</v>
      </c>
    </row>
    <row r="1169" spans="1:11" x14ac:dyDescent="0.25">
      <c r="A1169">
        <v>14</v>
      </c>
      <c r="B1169" t="s">
        <v>13</v>
      </c>
      <c r="C1169">
        <v>2022</v>
      </c>
      <c r="D1169">
        <v>157</v>
      </c>
      <c r="E1169" t="s">
        <v>9</v>
      </c>
      <c r="F1169">
        <v>106.125</v>
      </c>
      <c r="G1169" s="1">
        <f>DATE(C1169, CHOOSE(MATCH(UPPER(B1169), {"ENERO","FEBRERO","MARZO","ABRIL","MAYO","JUNIO","JULIO","AGOSTO","SEPTIEMBRE","OCTUBRE","NOVIEMBRE","DICIEMBRE"}, 0), 1,2,3,4,5,6,7,8,9,10,11,12), A1169)</f>
        <v>44665</v>
      </c>
      <c r="H1169">
        <v>50.875</v>
      </c>
      <c r="I1169">
        <v>48000</v>
      </c>
      <c r="J1169" s="1">
        <f t="shared" si="37"/>
        <v>44634</v>
      </c>
      <c r="K1169">
        <f t="shared" si="36"/>
        <v>15</v>
      </c>
    </row>
    <row r="1170" spans="1:11" x14ac:dyDescent="0.25">
      <c r="A1170">
        <v>15</v>
      </c>
      <c r="B1170" t="s">
        <v>13</v>
      </c>
      <c r="C1170">
        <v>2022</v>
      </c>
      <c r="D1170">
        <v>106.125</v>
      </c>
      <c r="E1170" t="s">
        <v>9</v>
      </c>
      <c r="F1170">
        <v>53.75</v>
      </c>
      <c r="G1170" s="1">
        <f>DATE(C1170, CHOOSE(MATCH(UPPER(B1170), {"ENERO","FEBRERO","MARZO","ABRIL","MAYO","JUNIO","JULIO","AGOSTO","SEPTIEMBRE","OCTUBRE","NOVIEMBRE","DICIEMBRE"}, 0), 1,2,3,4,5,6,7,8,9,10,11,12), A1170)</f>
        <v>44666</v>
      </c>
      <c r="H1170">
        <v>52.375</v>
      </c>
      <c r="I1170">
        <v>48000</v>
      </c>
      <c r="J1170" s="1">
        <f t="shared" si="37"/>
        <v>44635</v>
      </c>
      <c r="K1170">
        <f t="shared" si="36"/>
        <v>30.375</v>
      </c>
    </row>
    <row r="1171" spans="1:11" x14ac:dyDescent="0.25">
      <c r="A1171">
        <v>16</v>
      </c>
      <c r="B1171" t="s">
        <v>13</v>
      </c>
      <c r="C1171">
        <v>2022</v>
      </c>
      <c r="D1171">
        <v>53.75</v>
      </c>
      <c r="E1171">
        <v>120</v>
      </c>
      <c r="F1171">
        <v>130.625</v>
      </c>
      <c r="G1171" s="1">
        <f>DATE(C1171, CHOOSE(MATCH(UPPER(B1171), {"ENERO","FEBRERO","MARZO","ABRIL","MAYO","JUNIO","JULIO","AGOSTO","SEPTIEMBRE","OCTUBRE","NOVIEMBRE","DICIEMBRE"}, 0), 1,2,3,4,5,6,7,8,9,10,11,12), A1171)</f>
        <v>44667</v>
      </c>
      <c r="H1171">
        <v>43.125</v>
      </c>
      <c r="I1171">
        <v>48000</v>
      </c>
      <c r="J1171" s="1">
        <f t="shared" si="37"/>
        <v>44636</v>
      </c>
      <c r="K1171">
        <f t="shared" si="36"/>
        <v>33</v>
      </c>
    </row>
    <row r="1172" spans="1:11" x14ac:dyDescent="0.25">
      <c r="A1172">
        <v>17</v>
      </c>
      <c r="B1172" t="s">
        <v>13</v>
      </c>
      <c r="C1172">
        <v>2022</v>
      </c>
      <c r="D1172">
        <v>130.625</v>
      </c>
      <c r="E1172" t="s">
        <v>9</v>
      </c>
      <c r="F1172">
        <v>82.5</v>
      </c>
      <c r="G1172" s="1">
        <f>DATE(C1172, CHOOSE(MATCH(UPPER(B1172), {"ENERO","FEBRERO","MARZO","ABRIL","MAYO","JUNIO","JULIO","AGOSTO","SEPTIEMBRE","OCTUBRE","NOVIEMBRE","DICIEMBRE"}, 0), 1,2,3,4,5,6,7,8,9,10,11,12), A1172)</f>
        <v>44668</v>
      </c>
      <c r="H1172">
        <v>48.125</v>
      </c>
      <c r="I1172">
        <v>48000</v>
      </c>
      <c r="J1172" s="1">
        <f t="shared" si="37"/>
        <v>44637</v>
      </c>
      <c r="K1172">
        <f t="shared" si="36"/>
        <v>26.625</v>
      </c>
    </row>
    <row r="1173" spans="1:11" x14ac:dyDescent="0.25">
      <c r="A1173">
        <v>18</v>
      </c>
      <c r="B1173" t="s">
        <v>13</v>
      </c>
      <c r="C1173">
        <v>2022</v>
      </c>
      <c r="D1173">
        <v>82.5</v>
      </c>
      <c r="E1173" t="s">
        <v>9</v>
      </c>
      <c r="F1173">
        <v>59.5</v>
      </c>
      <c r="G1173" s="1">
        <f>DATE(C1173, CHOOSE(MATCH(UPPER(B1173), {"ENERO","FEBRERO","MARZO","ABRIL","MAYO","JUNIO","JULIO","AGOSTO","SEPTIEMBRE","OCTUBRE","NOVIEMBRE","DICIEMBRE"}, 0), 1,2,3,4,5,6,7,8,9,10,11,12), A1173)</f>
        <v>44669</v>
      </c>
      <c r="H1173">
        <v>23</v>
      </c>
      <c r="I1173">
        <v>48000</v>
      </c>
      <c r="J1173" s="1">
        <f t="shared" si="37"/>
        <v>44638</v>
      </c>
      <c r="K1173">
        <f t="shared" si="36"/>
        <v>38.25</v>
      </c>
    </row>
    <row r="1174" spans="1:11" x14ac:dyDescent="0.25">
      <c r="A1174">
        <v>19</v>
      </c>
      <c r="B1174" t="s">
        <v>13</v>
      </c>
      <c r="C1174">
        <v>2022</v>
      </c>
      <c r="D1174">
        <v>59.5</v>
      </c>
      <c r="E1174">
        <v>100</v>
      </c>
      <c r="F1174">
        <v>144.5</v>
      </c>
      <c r="G1174" s="1">
        <f>DATE(C1174, CHOOSE(MATCH(UPPER(B1174), {"ENERO","FEBRERO","MARZO","ABRIL","MAYO","JUNIO","JULIO","AGOSTO","SEPTIEMBRE","OCTUBRE","NOVIEMBRE","DICIEMBRE"}, 0), 1,2,3,4,5,6,7,8,9,10,11,12), A1174)</f>
        <v>44670</v>
      </c>
      <c r="H1174">
        <v>15</v>
      </c>
      <c r="I1174">
        <v>48000</v>
      </c>
      <c r="J1174" s="1">
        <f t="shared" si="37"/>
        <v>44639</v>
      </c>
      <c r="K1174">
        <f t="shared" si="36"/>
        <v>48.75</v>
      </c>
    </row>
    <row r="1175" spans="1:11" x14ac:dyDescent="0.25">
      <c r="A1175">
        <v>20</v>
      </c>
      <c r="B1175" t="s">
        <v>13</v>
      </c>
      <c r="C1175">
        <v>2022</v>
      </c>
      <c r="D1175">
        <v>144.5</v>
      </c>
      <c r="E1175" t="s">
        <v>9</v>
      </c>
      <c r="F1175">
        <v>124.75</v>
      </c>
      <c r="G1175" s="1">
        <f>DATE(C1175, CHOOSE(MATCH(UPPER(B1175), {"ENERO","FEBRERO","MARZO","ABRIL","MAYO","JUNIO","JULIO","AGOSTO","SEPTIEMBRE","OCTUBRE","NOVIEMBRE","DICIEMBRE"}, 0), 1,2,3,4,5,6,7,8,9,10,11,12), A1175)</f>
        <v>44671</v>
      </c>
      <c r="H1175">
        <v>19.75</v>
      </c>
      <c r="I1175">
        <v>48000</v>
      </c>
      <c r="J1175" s="1">
        <f t="shared" si="37"/>
        <v>44640</v>
      </c>
      <c r="K1175">
        <f t="shared" si="36"/>
        <v>64.5</v>
      </c>
    </row>
    <row r="1176" spans="1:11" x14ac:dyDescent="0.25">
      <c r="A1176">
        <v>21</v>
      </c>
      <c r="B1176" t="s">
        <v>13</v>
      </c>
      <c r="C1176">
        <v>2022</v>
      </c>
      <c r="D1176">
        <v>124.75</v>
      </c>
      <c r="E1176" t="s">
        <v>9</v>
      </c>
      <c r="F1176">
        <v>108.375</v>
      </c>
      <c r="G1176" s="1">
        <f>DATE(C1176, CHOOSE(MATCH(UPPER(B1176), {"ENERO","FEBRERO","MARZO","ABRIL","MAYO","JUNIO","JULIO","AGOSTO","SEPTIEMBRE","OCTUBRE","NOVIEMBRE","DICIEMBRE"}, 0), 1,2,3,4,5,6,7,8,9,10,11,12), A1176)</f>
        <v>44672</v>
      </c>
      <c r="H1176">
        <v>16.375</v>
      </c>
      <c r="I1176">
        <v>48000</v>
      </c>
      <c r="J1176" s="1">
        <f t="shared" si="37"/>
        <v>44641</v>
      </c>
      <c r="K1176">
        <f t="shared" si="36"/>
        <v>46.5</v>
      </c>
    </row>
    <row r="1177" spans="1:11" x14ac:dyDescent="0.25">
      <c r="A1177">
        <v>22</v>
      </c>
      <c r="B1177" t="s">
        <v>13</v>
      </c>
      <c r="C1177">
        <v>2022</v>
      </c>
      <c r="D1177">
        <v>108.375</v>
      </c>
      <c r="E1177" t="s">
        <v>9</v>
      </c>
      <c r="F1177">
        <v>80</v>
      </c>
      <c r="G1177" s="1">
        <f>DATE(C1177, CHOOSE(MATCH(UPPER(B1177), {"ENERO","FEBRERO","MARZO","ABRIL","MAYO","JUNIO","JULIO","AGOSTO","SEPTIEMBRE","OCTUBRE","NOVIEMBRE","DICIEMBRE"}, 0), 1,2,3,4,5,6,7,8,9,10,11,12), A1177)</f>
        <v>44673</v>
      </c>
      <c r="H1177">
        <v>28.375</v>
      </c>
      <c r="I1177">
        <v>48000</v>
      </c>
      <c r="J1177" s="1">
        <f t="shared" si="37"/>
        <v>44642</v>
      </c>
      <c r="K1177">
        <f t="shared" si="36"/>
        <v>12.125</v>
      </c>
    </row>
    <row r="1178" spans="1:11" x14ac:dyDescent="0.25">
      <c r="A1178">
        <v>23</v>
      </c>
      <c r="B1178" t="s">
        <v>13</v>
      </c>
      <c r="C1178">
        <v>2022</v>
      </c>
      <c r="D1178">
        <v>80</v>
      </c>
      <c r="E1178">
        <v>120</v>
      </c>
      <c r="F1178">
        <v>153.5</v>
      </c>
      <c r="G1178" s="1">
        <f>DATE(C1178, CHOOSE(MATCH(UPPER(B1178), {"ENERO","FEBRERO","MARZO","ABRIL","MAYO","JUNIO","JULIO","AGOSTO","SEPTIEMBRE","OCTUBRE","NOVIEMBRE","DICIEMBRE"}, 0), 1,2,3,4,5,6,7,8,9,10,11,12), A1178)</f>
        <v>44674</v>
      </c>
      <c r="H1178">
        <v>46.5</v>
      </c>
      <c r="I1178">
        <v>48000</v>
      </c>
      <c r="J1178" s="1">
        <f t="shared" si="37"/>
        <v>44643</v>
      </c>
      <c r="K1178">
        <f t="shared" si="36"/>
        <v>24.75</v>
      </c>
    </row>
    <row r="1179" spans="1:11" x14ac:dyDescent="0.25">
      <c r="A1179">
        <v>24</v>
      </c>
      <c r="B1179" t="s">
        <v>13</v>
      </c>
      <c r="C1179">
        <v>2022</v>
      </c>
      <c r="D1179">
        <v>153.5</v>
      </c>
      <c r="E1179" t="s">
        <v>9</v>
      </c>
      <c r="F1179">
        <v>110.125</v>
      </c>
      <c r="G1179" s="1">
        <f>DATE(C1179, CHOOSE(MATCH(UPPER(B1179), {"ENERO","FEBRERO","MARZO","ABRIL","MAYO","JUNIO","JULIO","AGOSTO","SEPTIEMBRE","OCTUBRE","NOVIEMBRE","DICIEMBRE"}, 0), 1,2,3,4,5,6,7,8,9,10,11,12), A1179)</f>
        <v>44675</v>
      </c>
      <c r="H1179">
        <v>43.375</v>
      </c>
      <c r="I1179">
        <v>48000</v>
      </c>
      <c r="J1179" s="1">
        <f t="shared" si="37"/>
        <v>44644</v>
      </c>
      <c r="K1179">
        <f t="shared" si="36"/>
        <v>14.875</v>
      </c>
    </row>
    <row r="1180" spans="1:11" x14ac:dyDescent="0.25">
      <c r="A1180">
        <v>25</v>
      </c>
      <c r="B1180" t="s">
        <v>13</v>
      </c>
      <c r="C1180">
        <v>2022</v>
      </c>
      <c r="D1180">
        <v>110.125</v>
      </c>
      <c r="E1180" t="s">
        <v>9</v>
      </c>
      <c r="F1180">
        <v>89.125</v>
      </c>
      <c r="G1180" s="1">
        <f>DATE(C1180, CHOOSE(MATCH(UPPER(B1180), {"ENERO","FEBRERO","MARZO","ABRIL","MAYO","JUNIO","JULIO","AGOSTO","SEPTIEMBRE","OCTUBRE","NOVIEMBRE","DICIEMBRE"}, 0), 1,2,3,4,5,6,7,8,9,10,11,12), A1180)</f>
        <v>44676</v>
      </c>
      <c r="H1180">
        <v>21</v>
      </c>
      <c r="I1180">
        <v>48000</v>
      </c>
      <c r="J1180" s="1">
        <f t="shared" si="37"/>
        <v>44645</v>
      </c>
      <c r="K1180">
        <f t="shared" si="36"/>
        <v>30.5</v>
      </c>
    </row>
    <row r="1181" spans="1:11" x14ac:dyDescent="0.25">
      <c r="A1181">
        <v>26</v>
      </c>
      <c r="B1181" t="s">
        <v>13</v>
      </c>
      <c r="C1181">
        <v>2022</v>
      </c>
      <c r="D1181">
        <v>89.125</v>
      </c>
      <c r="E1181">
        <v>80</v>
      </c>
      <c r="F1181">
        <v>142</v>
      </c>
      <c r="G1181" s="1">
        <f>DATE(C1181, CHOOSE(MATCH(UPPER(B1181), {"ENERO","FEBRERO","MARZO","ABRIL","MAYO","JUNIO","JULIO","AGOSTO","SEPTIEMBRE","OCTUBRE","NOVIEMBRE","DICIEMBRE"}, 0), 1,2,3,4,5,6,7,8,9,10,11,12), A1181)</f>
        <v>44677</v>
      </c>
      <c r="H1181">
        <v>27.125</v>
      </c>
      <c r="I1181">
        <v>48000</v>
      </c>
      <c r="J1181" s="1">
        <f t="shared" si="37"/>
        <v>44646</v>
      </c>
      <c r="K1181">
        <f t="shared" si="36"/>
        <v>55.5</v>
      </c>
    </row>
    <row r="1182" spans="1:11" x14ac:dyDescent="0.25">
      <c r="A1182">
        <v>27</v>
      </c>
      <c r="B1182" t="s">
        <v>13</v>
      </c>
      <c r="C1182">
        <v>2022</v>
      </c>
      <c r="D1182">
        <v>142</v>
      </c>
      <c r="E1182" t="s">
        <v>9</v>
      </c>
      <c r="F1182">
        <v>122.125</v>
      </c>
      <c r="G1182" s="1">
        <f>DATE(C1182, CHOOSE(MATCH(UPPER(B1182), {"ENERO","FEBRERO","MARZO","ABRIL","MAYO","JUNIO","JULIO","AGOSTO","SEPTIEMBRE","OCTUBRE","NOVIEMBRE","DICIEMBRE"}, 0), 1,2,3,4,5,6,7,8,9,10,11,12), A1182)</f>
        <v>44678</v>
      </c>
      <c r="H1182">
        <v>19.875</v>
      </c>
      <c r="I1182">
        <v>48000</v>
      </c>
      <c r="J1182" s="1">
        <f t="shared" si="37"/>
        <v>44647</v>
      </c>
      <c r="K1182">
        <f t="shared" si="36"/>
        <v>50.125</v>
      </c>
    </row>
    <row r="1183" spans="1:11" x14ac:dyDescent="0.25">
      <c r="A1183">
        <v>28</v>
      </c>
      <c r="B1183" t="s">
        <v>13</v>
      </c>
      <c r="C1183">
        <v>2022</v>
      </c>
      <c r="D1183">
        <v>122.125</v>
      </c>
      <c r="E1183" t="s">
        <v>9</v>
      </c>
      <c r="F1183">
        <v>97.125</v>
      </c>
      <c r="G1183" s="1">
        <f>DATE(C1183, CHOOSE(MATCH(UPPER(B1183), {"ENERO","FEBRERO","MARZO","ABRIL","MAYO","JUNIO","JULIO","AGOSTO","SEPTIEMBRE","OCTUBRE","NOVIEMBRE","DICIEMBRE"}, 0), 1,2,3,4,5,6,7,8,9,10,11,12), A1183)</f>
        <v>44679</v>
      </c>
      <c r="H1183">
        <v>25</v>
      </c>
      <c r="I1183">
        <v>48000</v>
      </c>
      <c r="J1183" s="1">
        <f t="shared" si="37"/>
        <v>44648</v>
      </c>
      <c r="K1183">
        <f t="shared" si="36"/>
        <v>20.125</v>
      </c>
    </row>
    <row r="1184" spans="1:11" x14ac:dyDescent="0.25">
      <c r="A1184">
        <v>29</v>
      </c>
      <c r="B1184" t="s">
        <v>13</v>
      </c>
      <c r="C1184">
        <v>2022</v>
      </c>
      <c r="D1184">
        <v>97.125</v>
      </c>
      <c r="E1184" t="s">
        <v>9</v>
      </c>
      <c r="F1184">
        <v>60.25</v>
      </c>
      <c r="G1184" s="1">
        <f>DATE(C1184, CHOOSE(MATCH(UPPER(B1184), {"ENERO","FEBRERO","MARZO","ABRIL","MAYO","JUNIO","JULIO","AGOSTO","SEPTIEMBRE","OCTUBRE","NOVIEMBRE","DICIEMBRE"}, 0), 1,2,3,4,5,6,7,8,9,10,11,12), A1184)</f>
        <v>44680</v>
      </c>
      <c r="H1184">
        <v>36.875</v>
      </c>
      <c r="I1184">
        <v>48000</v>
      </c>
      <c r="J1184" s="1">
        <f t="shared" si="37"/>
        <v>44649</v>
      </c>
      <c r="K1184">
        <f t="shared" si="36"/>
        <v>29.25</v>
      </c>
    </row>
    <row r="1185" spans="1:11" x14ac:dyDescent="0.25">
      <c r="A1185">
        <v>30</v>
      </c>
      <c r="B1185" t="s">
        <v>13</v>
      </c>
      <c r="C1185">
        <v>2022</v>
      </c>
      <c r="D1185">
        <v>60.25</v>
      </c>
      <c r="E1185">
        <v>160</v>
      </c>
      <c r="F1185">
        <v>153</v>
      </c>
      <c r="G1185" s="1">
        <f>DATE(C1185, CHOOSE(MATCH(UPPER(B1185), {"ENERO","FEBRERO","MARZO","ABRIL","MAYO","JUNIO","JULIO","AGOSTO","SEPTIEMBRE","OCTUBRE","NOVIEMBRE","DICIEMBRE"}, 0), 1,2,3,4,5,6,7,8,9,10,11,12), A1185)</f>
        <v>44681</v>
      </c>
      <c r="H1185">
        <v>67.25</v>
      </c>
      <c r="I1185">
        <v>48000</v>
      </c>
      <c r="J1185" s="1">
        <f t="shared" si="37"/>
        <v>44650</v>
      </c>
      <c r="K1185">
        <f t="shared" si="36"/>
        <v>27.25</v>
      </c>
    </row>
    <row r="1186" spans="1:11" x14ac:dyDescent="0.25">
      <c r="A1186">
        <v>1</v>
      </c>
      <c r="B1186" t="s">
        <v>14</v>
      </c>
      <c r="C1186">
        <v>2022</v>
      </c>
      <c r="D1186">
        <v>153</v>
      </c>
      <c r="E1186" t="s">
        <v>9</v>
      </c>
      <c r="F1186">
        <v>103.75</v>
      </c>
      <c r="G1186" s="1">
        <f>DATE(C1186, CHOOSE(MATCH(UPPER(B1186), {"ENERO","FEBRERO","MARZO","ABRIL","MAYO","JUNIO","JULIO","AGOSTO","SEPTIEMBRE","OCTUBRE","NOVIEMBRE","DICIEMBRE"}, 0), 1,2,3,4,5,6,7,8,9,10,11,12), A1186)</f>
        <v>44682</v>
      </c>
      <c r="H1186">
        <v>49.25</v>
      </c>
      <c r="I1186">
        <v>48000</v>
      </c>
      <c r="J1186" s="1">
        <f t="shared" si="37"/>
        <v>44651</v>
      </c>
      <c r="K1186">
        <f t="shared" si="36"/>
        <v>22.5</v>
      </c>
    </row>
    <row r="1187" spans="1:11" x14ac:dyDescent="0.25">
      <c r="A1187">
        <v>2</v>
      </c>
      <c r="B1187" t="s">
        <v>14</v>
      </c>
      <c r="C1187">
        <v>2022</v>
      </c>
      <c r="D1187">
        <v>103.75</v>
      </c>
      <c r="E1187" t="s">
        <v>9</v>
      </c>
      <c r="F1187">
        <v>79.125</v>
      </c>
      <c r="G1187" s="1">
        <f>DATE(C1187, CHOOSE(MATCH(UPPER(B1187), {"ENERO","FEBRERO","MARZO","ABRIL","MAYO","JUNIO","JULIO","AGOSTO","SEPTIEMBRE","OCTUBRE","NOVIEMBRE","DICIEMBRE"}, 0), 1,2,3,4,5,6,7,8,9,10,11,12), A1187)</f>
        <v>44683</v>
      </c>
      <c r="H1187">
        <v>24.625</v>
      </c>
      <c r="I1187">
        <v>48000</v>
      </c>
      <c r="J1187" s="1">
        <f t="shared" si="37"/>
        <v>44652</v>
      </c>
      <c r="K1187">
        <f t="shared" si="36"/>
        <v>38.5</v>
      </c>
    </row>
    <row r="1188" spans="1:11" x14ac:dyDescent="0.25">
      <c r="A1188">
        <v>3</v>
      </c>
      <c r="B1188" t="s">
        <v>14</v>
      </c>
      <c r="C1188">
        <v>2022</v>
      </c>
      <c r="D1188">
        <v>79.125</v>
      </c>
      <c r="E1188">
        <v>59</v>
      </c>
      <c r="F1188">
        <v>112</v>
      </c>
      <c r="G1188" s="1">
        <f>DATE(C1188, CHOOSE(MATCH(UPPER(B1188), {"ENERO","FEBRERO","MARZO","ABRIL","MAYO","JUNIO","JULIO","AGOSTO","SEPTIEMBRE","OCTUBRE","NOVIEMBRE","DICIEMBRE"}, 0), 1,2,3,4,5,6,7,8,9,10,11,12), A1188)</f>
        <v>44684</v>
      </c>
      <c r="H1188">
        <v>26.125</v>
      </c>
      <c r="I1188">
        <v>48000</v>
      </c>
      <c r="J1188" s="1">
        <f t="shared" si="37"/>
        <v>44653</v>
      </c>
      <c r="K1188">
        <f t="shared" si="36"/>
        <v>51.375</v>
      </c>
    </row>
    <row r="1189" spans="1:11" x14ac:dyDescent="0.25">
      <c r="A1189">
        <v>4</v>
      </c>
      <c r="B1189" t="s">
        <v>14</v>
      </c>
      <c r="C1189">
        <v>2022</v>
      </c>
      <c r="D1189">
        <v>112</v>
      </c>
      <c r="E1189" t="s">
        <v>9</v>
      </c>
      <c r="F1189">
        <v>82.75</v>
      </c>
      <c r="G1189" s="1">
        <f>DATE(C1189, CHOOSE(MATCH(UPPER(B1189), {"ENERO","FEBRERO","MARZO","ABRIL","MAYO","JUNIO","JULIO","AGOSTO","SEPTIEMBRE","OCTUBRE","NOVIEMBRE","DICIEMBRE"}, 0), 1,2,3,4,5,6,7,8,9,10,11,12), A1189)</f>
        <v>44685</v>
      </c>
      <c r="H1189">
        <v>29.25</v>
      </c>
      <c r="I1189">
        <v>48000</v>
      </c>
      <c r="J1189" s="1">
        <f t="shared" si="37"/>
        <v>44654</v>
      </c>
      <c r="K1189">
        <f t="shared" si="36"/>
        <v>63.125</v>
      </c>
    </row>
    <row r="1190" spans="1:11" x14ac:dyDescent="0.25">
      <c r="A1190">
        <v>5</v>
      </c>
      <c r="B1190" t="s">
        <v>14</v>
      </c>
      <c r="C1190">
        <v>2022</v>
      </c>
      <c r="D1190">
        <v>82.75</v>
      </c>
      <c r="E1190" t="s">
        <v>9</v>
      </c>
      <c r="F1190">
        <v>52.25</v>
      </c>
      <c r="G1190" s="1">
        <f>DATE(C1190, CHOOSE(MATCH(UPPER(B1190), {"ENERO","FEBRERO","MARZO","ABRIL","MAYO","JUNIO","JULIO","AGOSTO","SEPTIEMBRE","OCTUBRE","NOVIEMBRE","DICIEMBRE"}, 0), 1,2,3,4,5,6,7,8,9,10,11,12), A1190)</f>
        <v>44686</v>
      </c>
      <c r="H1190">
        <v>30.5</v>
      </c>
      <c r="I1190">
        <v>48000</v>
      </c>
      <c r="J1190" s="1">
        <f t="shared" si="37"/>
        <v>44655</v>
      </c>
      <c r="K1190">
        <f t="shared" si="36"/>
        <v>22.25</v>
      </c>
    </row>
    <row r="1191" spans="1:11" x14ac:dyDescent="0.25">
      <c r="A1191">
        <v>6</v>
      </c>
      <c r="B1191" t="s">
        <v>14</v>
      </c>
      <c r="C1191">
        <v>2022</v>
      </c>
      <c r="D1191">
        <v>52.25</v>
      </c>
      <c r="E1191">
        <v>100</v>
      </c>
      <c r="F1191">
        <v>116</v>
      </c>
      <c r="G1191" s="1">
        <f>DATE(C1191, CHOOSE(MATCH(UPPER(B1191), {"ENERO","FEBRERO","MARZO","ABRIL","MAYO","JUNIO","JULIO","AGOSTO","SEPTIEMBRE","OCTUBRE","NOVIEMBRE","DICIEMBRE"}, 0), 1,2,3,4,5,6,7,8,9,10,11,12), A1191)</f>
        <v>44687</v>
      </c>
      <c r="H1191">
        <v>36.25</v>
      </c>
      <c r="I1191">
        <v>48000</v>
      </c>
      <c r="J1191" s="1">
        <f t="shared" si="37"/>
        <v>44656</v>
      </c>
      <c r="K1191">
        <f t="shared" si="36"/>
        <v>23.375</v>
      </c>
    </row>
    <row r="1192" spans="1:11" x14ac:dyDescent="0.25">
      <c r="A1192">
        <v>7</v>
      </c>
      <c r="B1192" t="s">
        <v>14</v>
      </c>
      <c r="C1192">
        <v>2022</v>
      </c>
      <c r="D1192">
        <v>116</v>
      </c>
      <c r="E1192" t="s">
        <v>9</v>
      </c>
      <c r="F1192">
        <v>35.5</v>
      </c>
      <c r="G1192" s="1">
        <f>DATE(C1192, CHOOSE(MATCH(UPPER(B1192), {"ENERO","FEBRERO","MARZO","ABRIL","MAYO","JUNIO","JULIO","AGOSTO","SEPTIEMBRE","OCTUBRE","NOVIEMBRE","DICIEMBRE"}, 0), 1,2,3,4,5,6,7,8,9,10,11,12), A1192)</f>
        <v>44688</v>
      </c>
      <c r="H1192">
        <v>80.5</v>
      </c>
      <c r="I1192">
        <v>48000</v>
      </c>
      <c r="J1192" s="1">
        <f t="shared" si="37"/>
        <v>44657</v>
      </c>
      <c r="K1192">
        <f t="shared" si="36"/>
        <v>27</v>
      </c>
    </row>
    <row r="1193" spans="1:11" x14ac:dyDescent="0.25">
      <c r="A1193">
        <v>8</v>
      </c>
      <c r="B1193" t="s">
        <v>14</v>
      </c>
      <c r="C1193">
        <v>2022</v>
      </c>
      <c r="D1193">
        <v>35.5</v>
      </c>
      <c r="E1193">
        <v>49</v>
      </c>
      <c r="F1193">
        <v>31.625</v>
      </c>
      <c r="G1193" s="1">
        <f>DATE(C1193, CHOOSE(MATCH(UPPER(B1193), {"ENERO","FEBRERO","MARZO","ABRIL","MAYO","JUNIO","JULIO","AGOSTO","SEPTIEMBRE","OCTUBRE","NOVIEMBRE","DICIEMBRE"}, 0), 1,2,3,4,5,6,7,8,9,10,11,12), A1193)</f>
        <v>44689</v>
      </c>
      <c r="H1193">
        <v>52.875</v>
      </c>
      <c r="I1193">
        <v>48000</v>
      </c>
      <c r="J1193" s="1">
        <f t="shared" si="37"/>
        <v>44658</v>
      </c>
      <c r="K1193">
        <f t="shared" si="36"/>
        <v>22.5</v>
      </c>
    </row>
    <row r="1194" spans="1:11" x14ac:dyDescent="0.25">
      <c r="A1194">
        <v>9</v>
      </c>
      <c r="B1194" t="s">
        <v>14</v>
      </c>
      <c r="C1194">
        <v>2022</v>
      </c>
      <c r="D1194">
        <v>31.625</v>
      </c>
      <c r="E1194">
        <v>90</v>
      </c>
      <c r="F1194">
        <v>92</v>
      </c>
      <c r="G1194" s="1">
        <f>DATE(C1194, CHOOSE(MATCH(UPPER(B1194), {"ENERO","FEBRERO","MARZO","ABRIL","MAYO","JUNIO","JULIO","AGOSTO","SEPTIEMBRE","OCTUBRE","NOVIEMBRE","DICIEMBRE"}, 0), 1,2,3,4,5,6,7,8,9,10,11,12), A1194)</f>
        <v>44690</v>
      </c>
      <c r="H1194">
        <v>29.625</v>
      </c>
      <c r="I1194">
        <v>48000</v>
      </c>
      <c r="J1194" s="1">
        <f t="shared" si="37"/>
        <v>44659</v>
      </c>
      <c r="K1194">
        <f t="shared" si="36"/>
        <v>33</v>
      </c>
    </row>
    <row r="1195" spans="1:11" x14ac:dyDescent="0.25">
      <c r="A1195">
        <v>10</v>
      </c>
      <c r="B1195" t="s">
        <v>14</v>
      </c>
      <c r="C1195">
        <v>2022</v>
      </c>
      <c r="D1195">
        <v>92</v>
      </c>
      <c r="E1195" t="s">
        <v>9</v>
      </c>
      <c r="F1195">
        <v>67.75</v>
      </c>
      <c r="G1195" s="1">
        <f>DATE(C1195, CHOOSE(MATCH(UPPER(B1195), {"ENERO","FEBRERO","MARZO","ABRIL","MAYO","JUNIO","JULIO","AGOSTO","SEPTIEMBRE","OCTUBRE","NOVIEMBRE","DICIEMBRE"}, 0), 1,2,3,4,5,6,7,8,9,10,11,12), A1195)</f>
        <v>44691</v>
      </c>
      <c r="H1195">
        <v>24.25</v>
      </c>
      <c r="I1195">
        <v>48000</v>
      </c>
      <c r="J1195" s="1">
        <f t="shared" si="37"/>
        <v>44660</v>
      </c>
      <c r="K1195">
        <f t="shared" si="36"/>
        <v>58.875</v>
      </c>
    </row>
    <row r="1196" spans="1:11" x14ac:dyDescent="0.25">
      <c r="A1196">
        <v>11</v>
      </c>
      <c r="B1196" t="s">
        <v>14</v>
      </c>
      <c r="C1196">
        <v>2022</v>
      </c>
      <c r="D1196">
        <v>67.75</v>
      </c>
      <c r="E1196">
        <v>50</v>
      </c>
      <c r="F1196">
        <v>84</v>
      </c>
      <c r="G1196" s="1">
        <f>DATE(C1196, CHOOSE(MATCH(UPPER(B1196), {"ENERO","FEBRERO","MARZO","ABRIL","MAYO","JUNIO","JULIO","AGOSTO","SEPTIEMBRE","OCTUBRE","NOVIEMBRE","DICIEMBRE"}, 0), 1,2,3,4,5,6,7,8,9,10,11,12), A1196)</f>
        <v>44692</v>
      </c>
      <c r="H1196">
        <v>33.75</v>
      </c>
      <c r="I1196">
        <v>48000</v>
      </c>
      <c r="J1196" s="1">
        <f t="shared" si="37"/>
        <v>44661</v>
      </c>
      <c r="K1196">
        <f t="shared" si="36"/>
        <v>70</v>
      </c>
    </row>
    <row r="1197" spans="1:11" x14ac:dyDescent="0.25">
      <c r="A1197">
        <v>12</v>
      </c>
      <c r="B1197" t="s">
        <v>14</v>
      </c>
      <c r="C1197">
        <v>2022</v>
      </c>
      <c r="D1197">
        <v>84</v>
      </c>
      <c r="E1197" t="s">
        <v>9</v>
      </c>
      <c r="F1197">
        <v>62</v>
      </c>
      <c r="G1197" s="1">
        <f>DATE(C1197, CHOOSE(MATCH(UPPER(B1197), {"ENERO","FEBRERO","MARZO","ABRIL","MAYO","JUNIO","JULIO","AGOSTO","SEPTIEMBRE","OCTUBRE","NOVIEMBRE","DICIEMBRE"}, 0), 1,2,3,4,5,6,7,8,9,10,11,12), A1197)</f>
        <v>44693</v>
      </c>
      <c r="H1197">
        <v>22</v>
      </c>
      <c r="I1197">
        <v>48000</v>
      </c>
      <c r="J1197" s="1">
        <f t="shared" si="37"/>
        <v>44662</v>
      </c>
      <c r="K1197">
        <f t="shared" si="36"/>
        <v>28.25</v>
      </c>
    </row>
    <row r="1198" spans="1:11" x14ac:dyDescent="0.25">
      <c r="A1198">
        <v>13</v>
      </c>
      <c r="B1198" t="s">
        <v>14</v>
      </c>
      <c r="C1198">
        <v>2022</v>
      </c>
      <c r="D1198">
        <v>62</v>
      </c>
      <c r="E1198" t="s">
        <v>9</v>
      </c>
      <c r="F1198">
        <v>11</v>
      </c>
      <c r="G1198" s="1">
        <f>DATE(C1198, CHOOSE(MATCH(UPPER(B1198), {"ENERO","FEBRERO","MARZO","ABRIL","MAYO","JUNIO","JULIO","AGOSTO","SEPTIEMBRE","OCTUBRE","NOVIEMBRE","DICIEMBRE"}, 0), 1,2,3,4,5,6,7,8,9,10,11,12), A1198)</f>
        <v>44694</v>
      </c>
      <c r="H1198">
        <v>51</v>
      </c>
      <c r="I1198">
        <v>48000</v>
      </c>
      <c r="J1198" s="1">
        <f t="shared" si="37"/>
        <v>44663</v>
      </c>
      <c r="K1198">
        <f t="shared" si="36"/>
        <v>26.5</v>
      </c>
    </row>
    <row r="1199" spans="1:11" x14ac:dyDescent="0.25">
      <c r="A1199">
        <v>14</v>
      </c>
      <c r="B1199" t="s">
        <v>14</v>
      </c>
      <c r="C1199">
        <v>2022</v>
      </c>
      <c r="D1199">
        <v>11</v>
      </c>
      <c r="E1199">
        <v>180</v>
      </c>
      <c r="F1199">
        <v>139.875</v>
      </c>
      <c r="G1199" s="1">
        <f>DATE(C1199, CHOOSE(MATCH(UPPER(B1199), {"ENERO","FEBRERO","MARZO","ABRIL","MAYO","JUNIO","JULIO","AGOSTO","SEPTIEMBRE","OCTUBRE","NOVIEMBRE","DICIEMBRE"}, 0), 1,2,3,4,5,6,7,8,9,10,11,12), A1199)</f>
        <v>44695</v>
      </c>
      <c r="H1199">
        <v>51.125</v>
      </c>
      <c r="I1199">
        <v>48000</v>
      </c>
      <c r="J1199" s="1">
        <f t="shared" si="37"/>
        <v>44664</v>
      </c>
      <c r="K1199">
        <f t="shared" si="36"/>
        <v>42.25</v>
      </c>
    </row>
    <row r="1200" spans="1:11" x14ac:dyDescent="0.25">
      <c r="A1200">
        <v>15</v>
      </c>
      <c r="B1200" t="s">
        <v>14</v>
      </c>
      <c r="C1200">
        <v>2022</v>
      </c>
      <c r="D1200">
        <v>139.875</v>
      </c>
      <c r="E1200" t="s">
        <v>9</v>
      </c>
      <c r="F1200">
        <v>102.5</v>
      </c>
      <c r="G1200" s="1">
        <f>DATE(C1200, CHOOSE(MATCH(UPPER(B1200), {"ENERO","FEBRERO","MARZO","ABRIL","MAYO","JUNIO","JULIO","AGOSTO","SEPTIEMBRE","OCTUBRE","NOVIEMBRE","DICIEMBRE"}, 0), 1,2,3,4,5,6,7,8,9,10,11,12), A1200)</f>
        <v>44696</v>
      </c>
      <c r="H1200">
        <v>37.375</v>
      </c>
      <c r="I1200">
        <v>48000</v>
      </c>
      <c r="J1200" s="1">
        <f t="shared" si="37"/>
        <v>44665</v>
      </c>
      <c r="K1200">
        <f t="shared" si="36"/>
        <v>50.875</v>
      </c>
    </row>
    <row r="1201" spans="1:11" x14ac:dyDescent="0.25">
      <c r="A1201">
        <v>16</v>
      </c>
      <c r="B1201" t="s">
        <v>14</v>
      </c>
      <c r="C1201">
        <v>2022</v>
      </c>
      <c r="D1201">
        <v>102.5</v>
      </c>
      <c r="E1201">
        <v>80</v>
      </c>
      <c r="F1201">
        <v>155</v>
      </c>
      <c r="G1201" s="1">
        <f>DATE(C1201, CHOOSE(MATCH(UPPER(B1201), {"ENERO","FEBRERO","MARZO","ABRIL","MAYO","JUNIO","JULIO","AGOSTO","SEPTIEMBRE","OCTUBRE","NOVIEMBRE","DICIEMBRE"}, 0), 1,2,3,4,5,6,7,8,9,10,11,12), A1201)</f>
        <v>44697</v>
      </c>
      <c r="H1201">
        <v>27.5</v>
      </c>
      <c r="I1201">
        <v>48000</v>
      </c>
      <c r="J1201" s="1">
        <f t="shared" si="37"/>
        <v>44666</v>
      </c>
      <c r="K1201">
        <f t="shared" si="36"/>
        <v>52.375</v>
      </c>
    </row>
    <row r="1202" spans="1:11" x14ac:dyDescent="0.25">
      <c r="A1202">
        <v>17</v>
      </c>
      <c r="B1202" t="s">
        <v>14</v>
      </c>
      <c r="C1202">
        <v>2022</v>
      </c>
      <c r="D1202">
        <v>155</v>
      </c>
      <c r="E1202" t="s">
        <v>9</v>
      </c>
      <c r="F1202">
        <v>129.75</v>
      </c>
      <c r="G1202" s="1">
        <f>DATE(C1202, CHOOSE(MATCH(UPPER(B1202), {"ENERO","FEBRERO","MARZO","ABRIL","MAYO","JUNIO","JULIO","AGOSTO","SEPTIEMBRE","OCTUBRE","NOVIEMBRE","DICIEMBRE"}, 0), 1,2,3,4,5,6,7,8,9,10,11,12), A1202)</f>
        <v>44698</v>
      </c>
      <c r="H1202">
        <v>25.25</v>
      </c>
      <c r="I1202">
        <v>48000</v>
      </c>
      <c r="J1202" s="1">
        <f t="shared" si="37"/>
        <v>44667</v>
      </c>
      <c r="K1202">
        <f t="shared" si="36"/>
        <v>43.125</v>
      </c>
    </row>
    <row r="1203" spans="1:11" x14ac:dyDescent="0.25">
      <c r="A1203">
        <v>18</v>
      </c>
      <c r="B1203" t="s">
        <v>14</v>
      </c>
      <c r="C1203">
        <v>2022</v>
      </c>
      <c r="D1203">
        <v>129.75</v>
      </c>
      <c r="E1203" t="s">
        <v>9</v>
      </c>
      <c r="F1203">
        <v>106</v>
      </c>
      <c r="G1203" s="1">
        <f>DATE(C1203, CHOOSE(MATCH(UPPER(B1203), {"ENERO","FEBRERO","MARZO","ABRIL","MAYO","JUNIO","JULIO","AGOSTO","SEPTIEMBRE","OCTUBRE","NOVIEMBRE","DICIEMBRE"}, 0), 1,2,3,4,5,6,7,8,9,10,11,12), A1203)</f>
        <v>44699</v>
      </c>
      <c r="H1203">
        <v>23.75</v>
      </c>
      <c r="I1203">
        <v>48000</v>
      </c>
      <c r="J1203" s="1">
        <f t="shared" si="37"/>
        <v>44668</v>
      </c>
      <c r="K1203">
        <f t="shared" si="36"/>
        <v>48.125</v>
      </c>
    </row>
    <row r="1204" spans="1:11" x14ac:dyDescent="0.25">
      <c r="A1204">
        <v>19</v>
      </c>
      <c r="B1204" t="s">
        <v>14</v>
      </c>
      <c r="C1204">
        <v>2022</v>
      </c>
      <c r="D1204">
        <v>106</v>
      </c>
      <c r="E1204" t="s">
        <v>9</v>
      </c>
      <c r="F1204">
        <v>80.25</v>
      </c>
      <c r="G1204" s="1">
        <f>DATE(C1204, CHOOSE(MATCH(UPPER(B1204), {"ENERO","FEBRERO","MARZO","ABRIL","MAYO","JUNIO","JULIO","AGOSTO","SEPTIEMBRE","OCTUBRE","NOVIEMBRE","DICIEMBRE"}, 0), 1,2,3,4,5,6,7,8,9,10,11,12), A1204)</f>
        <v>44700</v>
      </c>
      <c r="H1204">
        <v>25.75</v>
      </c>
      <c r="I1204">
        <v>48000</v>
      </c>
      <c r="J1204" s="1">
        <f t="shared" si="37"/>
        <v>44669</v>
      </c>
      <c r="K1204">
        <f t="shared" si="36"/>
        <v>23</v>
      </c>
    </row>
    <row r="1205" spans="1:11" x14ac:dyDescent="0.25">
      <c r="A1205">
        <v>20</v>
      </c>
      <c r="B1205" t="s">
        <v>14</v>
      </c>
      <c r="C1205">
        <v>2022</v>
      </c>
      <c r="D1205">
        <v>80.25</v>
      </c>
      <c r="E1205">
        <v>120</v>
      </c>
      <c r="F1205">
        <v>166.875</v>
      </c>
      <c r="G1205" s="1">
        <f>DATE(C1205, CHOOSE(MATCH(UPPER(B1205), {"ENERO","FEBRERO","MARZO","ABRIL","MAYO","JUNIO","JULIO","AGOSTO","SEPTIEMBRE","OCTUBRE","NOVIEMBRE","DICIEMBRE"}, 0), 1,2,3,4,5,6,7,8,9,10,11,12), A1205)</f>
        <v>44701</v>
      </c>
      <c r="H1205">
        <v>33.375</v>
      </c>
      <c r="I1205">
        <v>48000</v>
      </c>
      <c r="J1205" s="1">
        <f t="shared" si="37"/>
        <v>44670</v>
      </c>
      <c r="K1205">
        <f t="shared" si="36"/>
        <v>15</v>
      </c>
    </row>
    <row r="1206" spans="1:11" x14ac:dyDescent="0.25">
      <c r="A1206">
        <v>21</v>
      </c>
      <c r="B1206" t="s">
        <v>14</v>
      </c>
      <c r="C1206">
        <v>2022</v>
      </c>
      <c r="D1206">
        <v>166.875</v>
      </c>
      <c r="E1206" t="s">
        <v>9</v>
      </c>
      <c r="F1206">
        <v>119.75</v>
      </c>
      <c r="G1206" s="1">
        <f>DATE(C1206, CHOOSE(MATCH(UPPER(B1206), {"ENERO","FEBRERO","MARZO","ABRIL","MAYO","JUNIO","JULIO","AGOSTO","SEPTIEMBRE","OCTUBRE","NOVIEMBRE","DICIEMBRE"}, 0), 1,2,3,4,5,6,7,8,9,10,11,12), A1206)</f>
        <v>44702</v>
      </c>
      <c r="H1206">
        <v>47.125</v>
      </c>
      <c r="I1206">
        <v>48000</v>
      </c>
      <c r="J1206" s="1">
        <f t="shared" si="37"/>
        <v>44671</v>
      </c>
      <c r="K1206">
        <f t="shared" si="36"/>
        <v>19.75</v>
      </c>
    </row>
    <row r="1207" spans="1:11" x14ac:dyDescent="0.25">
      <c r="A1207">
        <v>22</v>
      </c>
      <c r="B1207" t="s">
        <v>14</v>
      </c>
      <c r="C1207">
        <v>2022</v>
      </c>
      <c r="D1207">
        <v>119.75</v>
      </c>
      <c r="E1207" t="s">
        <v>9</v>
      </c>
      <c r="F1207">
        <v>78.25</v>
      </c>
      <c r="G1207" s="1">
        <f>DATE(C1207, CHOOSE(MATCH(UPPER(B1207), {"ENERO","FEBRERO","MARZO","ABRIL","MAYO","JUNIO","JULIO","AGOSTO","SEPTIEMBRE","OCTUBRE","NOVIEMBRE","DICIEMBRE"}, 0), 1,2,3,4,5,6,7,8,9,10,11,12), A1207)</f>
        <v>44703</v>
      </c>
      <c r="H1207">
        <v>41.5</v>
      </c>
      <c r="I1207">
        <v>48000</v>
      </c>
      <c r="J1207" s="1">
        <f t="shared" si="37"/>
        <v>44672</v>
      </c>
      <c r="K1207">
        <f t="shared" si="36"/>
        <v>16.375</v>
      </c>
    </row>
    <row r="1208" spans="1:11" x14ac:dyDescent="0.25">
      <c r="A1208">
        <v>23</v>
      </c>
      <c r="B1208" t="s">
        <v>14</v>
      </c>
      <c r="C1208">
        <v>2022</v>
      </c>
      <c r="D1208">
        <v>78.25</v>
      </c>
      <c r="E1208">
        <v>50</v>
      </c>
      <c r="F1208">
        <v>102.75</v>
      </c>
      <c r="G1208" s="1">
        <f>DATE(C1208, CHOOSE(MATCH(UPPER(B1208), {"ENERO","FEBRERO","MARZO","ABRIL","MAYO","JUNIO","JULIO","AGOSTO","SEPTIEMBRE","OCTUBRE","NOVIEMBRE","DICIEMBRE"}, 0), 1,2,3,4,5,6,7,8,9,10,11,12), A1208)</f>
        <v>44704</v>
      </c>
      <c r="H1208">
        <v>25.5</v>
      </c>
      <c r="I1208">
        <v>48000</v>
      </c>
      <c r="J1208" s="1">
        <f t="shared" si="37"/>
        <v>44673</v>
      </c>
      <c r="K1208">
        <f t="shared" si="36"/>
        <v>28.375</v>
      </c>
    </row>
    <row r="1209" spans="1:11" x14ac:dyDescent="0.25">
      <c r="A1209">
        <v>24</v>
      </c>
      <c r="B1209" t="s">
        <v>14</v>
      </c>
      <c r="C1209">
        <v>2022</v>
      </c>
      <c r="D1209">
        <v>102.75</v>
      </c>
      <c r="E1209" t="s">
        <v>9</v>
      </c>
      <c r="F1209">
        <v>76.125</v>
      </c>
      <c r="G1209" s="1">
        <f>DATE(C1209, CHOOSE(MATCH(UPPER(B1209), {"ENERO","FEBRERO","MARZO","ABRIL","MAYO","JUNIO","JULIO","AGOSTO","SEPTIEMBRE","OCTUBRE","NOVIEMBRE","DICIEMBRE"}, 0), 1,2,3,4,5,6,7,8,9,10,11,12), A1209)</f>
        <v>44705</v>
      </c>
      <c r="H1209">
        <v>26.625</v>
      </c>
      <c r="I1209">
        <v>48000</v>
      </c>
      <c r="J1209" s="1">
        <f t="shared" si="37"/>
        <v>44674</v>
      </c>
      <c r="K1209">
        <f t="shared" si="36"/>
        <v>46.5</v>
      </c>
    </row>
    <row r="1210" spans="1:11" x14ac:dyDescent="0.25">
      <c r="A1210">
        <v>25</v>
      </c>
      <c r="B1210" t="s">
        <v>14</v>
      </c>
      <c r="C1210">
        <v>2022</v>
      </c>
      <c r="D1210">
        <v>76.125</v>
      </c>
      <c r="E1210">
        <v>70</v>
      </c>
      <c r="F1210">
        <v>121.375</v>
      </c>
      <c r="G1210" s="1">
        <f>DATE(C1210, CHOOSE(MATCH(UPPER(B1210), {"ENERO","FEBRERO","MARZO","ABRIL","MAYO","JUNIO","JULIO","AGOSTO","SEPTIEMBRE","OCTUBRE","NOVIEMBRE","DICIEMBRE"}, 0), 1,2,3,4,5,6,7,8,9,10,11,12), A1210)</f>
        <v>44706</v>
      </c>
      <c r="H1210">
        <v>24.75</v>
      </c>
      <c r="I1210">
        <v>48000</v>
      </c>
      <c r="J1210" s="1">
        <f t="shared" si="37"/>
        <v>44675</v>
      </c>
      <c r="K1210">
        <f t="shared" si="36"/>
        <v>43.375</v>
      </c>
    </row>
    <row r="1211" spans="1:11" x14ac:dyDescent="0.25">
      <c r="A1211">
        <v>26</v>
      </c>
      <c r="B1211" t="s">
        <v>14</v>
      </c>
      <c r="C1211">
        <v>2022</v>
      </c>
      <c r="D1211">
        <v>121.375</v>
      </c>
      <c r="E1211" t="s">
        <v>9</v>
      </c>
      <c r="F1211">
        <v>93.5</v>
      </c>
      <c r="G1211" s="1">
        <f>DATE(C1211, CHOOSE(MATCH(UPPER(B1211), {"ENERO","FEBRERO","MARZO","ABRIL","MAYO","JUNIO","JULIO","AGOSTO","SEPTIEMBRE","OCTUBRE","NOVIEMBRE","DICIEMBRE"}, 0), 1,2,3,4,5,6,7,8,9,10,11,12), A1211)</f>
        <v>44707</v>
      </c>
      <c r="H1211">
        <v>27.875</v>
      </c>
      <c r="I1211">
        <v>48000</v>
      </c>
      <c r="J1211" s="1">
        <f t="shared" si="37"/>
        <v>44676</v>
      </c>
      <c r="K1211">
        <f t="shared" si="36"/>
        <v>21</v>
      </c>
    </row>
    <row r="1212" spans="1:11" x14ac:dyDescent="0.25">
      <c r="A1212">
        <v>27</v>
      </c>
      <c r="B1212" t="s">
        <v>14</v>
      </c>
      <c r="C1212">
        <v>2022</v>
      </c>
      <c r="D1212">
        <v>93.5</v>
      </c>
      <c r="E1212" t="s">
        <v>9</v>
      </c>
      <c r="F1212">
        <v>44.375</v>
      </c>
      <c r="G1212" s="1">
        <f>DATE(C1212, CHOOSE(MATCH(UPPER(B1212), {"ENERO","FEBRERO","MARZO","ABRIL","MAYO","JUNIO","JULIO","AGOSTO","SEPTIEMBRE","OCTUBRE","NOVIEMBRE","DICIEMBRE"}, 0), 1,2,3,4,5,6,7,8,9,10,11,12), A1212)</f>
        <v>44708</v>
      </c>
      <c r="H1212">
        <v>49.125</v>
      </c>
      <c r="I1212">
        <v>48000</v>
      </c>
      <c r="J1212" s="1">
        <f t="shared" si="37"/>
        <v>44677</v>
      </c>
      <c r="K1212">
        <f t="shared" si="36"/>
        <v>27.125</v>
      </c>
    </row>
    <row r="1213" spans="1:11" x14ac:dyDescent="0.25">
      <c r="A1213">
        <v>28</v>
      </c>
      <c r="B1213" t="s">
        <v>14</v>
      </c>
      <c r="C1213">
        <v>2022</v>
      </c>
      <c r="D1213">
        <v>44.375</v>
      </c>
      <c r="E1213">
        <v>120</v>
      </c>
      <c r="F1213">
        <v>108</v>
      </c>
      <c r="G1213" s="1">
        <f>DATE(C1213, CHOOSE(MATCH(UPPER(B1213), {"ENERO","FEBRERO","MARZO","ABRIL","MAYO","JUNIO","JULIO","AGOSTO","SEPTIEMBRE","OCTUBRE","NOVIEMBRE","DICIEMBRE"}, 0), 1,2,3,4,5,6,7,8,9,10,11,12), A1213)</f>
        <v>44709</v>
      </c>
      <c r="H1213">
        <v>56.375</v>
      </c>
      <c r="I1213">
        <v>48000</v>
      </c>
      <c r="J1213" s="1">
        <f t="shared" si="37"/>
        <v>44678</v>
      </c>
      <c r="K1213">
        <f t="shared" si="36"/>
        <v>19.875</v>
      </c>
    </row>
    <row r="1214" spans="1:11" x14ac:dyDescent="0.25">
      <c r="A1214">
        <v>29</v>
      </c>
      <c r="B1214" t="s">
        <v>14</v>
      </c>
      <c r="C1214">
        <v>2022</v>
      </c>
      <c r="D1214">
        <v>108</v>
      </c>
      <c r="E1214" t="s">
        <v>9</v>
      </c>
      <c r="F1214">
        <v>39.25</v>
      </c>
      <c r="G1214" s="1">
        <f>DATE(C1214, CHOOSE(MATCH(UPPER(B1214), {"ENERO","FEBRERO","MARZO","ABRIL","MAYO","JUNIO","JULIO","AGOSTO","SEPTIEMBRE","OCTUBRE","NOVIEMBRE","DICIEMBRE"}, 0), 1,2,3,4,5,6,7,8,9,10,11,12), A1214)</f>
        <v>44710</v>
      </c>
      <c r="H1214">
        <v>68.75</v>
      </c>
      <c r="I1214">
        <v>48000</v>
      </c>
      <c r="J1214" s="1">
        <f t="shared" si="37"/>
        <v>44679</v>
      </c>
      <c r="K1214">
        <f t="shared" si="36"/>
        <v>25</v>
      </c>
    </row>
    <row r="1215" spans="1:11" x14ac:dyDescent="0.25">
      <c r="A1215">
        <v>30</v>
      </c>
      <c r="B1215" t="s">
        <v>14</v>
      </c>
      <c r="C1215">
        <v>2022</v>
      </c>
      <c r="D1215">
        <v>39.25</v>
      </c>
      <c r="E1215">
        <v>80</v>
      </c>
      <c r="F1215">
        <v>72.875</v>
      </c>
      <c r="G1215" s="1">
        <f>DATE(C1215, CHOOSE(MATCH(UPPER(B1215), {"ENERO","FEBRERO","MARZO","ABRIL","MAYO","JUNIO","JULIO","AGOSTO","SEPTIEMBRE","OCTUBRE","NOVIEMBRE","DICIEMBRE"}, 0), 1,2,3,4,5,6,7,8,9,10,11,12), A1215)</f>
        <v>44711</v>
      </c>
      <c r="H1215">
        <v>46.375</v>
      </c>
      <c r="I1215">
        <v>48000</v>
      </c>
      <c r="J1215" s="1">
        <f t="shared" si="37"/>
        <v>44680</v>
      </c>
      <c r="K1215">
        <f t="shared" si="36"/>
        <v>36.875</v>
      </c>
    </row>
    <row r="1216" spans="1:11" x14ac:dyDescent="0.25">
      <c r="A1216">
        <v>31</v>
      </c>
      <c r="B1216" t="s">
        <v>14</v>
      </c>
      <c r="C1216">
        <v>2022</v>
      </c>
      <c r="D1216">
        <v>72.875</v>
      </c>
      <c r="E1216" t="s">
        <v>9</v>
      </c>
      <c r="F1216">
        <v>41.125</v>
      </c>
      <c r="G1216" s="1">
        <f>DATE(C1216, CHOOSE(MATCH(UPPER(B1216), {"ENERO","FEBRERO","MARZO","ABRIL","MAYO","JUNIO","JULIO","AGOSTO","SEPTIEMBRE","OCTUBRE","NOVIEMBRE","DICIEMBRE"}, 0), 1,2,3,4,5,6,7,8,9,10,11,12), A1216)</f>
        <v>44712</v>
      </c>
      <c r="H1216">
        <v>31.75</v>
      </c>
      <c r="I1216">
        <v>48000</v>
      </c>
      <c r="J1216" s="1">
        <f t="shared" si="37"/>
        <v>44681</v>
      </c>
      <c r="K1216">
        <f t="shared" si="36"/>
        <v>67.25</v>
      </c>
    </row>
    <row r="1217" spans="1:11" x14ac:dyDescent="0.25">
      <c r="A1217">
        <v>1</v>
      </c>
      <c r="B1217" t="s">
        <v>15</v>
      </c>
      <c r="C1217">
        <v>2022</v>
      </c>
      <c r="D1217">
        <v>41.125</v>
      </c>
      <c r="E1217">
        <v>20</v>
      </c>
      <c r="F1217">
        <v>32.25</v>
      </c>
      <c r="G1217" s="1">
        <f>DATE(C1217, CHOOSE(MATCH(UPPER(B1217), {"ENERO","FEBRERO","MARZO","ABRIL","MAYO","JUNIO","JULIO","AGOSTO","SEPTIEMBRE","OCTUBRE","NOVIEMBRE","DICIEMBRE"}, 0), 1,2,3,4,5,6,7,8,9,10,11,12), A1217)</f>
        <v>44713</v>
      </c>
      <c r="H1217">
        <v>28.875</v>
      </c>
      <c r="I1217">
        <v>48000</v>
      </c>
      <c r="J1217" s="1">
        <f t="shared" si="37"/>
        <v>44682</v>
      </c>
      <c r="K1217">
        <f t="shared" si="36"/>
        <v>49.25</v>
      </c>
    </row>
    <row r="1218" spans="1:11" x14ac:dyDescent="0.25">
      <c r="A1218">
        <v>2</v>
      </c>
      <c r="B1218" t="s">
        <v>15</v>
      </c>
      <c r="C1218">
        <v>2022</v>
      </c>
      <c r="D1218">
        <v>32.25</v>
      </c>
      <c r="E1218">
        <v>90</v>
      </c>
      <c r="F1218">
        <v>92.75</v>
      </c>
      <c r="G1218" s="1">
        <f>DATE(C1218, CHOOSE(MATCH(UPPER(B1218), {"ENERO","FEBRERO","MARZO","ABRIL","MAYO","JUNIO","JULIO","AGOSTO","SEPTIEMBRE","OCTUBRE","NOVIEMBRE","DICIEMBRE"}, 0), 1,2,3,4,5,6,7,8,9,10,11,12), A1218)</f>
        <v>44714</v>
      </c>
      <c r="H1218">
        <v>29.5</v>
      </c>
      <c r="I1218">
        <v>48000</v>
      </c>
      <c r="J1218" s="1">
        <f t="shared" si="37"/>
        <v>44683</v>
      </c>
      <c r="K1218">
        <f t="shared" si="36"/>
        <v>24.625</v>
      </c>
    </row>
    <row r="1219" spans="1:11" x14ac:dyDescent="0.25">
      <c r="A1219">
        <v>3</v>
      </c>
      <c r="B1219" t="s">
        <v>15</v>
      </c>
      <c r="C1219">
        <v>2022</v>
      </c>
      <c r="D1219">
        <v>92.75</v>
      </c>
      <c r="E1219" t="s">
        <v>9</v>
      </c>
      <c r="F1219">
        <v>52.875</v>
      </c>
      <c r="G1219" s="1">
        <f>DATE(C1219, CHOOSE(MATCH(UPPER(B1219), {"ENERO","FEBRERO","MARZO","ABRIL","MAYO","JUNIO","JULIO","AGOSTO","SEPTIEMBRE","OCTUBRE","NOVIEMBRE","DICIEMBRE"}, 0), 1,2,3,4,5,6,7,8,9,10,11,12), A1219)</f>
        <v>44715</v>
      </c>
      <c r="H1219">
        <v>39.875</v>
      </c>
      <c r="I1219">
        <v>48000</v>
      </c>
      <c r="J1219" s="1">
        <f t="shared" si="37"/>
        <v>44684</v>
      </c>
      <c r="K1219">
        <f t="shared" ref="K1219:K1282" si="38">VLOOKUP(J1219, G:H, 2, FALSE)</f>
        <v>26.125</v>
      </c>
    </row>
    <row r="1220" spans="1:11" x14ac:dyDescent="0.25">
      <c r="A1220">
        <v>4</v>
      </c>
      <c r="B1220" t="s">
        <v>15</v>
      </c>
      <c r="C1220">
        <v>2022</v>
      </c>
      <c r="D1220">
        <v>52.875</v>
      </c>
      <c r="E1220">
        <v>100</v>
      </c>
      <c r="F1220">
        <v>100</v>
      </c>
      <c r="G1220" s="1">
        <f>DATE(C1220, CHOOSE(MATCH(UPPER(B1220), {"ENERO","FEBRERO","MARZO","ABRIL","MAYO","JUNIO","JULIO","AGOSTO","SEPTIEMBRE","OCTUBRE","NOVIEMBRE","DICIEMBRE"}, 0), 1,2,3,4,5,6,7,8,9,10,11,12), A1220)</f>
        <v>44716</v>
      </c>
      <c r="H1220">
        <v>52.875</v>
      </c>
      <c r="I1220">
        <v>48000</v>
      </c>
      <c r="J1220" s="1">
        <f t="shared" si="37"/>
        <v>44685</v>
      </c>
      <c r="K1220">
        <f t="shared" si="38"/>
        <v>29.25</v>
      </c>
    </row>
    <row r="1221" spans="1:11" x14ac:dyDescent="0.25">
      <c r="A1221">
        <v>5</v>
      </c>
      <c r="B1221" t="s">
        <v>15</v>
      </c>
      <c r="C1221">
        <v>2022</v>
      </c>
      <c r="D1221">
        <v>100</v>
      </c>
      <c r="E1221" t="s">
        <v>9</v>
      </c>
      <c r="F1221">
        <v>54.375</v>
      </c>
      <c r="G1221" s="1">
        <f>DATE(C1221, CHOOSE(MATCH(UPPER(B1221), {"ENERO","FEBRERO","MARZO","ABRIL","MAYO","JUNIO","JULIO","AGOSTO","SEPTIEMBRE","OCTUBRE","NOVIEMBRE","DICIEMBRE"}, 0), 1,2,3,4,5,6,7,8,9,10,11,12), A1221)</f>
        <v>44717</v>
      </c>
      <c r="H1221">
        <v>45.625</v>
      </c>
      <c r="I1221">
        <v>48000</v>
      </c>
      <c r="J1221" s="1">
        <f t="shared" ref="J1221:J1284" si="39">DATE(2019,1,1) + ROW()-1</f>
        <v>44686</v>
      </c>
      <c r="K1221">
        <f t="shared" si="38"/>
        <v>30.5</v>
      </c>
    </row>
    <row r="1222" spans="1:11" x14ac:dyDescent="0.25">
      <c r="A1222">
        <v>6</v>
      </c>
      <c r="B1222" t="s">
        <v>15</v>
      </c>
      <c r="C1222">
        <v>2022</v>
      </c>
      <c r="D1222">
        <v>54.375</v>
      </c>
      <c r="E1222" t="s">
        <v>9</v>
      </c>
      <c r="F1222">
        <v>27.5</v>
      </c>
      <c r="G1222" s="1">
        <f>DATE(C1222, CHOOSE(MATCH(UPPER(B1222), {"ENERO","FEBRERO","MARZO","ABRIL","MAYO","JUNIO","JULIO","AGOSTO","SEPTIEMBRE","OCTUBRE","NOVIEMBRE","DICIEMBRE"}, 0), 1,2,3,4,5,6,7,8,9,10,11,12), A1222)</f>
        <v>44718</v>
      </c>
      <c r="H1222">
        <v>26.875</v>
      </c>
      <c r="I1222">
        <v>48000</v>
      </c>
      <c r="J1222" s="1">
        <f t="shared" si="39"/>
        <v>44687</v>
      </c>
      <c r="K1222">
        <f t="shared" si="38"/>
        <v>36.25</v>
      </c>
    </row>
    <row r="1223" spans="1:11" x14ac:dyDescent="0.25">
      <c r="A1223">
        <v>7</v>
      </c>
      <c r="B1223" t="s">
        <v>15</v>
      </c>
      <c r="C1223">
        <v>2022</v>
      </c>
      <c r="D1223">
        <v>27.5</v>
      </c>
      <c r="E1223">
        <v>120</v>
      </c>
      <c r="F1223">
        <v>117.125</v>
      </c>
      <c r="G1223" s="1">
        <f>DATE(C1223, CHOOSE(MATCH(UPPER(B1223), {"ENERO","FEBRERO","MARZO","ABRIL","MAYO","JUNIO","JULIO","AGOSTO","SEPTIEMBRE","OCTUBRE","NOVIEMBRE","DICIEMBRE"}, 0), 1,2,3,4,5,6,7,8,9,10,11,12), A1223)</f>
        <v>44719</v>
      </c>
      <c r="H1223">
        <v>30.375</v>
      </c>
      <c r="I1223">
        <v>48000</v>
      </c>
      <c r="J1223" s="1">
        <f t="shared" si="39"/>
        <v>44688</v>
      </c>
      <c r="K1223">
        <f t="shared" si="38"/>
        <v>80.5</v>
      </c>
    </row>
    <row r="1224" spans="1:11" x14ac:dyDescent="0.25">
      <c r="A1224">
        <v>8</v>
      </c>
      <c r="B1224" t="s">
        <v>15</v>
      </c>
      <c r="C1224">
        <v>2022</v>
      </c>
      <c r="D1224">
        <v>117.125</v>
      </c>
      <c r="E1224" t="s">
        <v>9</v>
      </c>
      <c r="F1224">
        <v>97.5</v>
      </c>
      <c r="G1224" s="1">
        <f>DATE(C1224, CHOOSE(MATCH(UPPER(B1224), {"ENERO","FEBRERO","MARZO","ABRIL","MAYO","JUNIO","JULIO","AGOSTO","SEPTIEMBRE","OCTUBRE","NOVIEMBRE","DICIEMBRE"}, 0), 1,2,3,4,5,6,7,8,9,10,11,12), A1224)</f>
        <v>44720</v>
      </c>
      <c r="H1224">
        <v>19.625</v>
      </c>
      <c r="I1224">
        <v>48000</v>
      </c>
      <c r="J1224" s="1">
        <f t="shared" si="39"/>
        <v>44689</v>
      </c>
      <c r="K1224">
        <f t="shared" si="38"/>
        <v>52.875</v>
      </c>
    </row>
    <row r="1225" spans="1:11" x14ac:dyDescent="0.25">
      <c r="A1225">
        <v>9</v>
      </c>
      <c r="B1225" t="s">
        <v>15</v>
      </c>
      <c r="C1225">
        <v>2022</v>
      </c>
      <c r="D1225">
        <v>97.5</v>
      </c>
      <c r="E1225" t="s">
        <v>9</v>
      </c>
      <c r="F1225">
        <v>76.125</v>
      </c>
      <c r="G1225" s="1">
        <f>DATE(C1225, CHOOSE(MATCH(UPPER(B1225), {"ENERO","FEBRERO","MARZO","ABRIL","MAYO","JUNIO","JULIO","AGOSTO","SEPTIEMBRE","OCTUBRE","NOVIEMBRE","DICIEMBRE"}, 0), 1,2,3,4,5,6,7,8,9,10,11,12), A1225)</f>
        <v>44721</v>
      </c>
      <c r="H1225">
        <v>21.375</v>
      </c>
      <c r="I1225">
        <v>48000</v>
      </c>
      <c r="J1225" s="1">
        <f t="shared" si="39"/>
        <v>44690</v>
      </c>
      <c r="K1225">
        <f t="shared" si="38"/>
        <v>29.625</v>
      </c>
    </row>
    <row r="1226" spans="1:11" x14ac:dyDescent="0.25">
      <c r="A1226">
        <v>10</v>
      </c>
      <c r="B1226" t="s">
        <v>15</v>
      </c>
      <c r="C1226">
        <v>2022</v>
      </c>
      <c r="D1226">
        <v>76.125</v>
      </c>
      <c r="E1226">
        <v>150</v>
      </c>
      <c r="F1226">
        <v>185.625</v>
      </c>
      <c r="G1226" s="1">
        <f>DATE(C1226, CHOOSE(MATCH(UPPER(B1226), {"ENERO","FEBRERO","MARZO","ABRIL","MAYO","JUNIO","JULIO","AGOSTO","SEPTIEMBRE","OCTUBRE","NOVIEMBRE","DICIEMBRE"}, 0), 1,2,3,4,5,6,7,8,9,10,11,12), A1226)</f>
        <v>44722</v>
      </c>
      <c r="H1226">
        <v>40.5</v>
      </c>
      <c r="I1226">
        <v>48000</v>
      </c>
      <c r="J1226" s="1">
        <f t="shared" si="39"/>
        <v>44691</v>
      </c>
      <c r="K1226">
        <f t="shared" si="38"/>
        <v>24.25</v>
      </c>
    </row>
    <row r="1227" spans="1:11" x14ac:dyDescent="0.25">
      <c r="A1227">
        <v>11</v>
      </c>
      <c r="B1227" t="s">
        <v>15</v>
      </c>
      <c r="C1227">
        <v>2022</v>
      </c>
      <c r="D1227">
        <v>185.625</v>
      </c>
      <c r="E1227" t="s">
        <v>9</v>
      </c>
      <c r="F1227">
        <v>147</v>
      </c>
      <c r="G1227" s="1">
        <f>DATE(C1227, CHOOSE(MATCH(UPPER(B1227), {"ENERO","FEBRERO","MARZO","ABRIL","MAYO","JUNIO","JULIO","AGOSTO","SEPTIEMBRE","OCTUBRE","NOVIEMBRE","DICIEMBRE"}, 0), 1,2,3,4,5,6,7,8,9,10,11,12), A1227)</f>
        <v>44723</v>
      </c>
      <c r="H1227">
        <v>38.625</v>
      </c>
      <c r="I1227">
        <v>48000</v>
      </c>
      <c r="J1227" s="1">
        <f t="shared" si="39"/>
        <v>44692</v>
      </c>
      <c r="K1227">
        <f t="shared" si="38"/>
        <v>33.75</v>
      </c>
    </row>
    <row r="1228" spans="1:11" x14ac:dyDescent="0.25">
      <c r="A1228">
        <v>12</v>
      </c>
      <c r="B1228" t="s">
        <v>15</v>
      </c>
      <c r="C1228">
        <v>2022</v>
      </c>
      <c r="D1228">
        <v>147</v>
      </c>
      <c r="E1228" t="s">
        <v>9</v>
      </c>
      <c r="F1228">
        <v>102.5</v>
      </c>
      <c r="G1228" s="1">
        <f>DATE(C1228, CHOOSE(MATCH(UPPER(B1228), {"ENERO","FEBRERO","MARZO","ABRIL","MAYO","JUNIO","JULIO","AGOSTO","SEPTIEMBRE","OCTUBRE","NOVIEMBRE","DICIEMBRE"}, 0), 1,2,3,4,5,6,7,8,9,10,11,12), A1228)</f>
        <v>44724</v>
      </c>
      <c r="H1228">
        <v>44.5</v>
      </c>
      <c r="I1228">
        <v>48000</v>
      </c>
      <c r="J1228" s="1">
        <f t="shared" si="39"/>
        <v>44693</v>
      </c>
      <c r="K1228">
        <f t="shared" si="38"/>
        <v>22</v>
      </c>
    </row>
    <row r="1229" spans="1:11" x14ac:dyDescent="0.25">
      <c r="A1229">
        <v>13</v>
      </c>
      <c r="B1229" t="s">
        <v>15</v>
      </c>
      <c r="C1229">
        <v>2022</v>
      </c>
      <c r="D1229">
        <v>102.5</v>
      </c>
      <c r="E1229">
        <v>50</v>
      </c>
      <c r="F1229">
        <v>136.5</v>
      </c>
      <c r="G1229" s="1">
        <f>DATE(C1229, CHOOSE(MATCH(UPPER(B1229), {"ENERO","FEBRERO","MARZO","ABRIL","MAYO","JUNIO","JULIO","AGOSTO","SEPTIEMBRE","OCTUBRE","NOVIEMBRE","DICIEMBRE"}, 0), 1,2,3,4,5,6,7,8,9,10,11,12), A1229)</f>
        <v>44725</v>
      </c>
      <c r="H1229">
        <v>16</v>
      </c>
      <c r="I1229">
        <v>48000</v>
      </c>
      <c r="J1229" s="1">
        <f t="shared" si="39"/>
        <v>44694</v>
      </c>
      <c r="K1229">
        <f t="shared" si="38"/>
        <v>51</v>
      </c>
    </row>
    <row r="1230" spans="1:11" x14ac:dyDescent="0.25">
      <c r="A1230">
        <v>14</v>
      </c>
      <c r="B1230" t="s">
        <v>15</v>
      </c>
      <c r="C1230">
        <v>2022</v>
      </c>
      <c r="D1230">
        <v>136.5</v>
      </c>
      <c r="E1230" t="s">
        <v>9</v>
      </c>
      <c r="F1230">
        <v>113.75</v>
      </c>
      <c r="G1230" s="1">
        <f>DATE(C1230, CHOOSE(MATCH(UPPER(B1230), {"ENERO","FEBRERO","MARZO","ABRIL","MAYO","JUNIO","JULIO","AGOSTO","SEPTIEMBRE","OCTUBRE","NOVIEMBRE","DICIEMBRE"}, 0), 1,2,3,4,5,6,7,8,9,10,11,12), A1230)</f>
        <v>44726</v>
      </c>
      <c r="H1230">
        <v>22.75</v>
      </c>
      <c r="I1230">
        <v>48000</v>
      </c>
      <c r="J1230" s="1">
        <f t="shared" si="39"/>
        <v>44695</v>
      </c>
      <c r="K1230">
        <f t="shared" si="38"/>
        <v>51.125</v>
      </c>
    </row>
    <row r="1231" spans="1:11" x14ac:dyDescent="0.25">
      <c r="A1231">
        <v>15</v>
      </c>
      <c r="B1231" t="s">
        <v>15</v>
      </c>
      <c r="C1231">
        <v>2022</v>
      </c>
      <c r="D1231">
        <v>113.75</v>
      </c>
      <c r="E1231" t="s">
        <v>9</v>
      </c>
      <c r="F1231">
        <v>81.125</v>
      </c>
      <c r="G1231" s="1">
        <f>DATE(C1231, CHOOSE(MATCH(UPPER(B1231), {"ENERO","FEBRERO","MARZO","ABRIL","MAYO","JUNIO","JULIO","AGOSTO","SEPTIEMBRE","OCTUBRE","NOVIEMBRE","DICIEMBRE"}, 0), 1,2,3,4,5,6,7,8,9,10,11,12), A1231)</f>
        <v>44727</v>
      </c>
      <c r="H1231">
        <v>32.625</v>
      </c>
      <c r="I1231">
        <v>48000</v>
      </c>
      <c r="J1231" s="1">
        <f t="shared" si="39"/>
        <v>44696</v>
      </c>
      <c r="K1231">
        <f t="shared" si="38"/>
        <v>37.375</v>
      </c>
    </row>
    <row r="1232" spans="1:11" x14ac:dyDescent="0.25">
      <c r="A1232">
        <v>16</v>
      </c>
      <c r="B1232" t="s">
        <v>15</v>
      </c>
      <c r="C1232">
        <v>2022</v>
      </c>
      <c r="D1232">
        <v>81.125</v>
      </c>
      <c r="E1232">
        <v>70</v>
      </c>
      <c r="F1232">
        <v>120</v>
      </c>
      <c r="G1232" s="1">
        <f>DATE(C1232, CHOOSE(MATCH(UPPER(B1232), {"ENERO","FEBRERO","MARZO","ABRIL","MAYO","JUNIO","JULIO","AGOSTO","SEPTIEMBRE","OCTUBRE","NOVIEMBRE","DICIEMBRE"}, 0), 1,2,3,4,5,6,7,8,9,10,11,12), A1232)</f>
        <v>44728</v>
      </c>
      <c r="H1232">
        <v>31.125</v>
      </c>
      <c r="I1232">
        <v>48000</v>
      </c>
      <c r="J1232" s="1">
        <f t="shared" si="39"/>
        <v>44697</v>
      </c>
      <c r="K1232">
        <f t="shared" si="38"/>
        <v>27.5</v>
      </c>
    </row>
    <row r="1233" spans="1:11" x14ac:dyDescent="0.25">
      <c r="A1233">
        <v>17</v>
      </c>
      <c r="B1233" t="s">
        <v>15</v>
      </c>
      <c r="C1233">
        <v>2022</v>
      </c>
      <c r="D1233">
        <v>120</v>
      </c>
      <c r="E1233">
        <v>60</v>
      </c>
      <c r="F1233">
        <v>116.625</v>
      </c>
      <c r="G1233" s="1">
        <f>DATE(C1233, CHOOSE(MATCH(UPPER(B1233), {"ENERO","FEBRERO","MARZO","ABRIL","MAYO","JUNIO","JULIO","AGOSTO","SEPTIEMBRE","OCTUBRE","NOVIEMBRE","DICIEMBRE"}, 0), 1,2,3,4,5,6,7,8,9,10,11,12), A1233)</f>
        <v>44729</v>
      </c>
      <c r="H1233">
        <v>63.375</v>
      </c>
      <c r="I1233">
        <v>48000</v>
      </c>
      <c r="J1233" s="1">
        <f t="shared" si="39"/>
        <v>44698</v>
      </c>
      <c r="K1233">
        <f t="shared" si="38"/>
        <v>25.25</v>
      </c>
    </row>
    <row r="1234" spans="1:11" x14ac:dyDescent="0.25">
      <c r="A1234">
        <v>18</v>
      </c>
      <c r="B1234" t="s">
        <v>15</v>
      </c>
      <c r="C1234">
        <v>2022</v>
      </c>
      <c r="D1234">
        <v>116.625</v>
      </c>
      <c r="E1234">
        <v>90</v>
      </c>
      <c r="F1234">
        <v>153.25</v>
      </c>
      <c r="G1234" s="1">
        <f>DATE(C1234, CHOOSE(MATCH(UPPER(B1234), {"ENERO","FEBRERO","MARZO","ABRIL","MAYO","JUNIO","JULIO","AGOSTO","SEPTIEMBRE","OCTUBRE","NOVIEMBRE","DICIEMBRE"}, 0), 1,2,3,4,5,6,7,8,9,10,11,12), A1234)</f>
        <v>44730</v>
      </c>
      <c r="H1234">
        <v>53.375</v>
      </c>
      <c r="I1234">
        <v>48000</v>
      </c>
      <c r="J1234" s="1">
        <f t="shared" si="39"/>
        <v>44699</v>
      </c>
      <c r="K1234">
        <f t="shared" si="38"/>
        <v>23.75</v>
      </c>
    </row>
    <row r="1235" spans="1:11" x14ac:dyDescent="0.25">
      <c r="A1235">
        <v>19</v>
      </c>
      <c r="B1235" t="s">
        <v>15</v>
      </c>
      <c r="C1235">
        <v>2022</v>
      </c>
      <c r="D1235">
        <v>153.25</v>
      </c>
      <c r="E1235">
        <v>30</v>
      </c>
      <c r="F1235">
        <v>130.625</v>
      </c>
      <c r="G1235" s="1">
        <f>DATE(C1235, CHOOSE(MATCH(UPPER(B1235), {"ENERO","FEBRERO","MARZO","ABRIL","MAYO","JUNIO","JULIO","AGOSTO","SEPTIEMBRE","OCTUBRE","NOVIEMBRE","DICIEMBRE"}, 0), 1,2,3,4,5,6,7,8,9,10,11,12), A1235)</f>
        <v>44731</v>
      </c>
      <c r="H1235">
        <v>52.625</v>
      </c>
      <c r="I1235">
        <v>48000</v>
      </c>
      <c r="J1235" s="1">
        <f t="shared" si="39"/>
        <v>44700</v>
      </c>
      <c r="K1235">
        <f t="shared" si="38"/>
        <v>25.75</v>
      </c>
    </row>
    <row r="1236" spans="1:11" x14ac:dyDescent="0.25">
      <c r="A1236">
        <v>20</v>
      </c>
      <c r="B1236" t="s">
        <v>15</v>
      </c>
      <c r="C1236">
        <v>2022</v>
      </c>
      <c r="D1236">
        <v>130.625</v>
      </c>
      <c r="E1236">
        <v>20</v>
      </c>
      <c r="F1236">
        <v>88.875</v>
      </c>
      <c r="G1236" s="1">
        <f>DATE(C1236, CHOOSE(MATCH(UPPER(B1236), {"ENERO","FEBRERO","MARZO","ABRIL","MAYO","JUNIO","JULIO","AGOSTO","SEPTIEMBRE","OCTUBRE","NOVIEMBRE","DICIEMBRE"}, 0), 1,2,3,4,5,6,7,8,9,10,11,12), A1236)</f>
        <v>44732</v>
      </c>
      <c r="H1236">
        <v>61.75</v>
      </c>
      <c r="I1236">
        <v>48000</v>
      </c>
      <c r="J1236" s="1">
        <f t="shared" si="39"/>
        <v>44701</v>
      </c>
      <c r="K1236">
        <f t="shared" si="38"/>
        <v>33.375</v>
      </c>
    </row>
    <row r="1237" spans="1:11" x14ac:dyDescent="0.25">
      <c r="A1237">
        <v>21</v>
      </c>
      <c r="B1237" t="s">
        <v>15</v>
      </c>
      <c r="C1237">
        <v>2022</v>
      </c>
      <c r="D1237">
        <v>88.875</v>
      </c>
      <c r="E1237" t="s">
        <v>9</v>
      </c>
      <c r="F1237">
        <v>54</v>
      </c>
      <c r="G1237" s="1">
        <f>DATE(C1237, CHOOSE(MATCH(UPPER(B1237), {"ENERO","FEBRERO","MARZO","ABRIL","MAYO","JUNIO","JULIO","AGOSTO","SEPTIEMBRE","OCTUBRE","NOVIEMBRE","DICIEMBRE"}, 0), 1,2,3,4,5,6,7,8,9,10,11,12), A1237)</f>
        <v>44733</v>
      </c>
      <c r="H1237">
        <v>34.875</v>
      </c>
      <c r="I1237">
        <v>48000</v>
      </c>
      <c r="J1237" s="1">
        <f t="shared" si="39"/>
        <v>44702</v>
      </c>
      <c r="K1237">
        <f t="shared" si="38"/>
        <v>47.125</v>
      </c>
    </row>
    <row r="1238" spans="1:11" x14ac:dyDescent="0.25">
      <c r="A1238">
        <v>22</v>
      </c>
      <c r="B1238" t="s">
        <v>15</v>
      </c>
      <c r="C1238">
        <v>2022</v>
      </c>
      <c r="D1238">
        <v>54</v>
      </c>
      <c r="E1238">
        <v>100</v>
      </c>
      <c r="F1238">
        <v>127.5</v>
      </c>
      <c r="G1238" s="1">
        <f>DATE(C1238, CHOOSE(MATCH(UPPER(B1238), {"ENERO","FEBRERO","MARZO","ABRIL","MAYO","JUNIO","JULIO","AGOSTO","SEPTIEMBRE","OCTUBRE","NOVIEMBRE","DICIEMBRE"}, 0), 1,2,3,4,5,6,7,8,9,10,11,12), A1238)</f>
        <v>44734</v>
      </c>
      <c r="H1238">
        <v>26.5</v>
      </c>
      <c r="I1238">
        <v>48000</v>
      </c>
      <c r="J1238" s="1">
        <f t="shared" si="39"/>
        <v>44703</v>
      </c>
      <c r="K1238">
        <f t="shared" si="38"/>
        <v>41.5</v>
      </c>
    </row>
    <row r="1239" spans="1:11" x14ac:dyDescent="0.25">
      <c r="A1239">
        <v>23</v>
      </c>
      <c r="B1239" t="s">
        <v>15</v>
      </c>
      <c r="C1239">
        <v>2022</v>
      </c>
      <c r="D1239">
        <v>127.5</v>
      </c>
      <c r="E1239" t="s">
        <v>9</v>
      </c>
      <c r="F1239">
        <v>94.25</v>
      </c>
      <c r="G1239" s="1">
        <f>DATE(C1239, CHOOSE(MATCH(UPPER(B1239), {"ENERO","FEBRERO","MARZO","ABRIL","MAYO","JUNIO","JULIO","AGOSTO","SEPTIEMBRE","OCTUBRE","NOVIEMBRE","DICIEMBRE"}, 0), 1,2,3,4,5,6,7,8,9,10,11,12), A1239)</f>
        <v>44735</v>
      </c>
      <c r="H1239">
        <v>33.25</v>
      </c>
      <c r="I1239">
        <v>48000</v>
      </c>
      <c r="J1239" s="1">
        <f t="shared" si="39"/>
        <v>44704</v>
      </c>
      <c r="K1239">
        <f t="shared" si="38"/>
        <v>25.5</v>
      </c>
    </row>
    <row r="1240" spans="1:11" x14ac:dyDescent="0.25">
      <c r="A1240">
        <v>24</v>
      </c>
      <c r="B1240" t="s">
        <v>15</v>
      </c>
      <c r="C1240">
        <v>2022</v>
      </c>
      <c r="D1240">
        <v>94.25</v>
      </c>
      <c r="E1240" t="s">
        <v>9</v>
      </c>
      <c r="F1240">
        <v>34</v>
      </c>
      <c r="G1240" s="1">
        <f>DATE(C1240, CHOOSE(MATCH(UPPER(B1240), {"ENERO","FEBRERO","MARZO","ABRIL","MAYO","JUNIO","JULIO","AGOSTO","SEPTIEMBRE","OCTUBRE","NOVIEMBRE","DICIEMBRE"}, 0), 1,2,3,4,5,6,7,8,9,10,11,12), A1240)</f>
        <v>44736</v>
      </c>
      <c r="H1240">
        <v>60.25</v>
      </c>
      <c r="I1240">
        <v>48000</v>
      </c>
      <c r="J1240" s="1">
        <f t="shared" si="39"/>
        <v>44705</v>
      </c>
      <c r="K1240">
        <f t="shared" si="38"/>
        <v>26.625</v>
      </c>
    </row>
    <row r="1241" spans="1:11" x14ac:dyDescent="0.25">
      <c r="A1241">
        <v>25</v>
      </c>
      <c r="B1241" t="s">
        <v>15</v>
      </c>
      <c r="C1241">
        <v>2022</v>
      </c>
      <c r="D1241">
        <v>34</v>
      </c>
      <c r="E1241">
        <v>130</v>
      </c>
      <c r="F1241">
        <v>98.5</v>
      </c>
      <c r="G1241" s="1">
        <f>DATE(C1241, CHOOSE(MATCH(UPPER(B1241), {"ENERO","FEBRERO","MARZO","ABRIL","MAYO","JUNIO","JULIO","AGOSTO","SEPTIEMBRE","OCTUBRE","NOVIEMBRE","DICIEMBRE"}, 0), 1,2,3,4,5,6,7,8,9,10,11,12), A1241)</f>
        <v>44737</v>
      </c>
      <c r="H1241">
        <v>65.5</v>
      </c>
      <c r="I1241">
        <v>48000</v>
      </c>
      <c r="J1241" s="1">
        <f t="shared" si="39"/>
        <v>44706</v>
      </c>
      <c r="K1241">
        <f t="shared" si="38"/>
        <v>24.75</v>
      </c>
    </row>
    <row r="1242" spans="1:11" x14ac:dyDescent="0.25">
      <c r="A1242">
        <v>26</v>
      </c>
      <c r="B1242" t="s">
        <v>15</v>
      </c>
      <c r="C1242">
        <v>2022</v>
      </c>
      <c r="D1242">
        <v>98.5</v>
      </c>
      <c r="E1242" t="s">
        <v>9</v>
      </c>
      <c r="F1242">
        <v>41</v>
      </c>
      <c r="G1242" s="1">
        <f>DATE(C1242, CHOOSE(MATCH(UPPER(B1242), {"ENERO","FEBRERO","MARZO","ABRIL","MAYO","JUNIO","JULIO","AGOSTO","SEPTIEMBRE","OCTUBRE","NOVIEMBRE","DICIEMBRE"}, 0), 1,2,3,4,5,6,7,8,9,10,11,12), A1242)</f>
        <v>44738</v>
      </c>
      <c r="H1242">
        <v>57.5</v>
      </c>
      <c r="I1242">
        <v>48000</v>
      </c>
      <c r="J1242" s="1">
        <f t="shared" si="39"/>
        <v>44707</v>
      </c>
      <c r="K1242">
        <f t="shared" si="38"/>
        <v>27.875</v>
      </c>
    </row>
    <row r="1243" spans="1:11" x14ac:dyDescent="0.25">
      <c r="A1243">
        <v>27</v>
      </c>
      <c r="B1243" t="s">
        <v>15</v>
      </c>
      <c r="C1243">
        <v>2022</v>
      </c>
      <c r="D1243">
        <v>41</v>
      </c>
      <c r="E1243">
        <v>90</v>
      </c>
      <c r="F1243">
        <v>70.5</v>
      </c>
      <c r="G1243" s="1">
        <f>DATE(C1243, CHOOSE(MATCH(UPPER(B1243), {"ENERO","FEBRERO","MARZO","ABRIL","MAYO","JUNIO","JULIO","AGOSTO","SEPTIEMBRE","OCTUBRE","NOVIEMBRE","DICIEMBRE"}, 0), 1,2,3,4,5,6,7,8,9,10,11,12), A1243)</f>
        <v>44739</v>
      </c>
      <c r="H1243">
        <v>60.5</v>
      </c>
      <c r="I1243">
        <v>48000</v>
      </c>
      <c r="J1243" s="1">
        <f t="shared" si="39"/>
        <v>44708</v>
      </c>
      <c r="K1243">
        <f t="shared" si="38"/>
        <v>49.125</v>
      </c>
    </row>
    <row r="1244" spans="1:11" x14ac:dyDescent="0.25">
      <c r="A1244">
        <v>28</v>
      </c>
      <c r="B1244" t="s">
        <v>15</v>
      </c>
      <c r="C1244">
        <v>2022</v>
      </c>
      <c r="D1244">
        <v>70.5</v>
      </c>
      <c r="E1244" t="s">
        <v>9</v>
      </c>
      <c r="F1244">
        <v>46.625</v>
      </c>
      <c r="G1244" s="1">
        <f>DATE(C1244, CHOOSE(MATCH(UPPER(B1244), {"ENERO","FEBRERO","MARZO","ABRIL","MAYO","JUNIO","JULIO","AGOSTO","SEPTIEMBRE","OCTUBRE","NOVIEMBRE","DICIEMBRE"}, 0), 1,2,3,4,5,6,7,8,9,10,11,12), A1244)</f>
        <v>44740</v>
      </c>
      <c r="H1244">
        <v>23.875</v>
      </c>
      <c r="I1244">
        <v>48000</v>
      </c>
      <c r="J1244" s="1">
        <f t="shared" si="39"/>
        <v>44709</v>
      </c>
      <c r="K1244">
        <f t="shared" si="38"/>
        <v>56.375</v>
      </c>
    </row>
    <row r="1245" spans="1:11" x14ac:dyDescent="0.25">
      <c r="A1245">
        <v>29</v>
      </c>
      <c r="B1245" t="s">
        <v>15</v>
      </c>
      <c r="C1245">
        <v>2022</v>
      </c>
      <c r="D1245">
        <v>46.625</v>
      </c>
      <c r="E1245">
        <v>120</v>
      </c>
      <c r="F1245">
        <v>125.875</v>
      </c>
      <c r="G1245" s="1">
        <f>DATE(C1245, CHOOSE(MATCH(UPPER(B1245), {"ENERO","FEBRERO","MARZO","ABRIL","MAYO","JUNIO","JULIO","AGOSTO","SEPTIEMBRE","OCTUBRE","NOVIEMBRE","DICIEMBRE"}, 0), 1,2,3,4,5,6,7,8,9,10,11,12), A1245)</f>
        <v>44741</v>
      </c>
      <c r="H1245">
        <v>40.75</v>
      </c>
      <c r="I1245">
        <v>48000</v>
      </c>
      <c r="J1245" s="1">
        <f t="shared" si="39"/>
        <v>44710</v>
      </c>
      <c r="K1245">
        <f t="shared" si="38"/>
        <v>68.75</v>
      </c>
    </row>
    <row r="1246" spans="1:11" x14ac:dyDescent="0.25">
      <c r="A1246">
        <v>30</v>
      </c>
      <c r="B1246" t="s">
        <v>15</v>
      </c>
      <c r="C1246">
        <v>2022</v>
      </c>
      <c r="D1246">
        <v>125.875</v>
      </c>
      <c r="E1246" t="s">
        <v>9</v>
      </c>
      <c r="F1246">
        <v>79</v>
      </c>
      <c r="G1246" s="1">
        <f>DATE(C1246, CHOOSE(MATCH(UPPER(B1246), {"ENERO","FEBRERO","MARZO","ABRIL","MAYO","JUNIO","JULIO","AGOSTO","SEPTIEMBRE","OCTUBRE","NOVIEMBRE","DICIEMBRE"}, 0), 1,2,3,4,5,6,7,8,9,10,11,12), A1246)</f>
        <v>44742</v>
      </c>
      <c r="H1246">
        <v>46.875</v>
      </c>
      <c r="I1246">
        <v>48000</v>
      </c>
      <c r="J1246" s="1">
        <f t="shared" si="39"/>
        <v>44711</v>
      </c>
      <c r="K1246">
        <f t="shared" si="38"/>
        <v>46.375</v>
      </c>
    </row>
    <row r="1247" spans="1:11" x14ac:dyDescent="0.25">
      <c r="A1247">
        <v>1</v>
      </c>
      <c r="B1247" t="s">
        <v>17</v>
      </c>
      <c r="C1247">
        <v>2022</v>
      </c>
      <c r="D1247">
        <v>56.125</v>
      </c>
      <c r="E1247">
        <v>100</v>
      </c>
      <c r="F1247">
        <v>128.125</v>
      </c>
      <c r="G1247" s="1">
        <f>DATE(C1247, CHOOSE(MATCH(UPPER(B1247), {"ENERO","FEBRERO","MARZO","ABRIL","MAYO","JUNIO","JULIO","AGOSTO","SEPTIEMBRE","OCTUBRE","NOVIEMBRE","DICIEMBRE"}, 0), 1,2,3,4,5,6,7,8,9,10,11,12), A1247)</f>
        <v>44774</v>
      </c>
      <c r="H1247">
        <v>28</v>
      </c>
      <c r="I1247">
        <v>48000</v>
      </c>
      <c r="J1247" s="1">
        <f t="shared" si="39"/>
        <v>44712</v>
      </c>
      <c r="K1247">
        <f t="shared" si="38"/>
        <v>31.75</v>
      </c>
    </row>
    <row r="1248" spans="1:11" x14ac:dyDescent="0.25">
      <c r="A1248">
        <v>2</v>
      </c>
      <c r="B1248" t="s">
        <v>17</v>
      </c>
      <c r="C1248">
        <v>2022</v>
      </c>
      <c r="D1248">
        <v>128.125</v>
      </c>
      <c r="E1248" t="s">
        <v>9</v>
      </c>
      <c r="F1248">
        <v>97.25</v>
      </c>
      <c r="G1248" s="1">
        <f>DATE(C1248, CHOOSE(MATCH(UPPER(B1248), {"ENERO","FEBRERO","MARZO","ABRIL","MAYO","JUNIO","JULIO","AGOSTO","SEPTIEMBRE","OCTUBRE","NOVIEMBRE","DICIEMBRE"}, 0), 1,2,3,4,5,6,7,8,9,10,11,12), A1248)</f>
        <v>44775</v>
      </c>
      <c r="H1248">
        <v>30.875</v>
      </c>
      <c r="I1248">
        <v>48000</v>
      </c>
      <c r="J1248" s="1">
        <f t="shared" si="39"/>
        <v>44713</v>
      </c>
      <c r="K1248">
        <f t="shared" si="38"/>
        <v>28.875</v>
      </c>
    </row>
    <row r="1249" spans="1:11" x14ac:dyDescent="0.25">
      <c r="A1249">
        <v>3</v>
      </c>
      <c r="B1249" t="s">
        <v>17</v>
      </c>
      <c r="C1249">
        <v>2022</v>
      </c>
      <c r="D1249">
        <v>97.25</v>
      </c>
      <c r="E1249">
        <v>140</v>
      </c>
      <c r="F1249">
        <v>197.625</v>
      </c>
      <c r="G1249" s="1">
        <f>DATE(C1249, CHOOSE(MATCH(UPPER(B1249), {"ENERO","FEBRERO","MARZO","ABRIL","MAYO","JUNIO","JULIO","AGOSTO","SEPTIEMBRE","OCTUBRE","NOVIEMBRE","DICIEMBRE"}, 0), 1,2,3,4,5,6,7,8,9,10,11,12), A1249)</f>
        <v>44776</v>
      </c>
      <c r="H1249">
        <v>39.625</v>
      </c>
      <c r="I1249">
        <v>48000</v>
      </c>
      <c r="J1249" s="1">
        <f t="shared" si="39"/>
        <v>44714</v>
      </c>
      <c r="K1249">
        <f t="shared" si="38"/>
        <v>29.5</v>
      </c>
    </row>
    <row r="1250" spans="1:11" x14ac:dyDescent="0.25">
      <c r="A1250">
        <v>4</v>
      </c>
      <c r="B1250" t="s">
        <v>17</v>
      </c>
      <c r="C1250">
        <v>2022</v>
      </c>
      <c r="D1250">
        <v>197.625</v>
      </c>
      <c r="E1250" t="s">
        <v>9</v>
      </c>
      <c r="F1250">
        <v>168.75</v>
      </c>
      <c r="G1250" s="1">
        <f>DATE(C1250, CHOOSE(MATCH(UPPER(B1250), {"ENERO","FEBRERO","MARZO","ABRIL","MAYO","JUNIO","JULIO","AGOSTO","SEPTIEMBRE","OCTUBRE","NOVIEMBRE","DICIEMBRE"}, 0), 1,2,3,4,5,6,7,8,9,10,11,12), A1250)</f>
        <v>44777</v>
      </c>
      <c r="H1250">
        <v>28.875</v>
      </c>
      <c r="I1250">
        <v>48000</v>
      </c>
      <c r="J1250" s="1">
        <f t="shared" si="39"/>
        <v>44715</v>
      </c>
      <c r="K1250">
        <f t="shared" si="38"/>
        <v>39.875</v>
      </c>
    </row>
    <row r="1251" spans="1:11" x14ac:dyDescent="0.25">
      <c r="A1251">
        <v>5</v>
      </c>
      <c r="B1251" t="s">
        <v>17</v>
      </c>
      <c r="C1251">
        <v>2022</v>
      </c>
      <c r="D1251">
        <v>168.75</v>
      </c>
      <c r="E1251" t="s">
        <v>9</v>
      </c>
      <c r="F1251">
        <v>114.75</v>
      </c>
      <c r="G1251" s="1">
        <f>DATE(C1251, CHOOSE(MATCH(UPPER(B1251), {"ENERO","FEBRERO","MARZO","ABRIL","MAYO","JUNIO","JULIO","AGOSTO","SEPTIEMBRE","OCTUBRE","NOVIEMBRE","DICIEMBRE"}, 0), 1,2,3,4,5,6,7,8,9,10,11,12), A1251)</f>
        <v>44778</v>
      </c>
      <c r="H1251">
        <v>54</v>
      </c>
      <c r="I1251">
        <v>48000</v>
      </c>
      <c r="J1251" s="1">
        <f t="shared" si="39"/>
        <v>44716</v>
      </c>
      <c r="K1251">
        <f t="shared" si="38"/>
        <v>52.875</v>
      </c>
    </row>
    <row r="1252" spans="1:11" x14ac:dyDescent="0.25">
      <c r="A1252">
        <v>6</v>
      </c>
      <c r="B1252" t="s">
        <v>17</v>
      </c>
      <c r="C1252">
        <v>2022</v>
      </c>
      <c r="D1252">
        <v>114.75</v>
      </c>
      <c r="E1252">
        <v>104</v>
      </c>
      <c r="F1252">
        <v>154</v>
      </c>
      <c r="G1252" s="1">
        <f>DATE(C1252, CHOOSE(MATCH(UPPER(B1252), {"ENERO","FEBRERO","MARZO","ABRIL","MAYO","JUNIO","JULIO","AGOSTO","SEPTIEMBRE","OCTUBRE","NOVIEMBRE","DICIEMBRE"}, 0), 1,2,3,4,5,6,7,8,9,10,11,12), A1252)</f>
        <v>44779</v>
      </c>
      <c r="H1252">
        <v>64.75</v>
      </c>
      <c r="I1252">
        <v>48000</v>
      </c>
      <c r="J1252" s="1">
        <f t="shared" si="39"/>
        <v>44717</v>
      </c>
      <c r="K1252">
        <f t="shared" si="38"/>
        <v>45.625</v>
      </c>
    </row>
    <row r="1253" spans="1:11" x14ac:dyDescent="0.25">
      <c r="A1253">
        <v>7</v>
      </c>
      <c r="B1253" t="s">
        <v>17</v>
      </c>
      <c r="C1253">
        <v>2022</v>
      </c>
      <c r="D1253">
        <v>154</v>
      </c>
      <c r="E1253" t="s">
        <v>9</v>
      </c>
      <c r="F1253">
        <v>96.625</v>
      </c>
      <c r="G1253" s="1">
        <f>DATE(C1253, CHOOSE(MATCH(UPPER(B1253), {"ENERO","FEBRERO","MARZO","ABRIL","MAYO","JUNIO","JULIO","AGOSTO","SEPTIEMBRE","OCTUBRE","NOVIEMBRE","DICIEMBRE"}, 0), 1,2,3,4,5,6,7,8,9,10,11,12), A1253)</f>
        <v>44780</v>
      </c>
      <c r="H1253">
        <v>57.375</v>
      </c>
      <c r="I1253">
        <v>48000</v>
      </c>
      <c r="J1253" s="1">
        <f t="shared" si="39"/>
        <v>44718</v>
      </c>
      <c r="K1253">
        <f t="shared" si="38"/>
        <v>26.875</v>
      </c>
    </row>
    <row r="1254" spans="1:11" x14ac:dyDescent="0.25">
      <c r="A1254">
        <v>8</v>
      </c>
      <c r="B1254" t="s">
        <v>17</v>
      </c>
      <c r="C1254">
        <v>2022</v>
      </c>
      <c r="D1254">
        <v>96.625</v>
      </c>
      <c r="E1254">
        <v>80</v>
      </c>
      <c r="F1254">
        <v>154.75</v>
      </c>
      <c r="G1254" s="1">
        <f>DATE(C1254, CHOOSE(MATCH(UPPER(B1254), {"ENERO","FEBRERO","MARZO","ABRIL","MAYO","JUNIO","JULIO","AGOSTO","SEPTIEMBRE","OCTUBRE","NOVIEMBRE","DICIEMBRE"}, 0), 1,2,3,4,5,6,7,8,9,10,11,12), A1254)</f>
        <v>44781</v>
      </c>
      <c r="H1254">
        <v>21.875</v>
      </c>
      <c r="I1254">
        <v>48000</v>
      </c>
      <c r="J1254" s="1">
        <f t="shared" si="39"/>
        <v>44719</v>
      </c>
      <c r="K1254">
        <f t="shared" si="38"/>
        <v>30.375</v>
      </c>
    </row>
    <row r="1255" spans="1:11" x14ac:dyDescent="0.25">
      <c r="A1255">
        <v>9</v>
      </c>
      <c r="B1255" t="s">
        <v>17</v>
      </c>
      <c r="C1255">
        <v>2022</v>
      </c>
      <c r="D1255">
        <v>154.75</v>
      </c>
      <c r="E1255" t="s">
        <v>9</v>
      </c>
      <c r="F1255">
        <v>125</v>
      </c>
      <c r="G1255" s="1">
        <f>DATE(C1255, CHOOSE(MATCH(UPPER(B1255), {"ENERO","FEBRERO","MARZO","ABRIL","MAYO","JUNIO","JULIO","AGOSTO","SEPTIEMBRE","OCTUBRE","NOVIEMBRE","DICIEMBRE"}, 0), 1,2,3,4,5,6,7,8,9,10,11,12), A1255)</f>
        <v>44782</v>
      </c>
      <c r="H1255">
        <v>29.75</v>
      </c>
      <c r="I1255">
        <v>48000</v>
      </c>
      <c r="J1255" s="1">
        <f t="shared" si="39"/>
        <v>44720</v>
      </c>
      <c r="K1255">
        <f t="shared" si="38"/>
        <v>19.625</v>
      </c>
    </row>
    <row r="1256" spans="1:11" x14ac:dyDescent="0.25">
      <c r="A1256">
        <v>10</v>
      </c>
      <c r="B1256" t="s">
        <v>17</v>
      </c>
      <c r="C1256">
        <v>2022</v>
      </c>
      <c r="D1256">
        <v>125</v>
      </c>
      <c r="E1256">
        <v>100</v>
      </c>
      <c r="F1256">
        <v>195.125</v>
      </c>
      <c r="G1256" s="1">
        <f>DATE(C1256, CHOOSE(MATCH(UPPER(B1256), {"ENERO","FEBRERO","MARZO","ABRIL","MAYO","JUNIO","JULIO","AGOSTO","SEPTIEMBRE","OCTUBRE","NOVIEMBRE","DICIEMBRE"}, 0), 1,2,3,4,5,6,7,8,9,10,11,12), A1256)</f>
        <v>44783</v>
      </c>
      <c r="H1256">
        <v>29.875</v>
      </c>
      <c r="I1256">
        <v>48000</v>
      </c>
      <c r="J1256" s="1">
        <f t="shared" si="39"/>
        <v>44721</v>
      </c>
      <c r="K1256">
        <f t="shared" si="38"/>
        <v>21.375</v>
      </c>
    </row>
    <row r="1257" spans="1:11" x14ac:dyDescent="0.25">
      <c r="A1257">
        <v>11</v>
      </c>
      <c r="B1257" t="s">
        <v>17</v>
      </c>
      <c r="C1257">
        <v>2022</v>
      </c>
      <c r="D1257">
        <v>195.125</v>
      </c>
      <c r="E1257" t="s">
        <v>9</v>
      </c>
      <c r="F1257">
        <v>171.625</v>
      </c>
      <c r="G1257" s="1">
        <f>DATE(C1257, CHOOSE(MATCH(UPPER(B1257), {"ENERO","FEBRERO","MARZO","ABRIL","MAYO","JUNIO","JULIO","AGOSTO","SEPTIEMBRE","OCTUBRE","NOVIEMBRE","DICIEMBRE"}, 0), 1,2,3,4,5,6,7,8,9,10,11,12), A1257)</f>
        <v>44784</v>
      </c>
      <c r="H1257">
        <v>23.5</v>
      </c>
      <c r="I1257">
        <v>48000</v>
      </c>
      <c r="J1257" s="1">
        <f t="shared" si="39"/>
        <v>44722</v>
      </c>
      <c r="K1257">
        <f t="shared" si="38"/>
        <v>40.5</v>
      </c>
    </row>
    <row r="1258" spans="1:11" x14ac:dyDescent="0.25">
      <c r="A1258">
        <v>12</v>
      </c>
      <c r="B1258" t="s">
        <v>17</v>
      </c>
      <c r="C1258">
        <v>2022</v>
      </c>
      <c r="D1258">
        <v>171.625</v>
      </c>
      <c r="E1258" t="s">
        <v>9</v>
      </c>
      <c r="F1258">
        <v>140.125</v>
      </c>
      <c r="G1258" s="1">
        <f>DATE(C1258, CHOOSE(MATCH(UPPER(B1258), {"ENERO","FEBRERO","MARZO","ABRIL","MAYO","JUNIO","JULIO","AGOSTO","SEPTIEMBRE","OCTUBRE","NOVIEMBRE","DICIEMBRE"}, 0), 1,2,3,4,5,6,7,8,9,10,11,12), A1258)</f>
        <v>44785</v>
      </c>
      <c r="H1258">
        <v>31.5</v>
      </c>
      <c r="I1258">
        <v>48000</v>
      </c>
      <c r="J1258" s="1">
        <f t="shared" si="39"/>
        <v>44723</v>
      </c>
      <c r="K1258">
        <f t="shared" si="38"/>
        <v>38.625</v>
      </c>
    </row>
    <row r="1259" spans="1:11" x14ac:dyDescent="0.25">
      <c r="A1259">
        <v>13</v>
      </c>
      <c r="B1259" t="s">
        <v>17</v>
      </c>
      <c r="C1259">
        <v>2022</v>
      </c>
      <c r="D1259">
        <v>140.125</v>
      </c>
      <c r="E1259">
        <v>60</v>
      </c>
      <c r="F1259">
        <v>143.75</v>
      </c>
      <c r="G1259" s="1">
        <f>DATE(C1259, CHOOSE(MATCH(UPPER(B1259), {"ENERO","FEBRERO","MARZO","ABRIL","MAYO","JUNIO","JULIO","AGOSTO","SEPTIEMBRE","OCTUBRE","NOVIEMBRE","DICIEMBRE"}, 0), 1,2,3,4,5,6,7,8,9,10,11,12), A1259)</f>
        <v>44786</v>
      </c>
      <c r="H1259">
        <v>56.375</v>
      </c>
      <c r="I1259">
        <v>48000</v>
      </c>
      <c r="J1259" s="1">
        <f t="shared" si="39"/>
        <v>44724</v>
      </c>
      <c r="K1259">
        <f t="shared" si="38"/>
        <v>44.5</v>
      </c>
    </row>
    <row r="1260" spans="1:11" x14ac:dyDescent="0.25">
      <c r="A1260">
        <v>14</v>
      </c>
      <c r="B1260" t="s">
        <v>17</v>
      </c>
      <c r="C1260">
        <v>2022</v>
      </c>
      <c r="D1260">
        <v>143.75</v>
      </c>
      <c r="E1260" t="s">
        <v>9</v>
      </c>
      <c r="F1260">
        <v>92.625</v>
      </c>
      <c r="G1260" s="1">
        <f>DATE(C1260, CHOOSE(MATCH(UPPER(B1260), {"ENERO","FEBRERO","MARZO","ABRIL","MAYO","JUNIO","JULIO","AGOSTO","SEPTIEMBRE","OCTUBRE","NOVIEMBRE","DICIEMBRE"}, 0), 1,2,3,4,5,6,7,8,9,10,11,12), A1260)</f>
        <v>44787</v>
      </c>
      <c r="H1260">
        <v>51.125</v>
      </c>
      <c r="I1260">
        <v>48000</v>
      </c>
      <c r="J1260" s="1">
        <f t="shared" si="39"/>
        <v>44725</v>
      </c>
      <c r="K1260">
        <f t="shared" si="38"/>
        <v>16</v>
      </c>
    </row>
    <row r="1261" spans="1:11" x14ac:dyDescent="0.25">
      <c r="A1261">
        <v>15</v>
      </c>
      <c r="B1261" t="s">
        <v>17</v>
      </c>
      <c r="C1261">
        <v>2022</v>
      </c>
      <c r="D1261">
        <v>92.625</v>
      </c>
      <c r="E1261">
        <v>100</v>
      </c>
      <c r="F1261">
        <v>143.5</v>
      </c>
      <c r="G1261" s="1">
        <f>DATE(C1261, CHOOSE(MATCH(UPPER(B1261), {"ENERO","FEBRERO","MARZO","ABRIL","MAYO","JUNIO","JULIO","AGOSTO","SEPTIEMBRE","OCTUBRE","NOVIEMBRE","DICIEMBRE"}, 0), 1,2,3,4,5,6,7,8,9,10,11,12), A1261)</f>
        <v>44788</v>
      </c>
      <c r="H1261">
        <v>49.125</v>
      </c>
      <c r="I1261">
        <v>48000</v>
      </c>
      <c r="J1261" s="1">
        <f t="shared" si="39"/>
        <v>44726</v>
      </c>
      <c r="K1261">
        <f t="shared" si="38"/>
        <v>22.75</v>
      </c>
    </row>
    <row r="1262" spans="1:11" x14ac:dyDescent="0.25">
      <c r="A1262">
        <v>16</v>
      </c>
      <c r="B1262" t="s">
        <v>17</v>
      </c>
      <c r="C1262">
        <v>2022</v>
      </c>
      <c r="D1262">
        <v>143.5</v>
      </c>
      <c r="E1262" t="s">
        <v>9</v>
      </c>
      <c r="F1262">
        <v>115.875</v>
      </c>
      <c r="G1262" s="1">
        <f>DATE(C1262, CHOOSE(MATCH(UPPER(B1262), {"ENERO","FEBRERO","MARZO","ABRIL","MAYO","JUNIO","JULIO","AGOSTO","SEPTIEMBRE","OCTUBRE","NOVIEMBRE","DICIEMBRE"}, 0), 1,2,3,4,5,6,7,8,9,10,11,12), A1262)</f>
        <v>44789</v>
      </c>
      <c r="H1262">
        <v>27.625</v>
      </c>
      <c r="I1262">
        <v>48000</v>
      </c>
      <c r="J1262" s="1">
        <f t="shared" si="39"/>
        <v>44727</v>
      </c>
      <c r="K1262">
        <f t="shared" si="38"/>
        <v>32.625</v>
      </c>
    </row>
    <row r="1263" spans="1:11" x14ac:dyDescent="0.25">
      <c r="A1263">
        <v>17</v>
      </c>
      <c r="B1263" t="s">
        <v>17</v>
      </c>
      <c r="C1263">
        <v>2022</v>
      </c>
      <c r="D1263">
        <v>115.875</v>
      </c>
      <c r="E1263" t="s">
        <v>9</v>
      </c>
      <c r="F1263">
        <v>88</v>
      </c>
      <c r="G1263" s="1">
        <f>DATE(C1263, CHOOSE(MATCH(UPPER(B1263), {"ENERO","FEBRERO","MARZO","ABRIL","MAYO","JUNIO","JULIO","AGOSTO","SEPTIEMBRE","OCTUBRE","NOVIEMBRE","DICIEMBRE"}, 0), 1,2,3,4,5,6,7,8,9,10,11,12), A1263)</f>
        <v>44790</v>
      </c>
      <c r="H1263">
        <v>27.875</v>
      </c>
      <c r="I1263">
        <v>48000</v>
      </c>
      <c r="J1263" s="1">
        <f t="shared" si="39"/>
        <v>44728</v>
      </c>
      <c r="K1263">
        <f t="shared" si="38"/>
        <v>31.125</v>
      </c>
    </row>
    <row r="1264" spans="1:11" x14ac:dyDescent="0.25">
      <c r="A1264">
        <v>18</v>
      </c>
      <c r="B1264" t="s">
        <v>17</v>
      </c>
      <c r="C1264">
        <v>2022</v>
      </c>
      <c r="D1264">
        <v>88</v>
      </c>
      <c r="E1264">
        <v>80</v>
      </c>
      <c r="F1264">
        <v>131.5</v>
      </c>
      <c r="G1264" s="1">
        <f>DATE(C1264, CHOOSE(MATCH(UPPER(B1264), {"ENERO","FEBRERO","MARZO","ABRIL","MAYO","JUNIO","JULIO","AGOSTO","SEPTIEMBRE","OCTUBRE","NOVIEMBRE","DICIEMBRE"}, 0), 1,2,3,4,5,6,7,8,9,10,11,12), A1264)</f>
        <v>44791</v>
      </c>
      <c r="H1264">
        <v>36.5</v>
      </c>
      <c r="I1264">
        <v>48000</v>
      </c>
      <c r="J1264" s="1">
        <f t="shared" si="39"/>
        <v>44729</v>
      </c>
      <c r="K1264">
        <f t="shared" si="38"/>
        <v>63.375</v>
      </c>
    </row>
    <row r="1265" spans="1:11" x14ac:dyDescent="0.25">
      <c r="A1265">
        <v>19</v>
      </c>
      <c r="B1265" t="s">
        <v>17</v>
      </c>
      <c r="C1265">
        <v>2022</v>
      </c>
      <c r="D1265">
        <v>131.5</v>
      </c>
      <c r="E1265" t="s">
        <v>9</v>
      </c>
      <c r="F1265">
        <v>97.125</v>
      </c>
      <c r="G1265" s="1">
        <f>DATE(C1265, CHOOSE(MATCH(UPPER(B1265), {"ENERO","FEBRERO","MARZO","ABRIL","MAYO","JUNIO","JULIO","AGOSTO","SEPTIEMBRE","OCTUBRE","NOVIEMBRE","DICIEMBRE"}, 0), 1,2,3,4,5,6,7,8,9,10,11,12), A1265)</f>
        <v>44792</v>
      </c>
      <c r="H1265">
        <v>34.375</v>
      </c>
      <c r="I1265">
        <v>48000</v>
      </c>
      <c r="J1265" s="1">
        <f t="shared" si="39"/>
        <v>44730</v>
      </c>
      <c r="K1265">
        <f t="shared" si="38"/>
        <v>53.375</v>
      </c>
    </row>
    <row r="1266" spans="1:11" x14ac:dyDescent="0.25">
      <c r="A1266">
        <v>20</v>
      </c>
      <c r="B1266" t="s">
        <v>17</v>
      </c>
      <c r="C1266">
        <v>2022</v>
      </c>
      <c r="D1266">
        <v>97.125</v>
      </c>
      <c r="E1266">
        <v>100</v>
      </c>
      <c r="F1266">
        <v>153.375</v>
      </c>
      <c r="G1266" s="1">
        <f>DATE(C1266, CHOOSE(MATCH(UPPER(B1266), {"ENERO","FEBRERO","MARZO","ABRIL","MAYO","JUNIO","JULIO","AGOSTO","SEPTIEMBRE","OCTUBRE","NOVIEMBRE","DICIEMBRE"}, 0), 1,2,3,4,5,6,7,8,9,10,11,12), A1266)</f>
        <v>44793</v>
      </c>
      <c r="H1266">
        <v>43.75</v>
      </c>
      <c r="I1266">
        <v>48000</v>
      </c>
      <c r="J1266" s="1">
        <f t="shared" si="39"/>
        <v>44731</v>
      </c>
      <c r="K1266">
        <f t="shared" si="38"/>
        <v>52.625</v>
      </c>
    </row>
    <row r="1267" spans="1:11" x14ac:dyDescent="0.25">
      <c r="A1267">
        <v>21</v>
      </c>
      <c r="B1267" t="s">
        <v>17</v>
      </c>
      <c r="C1267">
        <v>2022</v>
      </c>
      <c r="D1267">
        <v>153.375</v>
      </c>
      <c r="E1267" t="s">
        <v>9</v>
      </c>
      <c r="F1267">
        <v>101</v>
      </c>
      <c r="G1267" s="1">
        <f>DATE(C1267, CHOOSE(MATCH(UPPER(B1267), {"ENERO","FEBRERO","MARZO","ABRIL","MAYO","JUNIO","JULIO","AGOSTO","SEPTIEMBRE","OCTUBRE","NOVIEMBRE","DICIEMBRE"}, 0), 1,2,3,4,5,6,7,8,9,10,11,12), A1267)</f>
        <v>44794</v>
      </c>
      <c r="H1267">
        <v>52.375</v>
      </c>
      <c r="I1267">
        <v>48000</v>
      </c>
      <c r="J1267" s="1">
        <f t="shared" si="39"/>
        <v>44732</v>
      </c>
      <c r="K1267">
        <f t="shared" si="38"/>
        <v>61.75</v>
      </c>
    </row>
    <row r="1268" spans="1:11" x14ac:dyDescent="0.25">
      <c r="A1268">
        <v>22</v>
      </c>
      <c r="B1268" t="s">
        <v>17</v>
      </c>
      <c r="C1268">
        <v>2022</v>
      </c>
      <c r="D1268">
        <v>101</v>
      </c>
      <c r="E1268">
        <v>100</v>
      </c>
      <c r="F1268">
        <v>173.5</v>
      </c>
      <c r="G1268" s="1">
        <f>DATE(C1268, CHOOSE(MATCH(UPPER(B1268), {"ENERO","FEBRERO","MARZO","ABRIL","MAYO","JUNIO","JULIO","AGOSTO","SEPTIEMBRE","OCTUBRE","NOVIEMBRE","DICIEMBRE"}, 0), 1,2,3,4,5,6,7,8,9,10,11,12), A1268)</f>
        <v>44795</v>
      </c>
      <c r="H1268">
        <v>27.5</v>
      </c>
      <c r="I1268">
        <v>48000</v>
      </c>
      <c r="J1268" s="1">
        <f t="shared" si="39"/>
        <v>44733</v>
      </c>
      <c r="K1268">
        <f t="shared" si="38"/>
        <v>34.875</v>
      </c>
    </row>
    <row r="1269" spans="1:11" x14ac:dyDescent="0.25">
      <c r="A1269">
        <v>23</v>
      </c>
      <c r="B1269" t="s">
        <v>17</v>
      </c>
      <c r="C1269">
        <v>2022</v>
      </c>
      <c r="D1269">
        <v>173.5</v>
      </c>
      <c r="E1269" t="s">
        <v>9</v>
      </c>
      <c r="F1269">
        <v>147.75</v>
      </c>
      <c r="G1269" s="1">
        <f>DATE(C1269, CHOOSE(MATCH(UPPER(B1269), {"ENERO","FEBRERO","MARZO","ABRIL","MAYO","JUNIO","JULIO","AGOSTO","SEPTIEMBRE","OCTUBRE","NOVIEMBRE","DICIEMBRE"}, 0), 1,2,3,4,5,6,7,8,9,10,11,12), A1269)</f>
        <v>44796</v>
      </c>
      <c r="H1269">
        <v>25.75</v>
      </c>
      <c r="I1269">
        <v>48000</v>
      </c>
      <c r="J1269" s="1">
        <f t="shared" si="39"/>
        <v>44734</v>
      </c>
      <c r="K1269">
        <f t="shared" si="38"/>
        <v>26.5</v>
      </c>
    </row>
    <row r="1270" spans="1:11" x14ac:dyDescent="0.25">
      <c r="A1270">
        <v>24</v>
      </c>
      <c r="B1270" t="s">
        <v>17</v>
      </c>
      <c r="C1270">
        <v>2022</v>
      </c>
      <c r="D1270">
        <v>147.75</v>
      </c>
      <c r="E1270">
        <v>50</v>
      </c>
      <c r="F1270">
        <v>168.75</v>
      </c>
      <c r="G1270" s="1">
        <f>DATE(C1270, CHOOSE(MATCH(UPPER(B1270), {"ENERO","FEBRERO","MARZO","ABRIL","MAYO","JUNIO","JULIO","AGOSTO","SEPTIEMBRE","OCTUBRE","NOVIEMBRE","DICIEMBRE"}, 0), 1,2,3,4,5,6,7,8,9,10,11,12), A1270)</f>
        <v>44797</v>
      </c>
      <c r="H1270">
        <v>29</v>
      </c>
      <c r="I1270">
        <v>48000</v>
      </c>
      <c r="J1270" s="1">
        <f t="shared" si="39"/>
        <v>44735</v>
      </c>
      <c r="K1270">
        <f t="shared" si="38"/>
        <v>33.25</v>
      </c>
    </row>
    <row r="1271" spans="1:11" x14ac:dyDescent="0.25">
      <c r="A1271">
        <v>25</v>
      </c>
      <c r="B1271" t="s">
        <v>17</v>
      </c>
      <c r="C1271">
        <v>2022</v>
      </c>
      <c r="D1271">
        <v>168.75</v>
      </c>
      <c r="E1271" t="s">
        <v>9</v>
      </c>
      <c r="F1271">
        <v>138.5</v>
      </c>
      <c r="G1271" s="1">
        <f>DATE(C1271, CHOOSE(MATCH(UPPER(B1271), {"ENERO","FEBRERO","MARZO","ABRIL","MAYO","JUNIO","JULIO","AGOSTO","SEPTIEMBRE","OCTUBRE","NOVIEMBRE","DICIEMBRE"}, 0), 1,2,3,4,5,6,7,8,9,10,11,12), A1271)</f>
        <v>44798</v>
      </c>
      <c r="H1271">
        <v>30.25</v>
      </c>
      <c r="I1271">
        <v>48000</v>
      </c>
      <c r="J1271" s="1">
        <f t="shared" si="39"/>
        <v>44736</v>
      </c>
      <c r="K1271">
        <f t="shared" si="38"/>
        <v>60.25</v>
      </c>
    </row>
    <row r="1272" spans="1:11" x14ac:dyDescent="0.25">
      <c r="A1272">
        <v>26</v>
      </c>
      <c r="B1272" t="s">
        <v>17</v>
      </c>
      <c r="C1272">
        <v>2022</v>
      </c>
      <c r="D1272">
        <v>138.5</v>
      </c>
      <c r="E1272" t="s">
        <v>9</v>
      </c>
      <c r="F1272">
        <v>93.25</v>
      </c>
      <c r="G1272" s="1">
        <f>DATE(C1272, CHOOSE(MATCH(UPPER(B1272), {"ENERO","FEBRERO","MARZO","ABRIL","MAYO","JUNIO","JULIO","AGOSTO","SEPTIEMBRE","OCTUBRE","NOVIEMBRE","DICIEMBRE"}, 0), 1,2,3,4,5,6,7,8,9,10,11,12), A1272)</f>
        <v>44799</v>
      </c>
      <c r="H1272">
        <v>45.25</v>
      </c>
      <c r="I1272">
        <v>48000</v>
      </c>
      <c r="J1272" s="1">
        <f t="shared" si="39"/>
        <v>44737</v>
      </c>
      <c r="K1272">
        <f t="shared" si="38"/>
        <v>65.5</v>
      </c>
    </row>
    <row r="1273" spans="1:11" x14ac:dyDescent="0.25">
      <c r="A1273">
        <v>27</v>
      </c>
      <c r="B1273" t="s">
        <v>17</v>
      </c>
      <c r="C1273">
        <v>2022</v>
      </c>
      <c r="D1273">
        <v>93.25</v>
      </c>
      <c r="E1273">
        <v>150</v>
      </c>
      <c r="F1273">
        <v>187.25</v>
      </c>
      <c r="G1273" s="1">
        <f>DATE(C1273, CHOOSE(MATCH(UPPER(B1273), {"ENERO","FEBRERO","MARZO","ABRIL","MAYO","JUNIO","JULIO","AGOSTO","SEPTIEMBRE","OCTUBRE","NOVIEMBRE","DICIEMBRE"}, 0), 1,2,3,4,5,6,7,8,9,10,11,12), A1273)</f>
        <v>44800</v>
      </c>
      <c r="H1273">
        <v>56</v>
      </c>
      <c r="I1273">
        <v>48000</v>
      </c>
      <c r="J1273" s="1">
        <f t="shared" si="39"/>
        <v>44738</v>
      </c>
      <c r="K1273">
        <f t="shared" si="38"/>
        <v>57.5</v>
      </c>
    </row>
    <row r="1274" spans="1:11" x14ac:dyDescent="0.25">
      <c r="A1274">
        <v>28</v>
      </c>
      <c r="B1274" t="s">
        <v>17</v>
      </c>
      <c r="C1274">
        <v>2022</v>
      </c>
      <c r="D1274">
        <v>187.25</v>
      </c>
      <c r="E1274" t="s">
        <v>9</v>
      </c>
      <c r="F1274">
        <v>146.5</v>
      </c>
      <c r="G1274" s="1">
        <f>DATE(C1274, CHOOSE(MATCH(UPPER(B1274), {"ENERO","FEBRERO","MARZO","ABRIL","MAYO","JUNIO","JULIO","AGOSTO","SEPTIEMBRE","OCTUBRE","NOVIEMBRE","DICIEMBRE"}, 0), 1,2,3,4,5,6,7,8,9,10,11,12), A1274)</f>
        <v>44801</v>
      </c>
      <c r="H1274">
        <v>40.75</v>
      </c>
      <c r="I1274">
        <v>48000</v>
      </c>
      <c r="J1274" s="1">
        <f t="shared" si="39"/>
        <v>44739</v>
      </c>
      <c r="K1274">
        <f t="shared" si="38"/>
        <v>60.5</v>
      </c>
    </row>
    <row r="1275" spans="1:11" x14ac:dyDescent="0.25">
      <c r="A1275">
        <v>29</v>
      </c>
      <c r="B1275" t="s">
        <v>17</v>
      </c>
      <c r="C1275">
        <v>2022</v>
      </c>
      <c r="D1275">
        <v>146.5</v>
      </c>
      <c r="E1275">
        <v>100</v>
      </c>
      <c r="F1275">
        <v>210.625</v>
      </c>
      <c r="G1275" s="1">
        <f>DATE(C1275, CHOOSE(MATCH(UPPER(B1275), {"ENERO","FEBRERO","MARZO","ABRIL","MAYO","JUNIO","JULIO","AGOSTO","SEPTIEMBRE","OCTUBRE","NOVIEMBRE","DICIEMBRE"}, 0), 1,2,3,4,5,6,7,8,9,10,11,12), A1275)</f>
        <v>44802</v>
      </c>
      <c r="H1275">
        <v>35.875</v>
      </c>
      <c r="I1275">
        <v>48000</v>
      </c>
      <c r="J1275" s="1">
        <f t="shared" si="39"/>
        <v>44740</v>
      </c>
      <c r="K1275">
        <f t="shared" si="38"/>
        <v>23.875</v>
      </c>
    </row>
    <row r="1276" spans="1:11" x14ac:dyDescent="0.25">
      <c r="A1276">
        <v>30</v>
      </c>
      <c r="B1276" t="s">
        <v>17</v>
      </c>
      <c r="C1276">
        <v>2022</v>
      </c>
      <c r="D1276">
        <v>210.625</v>
      </c>
      <c r="E1276" t="s">
        <v>9</v>
      </c>
      <c r="F1276">
        <v>185.5</v>
      </c>
      <c r="G1276" s="1">
        <f>DATE(C1276, CHOOSE(MATCH(UPPER(B1276), {"ENERO","FEBRERO","MARZO","ABRIL","MAYO","JUNIO","JULIO","AGOSTO","SEPTIEMBRE","OCTUBRE","NOVIEMBRE","DICIEMBRE"}, 0), 1,2,3,4,5,6,7,8,9,10,11,12), A1276)</f>
        <v>44803</v>
      </c>
      <c r="H1276">
        <v>25.125</v>
      </c>
      <c r="I1276">
        <v>48000</v>
      </c>
      <c r="J1276" s="1">
        <f t="shared" si="39"/>
        <v>44741</v>
      </c>
      <c r="K1276">
        <f t="shared" si="38"/>
        <v>40.75</v>
      </c>
    </row>
    <row r="1277" spans="1:11" x14ac:dyDescent="0.25">
      <c r="A1277">
        <v>31</v>
      </c>
      <c r="B1277" t="s">
        <v>17</v>
      </c>
      <c r="C1277">
        <v>2022</v>
      </c>
      <c r="D1277">
        <v>185.5</v>
      </c>
      <c r="E1277" t="s">
        <v>9</v>
      </c>
      <c r="F1277">
        <v>154.25</v>
      </c>
      <c r="G1277" s="1">
        <f>DATE(C1277, CHOOSE(MATCH(UPPER(B1277), {"ENERO","FEBRERO","MARZO","ABRIL","MAYO","JUNIO","JULIO","AGOSTO","SEPTIEMBRE","OCTUBRE","NOVIEMBRE","DICIEMBRE"}, 0), 1,2,3,4,5,6,7,8,9,10,11,12), A1277)</f>
        <v>44804</v>
      </c>
      <c r="H1277">
        <v>31.25</v>
      </c>
      <c r="I1277">
        <v>48000</v>
      </c>
      <c r="J1277" s="1">
        <f t="shared" si="39"/>
        <v>44742</v>
      </c>
      <c r="K1277">
        <f t="shared" si="38"/>
        <v>46.875</v>
      </c>
    </row>
    <row r="1278" spans="1:11" x14ac:dyDescent="0.25">
      <c r="A1278">
        <v>1</v>
      </c>
      <c r="B1278" t="s">
        <v>10</v>
      </c>
      <c r="C1278">
        <v>2022</v>
      </c>
      <c r="D1278">
        <v>154.25</v>
      </c>
      <c r="E1278">
        <v>100</v>
      </c>
      <c r="F1278">
        <v>233.125</v>
      </c>
      <c r="G1278" s="1">
        <f>DATE(C1278, CHOOSE(MATCH(UPPER(B1278), {"ENERO","FEBRERO","MARZO","ABRIL","MAYO","JUNIO","JULIO","AGOSTO","SEPTIEMBRE","OCTUBRE","NOVIEMBRE","DICIEMBRE"}, 0), 1,2,3,4,5,6,7,8,9,10,11,12), A1278)</f>
        <v>44805</v>
      </c>
      <c r="H1278">
        <v>21.125</v>
      </c>
      <c r="I1278">
        <v>48000</v>
      </c>
      <c r="J1278" s="1">
        <f t="shared" si="39"/>
        <v>44743</v>
      </c>
      <c r="K1278" t="e">
        <f t="shared" si="38"/>
        <v>#N/A</v>
      </c>
    </row>
    <row r="1279" spans="1:11" x14ac:dyDescent="0.25">
      <c r="A1279">
        <v>2</v>
      </c>
      <c r="B1279" t="s">
        <v>10</v>
      </c>
      <c r="C1279">
        <v>2022</v>
      </c>
      <c r="D1279">
        <v>233.125</v>
      </c>
      <c r="E1279" t="s">
        <v>9</v>
      </c>
      <c r="F1279">
        <v>210.75</v>
      </c>
      <c r="G1279" s="1">
        <f>DATE(C1279, CHOOSE(MATCH(UPPER(B1279), {"ENERO","FEBRERO","MARZO","ABRIL","MAYO","JUNIO","JULIO","AGOSTO","SEPTIEMBRE","OCTUBRE","NOVIEMBRE","DICIEMBRE"}, 0), 1,2,3,4,5,6,7,8,9,10,11,12), A1279)</f>
        <v>44806</v>
      </c>
      <c r="H1279">
        <v>22.375</v>
      </c>
      <c r="I1279">
        <v>48000</v>
      </c>
      <c r="J1279" s="1">
        <f t="shared" si="39"/>
        <v>44744</v>
      </c>
      <c r="K1279" t="e">
        <f t="shared" si="38"/>
        <v>#N/A</v>
      </c>
    </row>
    <row r="1280" spans="1:11" x14ac:dyDescent="0.25">
      <c r="A1280">
        <v>3</v>
      </c>
      <c r="B1280" t="s">
        <v>10</v>
      </c>
      <c r="C1280">
        <v>2022</v>
      </c>
      <c r="D1280">
        <v>210.75</v>
      </c>
      <c r="E1280" t="s">
        <v>9</v>
      </c>
      <c r="F1280">
        <v>172.875</v>
      </c>
      <c r="G1280" s="1">
        <f>DATE(C1280, CHOOSE(MATCH(UPPER(B1280), {"ENERO","FEBRERO","MARZO","ABRIL","MAYO","JUNIO","JULIO","AGOSTO","SEPTIEMBRE","OCTUBRE","NOVIEMBRE","DICIEMBRE"}, 0), 1,2,3,4,5,6,7,8,9,10,11,12), A1280)</f>
        <v>44807</v>
      </c>
      <c r="H1280">
        <v>37.875</v>
      </c>
      <c r="I1280">
        <v>48000</v>
      </c>
      <c r="J1280" s="1">
        <f t="shared" si="39"/>
        <v>44745</v>
      </c>
      <c r="K1280" t="e">
        <f t="shared" si="38"/>
        <v>#N/A</v>
      </c>
    </row>
    <row r="1281" spans="1:11" x14ac:dyDescent="0.25">
      <c r="A1281">
        <v>4</v>
      </c>
      <c r="B1281" t="s">
        <v>10</v>
      </c>
      <c r="C1281">
        <v>2022</v>
      </c>
      <c r="D1281">
        <v>172.875</v>
      </c>
      <c r="E1281" t="s">
        <v>9</v>
      </c>
      <c r="F1281">
        <v>143.5</v>
      </c>
      <c r="G1281" s="1">
        <f>DATE(C1281, CHOOSE(MATCH(UPPER(B1281), {"ENERO","FEBRERO","MARZO","ABRIL","MAYO","JUNIO","JULIO","AGOSTO","SEPTIEMBRE","OCTUBRE","NOVIEMBRE","DICIEMBRE"}, 0), 1,2,3,4,5,6,7,8,9,10,11,12), A1281)</f>
        <v>44808</v>
      </c>
      <c r="H1281">
        <v>29.375</v>
      </c>
      <c r="I1281">
        <v>48000</v>
      </c>
      <c r="J1281" s="1">
        <f t="shared" si="39"/>
        <v>44746</v>
      </c>
      <c r="K1281" t="e">
        <f t="shared" si="38"/>
        <v>#N/A</v>
      </c>
    </row>
    <row r="1282" spans="1:11" x14ac:dyDescent="0.25">
      <c r="A1282">
        <v>5</v>
      </c>
      <c r="B1282" t="s">
        <v>10</v>
      </c>
      <c r="C1282">
        <v>2022</v>
      </c>
      <c r="D1282">
        <v>143.5</v>
      </c>
      <c r="E1282" t="s">
        <v>9</v>
      </c>
      <c r="F1282">
        <v>125</v>
      </c>
      <c r="G1282" s="1">
        <f>DATE(C1282, CHOOSE(MATCH(UPPER(B1282), {"ENERO","FEBRERO","MARZO","ABRIL","MAYO","JUNIO","JULIO","AGOSTO","SEPTIEMBRE","OCTUBRE","NOVIEMBRE","DICIEMBRE"}, 0), 1,2,3,4,5,6,7,8,9,10,11,12), A1282)</f>
        <v>44809</v>
      </c>
      <c r="H1282">
        <v>18.5</v>
      </c>
      <c r="I1282">
        <v>48000</v>
      </c>
      <c r="J1282" s="1">
        <f t="shared" si="39"/>
        <v>44747</v>
      </c>
      <c r="K1282" t="e">
        <f t="shared" si="38"/>
        <v>#N/A</v>
      </c>
    </row>
    <row r="1283" spans="1:11" x14ac:dyDescent="0.25">
      <c r="A1283">
        <v>6</v>
      </c>
      <c r="B1283" t="s">
        <v>10</v>
      </c>
      <c r="C1283">
        <v>2022</v>
      </c>
      <c r="D1283">
        <v>125</v>
      </c>
      <c r="E1283" t="s">
        <v>9</v>
      </c>
      <c r="F1283">
        <v>90.5</v>
      </c>
      <c r="G1283" s="1">
        <f>DATE(C1283, CHOOSE(MATCH(UPPER(B1283), {"ENERO","FEBRERO","MARZO","ABRIL","MAYO","JUNIO","JULIO","AGOSTO","SEPTIEMBRE","OCTUBRE","NOVIEMBRE","DICIEMBRE"}, 0), 1,2,3,4,5,6,7,8,9,10,11,12), A1283)</f>
        <v>44810</v>
      </c>
      <c r="H1283">
        <v>34.5</v>
      </c>
      <c r="I1283">
        <v>52000</v>
      </c>
      <c r="J1283" s="1">
        <f t="shared" si="39"/>
        <v>44748</v>
      </c>
      <c r="K1283" t="e">
        <f t="shared" ref="K1283:K1346" si="40">VLOOKUP(J1283, G:H, 2, FALSE)</f>
        <v>#N/A</v>
      </c>
    </row>
    <row r="1284" spans="1:11" x14ac:dyDescent="0.25">
      <c r="A1284">
        <v>7</v>
      </c>
      <c r="B1284" t="s">
        <v>10</v>
      </c>
      <c r="C1284">
        <v>2022</v>
      </c>
      <c r="D1284">
        <v>90.5</v>
      </c>
      <c r="E1284" t="s">
        <v>9</v>
      </c>
      <c r="F1284">
        <v>74.5</v>
      </c>
      <c r="G1284" s="1">
        <f>DATE(C1284, CHOOSE(MATCH(UPPER(B1284), {"ENERO","FEBRERO","MARZO","ABRIL","MAYO","JUNIO","JULIO","AGOSTO","SEPTIEMBRE","OCTUBRE","NOVIEMBRE","DICIEMBRE"}, 0), 1,2,3,4,5,6,7,8,9,10,11,12), A1284)</f>
        <v>44811</v>
      </c>
      <c r="H1284">
        <v>16</v>
      </c>
      <c r="I1284">
        <v>52000</v>
      </c>
      <c r="J1284" s="1">
        <f t="shared" si="39"/>
        <v>44749</v>
      </c>
      <c r="K1284" t="e">
        <f t="shared" si="40"/>
        <v>#N/A</v>
      </c>
    </row>
    <row r="1285" spans="1:11" x14ac:dyDescent="0.25">
      <c r="A1285">
        <v>8</v>
      </c>
      <c r="B1285" t="s">
        <v>10</v>
      </c>
      <c r="C1285">
        <v>2022</v>
      </c>
      <c r="D1285">
        <v>74.5</v>
      </c>
      <c r="E1285" t="s">
        <v>9</v>
      </c>
      <c r="F1285">
        <v>52</v>
      </c>
      <c r="G1285" s="1">
        <f>DATE(C1285, CHOOSE(MATCH(UPPER(B1285), {"ENERO","FEBRERO","MARZO","ABRIL","MAYO","JUNIO","JULIO","AGOSTO","SEPTIEMBRE","OCTUBRE","NOVIEMBRE","DICIEMBRE"}, 0), 1,2,3,4,5,6,7,8,9,10,11,12), A1285)</f>
        <v>44812</v>
      </c>
      <c r="H1285">
        <v>22.5</v>
      </c>
      <c r="I1285">
        <v>52000</v>
      </c>
      <c r="J1285" s="1">
        <f t="shared" ref="J1285:J1348" si="41">DATE(2019,1,1) + ROW()-1</f>
        <v>44750</v>
      </c>
      <c r="K1285" t="e">
        <f t="shared" si="40"/>
        <v>#N/A</v>
      </c>
    </row>
    <row r="1286" spans="1:11" x14ac:dyDescent="0.25">
      <c r="A1286">
        <v>9</v>
      </c>
      <c r="B1286" t="s">
        <v>10</v>
      </c>
      <c r="C1286">
        <v>2022</v>
      </c>
      <c r="D1286">
        <v>52</v>
      </c>
      <c r="E1286">
        <v>20</v>
      </c>
      <c r="F1286">
        <v>37.625</v>
      </c>
      <c r="G1286" s="1">
        <f>DATE(C1286, CHOOSE(MATCH(UPPER(B1286), {"ENERO","FEBRERO","MARZO","ABRIL","MAYO","JUNIO","JULIO","AGOSTO","SEPTIEMBRE","OCTUBRE","NOVIEMBRE","DICIEMBRE"}, 0), 1,2,3,4,5,6,7,8,9,10,11,12), A1286)</f>
        <v>44813</v>
      </c>
      <c r="H1286">
        <v>34.375</v>
      </c>
      <c r="I1286">
        <v>52000</v>
      </c>
      <c r="J1286" s="1">
        <f t="shared" si="41"/>
        <v>44751</v>
      </c>
      <c r="K1286" t="e">
        <f t="shared" si="40"/>
        <v>#N/A</v>
      </c>
    </row>
    <row r="1287" spans="1:11" x14ac:dyDescent="0.25">
      <c r="A1287">
        <v>10</v>
      </c>
      <c r="B1287" t="s">
        <v>10</v>
      </c>
      <c r="C1287">
        <v>2022</v>
      </c>
      <c r="D1287">
        <v>37.625</v>
      </c>
      <c r="E1287">
        <v>100</v>
      </c>
      <c r="F1287">
        <v>91.75</v>
      </c>
      <c r="G1287" s="1">
        <f>DATE(C1287, CHOOSE(MATCH(UPPER(B1287), {"ENERO","FEBRERO","MARZO","ABRIL","MAYO","JUNIO","JULIO","AGOSTO","SEPTIEMBRE","OCTUBRE","NOVIEMBRE","DICIEMBRE"}, 0), 1,2,3,4,5,6,7,8,9,10,11,12), A1287)</f>
        <v>44814</v>
      </c>
      <c r="H1287">
        <v>45.875</v>
      </c>
      <c r="I1287">
        <v>52000</v>
      </c>
      <c r="J1287" s="1">
        <f t="shared" si="41"/>
        <v>44752</v>
      </c>
      <c r="K1287" t="e">
        <f t="shared" si="40"/>
        <v>#N/A</v>
      </c>
    </row>
    <row r="1288" spans="1:11" x14ac:dyDescent="0.25">
      <c r="A1288">
        <v>11</v>
      </c>
      <c r="B1288" t="s">
        <v>10</v>
      </c>
      <c r="C1288">
        <v>2022</v>
      </c>
      <c r="D1288">
        <v>91.75</v>
      </c>
      <c r="E1288" t="s">
        <v>9</v>
      </c>
      <c r="F1288">
        <v>41.375</v>
      </c>
      <c r="G1288" s="1">
        <f>DATE(C1288, CHOOSE(MATCH(UPPER(B1288), {"ENERO","FEBRERO","MARZO","ABRIL","MAYO","JUNIO","JULIO","AGOSTO","SEPTIEMBRE","OCTUBRE","NOVIEMBRE","DICIEMBRE"}, 0), 1,2,3,4,5,6,7,8,9,10,11,12), A1288)</f>
        <v>44815</v>
      </c>
      <c r="H1288">
        <v>50.375</v>
      </c>
      <c r="I1288">
        <v>52000</v>
      </c>
      <c r="J1288" s="1">
        <f t="shared" si="41"/>
        <v>44753</v>
      </c>
      <c r="K1288" t="e">
        <f t="shared" si="40"/>
        <v>#N/A</v>
      </c>
    </row>
    <row r="1289" spans="1:11" x14ac:dyDescent="0.25">
      <c r="A1289">
        <v>12</v>
      </c>
      <c r="B1289" t="s">
        <v>10</v>
      </c>
      <c r="C1289">
        <v>2022</v>
      </c>
      <c r="D1289">
        <v>41.375</v>
      </c>
      <c r="E1289">
        <v>80</v>
      </c>
      <c r="F1289">
        <v>100.75</v>
      </c>
      <c r="G1289" s="1">
        <f>DATE(C1289, CHOOSE(MATCH(UPPER(B1289), {"ENERO","FEBRERO","MARZO","ABRIL","MAYO","JUNIO","JULIO","AGOSTO","SEPTIEMBRE","OCTUBRE","NOVIEMBRE","DICIEMBRE"}, 0), 1,2,3,4,5,6,7,8,9,10,11,12), A1289)</f>
        <v>44816</v>
      </c>
      <c r="H1289">
        <v>20.625</v>
      </c>
      <c r="I1289">
        <v>52000</v>
      </c>
      <c r="J1289" s="1">
        <f t="shared" si="41"/>
        <v>44754</v>
      </c>
      <c r="K1289" t="e">
        <f t="shared" si="40"/>
        <v>#N/A</v>
      </c>
    </row>
    <row r="1290" spans="1:11" x14ac:dyDescent="0.25">
      <c r="A1290">
        <v>13</v>
      </c>
      <c r="B1290" t="s">
        <v>10</v>
      </c>
      <c r="C1290">
        <v>2022</v>
      </c>
      <c r="D1290">
        <v>100.75</v>
      </c>
      <c r="E1290" t="s">
        <v>9</v>
      </c>
      <c r="F1290">
        <v>100.75</v>
      </c>
      <c r="G1290" s="1">
        <f>DATE(C1290, CHOOSE(MATCH(UPPER(B1290), {"ENERO","FEBRERO","MARZO","ABRIL","MAYO","JUNIO","JULIO","AGOSTO","SEPTIEMBRE","OCTUBRE","NOVIEMBRE","DICIEMBRE"}, 0), 1,2,3,4,5,6,7,8,9,10,11,12), A1290)</f>
        <v>44817</v>
      </c>
      <c r="H1290">
        <v>0</v>
      </c>
      <c r="I1290">
        <v>52000</v>
      </c>
      <c r="J1290" s="1">
        <f t="shared" si="41"/>
        <v>44755</v>
      </c>
      <c r="K1290" t="e">
        <f t="shared" si="40"/>
        <v>#N/A</v>
      </c>
    </row>
    <row r="1291" spans="1:11" x14ac:dyDescent="0.25">
      <c r="A1291">
        <v>14</v>
      </c>
      <c r="B1291" t="s">
        <v>10</v>
      </c>
      <c r="C1291">
        <v>2022</v>
      </c>
      <c r="D1291">
        <v>100.75</v>
      </c>
      <c r="E1291" t="s">
        <v>9</v>
      </c>
      <c r="F1291">
        <v>100.75</v>
      </c>
      <c r="G1291" s="1">
        <f>DATE(C1291, CHOOSE(MATCH(UPPER(B1291), {"ENERO","FEBRERO","MARZO","ABRIL","MAYO","JUNIO","JULIO","AGOSTO","SEPTIEMBRE","OCTUBRE","NOVIEMBRE","DICIEMBRE"}, 0), 1,2,3,4,5,6,7,8,9,10,11,12), A1291)</f>
        <v>44818</v>
      </c>
      <c r="H1291">
        <v>0</v>
      </c>
      <c r="I1291">
        <v>52000</v>
      </c>
      <c r="J1291" s="1">
        <f t="shared" si="41"/>
        <v>44756</v>
      </c>
      <c r="K1291" t="e">
        <f t="shared" si="40"/>
        <v>#N/A</v>
      </c>
    </row>
    <row r="1292" spans="1:11" x14ac:dyDescent="0.25">
      <c r="A1292">
        <v>15</v>
      </c>
      <c r="B1292" t="s">
        <v>10</v>
      </c>
      <c r="C1292">
        <v>2022</v>
      </c>
      <c r="D1292">
        <v>100.75</v>
      </c>
      <c r="E1292">
        <v>122</v>
      </c>
      <c r="F1292">
        <v>205.25</v>
      </c>
      <c r="G1292" s="1">
        <f>DATE(C1292, CHOOSE(MATCH(UPPER(B1292), {"ENERO","FEBRERO","MARZO","ABRIL","MAYO","JUNIO","JULIO","AGOSTO","SEPTIEMBRE","OCTUBRE","NOVIEMBRE","DICIEMBRE"}, 0), 1,2,3,4,5,6,7,8,9,10,11,12), A1292)</f>
        <v>44819</v>
      </c>
      <c r="H1292">
        <v>17.5</v>
      </c>
      <c r="I1292">
        <v>52000</v>
      </c>
      <c r="J1292" s="1">
        <f t="shared" si="41"/>
        <v>44757</v>
      </c>
      <c r="K1292" t="e">
        <f t="shared" si="40"/>
        <v>#N/A</v>
      </c>
    </row>
    <row r="1293" spans="1:11" x14ac:dyDescent="0.25">
      <c r="A1293">
        <v>16</v>
      </c>
      <c r="B1293" t="s">
        <v>10</v>
      </c>
      <c r="C1293">
        <v>2022</v>
      </c>
      <c r="D1293">
        <v>205.25</v>
      </c>
      <c r="E1293" t="s">
        <v>9</v>
      </c>
      <c r="F1293">
        <v>166.25</v>
      </c>
      <c r="G1293" s="1">
        <f>DATE(C1293, CHOOSE(MATCH(UPPER(B1293), {"ENERO","FEBRERO","MARZO","ABRIL","MAYO","JUNIO","JULIO","AGOSTO","SEPTIEMBRE","OCTUBRE","NOVIEMBRE","DICIEMBRE"}, 0), 1,2,3,4,5,6,7,8,9,10,11,12), A1293)</f>
        <v>44820</v>
      </c>
      <c r="H1293">
        <v>39</v>
      </c>
      <c r="I1293">
        <v>52000</v>
      </c>
      <c r="J1293" s="1">
        <f t="shared" si="41"/>
        <v>44758</v>
      </c>
      <c r="K1293" t="e">
        <f t="shared" si="40"/>
        <v>#N/A</v>
      </c>
    </row>
    <row r="1294" spans="1:11" x14ac:dyDescent="0.25">
      <c r="A1294">
        <v>17</v>
      </c>
      <c r="B1294" t="s">
        <v>10</v>
      </c>
      <c r="C1294">
        <v>2022</v>
      </c>
      <c r="D1294">
        <v>166.25</v>
      </c>
      <c r="E1294" t="s">
        <v>9</v>
      </c>
      <c r="F1294">
        <v>122.625</v>
      </c>
      <c r="G1294" s="1">
        <f>DATE(C1294, CHOOSE(MATCH(UPPER(B1294), {"ENERO","FEBRERO","MARZO","ABRIL","MAYO","JUNIO","JULIO","AGOSTO","SEPTIEMBRE","OCTUBRE","NOVIEMBRE","DICIEMBRE"}, 0), 1,2,3,4,5,6,7,8,9,10,11,12), A1294)</f>
        <v>44821</v>
      </c>
      <c r="H1294">
        <v>43.625</v>
      </c>
      <c r="I1294">
        <v>52000</v>
      </c>
      <c r="J1294" s="1">
        <f t="shared" si="41"/>
        <v>44759</v>
      </c>
      <c r="K1294" t="e">
        <f t="shared" si="40"/>
        <v>#N/A</v>
      </c>
    </row>
    <row r="1295" spans="1:11" x14ac:dyDescent="0.25">
      <c r="A1295">
        <v>18</v>
      </c>
      <c r="B1295" t="s">
        <v>10</v>
      </c>
      <c r="C1295">
        <v>2022</v>
      </c>
      <c r="D1295">
        <v>122.625</v>
      </c>
      <c r="E1295" t="s">
        <v>9</v>
      </c>
      <c r="F1295">
        <v>83.625</v>
      </c>
      <c r="G1295" s="1">
        <f>DATE(C1295, CHOOSE(MATCH(UPPER(B1295), {"ENERO","FEBRERO","MARZO","ABRIL","MAYO","JUNIO","JULIO","AGOSTO","SEPTIEMBRE","OCTUBRE","NOVIEMBRE","DICIEMBRE"}, 0), 1,2,3,4,5,6,7,8,9,10,11,12), A1295)</f>
        <v>44822</v>
      </c>
      <c r="H1295">
        <v>39</v>
      </c>
      <c r="I1295">
        <v>52000</v>
      </c>
      <c r="J1295" s="1">
        <f t="shared" si="41"/>
        <v>44760</v>
      </c>
      <c r="K1295" t="e">
        <f t="shared" si="40"/>
        <v>#N/A</v>
      </c>
    </row>
    <row r="1296" spans="1:11" x14ac:dyDescent="0.25">
      <c r="A1296">
        <v>19</v>
      </c>
      <c r="B1296" t="s">
        <v>10</v>
      </c>
      <c r="C1296">
        <v>2022</v>
      </c>
      <c r="D1296">
        <v>83.625</v>
      </c>
      <c r="E1296" t="s">
        <v>9</v>
      </c>
      <c r="F1296">
        <v>76.875</v>
      </c>
      <c r="G1296" s="1">
        <f>DATE(C1296, CHOOSE(MATCH(UPPER(B1296), {"ENERO","FEBRERO","MARZO","ABRIL","MAYO","JUNIO","JULIO","AGOSTO","SEPTIEMBRE","OCTUBRE","NOVIEMBRE","DICIEMBRE"}, 0), 1,2,3,4,5,6,7,8,9,10,11,12), A1296)</f>
        <v>44823</v>
      </c>
      <c r="H1296">
        <v>6.75</v>
      </c>
      <c r="I1296">
        <v>52000</v>
      </c>
      <c r="J1296" s="1">
        <f t="shared" si="41"/>
        <v>44761</v>
      </c>
      <c r="K1296" t="e">
        <f t="shared" si="40"/>
        <v>#N/A</v>
      </c>
    </row>
    <row r="1297" spans="1:11" x14ac:dyDescent="0.25">
      <c r="A1297">
        <v>20</v>
      </c>
      <c r="B1297" t="s">
        <v>10</v>
      </c>
      <c r="C1297">
        <v>2022</v>
      </c>
      <c r="D1297">
        <v>76.875</v>
      </c>
      <c r="E1297" t="s">
        <v>9</v>
      </c>
      <c r="F1297">
        <v>60.75</v>
      </c>
      <c r="G1297" s="1">
        <f>DATE(C1297, CHOOSE(MATCH(UPPER(B1297), {"ENERO","FEBRERO","MARZO","ABRIL","MAYO","JUNIO","JULIO","AGOSTO","SEPTIEMBRE","OCTUBRE","NOVIEMBRE","DICIEMBRE"}, 0), 1,2,3,4,5,6,7,8,9,10,11,12), A1297)</f>
        <v>44824</v>
      </c>
      <c r="H1297">
        <v>16.125</v>
      </c>
      <c r="I1297">
        <v>52000</v>
      </c>
      <c r="J1297" s="1">
        <f t="shared" si="41"/>
        <v>44762</v>
      </c>
      <c r="K1297" t="e">
        <f t="shared" si="40"/>
        <v>#N/A</v>
      </c>
    </row>
    <row r="1298" spans="1:11" x14ac:dyDescent="0.25">
      <c r="A1298">
        <v>21</v>
      </c>
      <c r="B1298" t="s">
        <v>10</v>
      </c>
      <c r="C1298">
        <v>2022</v>
      </c>
      <c r="D1298">
        <v>60.75</v>
      </c>
      <c r="E1298">
        <v>100</v>
      </c>
      <c r="F1298">
        <v>138.5</v>
      </c>
      <c r="G1298" s="1">
        <f>DATE(C1298, CHOOSE(MATCH(UPPER(B1298), {"ENERO","FEBRERO","MARZO","ABRIL","MAYO","JUNIO","JULIO","AGOSTO","SEPTIEMBRE","OCTUBRE","NOVIEMBRE","DICIEMBRE"}, 0), 1,2,3,4,5,6,7,8,9,10,11,12), A1298)</f>
        <v>44825</v>
      </c>
      <c r="H1298">
        <v>22.25</v>
      </c>
      <c r="I1298">
        <v>52000</v>
      </c>
      <c r="J1298" s="1">
        <f t="shared" si="41"/>
        <v>44763</v>
      </c>
      <c r="K1298" t="e">
        <f t="shared" si="40"/>
        <v>#N/A</v>
      </c>
    </row>
    <row r="1299" spans="1:11" x14ac:dyDescent="0.25">
      <c r="A1299">
        <v>22</v>
      </c>
      <c r="B1299" t="s">
        <v>10</v>
      </c>
      <c r="C1299">
        <v>2022</v>
      </c>
      <c r="D1299">
        <v>138.5</v>
      </c>
      <c r="E1299" t="s">
        <v>9</v>
      </c>
      <c r="F1299">
        <v>119.375</v>
      </c>
      <c r="G1299" s="1">
        <f>DATE(C1299, CHOOSE(MATCH(UPPER(B1299), {"ENERO","FEBRERO","MARZO","ABRIL","MAYO","JUNIO","JULIO","AGOSTO","SEPTIEMBRE","OCTUBRE","NOVIEMBRE","DICIEMBRE"}, 0), 1,2,3,4,5,6,7,8,9,10,11,12), A1299)</f>
        <v>44826</v>
      </c>
      <c r="H1299">
        <v>19.125</v>
      </c>
      <c r="I1299">
        <v>52000</v>
      </c>
      <c r="J1299" s="1">
        <f t="shared" si="41"/>
        <v>44764</v>
      </c>
      <c r="K1299" t="e">
        <f t="shared" si="40"/>
        <v>#N/A</v>
      </c>
    </row>
    <row r="1300" spans="1:11" x14ac:dyDescent="0.25">
      <c r="A1300">
        <v>23</v>
      </c>
      <c r="B1300" t="s">
        <v>10</v>
      </c>
      <c r="C1300">
        <v>2022</v>
      </c>
      <c r="D1300">
        <v>119.375</v>
      </c>
      <c r="E1300" t="s">
        <v>9</v>
      </c>
      <c r="F1300">
        <v>93.25</v>
      </c>
      <c r="G1300" s="1">
        <f>DATE(C1300, CHOOSE(MATCH(UPPER(B1300), {"ENERO","FEBRERO","MARZO","ABRIL","MAYO","JUNIO","JULIO","AGOSTO","SEPTIEMBRE","OCTUBRE","NOVIEMBRE","DICIEMBRE"}, 0), 1,2,3,4,5,6,7,8,9,10,11,12), A1300)</f>
        <v>44827</v>
      </c>
      <c r="H1300">
        <v>26.125</v>
      </c>
      <c r="I1300">
        <v>52000</v>
      </c>
      <c r="J1300" s="1">
        <f t="shared" si="41"/>
        <v>44765</v>
      </c>
      <c r="K1300" t="e">
        <f t="shared" si="40"/>
        <v>#N/A</v>
      </c>
    </row>
    <row r="1301" spans="1:11" x14ac:dyDescent="0.25">
      <c r="A1301">
        <v>24</v>
      </c>
      <c r="B1301" t="s">
        <v>10</v>
      </c>
      <c r="C1301">
        <v>2022</v>
      </c>
      <c r="D1301">
        <v>93.25</v>
      </c>
      <c r="E1301">
        <v>70</v>
      </c>
      <c r="F1301">
        <v>116.75</v>
      </c>
      <c r="G1301" s="1">
        <f>DATE(C1301, CHOOSE(MATCH(UPPER(B1301), {"ENERO","FEBRERO","MARZO","ABRIL","MAYO","JUNIO","JULIO","AGOSTO","SEPTIEMBRE","OCTUBRE","NOVIEMBRE","DICIEMBRE"}, 0), 1,2,3,4,5,6,7,8,9,10,11,12), A1301)</f>
        <v>44828</v>
      </c>
      <c r="H1301">
        <v>46.5</v>
      </c>
      <c r="I1301">
        <v>52000</v>
      </c>
      <c r="J1301" s="1">
        <f t="shared" si="41"/>
        <v>44766</v>
      </c>
      <c r="K1301" t="e">
        <f t="shared" si="40"/>
        <v>#N/A</v>
      </c>
    </row>
    <row r="1302" spans="1:11" x14ac:dyDescent="0.25">
      <c r="A1302">
        <v>25</v>
      </c>
      <c r="B1302" t="s">
        <v>10</v>
      </c>
      <c r="C1302">
        <v>2022</v>
      </c>
      <c r="D1302">
        <v>116.75</v>
      </c>
      <c r="E1302" t="s">
        <v>9</v>
      </c>
      <c r="F1302">
        <v>75.125</v>
      </c>
      <c r="G1302" s="1">
        <f>DATE(C1302, CHOOSE(MATCH(UPPER(B1302), {"ENERO","FEBRERO","MARZO","ABRIL","MAYO","JUNIO","JULIO","AGOSTO","SEPTIEMBRE","OCTUBRE","NOVIEMBRE","DICIEMBRE"}, 0), 1,2,3,4,5,6,7,8,9,10,11,12), A1302)</f>
        <v>44829</v>
      </c>
      <c r="H1302">
        <v>41.625</v>
      </c>
      <c r="I1302">
        <v>52000</v>
      </c>
      <c r="J1302" s="1">
        <f t="shared" si="41"/>
        <v>44767</v>
      </c>
      <c r="K1302" t="e">
        <f t="shared" si="40"/>
        <v>#N/A</v>
      </c>
    </row>
    <row r="1303" spans="1:11" x14ac:dyDescent="0.25">
      <c r="A1303">
        <v>26</v>
      </c>
      <c r="B1303" t="s">
        <v>10</v>
      </c>
      <c r="C1303">
        <v>2022</v>
      </c>
      <c r="D1303">
        <v>75.125</v>
      </c>
      <c r="E1303">
        <v>60</v>
      </c>
      <c r="F1303">
        <v>118.5</v>
      </c>
      <c r="G1303" s="1">
        <f>DATE(C1303, CHOOSE(MATCH(UPPER(B1303), {"ENERO","FEBRERO","MARZO","ABRIL","MAYO","JUNIO","JULIO","AGOSTO","SEPTIEMBRE","OCTUBRE","NOVIEMBRE","DICIEMBRE"}, 0), 1,2,3,4,5,6,7,8,9,10,11,12), A1303)</f>
        <v>44830</v>
      </c>
      <c r="H1303">
        <v>16.625</v>
      </c>
      <c r="I1303">
        <v>52000</v>
      </c>
      <c r="J1303" s="1">
        <f t="shared" si="41"/>
        <v>44768</v>
      </c>
      <c r="K1303" t="e">
        <f t="shared" si="40"/>
        <v>#N/A</v>
      </c>
    </row>
    <row r="1304" spans="1:11" x14ac:dyDescent="0.25">
      <c r="A1304">
        <v>27</v>
      </c>
      <c r="B1304" t="s">
        <v>10</v>
      </c>
      <c r="C1304">
        <v>2022</v>
      </c>
      <c r="D1304">
        <v>118.5</v>
      </c>
      <c r="E1304" t="s">
        <v>9</v>
      </c>
      <c r="F1304">
        <v>102</v>
      </c>
      <c r="G1304" s="1">
        <f>DATE(C1304, CHOOSE(MATCH(UPPER(B1304), {"ENERO","FEBRERO","MARZO","ABRIL","MAYO","JUNIO","JULIO","AGOSTO","SEPTIEMBRE","OCTUBRE","NOVIEMBRE","DICIEMBRE"}, 0), 1,2,3,4,5,6,7,8,9,10,11,12), A1304)</f>
        <v>44831</v>
      </c>
      <c r="H1304">
        <v>16.5</v>
      </c>
      <c r="I1304">
        <v>52000</v>
      </c>
      <c r="J1304" s="1">
        <f t="shared" si="41"/>
        <v>44769</v>
      </c>
      <c r="K1304" t="e">
        <f t="shared" si="40"/>
        <v>#N/A</v>
      </c>
    </row>
    <row r="1305" spans="1:11" x14ac:dyDescent="0.25">
      <c r="A1305">
        <v>28</v>
      </c>
      <c r="B1305" t="s">
        <v>10</v>
      </c>
      <c r="C1305">
        <v>2022</v>
      </c>
      <c r="D1305">
        <v>102</v>
      </c>
      <c r="E1305">
        <v>70</v>
      </c>
      <c r="F1305">
        <v>159.375</v>
      </c>
      <c r="G1305" s="1">
        <f>DATE(C1305, CHOOSE(MATCH(UPPER(B1305), {"ENERO","FEBRERO","MARZO","ABRIL","MAYO","JUNIO","JULIO","AGOSTO","SEPTIEMBRE","OCTUBRE","NOVIEMBRE","DICIEMBRE"}, 0), 1,2,3,4,5,6,7,8,9,10,11,12), A1305)</f>
        <v>44832</v>
      </c>
      <c r="H1305">
        <v>12.625</v>
      </c>
      <c r="I1305">
        <v>52000</v>
      </c>
      <c r="J1305" s="1">
        <f t="shared" si="41"/>
        <v>44770</v>
      </c>
      <c r="K1305" t="e">
        <f t="shared" si="40"/>
        <v>#N/A</v>
      </c>
    </row>
    <row r="1306" spans="1:11" x14ac:dyDescent="0.25">
      <c r="A1306">
        <v>29</v>
      </c>
      <c r="B1306" t="s">
        <v>10</v>
      </c>
      <c r="C1306">
        <v>2022</v>
      </c>
      <c r="D1306">
        <v>159.375</v>
      </c>
      <c r="E1306" t="s">
        <v>9</v>
      </c>
      <c r="F1306">
        <v>134.125</v>
      </c>
      <c r="G1306" s="1">
        <f>DATE(C1306, CHOOSE(MATCH(UPPER(B1306), {"ENERO","FEBRERO","MARZO","ABRIL","MAYO","JUNIO","JULIO","AGOSTO","SEPTIEMBRE","OCTUBRE","NOVIEMBRE","DICIEMBRE"}, 0), 1,2,3,4,5,6,7,8,9,10,11,12), A1306)</f>
        <v>44833</v>
      </c>
      <c r="H1306">
        <v>25.25</v>
      </c>
      <c r="I1306">
        <v>52000</v>
      </c>
      <c r="J1306" s="1">
        <f t="shared" si="41"/>
        <v>44771</v>
      </c>
      <c r="K1306" t="e">
        <f t="shared" si="40"/>
        <v>#N/A</v>
      </c>
    </row>
    <row r="1307" spans="1:11" x14ac:dyDescent="0.25">
      <c r="A1307">
        <v>30</v>
      </c>
      <c r="B1307" t="s">
        <v>10</v>
      </c>
      <c r="C1307">
        <v>2022</v>
      </c>
      <c r="D1307">
        <v>134.125</v>
      </c>
      <c r="E1307" t="s">
        <v>9</v>
      </c>
      <c r="F1307">
        <v>101.625</v>
      </c>
      <c r="G1307" s="1">
        <f>DATE(C1307, CHOOSE(MATCH(UPPER(B1307), {"ENERO","FEBRERO","MARZO","ABRIL","MAYO","JUNIO","JULIO","AGOSTO","SEPTIEMBRE","OCTUBRE","NOVIEMBRE","DICIEMBRE"}, 0), 1,2,3,4,5,6,7,8,9,10,11,12), A1307)</f>
        <v>44834</v>
      </c>
      <c r="H1307">
        <v>32.5</v>
      </c>
      <c r="I1307">
        <v>52000</v>
      </c>
      <c r="J1307" s="1">
        <f t="shared" si="41"/>
        <v>44772</v>
      </c>
      <c r="K1307" t="e">
        <f t="shared" si="40"/>
        <v>#N/A</v>
      </c>
    </row>
    <row r="1308" spans="1:11" x14ac:dyDescent="0.25">
      <c r="A1308">
        <v>1</v>
      </c>
      <c r="B1308" t="s">
        <v>20</v>
      </c>
      <c r="C1308">
        <v>2022</v>
      </c>
      <c r="D1308">
        <v>117.875</v>
      </c>
      <c r="E1308" t="s">
        <v>9</v>
      </c>
      <c r="F1308">
        <v>90.125</v>
      </c>
      <c r="G1308" s="1">
        <f>DATE(C1308, CHOOSE(MATCH(UPPER(B1308), {"ENERO","FEBRERO","MARZO","ABRIL","MAYO","JUNIO","JULIO","AGOSTO","SEPTIEMBRE","OCTUBRE","NOVIEMBRE","DICIEMBRE"}, 0), 1,2,3,4,5,6,7,8,9,10,11,12), A1308)</f>
        <v>44896</v>
      </c>
      <c r="H1308">
        <v>27.75</v>
      </c>
      <c r="I1308">
        <v>52000</v>
      </c>
      <c r="J1308" s="1">
        <f t="shared" si="41"/>
        <v>44773</v>
      </c>
      <c r="K1308" t="e">
        <f t="shared" si="40"/>
        <v>#N/A</v>
      </c>
    </row>
    <row r="1309" spans="1:11" x14ac:dyDescent="0.25">
      <c r="A1309">
        <v>2</v>
      </c>
      <c r="B1309" t="s">
        <v>20</v>
      </c>
      <c r="C1309">
        <v>2022</v>
      </c>
      <c r="D1309">
        <v>90.125</v>
      </c>
      <c r="E1309" t="s">
        <v>9</v>
      </c>
      <c r="F1309">
        <v>64.25</v>
      </c>
      <c r="G1309" s="1">
        <f>DATE(C1309, CHOOSE(MATCH(UPPER(B1309), {"ENERO","FEBRERO","MARZO","ABRIL","MAYO","JUNIO","JULIO","AGOSTO","SEPTIEMBRE","OCTUBRE","NOVIEMBRE","DICIEMBRE"}, 0), 1,2,3,4,5,6,7,8,9,10,11,12), A1309)</f>
        <v>44897</v>
      </c>
      <c r="H1309">
        <v>25.875</v>
      </c>
      <c r="I1309">
        <v>52000</v>
      </c>
      <c r="J1309" s="1">
        <f t="shared" si="41"/>
        <v>44774</v>
      </c>
      <c r="K1309">
        <f t="shared" si="40"/>
        <v>28</v>
      </c>
    </row>
    <row r="1310" spans="1:11" x14ac:dyDescent="0.25">
      <c r="A1310">
        <v>3</v>
      </c>
      <c r="B1310" t="s">
        <v>20</v>
      </c>
      <c r="C1310">
        <v>2022</v>
      </c>
      <c r="D1310">
        <v>64.25</v>
      </c>
      <c r="E1310">
        <v>70</v>
      </c>
      <c r="F1310">
        <v>88.25</v>
      </c>
      <c r="G1310" s="1">
        <f>DATE(C1310, CHOOSE(MATCH(UPPER(B1310), {"ENERO","FEBRERO","MARZO","ABRIL","MAYO","JUNIO","JULIO","AGOSTO","SEPTIEMBRE","OCTUBRE","NOVIEMBRE","DICIEMBRE"}, 0), 1,2,3,4,5,6,7,8,9,10,11,12), A1310)</f>
        <v>44898</v>
      </c>
      <c r="H1310">
        <v>46</v>
      </c>
      <c r="I1310">
        <v>52000</v>
      </c>
      <c r="J1310" s="1">
        <f t="shared" si="41"/>
        <v>44775</v>
      </c>
      <c r="K1310">
        <f t="shared" si="40"/>
        <v>30.875</v>
      </c>
    </row>
    <row r="1311" spans="1:11" x14ac:dyDescent="0.25">
      <c r="A1311">
        <v>4</v>
      </c>
      <c r="B1311" t="s">
        <v>20</v>
      </c>
      <c r="C1311">
        <v>2022</v>
      </c>
      <c r="D1311">
        <v>88.25</v>
      </c>
      <c r="E1311" t="s">
        <v>9</v>
      </c>
      <c r="F1311">
        <v>43.5</v>
      </c>
      <c r="G1311" s="1">
        <f>DATE(C1311, CHOOSE(MATCH(UPPER(B1311), {"ENERO","FEBRERO","MARZO","ABRIL","MAYO","JUNIO","JULIO","AGOSTO","SEPTIEMBRE","OCTUBRE","NOVIEMBRE","DICIEMBRE"}, 0), 1,2,3,4,5,6,7,8,9,10,11,12), A1311)</f>
        <v>44899</v>
      </c>
      <c r="H1311">
        <v>44.75</v>
      </c>
      <c r="I1311">
        <v>52000</v>
      </c>
      <c r="J1311" s="1">
        <f t="shared" si="41"/>
        <v>44776</v>
      </c>
      <c r="K1311">
        <f t="shared" si="40"/>
        <v>39.625</v>
      </c>
    </row>
    <row r="1312" spans="1:11" x14ac:dyDescent="0.25">
      <c r="A1312">
        <v>5</v>
      </c>
      <c r="B1312" t="s">
        <v>20</v>
      </c>
      <c r="C1312">
        <v>2022</v>
      </c>
      <c r="D1312">
        <v>43.5</v>
      </c>
      <c r="E1312">
        <v>90</v>
      </c>
      <c r="F1312">
        <v>109.5</v>
      </c>
      <c r="G1312" s="1">
        <f>DATE(C1312, CHOOSE(MATCH(UPPER(B1312), {"ENERO","FEBRERO","MARZO","ABRIL","MAYO","JUNIO","JULIO","AGOSTO","SEPTIEMBRE","OCTUBRE","NOVIEMBRE","DICIEMBRE"}, 0), 1,2,3,4,5,6,7,8,9,10,11,12), A1312)</f>
        <v>44900</v>
      </c>
      <c r="H1312">
        <v>24</v>
      </c>
      <c r="I1312">
        <v>52000</v>
      </c>
      <c r="J1312" s="1">
        <f t="shared" si="41"/>
        <v>44777</v>
      </c>
      <c r="K1312">
        <f t="shared" si="40"/>
        <v>28.875</v>
      </c>
    </row>
    <row r="1313" spans="1:11" x14ac:dyDescent="0.25">
      <c r="A1313">
        <v>6</v>
      </c>
      <c r="B1313" t="s">
        <v>20</v>
      </c>
      <c r="C1313">
        <v>2022</v>
      </c>
      <c r="D1313">
        <v>109.5</v>
      </c>
      <c r="E1313" t="s">
        <v>9</v>
      </c>
      <c r="F1313">
        <v>85.125</v>
      </c>
      <c r="G1313" s="1">
        <f>DATE(C1313, CHOOSE(MATCH(UPPER(B1313), {"ENERO","FEBRERO","MARZO","ABRIL","MAYO","JUNIO","JULIO","AGOSTO","SEPTIEMBRE","OCTUBRE","NOVIEMBRE","DICIEMBRE"}, 0), 1,2,3,4,5,6,7,8,9,10,11,12), A1313)</f>
        <v>44901</v>
      </c>
      <c r="H1313">
        <v>24.375</v>
      </c>
      <c r="I1313">
        <v>52000</v>
      </c>
      <c r="J1313" s="1">
        <f t="shared" si="41"/>
        <v>44778</v>
      </c>
      <c r="K1313">
        <f t="shared" si="40"/>
        <v>54</v>
      </c>
    </row>
    <row r="1314" spans="1:11" x14ac:dyDescent="0.25">
      <c r="A1314">
        <v>7</v>
      </c>
      <c r="B1314" t="s">
        <v>20</v>
      </c>
      <c r="C1314">
        <v>2022</v>
      </c>
      <c r="D1314">
        <v>85.125</v>
      </c>
      <c r="E1314">
        <v>70</v>
      </c>
      <c r="F1314">
        <v>98.125</v>
      </c>
      <c r="G1314" s="1">
        <f>DATE(C1314, CHOOSE(MATCH(UPPER(B1314), {"ENERO","FEBRERO","MARZO","ABRIL","MAYO","JUNIO","JULIO","AGOSTO","SEPTIEMBRE","OCTUBRE","NOVIEMBRE","DICIEMBRE"}, 0), 1,2,3,4,5,6,7,8,9,10,11,12), A1314)</f>
        <v>44902</v>
      </c>
      <c r="H1314">
        <v>57</v>
      </c>
      <c r="I1314">
        <v>52000</v>
      </c>
      <c r="J1314" s="1">
        <f t="shared" si="41"/>
        <v>44779</v>
      </c>
      <c r="K1314">
        <f t="shared" si="40"/>
        <v>64.75</v>
      </c>
    </row>
    <row r="1315" spans="1:11" x14ac:dyDescent="0.25">
      <c r="A1315">
        <v>8</v>
      </c>
      <c r="B1315" t="s">
        <v>20</v>
      </c>
      <c r="C1315">
        <v>2022</v>
      </c>
      <c r="D1315">
        <v>98.125</v>
      </c>
      <c r="E1315" t="s">
        <v>9</v>
      </c>
      <c r="F1315">
        <v>59.75</v>
      </c>
      <c r="G1315" s="1">
        <f>DATE(C1315, CHOOSE(MATCH(UPPER(B1315), {"ENERO","FEBRERO","MARZO","ABRIL","MAYO","JUNIO","JULIO","AGOSTO","SEPTIEMBRE","OCTUBRE","NOVIEMBRE","DICIEMBRE"}, 0), 1,2,3,4,5,6,7,8,9,10,11,12), A1315)</f>
        <v>44903</v>
      </c>
      <c r="H1315">
        <v>38.375</v>
      </c>
      <c r="I1315">
        <v>52000</v>
      </c>
      <c r="J1315" s="1">
        <f t="shared" si="41"/>
        <v>44780</v>
      </c>
      <c r="K1315">
        <f t="shared" si="40"/>
        <v>57.375</v>
      </c>
    </row>
    <row r="1316" spans="1:11" x14ac:dyDescent="0.25">
      <c r="A1316">
        <v>9</v>
      </c>
      <c r="B1316" t="s">
        <v>20</v>
      </c>
      <c r="C1316">
        <v>2022</v>
      </c>
      <c r="D1316">
        <v>59.75</v>
      </c>
      <c r="E1316">
        <v>20</v>
      </c>
      <c r="F1316">
        <v>41.5</v>
      </c>
      <c r="G1316" s="1">
        <f>DATE(C1316, CHOOSE(MATCH(UPPER(B1316), {"ENERO","FEBRERO","MARZO","ABRIL","MAYO","JUNIO","JULIO","AGOSTO","SEPTIEMBRE","OCTUBRE","NOVIEMBRE","DICIEMBRE"}, 0), 1,2,3,4,5,6,7,8,9,10,11,12), A1316)</f>
        <v>44904</v>
      </c>
      <c r="H1316">
        <v>38.25</v>
      </c>
      <c r="I1316">
        <v>52000</v>
      </c>
      <c r="J1316" s="1">
        <f t="shared" si="41"/>
        <v>44781</v>
      </c>
      <c r="K1316">
        <f t="shared" si="40"/>
        <v>21.875</v>
      </c>
    </row>
    <row r="1317" spans="1:11" x14ac:dyDescent="0.25">
      <c r="A1317">
        <v>10</v>
      </c>
      <c r="B1317" t="s">
        <v>20</v>
      </c>
      <c r="C1317">
        <v>2022</v>
      </c>
      <c r="D1317">
        <v>41.5</v>
      </c>
      <c r="E1317">
        <v>80</v>
      </c>
      <c r="F1317">
        <v>80.125</v>
      </c>
      <c r="G1317" s="1">
        <f>DATE(C1317, CHOOSE(MATCH(UPPER(B1317), {"ENERO","FEBRERO","MARZO","ABRIL","MAYO","JUNIO","JULIO","AGOSTO","SEPTIEMBRE","OCTUBRE","NOVIEMBRE","DICIEMBRE"}, 0), 1,2,3,4,5,6,7,8,9,10,11,12), A1317)</f>
        <v>44905</v>
      </c>
      <c r="H1317">
        <v>41.375</v>
      </c>
      <c r="I1317">
        <v>52000</v>
      </c>
      <c r="J1317" s="1">
        <f t="shared" si="41"/>
        <v>44782</v>
      </c>
      <c r="K1317">
        <f t="shared" si="40"/>
        <v>29.75</v>
      </c>
    </row>
    <row r="1318" spans="1:11" x14ac:dyDescent="0.25">
      <c r="A1318">
        <v>11</v>
      </c>
      <c r="B1318" t="s">
        <v>20</v>
      </c>
      <c r="C1318">
        <v>2022</v>
      </c>
      <c r="D1318">
        <v>80.125</v>
      </c>
      <c r="E1318" t="s">
        <v>9</v>
      </c>
      <c r="F1318">
        <v>26.5</v>
      </c>
      <c r="G1318" s="1">
        <f>DATE(C1318, CHOOSE(MATCH(UPPER(B1318), {"ENERO","FEBRERO","MARZO","ABRIL","MAYO","JUNIO","JULIO","AGOSTO","SEPTIEMBRE","OCTUBRE","NOVIEMBRE","DICIEMBRE"}, 0), 1,2,3,4,5,6,7,8,9,10,11,12), A1318)</f>
        <v>44906</v>
      </c>
      <c r="H1318">
        <v>53.625</v>
      </c>
      <c r="I1318">
        <v>52000</v>
      </c>
      <c r="J1318" s="1">
        <f t="shared" si="41"/>
        <v>44783</v>
      </c>
      <c r="K1318">
        <f t="shared" si="40"/>
        <v>29.875</v>
      </c>
    </row>
    <row r="1319" spans="1:11" x14ac:dyDescent="0.25">
      <c r="A1319">
        <v>12</v>
      </c>
      <c r="B1319" t="s">
        <v>20</v>
      </c>
      <c r="C1319">
        <v>2022</v>
      </c>
      <c r="D1319">
        <v>26.5</v>
      </c>
      <c r="E1319">
        <v>91</v>
      </c>
      <c r="F1319">
        <v>102.875</v>
      </c>
      <c r="G1319" s="1">
        <f>DATE(C1319, CHOOSE(MATCH(UPPER(B1319), {"ENERO","FEBRERO","MARZO","ABRIL","MAYO","JUNIO","JULIO","AGOSTO","SEPTIEMBRE","OCTUBRE","NOVIEMBRE","DICIEMBRE"}, 0), 1,2,3,4,5,6,7,8,9,10,11,12), A1319)</f>
        <v>44907</v>
      </c>
      <c r="H1319">
        <v>14.625</v>
      </c>
      <c r="I1319">
        <v>52000</v>
      </c>
      <c r="J1319" s="1">
        <f t="shared" si="41"/>
        <v>44784</v>
      </c>
      <c r="K1319">
        <f t="shared" si="40"/>
        <v>23.5</v>
      </c>
    </row>
    <row r="1320" spans="1:11" x14ac:dyDescent="0.25">
      <c r="A1320">
        <v>13</v>
      </c>
      <c r="B1320" t="s">
        <v>20</v>
      </c>
      <c r="C1320">
        <v>2022</v>
      </c>
      <c r="D1320">
        <v>102.875</v>
      </c>
      <c r="E1320" t="s">
        <v>9</v>
      </c>
      <c r="F1320">
        <v>76.75</v>
      </c>
      <c r="G1320" s="1">
        <f>DATE(C1320, CHOOSE(MATCH(UPPER(B1320), {"ENERO","FEBRERO","MARZO","ABRIL","MAYO","JUNIO","JULIO","AGOSTO","SEPTIEMBRE","OCTUBRE","NOVIEMBRE","DICIEMBRE"}, 0), 1,2,3,4,5,6,7,8,9,10,11,12), A1320)</f>
        <v>44908</v>
      </c>
      <c r="H1320">
        <v>26.125</v>
      </c>
      <c r="I1320">
        <v>52000</v>
      </c>
      <c r="J1320" s="1">
        <f t="shared" si="41"/>
        <v>44785</v>
      </c>
      <c r="K1320">
        <f t="shared" si="40"/>
        <v>31.5</v>
      </c>
    </row>
    <row r="1321" spans="1:11" x14ac:dyDescent="0.25">
      <c r="A1321">
        <v>14</v>
      </c>
      <c r="B1321" t="s">
        <v>20</v>
      </c>
      <c r="C1321">
        <v>2022</v>
      </c>
      <c r="D1321">
        <v>76.75</v>
      </c>
      <c r="E1321">
        <v>80</v>
      </c>
      <c r="F1321">
        <v>111.375</v>
      </c>
      <c r="G1321" s="1">
        <f>DATE(C1321, CHOOSE(MATCH(UPPER(B1321), {"ENERO","FEBRERO","MARZO","ABRIL","MAYO","JUNIO","JULIO","AGOSTO","SEPTIEMBRE","OCTUBRE","NOVIEMBRE","DICIEMBRE"}, 0), 1,2,3,4,5,6,7,8,9,10,11,12), A1321)</f>
        <v>44909</v>
      </c>
      <c r="H1321">
        <v>45.375</v>
      </c>
      <c r="I1321">
        <v>52000</v>
      </c>
      <c r="J1321" s="1">
        <f t="shared" si="41"/>
        <v>44786</v>
      </c>
      <c r="K1321">
        <f t="shared" si="40"/>
        <v>56.375</v>
      </c>
    </row>
    <row r="1322" spans="1:11" x14ac:dyDescent="0.25">
      <c r="A1322">
        <v>15</v>
      </c>
      <c r="B1322" t="s">
        <v>20</v>
      </c>
      <c r="C1322">
        <v>2022</v>
      </c>
      <c r="D1322">
        <v>111.375</v>
      </c>
      <c r="E1322" t="s">
        <v>9</v>
      </c>
      <c r="F1322">
        <v>69.875</v>
      </c>
      <c r="G1322" s="1">
        <f>DATE(C1322, CHOOSE(MATCH(UPPER(B1322), {"ENERO","FEBRERO","MARZO","ABRIL","MAYO","JUNIO","JULIO","AGOSTO","SEPTIEMBRE","OCTUBRE","NOVIEMBRE","DICIEMBRE"}, 0), 1,2,3,4,5,6,7,8,9,10,11,12), A1322)</f>
        <v>44910</v>
      </c>
      <c r="H1322">
        <v>41.5</v>
      </c>
      <c r="I1322">
        <v>52000</v>
      </c>
      <c r="J1322" s="1">
        <f t="shared" si="41"/>
        <v>44787</v>
      </c>
      <c r="K1322">
        <f t="shared" si="40"/>
        <v>51.125</v>
      </c>
    </row>
    <row r="1323" spans="1:11" x14ac:dyDescent="0.25">
      <c r="A1323">
        <v>16</v>
      </c>
      <c r="B1323" t="s">
        <v>20</v>
      </c>
      <c r="C1323">
        <v>2022</v>
      </c>
      <c r="D1323">
        <v>69.875</v>
      </c>
      <c r="E1323" t="s">
        <v>9</v>
      </c>
      <c r="F1323">
        <v>28.625</v>
      </c>
      <c r="G1323" s="1">
        <f>DATE(C1323, CHOOSE(MATCH(UPPER(B1323), {"ENERO","FEBRERO","MARZO","ABRIL","MAYO","JUNIO","JULIO","AGOSTO","SEPTIEMBRE","OCTUBRE","NOVIEMBRE","DICIEMBRE"}, 0), 1,2,3,4,5,6,7,8,9,10,11,12), A1323)</f>
        <v>44911</v>
      </c>
      <c r="H1323">
        <v>41.25</v>
      </c>
      <c r="I1323">
        <v>52000</v>
      </c>
      <c r="J1323" s="1">
        <f t="shared" si="41"/>
        <v>44788</v>
      </c>
      <c r="K1323">
        <f t="shared" si="40"/>
        <v>49.125</v>
      </c>
    </row>
    <row r="1324" spans="1:11" x14ac:dyDescent="0.25">
      <c r="A1324">
        <v>17</v>
      </c>
      <c r="B1324" t="s">
        <v>20</v>
      </c>
      <c r="C1324">
        <v>2022</v>
      </c>
      <c r="D1324">
        <v>28.625</v>
      </c>
      <c r="E1324">
        <v>120</v>
      </c>
      <c r="F1324">
        <v>103.375</v>
      </c>
      <c r="G1324" s="1">
        <f>DATE(C1324, CHOOSE(MATCH(UPPER(B1324), {"ENERO","FEBRERO","MARZO","ABRIL","MAYO","JUNIO","JULIO","AGOSTO","SEPTIEMBRE","OCTUBRE","NOVIEMBRE","DICIEMBRE"}, 0), 1,2,3,4,5,6,7,8,9,10,11,12), A1324)</f>
        <v>44912</v>
      </c>
      <c r="H1324">
        <v>45.25</v>
      </c>
      <c r="I1324">
        <v>52000</v>
      </c>
      <c r="J1324" s="1">
        <f t="shared" si="41"/>
        <v>44789</v>
      </c>
      <c r="K1324">
        <f t="shared" si="40"/>
        <v>27.625</v>
      </c>
    </row>
    <row r="1325" spans="1:11" x14ac:dyDescent="0.25">
      <c r="A1325">
        <v>18</v>
      </c>
      <c r="B1325" t="s">
        <v>20</v>
      </c>
      <c r="C1325">
        <v>2022</v>
      </c>
      <c r="D1325">
        <v>103.375</v>
      </c>
      <c r="E1325" t="s">
        <v>9</v>
      </c>
      <c r="F1325">
        <v>45.125</v>
      </c>
      <c r="G1325" s="1">
        <f>DATE(C1325, CHOOSE(MATCH(UPPER(B1325), {"ENERO","FEBRERO","MARZO","ABRIL","MAYO","JUNIO","JULIO","AGOSTO","SEPTIEMBRE","OCTUBRE","NOVIEMBRE","DICIEMBRE"}, 0), 1,2,3,4,5,6,7,8,9,10,11,12), A1325)</f>
        <v>44913</v>
      </c>
      <c r="H1325">
        <v>58.25</v>
      </c>
      <c r="I1325">
        <v>52000</v>
      </c>
      <c r="J1325" s="1">
        <f t="shared" si="41"/>
        <v>44790</v>
      </c>
      <c r="K1325">
        <f t="shared" si="40"/>
        <v>27.875</v>
      </c>
    </row>
    <row r="1326" spans="1:11" x14ac:dyDescent="0.25">
      <c r="A1326">
        <v>19</v>
      </c>
      <c r="B1326" t="s">
        <v>20</v>
      </c>
      <c r="C1326">
        <v>2022</v>
      </c>
      <c r="D1326">
        <v>45.125</v>
      </c>
      <c r="E1326">
        <v>100</v>
      </c>
      <c r="F1326">
        <v>108.625</v>
      </c>
      <c r="G1326" s="1">
        <f>DATE(C1326, CHOOSE(MATCH(UPPER(B1326), {"ENERO","FEBRERO","MARZO","ABRIL","MAYO","JUNIO","JULIO","AGOSTO","SEPTIEMBRE","OCTUBRE","NOVIEMBRE","DICIEMBRE"}, 0), 1,2,3,4,5,6,7,8,9,10,11,12), A1326)</f>
        <v>44914</v>
      </c>
      <c r="H1326">
        <v>36.5</v>
      </c>
      <c r="I1326">
        <v>52000</v>
      </c>
      <c r="J1326" s="1">
        <f t="shared" si="41"/>
        <v>44791</v>
      </c>
      <c r="K1326">
        <f t="shared" si="40"/>
        <v>36.5</v>
      </c>
    </row>
    <row r="1327" spans="1:11" x14ac:dyDescent="0.25">
      <c r="A1327">
        <v>20</v>
      </c>
      <c r="B1327" t="s">
        <v>20</v>
      </c>
      <c r="C1327">
        <v>2022</v>
      </c>
      <c r="D1327">
        <v>108.625</v>
      </c>
      <c r="E1327" t="s">
        <v>9</v>
      </c>
      <c r="F1327">
        <v>69</v>
      </c>
      <c r="G1327" s="1">
        <f>DATE(C1327, CHOOSE(MATCH(UPPER(B1327), {"ENERO","FEBRERO","MARZO","ABRIL","MAYO","JUNIO","JULIO","AGOSTO","SEPTIEMBRE","OCTUBRE","NOVIEMBRE","DICIEMBRE"}, 0), 1,2,3,4,5,6,7,8,9,10,11,12), A1327)</f>
        <v>44915</v>
      </c>
      <c r="H1327">
        <v>39.625</v>
      </c>
      <c r="I1327">
        <v>52000</v>
      </c>
      <c r="J1327" s="1">
        <f t="shared" si="41"/>
        <v>44792</v>
      </c>
      <c r="K1327">
        <f t="shared" si="40"/>
        <v>34.375</v>
      </c>
    </row>
    <row r="1328" spans="1:11" x14ac:dyDescent="0.25">
      <c r="A1328">
        <v>21</v>
      </c>
      <c r="B1328" t="s">
        <v>20</v>
      </c>
      <c r="C1328">
        <v>2022</v>
      </c>
      <c r="D1328">
        <v>69</v>
      </c>
      <c r="E1328">
        <v>90</v>
      </c>
      <c r="F1328">
        <v>129.25</v>
      </c>
      <c r="G1328" s="1">
        <f>DATE(C1328, CHOOSE(MATCH(UPPER(B1328), {"ENERO","FEBRERO","MARZO","ABRIL","MAYO","JUNIO","JULIO","AGOSTO","SEPTIEMBRE","OCTUBRE","NOVIEMBRE","DICIEMBRE"}, 0), 1,2,3,4,5,6,7,8,9,10,11,12), A1328)</f>
        <v>44916</v>
      </c>
      <c r="H1328">
        <v>29.75</v>
      </c>
      <c r="I1328">
        <v>52000</v>
      </c>
      <c r="J1328" s="1">
        <f t="shared" si="41"/>
        <v>44793</v>
      </c>
      <c r="K1328">
        <f t="shared" si="40"/>
        <v>43.75</v>
      </c>
    </row>
    <row r="1329" spans="1:11" x14ac:dyDescent="0.25">
      <c r="A1329">
        <v>22</v>
      </c>
      <c r="B1329" t="s">
        <v>20</v>
      </c>
      <c r="C1329">
        <v>2022</v>
      </c>
      <c r="D1329">
        <v>129.25</v>
      </c>
      <c r="E1329" t="s">
        <v>9</v>
      </c>
      <c r="F1329">
        <v>93.75</v>
      </c>
      <c r="G1329" s="1">
        <f>DATE(C1329, CHOOSE(MATCH(UPPER(B1329), {"ENERO","FEBRERO","MARZO","ABRIL","MAYO","JUNIO","JULIO","AGOSTO","SEPTIEMBRE","OCTUBRE","NOVIEMBRE","DICIEMBRE"}, 0), 1,2,3,4,5,6,7,8,9,10,11,12), A1329)</f>
        <v>44917</v>
      </c>
      <c r="H1329">
        <v>35.5</v>
      </c>
      <c r="I1329">
        <v>52000</v>
      </c>
      <c r="J1329" s="1">
        <f t="shared" si="41"/>
        <v>44794</v>
      </c>
      <c r="K1329">
        <f t="shared" si="40"/>
        <v>52.375</v>
      </c>
    </row>
    <row r="1330" spans="1:11" x14ac:dyDescent="0.25">
      <c r="A1330">
        <v>23</v>
      </c>
      <c r="B1330" t="s">
        <v>20</v>
      </c>
      <c r="C1330">
        <v>2022</v>
      </c>
      <c r="D1330">
        <v>93.75</v>
      </c>
      <c r="E1330" t="s">
        <v>9</v>
      </c>
      <c r="F1330">
        <v>45.125</v>
      </c>
      <c r="G1330" s="1">
        <f>DATE(C1330, CHOOSE(MATCH(UPPER(B1330), {"ENERO","FEBRERO","MARZO","ABRIL","MAYO","JUNIO","JULIO","AGOSTO","SEPTIEMBRE","OCTUBRE","NOVIEMBRE","DICIEMBRE"}, 0), 1,2,3,4,5,6,7,8,9,10,11,12), A1330)</f>
        <v>44918</v>
      </c>
      <c r="H1330">
        <v>48.625</v>
      </c>
      <c r="I1330">
        <v>52000</v>
      </c>
      <c r="J1330" s="1">
        <f t="shared" si="41"/>
        <v>44795</v>
      </c>
      <c r="K1330">
        <f t="shared" si="40"/>
        <v>27.5</v>
      </c>
    </row>
    <row r="1331" spans="1:11" x14ac:dyDescent="0.25">
      <c r="A1331">
        <v>24</v>
      </c>
      <c r="B1331" t="s">
        <v>20</v>
      </c>
      <c r="C1331">
        <v>2022</v>
      </c>
      <c r="D1331">
        <v>45.125</v>
      </c>
      <c r="E1331">
        <v>120</v>
      </c>
      <c r="F1331">
        <v>133.875</v>
      </c>
      <c r="G1331" s="1">
        <f>DATE(C1331, CHOOSE(MATCH(UPPER(B1331), {"ENERO","FEBRERO","MARZO","ABRIL","MAYO","JUNIO","JULIO","AGOSTO","SEPTIEMBRE","OCTUBRE","NOVIEMBRE","DICIEMBRE"}, 0), 1,2,3,4,5,6,7,8,9,10,11,12), A1331)</f>
        <v>44919</v>
      </c>
      <c r="H1331">
        <v>31.25</v>
      </c>
      <c r="I1331">
        <v>52000</v>
      </c>
      <c r="J1331" s="1">
        <f t="shared" si="41"/>
        <v>44796</v>
      </c>
      <c r="K1331">
        <f t="shared" si="40"/>
        <v>25.75</v>
      </c>
    </row>
    <row r="1332" spans="1:11" x14ac:dyDescent="0.25">
      <c r="A1332">
        <v>25</v>
      </c>
      <c r="B1332" t="s">
        <v>20</v>
      </c>
      <c r="C1332">
        <v>2022</v>
      </c>
      <c r="D1332">
        <v>133.875</v>
      </c>
      <c r="E1332" t="s">
        <v>9</v>
      </c>
      <c r="F1332">
        <v>68.75</v>
      </c>
      <c r="G1332" s="1">
        <f>DATE(C1332, CHOOSE(MATCH(UPPER(B1332), {"ENERO","FEBRERO","MARZO","ABRIL","MAYO","JUNIO","JULIO","AGOSTO","SEPTIEMBRE","OCTUBRE","NOVIEMBRE","DICIEMBRE"}, 0), 1,2,3,4,5,6,7,8,9,10,11,12), A1332)</f>
        <v>44920</v>
      </c>
      <c r="H1332">
        <v>65.125</v>
      </c>
      <c r="I1332">
        <v>52000</v>
      </c>
      <c r="J1332" s="1">
        <f t="shared" si="41"/>
        <v>44797</v>
      </c>
      <c r="K1332">
        <f t="shared" si="40"/>
        <v>29</v>
      </c>
    </row>
    <row r="1333" spans="1:11" x14ac:dyDescent="0.25">
      <c r="A1333">
        <v>26</v>
      </c>
      <c r="B1333" t="s">
        <v>20</v>
      </c>
      <c r="C1333">
        <v>2022</v>
      </c>
      <c r="D1333">
        <v>68.75</v>
      </c>
      <c r="E1333">
        <v>80</v>
      </c>
      <c r="F1333">
        <v>105</v>
      </c>
      <c r="G1333" s="1">
        <f>DATE(C1333, CHOOSE(MATCH(UPPER(B1333), {"ENERO","FEBRERO","MARZO","ABRIL","MAYO","JUNIO","JULIO","AGOSTO","SEPTIEMBRE","OCTUBRE","NOVIEMBRE","DICIEMBRE"}, 0), 1,2,3,4,5,6,7,8,9,10,11,12), A1333)</f>
        <v>44921</v>
      </c>
      <c r="H1333">
        <v>43.75</v>
      </c>
      <c r="I1333">
        <v>52000</v>
      </c>
      <c r="J1333" s="1">
        <f t="shared" si="41"/>
        <v>44798</v>
      </c>
      <c r="K1333">
        <f t="shared" si="40"/>
        <v>30.25</v>
      </c>
    </row>
    <row r="1334" spans="1:11" x14ac:dyDescent="0.25">
      <c r="A1334">
        <v>27</v>
      </c>
      <c r="B1334" t="s">
        <v>20</v>
      </c>
      <c r="C1334">
        <v>2022</v>
      </c>
      <c r="D1334">
        <v>105</v>
      </c>
      <c r="E1334" t="s">
        <v>9</v>
      </c>
      <c r="F1334">
        <v>58.25</v>
      </c>
      <c r="G1334" s="1">
        <f>DATE(C1334, CHOOSE(MATCH(UPPER(B1334), {"ENERO","FEBRERO","MARZO","ABRIL","MAYO","JUNIO","JULIO","AGOSTO","SEPTIEMBRE","OCTUBRE","NOVIEMBRE","DICIEMBRE"}, 0), 1,2,3,4,5,6,7,8,9,10,11,12), A1334)</f>
        <v>44922</v>
      </c>
      <c r="H1334">
        <v>46.75</v>
      </c>
      <c r="I1334">
        <v>52000</v>
      </c>
      <c r="J1334" s="1">
        <f t="shared" si="41"/>
        <v>44799</v>
      </c>
      <c r="K1334">
        <f t="shared" si="40"/>
        <v>45.25</v>
      </c>
    </row>
    <row r="1335" spans="1:11" x14ac:dyDescent="0.25">
      <c r="A1335">
        <v>28</v>
      </c>
      <c r="B1335" t="s">
        <v>20</v>
      </c>
      <c r="C1335">
        <v>2022</v>
      </c>
      <c r="D1335">
        <v>58.25</v>
      </c>
      <c r="E1335">
        <v>120</v>
      </c>
      <c r="F1335">
        <v>139.5</v>
      </c>
      <c r="G1335" s="1">
        <f>DATE(C1335, CHOOSE(MATCH(UPPER(B1335), {"ENERO","FEBRERO","MARZO","ABRIL","MAYO","JUNIO","JULIO","AGOSTO","SEPTIEMBRE","OCTUBRE","NOVIEMBRE","DICIEMBRE"}, 0), 1,2,3,4,5,6,7,8,9,10,11,12), A1335)</f>
        <v>44923</v>
      </c>
      <c r="H1335">
        <v>38.75</v>
      </c>
      <c r="I1335">
        <v>52000</v>
      </c>
      <c r="J1335" s="1">
        <f t="shared" si="41"/>
        <v>44800</v>
      </c>
      <c r="K1335">
        <f t="shared" si="40"/>
        <v>56</v>
      </c>
    </row>
    <row r="1336" spans="1:11" x14ac:dyDescent="0.25">
      <c r="A1336">
        <v>29</v>
      </c>
      <c r="B1336" t="s">
        <v>20</v>
      </c>
      <c r="C1336">
        <v>2022</v>
      </c>
      <c r="D1336">
        <v>139.5</v>
      </c>
      <c r="E1336" t="s">
        <v>9</v>
      </c>
      <c r="F1336">
        <v>102.5</v>
      </c>
      <c r="G1336" s="1">
        <f>DATE(C1336, CHOOSE(MATCH(UPPER(B1336), {"ENERO","FEBRERO","MARZO","ABRIL","MAYO","JUNIO","JULIO","AGOSTO","SEPTIEMBRE","OCTUBRE","NOVIEMBRE","DICIEMBRE"}, 0), 1,2,3,4,5,6,7,8,9,10,11,12), A1336)</f>
        <v>44924</v>
      </c>
      <c r="H1336">
        <v>37</v>
      </c>
      <c r="I1336">
        <v>52000</v>
      </c>
      <c r="J1336" s="1">
        <f t="shared" si="41"/>
        <v>44801</v>
      </c>
      <c r="K1336">
        <f t="shared" si="40"/>
        <v>40.75</v>
      </c>
    </row>
    <row r="1337" spans="1:11" x14ac:dyDescent="0.25">
      <c r="A1337">
        <v>30</v>
      </c>
      <c r="B1337" t="s">
        <v>20</v>
      </c>
      <c r="C1337">
        <v>2022</v>
      </c>
      <c r="D1337">
        <v>102.5</v>
      </c>
      <c r="E1337" t="s">
        <v>9</v>
      </c>
      <c r="F1337">
        <v>49.375</v>
      </c>
      <c r="G1337" s="1">
        <f>DATE(C1337, CHOOSE(MATCH(UPPER(B1337), {"ENERO","FEBRERO","MARZO","ABRIL","MAYO","JUNIO","JULIO","AGOSTO","SEPTIEMBRE","OCTUBRE","NOVIEMBRE","DICIEMBRE"}, 0), 1,2,3,4,5,6,7,8,9,10,11,12), A1337)</f>
        <v>44925</v>
      </c>
      <c r="H1337">
        <v>53.125</v>
      </c>
      <c r="I1337">
        <v>52000</v>
      </c>
      <c r="J1337" s="1">
        <f t="shared" si="41"/>
        <v>44802</v>
      </c>
      <c r="K1337">
        <f t="shared" si="40"/>
        <v>35.875</v>
      </c>
    </row>
    <row r="1338" spans="1:11" x14ac:dyDescent="0.25">
      <c r="A1338">
        <v>31</v>
      </c>
      <c r="B1338" t="s">
        <v>20</v>
      </c>
      <c r="C1338">
        <v>2022</v>
      </c>
      <c r="D1338">
        <v>49.375</v>
      </c>
      <c r="E1338">
        <v>120</v>
      </c>
      <c r="F1338">
        <v>130.125</v>
      </c>
      <c r="G1338" s="1">
        <f>DATE(C1338, CHOOSE(MATCH(UPPER(B1338), {"ENERO","FEBRERO","MARZO","ABRIL","MAYO","JUNIO","JULIO","AGOSTO","SEPTIEMBRE","OCTUBRE","NOVIEMBRE","DICIEMBRE"}, 0), 1,2,3,4,5,6,7,8,9,10,11,12), A1338)</f>
        <v>44926</v>
      </c>
      <c r="H1338">
        <v>39.25</v>
      </c>
      <c r="I1338">
        <v>52000</v>
      </c>
      <c r="J1338" s="1">
        <f t="shared" si="41"/>
        <v>44803</v>
      </c>
      <c r="K1338">
        <f t="shared" si="40"/>
        <v>25.125</v>
      </c>
    </row>
    <row r="1339" spans="1:11" x14ac:dyDescent="0.25">
      <c r="A1339">
        <v>1</v>
      </c>
      <c r="B1339" t="s">
        <v>26</v>
      </c>
      <c r="C1339">
        <v>2023</v>
      </c>
      <c r="D1339">
        <v>130.125</v>
      </c>
      <c r="E1339" t="s">
        <v>9</v>
      </c>
      <c r="F1339">
        <v>71.125</v>
      </c>
      <c r="G1339" s="1">
        <f>DATE(C1339, CHOOSE(MATCH(UPPER(B1339), {"ENERO","FEBRERO","MARZO","ABRIL","MAYO","JUNIO","JULIO","AGOSTO","SEPTIEMBRE","OCTUBRE","NOVIEMBRE","DICIEMBRE"}, 0), 1,2,3,4,5,6,7,8,9,10,11,12), A1339)</f>
        <v>44927</v>
      </c>
      <c r="H1339">
        <v>59</v>
      </c>
      <c r="I1339">
        <v>56000</v>
      </c>
      <c r="J1339" s="1">
        <f t="shared" si="41"/>
        <v>44804</v>
      </c>
      <c r="K1339">
        <f t="shared" si="40"/>
        <v>31.25</v>
      </c>
    </row>
    <row r="1340" spans="1:11" x14ac:dyDescent="0.25">
      <c r="A1340">
        <v>2</v>
      </c>
      <c r="B1340" t="s">
        <v>26</v>
      </c>
      <c r="C1340">
        <v>2023</v>
      </c>
      <c r="D1340">
        <v>71.125</v>
      </c>
      <c r="E1340">
        <v>70</v>
      </c>
      <c r="F1340">
        <v>107</v>
      </c>
      <c r="G1340" s="1">
        <f>DATE(C1340, CHOOSE(MATCH(UPPER(B1340), {"ENERO","FEBRERO","MARZO","ABRIL","MAYO","JUNIO","JULIO","AGOSTO","SEPTIEMBRE","OCTUBRE","NOVIEMBRE","DICIEMBRE"}, 0), 1,2,3,4,5,6,7,8,9,10,11,12), A1340)</f>
        <v>44928</v>
      </c>
      <c r="H1340">
        <v>34.125</v>
      </c>
      <c r="I1340">
        <v>56000</v>
      </c>
      <c r="J1340" s="1">
        <f t="shared" si="41"/>
        <v>44805</v>
      </c>
      <c r="K1340">
        <f t="shared" si="40"/>
        <v>21.125</v>
      </c>
    </row>
    <row r="1341" spans="1:11" x14ac:dyDescent="0.25">
      <c r="A1341">
        <v>3</v>
      </c>
      <c r="B1341" t="s">
        <v>26</v>
      </c>
      <c r="C1341">
        <v>2023</v>
      </c>
      <c r="D1341">
        <v>107</v>
      </c>
      <c r="E1341" t="s">
        <v>9</v>
      </c>
      <c r="F1341">
        <v>74</v>
      </c>
      <c r="G1341" s="1">
        <f>DATE(C1341, CHOOSE(MATCH(UPPER(B1341), {"ENERO","FEBRERO","MARZO","ABRIL","MAYO","JUNIO","JULIO","AGOSTO","SEPTIEMBRE","OCTUBRE","NOVIEMBRE","DICIEMBRE"}, 0), 1,2,3,4,5,6,7,8,9,10,11,12), A1341)</f>
        <v>44929</v>
      </c>
      <c r="H1341">
        <v>33</v>
      </c>
      <c r="I1341">
        <v>56000</v>
      </c>
      <c r="J1341" s="1">
        <f t="shared" si="41"/>
        <v>44806</v>
      </c>
      <c r="K1341">
        <f t="shared" si="40"/>
        <v>22.375</v>
      </c>
    </row>
    <row r="1342" spans="1:11" x14ac:dyDescent="0.25">
      <c r="A1342">
        <v>4</v>
      </c>
      <c r="B1342" t="s">
        <v>26</v>
      </c>
      <c r="C1342">
        <v>2023</v>
      </c>
      <c r="D1342">
        <v>74</v>
      </c>
      <c r="E1342">
        <v>70</v>
      </c>
      <c r="F1342">
        <v>102.25</v>
      </c>
      <c r="G1342" s="1">
        <f>DATE(C1342, CHOOSE(MATCH(UPPER(B1342), {"ENERO","FEBRERO","MARZO","ABRIL","MAYO","JUNIO","JULIO","AGOSTO","SEPTIEMBRE","OCTUBRE","NOVIEMBRE","DICIEMBRE"}, 0), 1,2,3,4,5,6,7,8,9,10,11,12), A1342)</f>
        <v>44930</v>
      </c>
      <c r="H1342">
        <v>41.75</v>
      </c>
      <c r="I1342">
        <v>56000</v>
      </c>
      <c r="J1342" s="1">
        <f t="shared" si="41"/>
        <v>44807</v>
      </c>
      <c r="K1342">
        <f t="shared" si="40"/>
        <v>37.875</v>
      </c>
    </row>
    <row r="1343" spans="1:11" x14ac:dyDescent="0.25">
      <c r="A1343">
        <v>5</v>
      </c>
      <c r="B1343" t="s">
        <v>26</v>
      </c>
      <c r="C1343">
        <v>2023</v>
      </c>
      <c r="D1343">
        <v>102.25</v>
      </c>
      <c r="E1343" t="s">
        <v>9</v>
      </c>
      <c r="F1343">
        <v>76.375</v>
      </c>
      <c r="G1343" s="1">
        <f>DATE(C1343, CHOOSE(MATCH(UPPER(B1343), {"ENERO","FEBRERO","MARZO","ABRIL","MAYO","JUNIO","JULIO","AGOSTO","SEPTIEMBRE","OCTUBRE","NOVIEMBRE","DICIEMBRE"}, 0), 1,2,3,4,5,6,7,8,9,10,11,12), A1343)</f>
        <v>44931</v>
      </c>
      <c r="H1343">
        <v>25.875</v>
      </c>
      <c r="I1343">
        <v>56000</v>
      </c>
      <c r="J1343" s="1">
        <f t="shared" si="41"/>
        <v>44808</v>
      </c>
      <c r="K1343">
        <f t="shared" si="40"/>
        <v>29.375</v>
      </c>
    </row>
    <row r="1344" spans="1:11" x14ac:dyDescent="0.25">
      <c r="A1344">
        <v>6</v>
      </c>
      <c r="B1344" t="s">
        <v>26</v>
      </c>
      <c r="C1344">
        <v>2023</v>
      </c>
      <c r="D1344">
        <v>76.375</v>
      </c>
      <c r="E1344" t="s">
        <v>9</v>
      </c>
      <c r="F1344">
        <v>50</v>
      </c>
      <c r="G1344" s="1">
        <f>DATE(C1344, CHOOSE(MATCH(UPPER(B1344), {"ENERO","FEBRERO","MARZO","ABRIL","MAYO","JUNIO","JULIO","AGOSTO","SEPTIEMBRE","OCTUBRE","NOVIEMBRE","DICIEMBRE"}, 0), 1,2,3,4,5,6,7,8,9,10,11,12), A1344)</f>
        <v>44932</v>
      </c>
      <c r="H1344">
        <v>26.375</v>
      </c>
      <c r="I1344">
        <v>56000</v>
      </c>
      <c r="J1344" s="1">
        <f t="shared" si="41"/>
        <v>44809</v>
      </c>
      <c r="K1344">
        <f t="shared" si="40"/>
        <v>18.5</v>
      </c>
    </row>
    <row r="1345" spans="1:11" x14ac:dyDescent="0.25">
      <c r="A1345">
        <v>7</v>
      </c>
      <c r="B1345" t="s">
        <v>26</v>
      </c>
      <c r="C1345">
        <v>2023</v>
      </c>
      <c r="D1345">
        <v>50</v>
      </c>
      <c r="E1345">
        <v>50</v>
      </c>
      <c r="F1345">
        <v>48</v>
      </c>
      <c r="G1345" s="1">
        <f>DATE(C1345, CHOOSE(MATCH(UPPER(B1345), {"ENERO","FEBRERO","MARZO","ABRIL","MAYO","JUNIO","JULIO","AGOSTO","SEPTIEMBRE","OCTUBRE","NOVIEMBRE","DICIEMBRE"}, 0), 1,2,3,4,5,6,7,8,9,10,11,12), A1345)</f>
        <v>44933</v>
      </c>
      <c r="H1345">
        <v>52</v>
      </c>
      <c r="I1345">
        <v>56000</v>
      </c>
      <c r="J1345" s="1">
        <f t="shared" si="41"/>
        <v>44810</v>
      </c>
      <c r="K1345">
        <f t="shared" si="40"/>
        <v>34.5</v>
      </c>
    </row>
    <row r="1346" spans="1:11" x14ac:dyDescent="0.25">
      <c r="A1346">
        <v>8</v>
      </c>
      <c r="B1346" t="s">
        <v>26</v>
      </c>
      <c r="C1346">
        <v>2023</v>
      </c>
      <c r="D1346">
        <v>48</v>
      </c>
      <c r="E1346">
        <v>30</v>
      </c>
      <c r="F1346">
        <v>27.375</v>
      </c>
      <c r="G1346" s="1">
        <f>DATE(C1346, CHOOSE(MATCH(UPPER(B1346), {"ENERO","FEBRERO","MARZO","ABRIL","MAYO","JUNIO","JULIO","AGOSTO","SEPTIEMBRE","OCTUBRE","NOVIEMBRE","DICIEMBRE"}, 0), 1,2,3,4,5,6,7,8,9,10,11,12), A1346)</f>
        <v>44934</v>
      </c>
      <c r="H1346">
        <v>50.625</v>
      </c>
      <c r="I1346">
        <v>56000</v>
      </c>
      <c r="J1346" s="1">
        <f t="shared" si="41"/>
        <v>44811</v>
      </c>
      <c r="K1346">
        <f t="shared" si="40"/>
        <v>16</v>
      </c>
    </row>
    <row r="1347" spans="1:11" x14ac:dyDescent="0.25">
      <c r="A1347">
        <v>9</v>
      </c>
      <c r="B1347" t="s">
        <v>26</v>
      </c>
      <c r="C1347">
        <v>2023</v>
      </c>
      <c r="D1347">
        <v>27.375</v>
      </c>
      <c r="E1347">
        <v>60</v>
      </c>
      <c r="F1347">
        <v>41</v>
      </c>
      <c r="G1347" s="1">
        <f>DATE(C1347, CHOOSE(MATCH(UPPER(B1347), {"ENERO","FEBRERO","MARZO","ABRIL","MAYO","JUNIO","JULIO","AGOSTO","SEPTIEMBRE","OCTUBRE","NOVIEMBRE","DICIEMBRE"}, 0), 1,2,3,4,5,6,7,8,9,10,11,12), A1347)</f>
        <v>44935</v>
      </c>
      <c r="H1347">
        <v>46.375</v>
      </c>
      <c r="I1347">
        <v>56000</v>
      </c>
      <c r="J1347" s="1">
        <f t="shared" si="41"/>
        <v>44812</v>
      </c>
      <c r="K1347">
        <f t="shared" ref="K1347:K1410" si="42">VLOOKUP(J1347, G:H, 2, FALSE)</f>
        <v>22.5</v>
      </c>
    </row>
    <row r="1348" spans="1:11" x14ac:dyDescent="0.25">
      <c r="A1348">
        <v>10</v>
      </c>
      <c r="B1348" t="s">
        <v>26</v>
      </c>
      <c r="C1348">
        <v>2023</v>
      </c>
      <c r="D1348">
        <v>41</v>
      </c>
      <c r="E1348" t="s">
        <v>9</v>
      </c>
      <c r="F1348">
        <v>22.125</v>
      </c>
      <c r="G1348" s="1">
        <f>DATE(C1348, CHOOSE(MATCH(UPPER(B1348), {"ENERO","FEBRERO","MARZO","ABRIL","MAYO","JUNIO","JULIO","AGOSTO","SEPTIEMBRE","OCTUBRE","NOVIEMBRE","DICIEMBRE"}, 0), 1,2,3,4,5,6,7,8,9,10,11,12), A1348)</f>
        <v>44936</v>
      </c>
      <c r="H1348">
        <v>18.875</v>
      </c>
      <c r="I1348">
        <v>56000</v>
      </c>
      <c r="J1348" s="1">
        <f t="shared" si="41"/>
        <v>44813</v>
      </c>
      <c r="K1348">
        <f t="shared" si="42"/>
        <v>34.375</v>
      </c>
    </row>
    <row r="1349" spans="1:11" x14ac:dyDescent="0.25">
      <c r="A1349">
        <v>11</v>
      </c>
      <c r="B1349" t="s">
        <v>26</v>
      </c>
      <c r="C1349">
        <v>2023</v>
      </c>
      <c r="D1349">
        <v>22.125</v>
      </c>
      <c r="E1349">
        <v>108</v>
      </c>
      <c r="F1349">
        <v>101.5</v>
      </c>
      <c r="G1349" s="1">
        <f>DATE(C1349, CHOOSE(MATCH(UPPER(B1349), {"ENERO","FEBRERO","MARZO","ABRIL","MAYO","JUNIO","JULIO","AGOSTO","SEPTIEMBRE","OCTUBRE","NOVIEMBRE","DICIEMBRE"}, 0), 1,2,3,4,5,6,7,8,9,10,11,12), A1349)</f>
        <v>44937</v>
      </c>
      <c r="H1349">
        <v>28.625</v>
      </c>
      <c r="I1349">
        <v>56000</v>
      </c>
      <c r="J1349" s="1">
        <f t="shared" ref="J1349:J1412" si="43">DATE(2019,1,1) + ROW()-1</f>
        <v>44814</v>
      </c>
      <c r="K1349">
        <f t="shared" si="42"/>
        <v>45.875</v>
      </c>
    </row>
    <row r="1350" spans="1:11" x14ac:dyDescent="0.25">
      <c r="A1350">
        <v>12</v>
      </c>
      <c r="B1350" t="s">
        <v>26</v>
      </c>
      <c r="C1350">
        <v>2023</v>
      </c>
      <c r="D1350">
        <v>101.5</v>
      </c>
      <c r="E1350" t="s">
        <v>9</v>
      </c>
      <c r="F1350">
        <v>78</v>
      </c>
      <c r="G1350" s="1">
        <f>DATE(C1350, CHOOSE(MATCH(UPPER(B1350), {"ENERO","FEBRERO","MARZO","ABRIL","MAYO","JUNIO","JULIO","AGOSTO","SEPTIEMBRE","OCTUBRE","NOVIEMBRE","DICIEMBRE"}, 0), 1,2,3,4,5,6,7,8,9,10,11,12), A1350)</f>
        <v>44938</v>
      </c>
      <c r="H1350">
        <v>23.5</v>
      </c>
      <c r="I1350">
        <v>56000</v>
      </c>
      <c r="J1350" s="1">
        <f t="shared" si="43"/>
        <v>44815</v>
      </c>
      <c r="K1350">
        <f t="shared" si="42"/>
        <v>50.375</v>
      </c>
    </row>
    <row r="1351" spans="1:11" x14ac:dyDescent="0.25">
      <c r="A1351">
        <v>13</v>
      </c>
      <c r="B1351" t="s">
        <v>26</v>
      </c>
      <c r="C1351">
        <v>2023</v>
      </c>
      <c r="D1351">
        <v>78</v>
      </c>
      <c r="E1351" t="s">
        <v>9</v>
      </c>
      <c r="F1351">
        <v>45.375</v>
      </c>
      <c r="G1351" s="1">
        <f>DATE(C1351, CHOOSE(MATCH(UPPER(B1351), {"ENERO","FEBRERO","MARZO","ABRIL","MAYO","JUNIO","JULIO","AGOSTO","SEPTIEMBRE","OCTUBRE","NOVIEMBRE","DICIEMBRE"}, 0), 1,2,3,4,5,6,7,8,9,10,11,12), A1351)</f>
        <v>44939</v>
      </c>
      <c r="H1351">
        <v>32.625</v>
      </c>
      <c r="I1351">
        <v>56000</v>
      </c>
      <c r="J1351" s="1">
        <f t="shared" si="43"/>
        <v>44816</v>
      </c>
      <c r="K1351">
        <f t="shared" si="42"/>
        <v>20.625</v>
      </c>
    </row>
    <row r="1352" spans="1:11" x14ac:dyDescent="0.25">
      <c r="A1352">
        <v>14</v>
      </c>
      <c r="B1352" t="s">
        <v>26</v>
      </c>
      <c r="C1352">
        <v>2023</v>
      </c>
      <c r="D1352">
        <v>45.375</v>
      </c>
      <c r="E1352">
        <v>110</v>
      </c>
      <c r="F1352">
        <v>109.375</v>
      </c>
      <c r="G1352" s="1">
        <f>DATE(C1352, CHOOSE(MATCH(UPPER(B1352), {"ENERO","FEBRERO","MARZO","ABRIL","MAYO","JUNIO","JULIO","AGOSTO","SEPTIEMBRE","OCTUBRE","NOVIEMBRE","DICIEMBRE"}, 0), 1,2,3,4,5,6,7,8,9,10,11,12), A1352)</f>
        <v>44940</v>
      </c>
      <c r="H1352">
        <v>46</v>
      </c>
      <c r="I1352">
        <v>56000</v>
      </c>
      <c r="J1352" s="1">
        <f t="shared" si="43"/>
        <v>44817</v>
      </c>
      <c r="K1352">
        <f t="shared" si="42"/>
        <v>0</v>
      </c>
    </row>
    <row r="1353" spans="1:11" x14ac:dyDescent="0.25">
      <c r="A1353">
        <v>15</v>
      </c>
      <c r="B1353" t="s">
        <v>26</v>
      </c>
      <c r="C1353">
        <v>2023</v>
      </c>
      <c r="D1353">
        <v>109.375</v>
      </c>
      <c r="E1353" t="s">
        <v>9</v>
      </c>
      <c r="F1353">
        <v>70.875</v>
      </c>
      <c r="G1353" s="1">
        <f>DATE(C1353, CHOOSE(MATCH(UPPER(B1353), {"ENERO","FEBRERO","MARZO","ABRIL","MAYO","JUNIO","JULIO","AGOSTO","SEPTIEMBRE","OCTUBRE","NOVIEMBRE","DICIEMBRE"}, 0), 1,2,3,4,5,6,7,8,9,10,11,12), A1353)</f>
        <v>44941</v>
      </c>
      <c r="H1353">
        <v>38.5</v>
      </c>
      <c r="I1353">
        <v>56000</v>
      </c>
      <c r="J1353" s="1">
        <f t="shared" si="43"/>
        <v>44818</v>
      </c>
      <c r="K1353">
        <f t="shared" si="42"/>
        <v>0</v>
      </c>
    </row>
    <row r="1354" spans="1:11" x14ac:dyDescent="0.25">
      <c r="A1354">
        <v>16</v>
      </c>
      <c r="B1354" t="s">
        <v>26</v>
      </c>
      <c r="C1354">
        <v>2023</v>
      </c>
      <c r="D1354">
        <v>70.875</v>
      </c>
      <c r="E1354" t="s">
        <v>9</v>
      </c>
      <c r="F1354">
        <v>45.625</v>
      </c>
      <c r="G1354" s="1">
        <f>DATE(C1354, CHOOSE(MATCH(UPPER(B1354), {"ENERO","FEBRERO","MARZO","ABRIL","MAYO","JUNIO","JULIO","AGOSTO","SEPTIEMBRE","OCTUBRE","NOVIEMBRE","DICIEMBRE"}, 0), 1,2,3,4,5,6,7,8,9,10,11,12), A1354)</f>
        <v>44942</v>
      </c>
      <c r="H1354">
        <v>25.25</v>
      </c>
      <c r="I1354">
        <v>56000</v>
      </c>
      <c r="J1354" s="1">
        <f t="shared" si="43"/>
        <v>44819</v>
      </c>
      <c r="K1354">
        <f t="shared" si="42"/>
        <v>17.5</v>
      </c>
    </row>
    <row r="1355" spans="1:11" x14ac:dyDescent="0.25">
      <c r="A1355">
        <v>17</v>
      </c>
      <c r="B1355" t="s">
        <v>26</v>
      </c>
      <c r="C1355">
        <v>2023</v>
      </c>
      <c r="D1355">
        <v>45.625</v>
      </c>
      <c r="E1355">
        <v>110</v>
      </c>
      <c r="F1355">
        <v>133.625</v>
      </c>
      <c r="G1355" s="1">
        <f>DATE(C1355, CHOOSE(MATCH(UPPER(B1355), {"ENERO","FEBRERO","MARZO","ABRIL","MAYO","JUNIO","JULIO","AGOSTO","SEPTIEMBRE","OCTUBRE","NOVIEMBRE","DICIEMBRE"}, 0), 1,2,3,4,5,6,7,8,9,10,11,12), A1355)</f>
        <v>44943</v>
      </c>
      <c r="H1355">
        <v>22</v>
      </c>
      <c r="I1355">
        <v>56000</v>
      </c>
      <c r="J1355" s="1">
        <f t="shared" si="43"/>
        <v>44820</v>
      </c>
      <c r="K1355">
        <f t="shared" si="42"/>
        <v>39</v>
      </c>
    </row>
    <row r="1356" spans="1:11" x14ac:dyDescent="0.25">
      <c r="A1356">
        <v>18</v>
      </c>
      <c r="B1356" t="s">
        <v>26</v>
      </c>
      <c r="C1356">
        <v>2023</v>
      </c>
      <c r="D1356">
        <v>133.625</v>
      </c>
      <c r="E1356" t="s">
        <v>9</v>
      </c>
      <c r="F1356">
        <v>110.25</v>
      </c>
      <c r="G1356" s="1">
        <f>DATE(C1356, CHOOSE(MATCH(UPPER(B1356), {"ENERO","FEBRERO","MARZO","ABRIL","MAYO","JUNIO","JULIO","AGOSTO","SEPTIEMBRE","OCTUBRE","NOVIEMBRE","DICIEMBRE"}, 0), 1,2,3,4,5,6,7,8,9,10,11,12), A1356)</f>
        <v>44944</v>
      </c>
      <c r="H1356">
        <v>23.375</v>
      </c>
      <c r="I1356">
        <v>56000</v>
      </c>
      <c r="J1356" s="1">
        <f t="shared" si="43"/>
        <v>44821</v>
      </c>
      <c r="K1356">
        <f t="shared" si="42"/>
        <v>43.625</v>
      </c>
    </row>
    <row r="1357" spans="1:11" x14ac:dyDescent="0.25">
      <c r="A1357">
        <v>19</v>
      </c>
      <c r="B1357" t="s">
        <v>26</v>
      </c>
      <c r="C1357">
        <v>2023</v>
      </c>
      <c r="D1357">
        <v>110.25</v>
      </c>
      <c r="E1357">
        <v>70</v>
      </c>
      <c r="F1357">
        <v>153.75</v>
      </c>
      <c r="G1357" s="1">
        <f>DATE(C1357, CHOOSE(MATCH(UPPER(B1357), {"ENERO","FEBRERO","MARZO","ABRIL","MAYO","JUNIO","JULIO","AGOSTO","SEPTIEMBRE","OCTUBRE","NOVIEMBRE","DICIEMBRE"}, 0), 1,2,3,4,5,6,7,8,9,10,11,12), A1357)</f>
        <v>44945</v>
      </c>
      <c r="H1357">
        <v>26.5</v>
      </c>
      <c r="I1357">
        <v>56000</v>
      </c>
      <c r="J1357" s="1">
        <f t="shared" si="43"/>
        <v>44822</v>
      </c>
      <c r="K1357">
        <f t="shared" si="42"/>
        <v>39</v>
      </c>
    </row>
    <row r="1358" spans="1:11" x14ac:dyDescent="0.25">
      <c r="A1358">
        <v>20</v>
      </c>
      <c r="B1358" t="s">
        <v>26</v>
      </c>
      <c r="C1358">
        <v>2023</v>
      </c>
      <c r="D1358">
        <v>153.75</v>
      </c>
      <c r="E1358" t="s">
        <v>9</v>
      </c>
      <c r="F1358">
        <v>128.625</v>
      </c>
      <c r="G1358" s="1">
        <f>DATE(C1358, CHOOSE(MATCH(UPPER(B1358), {"ENERO","FEBRERO","MARZO","ABRIL","MAYO","JUNIO","JULIO","AGOSTO","SEPTIEMBRE","OCTUBRE","NOVIEMBRE","DICIEMBRE"}, 0), 1,2,3,4,5,6,7,8,9,10,11,12), A1358)</f>
        <v>44946</v>
      </c>
      <c r="H1358">
        <v>25.125</v>
      </c>
      <c r="I1358">
        <v>56000</v>
      </c>
      <c r="J1358" s="1">
        <f t="shared" si="43"/>
        <v>44823</v>
      </c>
      <c r="K1358">
        <f t="shared" si="42"/>
        <v>6.75</v>
      </c>
    </row>
    <row r="1359" spans="1:11" x14ac:dyDescent="0.25">
      <c r="A1359">
        <v>21</v>
      </c>
      <c r="B1359" t="s">
        <v>26</v>
      </c>
      <c r="C1359">
        <v>2023</v>
      </c>
      <c r="D1359">
        <v>128.625</v>
      </c>
      <c r="E1359">
        <v>60</v>
      </c>
      <c r="F1359">
        <v>153.875</v>
      </c>
      <c r="G1359" s="1">
        <f>DATE(C1359, CHOOSE(MATCH(UPPER(B1359), {"ENERO","FEBRERO","MARZO","ABRIL","MAYO","JUNIO","JULIO","AGOSTO","SEPTIEMBRE","OCTUBRE","NOVIEMBRE","DICIEMBRE"}, 0), 1,2,3,4,5,6,7,8,9,10,11,12), A1359)</f>
        <v>44947</v>
      </c>
      <c r="H1359">
        <v>34.75</v>
      </c>
      <c r="I1359">
        <v>56000</v>
      </c>
      <c r="J1359" s="1">
        <f t="shared" si="43"/>
        <v>44824</v>
      </c>
      <c r="K1359">
        <f t="shared" si="42"/>
        <v>16.125</v>
      </c>
    </row>
    <row r="1360" spans="1:11" x14ac:dyDescent="0.25">
      <c r="A1360">
        <v>22</v>
      </c>
      <c r="B1360" t="s">
        <v>26</v>
      </c>
      <c r="C1360">
        <v>2023</v>
      </c>
      <c r="D1360">
        <v>153.875</v>
      </c>
      <c r="E1360" t="s">
        <v>9</v>
      </c>
      <c r="F1360">
        <v>114.25</v>
      </c>
      <c r="G1360" s="1">
        <f>DATE(C1360, CHOOSE(MATCH(UPPER(B1360), {"ENERO","FEBRERO","MARZO","ABRIL","MAYO","JUNIO","JULIO","AGOSTO","SEPTIEMBRE","OCTUBRE","NOVIEMBRE","DICIEMBRE"}, 0), 1,2,3,4,5,6,7,8,9,10,11,12), A1360)</f>
        <v>44948</v>
      </c>
      <c r="H1360">
        <v>39.625</v>
      </c>
      <c r="I1360">
        <v>56000</v>
      </c>
      <c r="J1360" s="1">
        <f t="shared" si="43"/>
        <v>44825</v>
      </c>
      <c r="K1360">
        <f t="shared" si="42"/>
        <v>22.25</v>
      </c>
    </row>
    <row r="1361" spans="1:11" x14ac:dyDescent="0.25">
      <c r="A1361">
        <v>23</v>
      </c>
      <c r="B1361" t="s">
        <v>26</v>
      </c>
      <c r="C1361">
        <v>2023</v>
      </c>
      <c r="D1361">
        <v>114.25</v>
      </c>
      <c r="E1361" t="s">
        <v>9</v>
      </c>
      <c r="F1361">
        <v>98.125</v>
      </c>
      <c r="G1361" s="1">
        <f>DATE(C1361, CHOOSE(MATCH(UPPER(B1361), {"ENERO","FEBRERO","MARZO","ABRIL","MAYO","JUNIO","JULIO","AGOSTO","SEPTIEMBRE","OCTUBRE","NOVIEMBRE","DICIEMBRE"}, 0), 1,2,3,4,5,6,7,8,9,10,11,12), A1361)</f>
        <v>44949</v>
      </c>
      <c r="H1361">
        <v>16.125</v>
      </c>
      <c r="I1361">
        <v>56000</v>
      </c>
      <c r="J1361" s="1">
        <f t="shared" si="43"/>
        <v>44826</v>
      </c>
      <c r="K1361">
        <f t="shared" si="42"/>
        <v>19.125</v>
      </c>
    </row>
    <row r="1362" spans="1:11" x14ac:dyDescent="0.25">
      <c r="A1362">
        <v>24</v>
      </c>
      <c r="B1362" t="s">
        <v>26</v>
      </c>
      <c r="C1362">
        <v>2023</v>
      </c>
      <c r="D1362">
        <v>98.125</v>
      </c>
      <c r="E1362">
        <v>60</v>
      </c>
      <c r="F1362">
        <v>134</v>
      </c>
      <c r="G1362" s="1">
        <f>DATE(C1362, CHOOSE(MATCH(UPPER(B1362), {"ENERO","FEBRERO","MARZO","ABRIL","MAYO","JUNIO","JULIO","AGOSTO","SEPTIEMBRE","OCTUBRE","NOVIEMBRE","DICIEMBRE"}, 0), 1,2,3,4,5,6,7,8,9,10,11,12), A1362)</f>
        <v>44950</v>
      </c>
      <c r="H1362">
        <v>24.125</v>
      </c>
      <c r="I1362">
        <v>56000</v>
      </c>
      <c r="J1362" s="1">
        <f t="shared" si="43"/>
        <v>44827</v>
      </c>
      <c r="K1362">
        <f t="shared" si="42"/>
        <v>26.125</v>
      </c>
    </row>
    <row r="1363" spans="1:11" x14ac:dyDescent="0.25">
      <c r="A1363">
        <v>25</v>
      </c>
      <c r="B1363" t="s">
        <v>26</v>
      </c>
      <c r="C1363">
        <v>2023</v>
      </c>
      <c r="D1363">
        <v>134</v>
      </c>
      <c r="E1363" t="s">
        <v>9</v>
      </c>
      <c r="F1363">
        <v>119.75</v>
      </c>
      <c r="G1363" s="1">
        <f>DATE(C1363, CHOOSE(MATCH(UPPER(B1363), {"ENERO","FEBRERO","MARZO","ABRIL","MAYO","JUNIO","JULIO","AGOSTO","SEPTIEMBRE","OCTUBRE","NOVIEMBRE","DICIEMBRE"}, 0), 1,2,3,4,5,6,7,8,9,10,11,12), A1363)</f>
        <v>44951</v>
      </c>
      <c r="H1363">
        <v>14.25</v>
      </c>
      <c r="I1363">
        <v>56000</v>
      </c>
      <c r="J1363" s="1">
        <f t="shared" si="43"/>
        <v>44828</v>
      </c>
      <c r="K1363">
        <f t="shared" si="42"/>
        <v>46.5</v>
      </c>
    </row>
    <row r="1364" spans="1:11" x14ac:dyDescent="0.25">
      <c r="A1364">
        <v>26</v>
      </c>
      <c r="B1364" t="s">
        <v>26</v>
      </c>
      <c r="C1364">
        <v>2023</v>
      </c>
      <c r="D1364">
        <v>119.75</v>
      </c>
      <c r="E1364" t="s">
        <v>9</v>
      </c>
      <c r="F1364">
        <v>93.75</v>
      </c>
      <c r="G1364" s="1">
        <f>DATE(C1364, CHOOSE(MATCH(UPPER(B1364), {"ENERO","FEBRERO","MARZO","ABRIL","MAYO","JUNIO","JULIO","AGOSTO","SEPTIEMBRE","OCTUBRE","NOVIEMBRE","DICIEMBRE"}, 0), 1,2,3,4,5,6,7,8,9,10,11,12), A1364)</f>
        <v>44952</v>
      </c>
      <c r="H1364">
        <v>26</v>
      </c>
      <c r="I1364">
        <v>56000</v>
      </c>
      <c r="J1364" s="1">
        <f t="shared" si="43"/>
        <v>44829</v>
      </c>
      <c r="K1364">
        <f t="shared" si="42"/>
        <v>41.625</v>
      </c>
    </row>
    <row r="1365" spans="1:11" x14ac:dyDescent="0.25">
      <c r="A1365">
        <v>27</v>
      </c>
      <c r="B1365" t="s">
        <v>26</v>
      </c>
      <c r="C1365">
        <v>2023</v>
      </c>
      <c r="D1365">
        <v>93.75</v>
      </c>
      <c r="E1365" t="s">
        <v>9</v>
      </c>
      <c r="F1365">
        <v>62.25</v>
      </c>
      <c r="G1365" s="1">
        <f>DATE(C1365, CHOOSE(MATCH(UPPER(B1365), {"ENERO","FEBRERO","MARZO","ABRIL","MAYO","JUNIO","JULIO","AGOSTO","SEPTIEMBRE","OCTUBRE","NOVIEMBRE","DICIEMBRE"}, 0), 1,2,3,4,5,6,7,8,9,10,11,12), A1365)</f>
        <v>44953</v>
      </c>
      <c r="H1365">
        <v>31.5</v>
      </c>
      <c r="I1365">
        <v>56000</v>
      </c>
      <c r="J1365" s="1">
        <f t="shared" si="43"/>
        <v>44830</v>
      </c>
      <c r="K1365">
        <f t="shared" si="42"/>
        <v>16.625</v>
      </c>
    </row>
    <row r="1366" spans="1:11" x14ac:dyDescent="0.25">
      <c r="A1366">
        <v>28</v>
      </c>
      <c r="B1366" t="s">
        <v>26</v>
      </c>
      <c r="C1366">
        <v>2023</v>
      </c>
      <c r="D1366">
        <v>62.25</v>
      </c>
      <c r="E1366">
        <v>90</v>
      </c>
      <c r="F1366">
        <v>111.5</v>
      </c>
      <c r="G1366" s="1">
        <f>DATE(C1366, CHOOSE(MATCH(UPPER(B1366), {"ENERO","FEBRERO","MARZO","ABRIL","MAYO","JUNIO","JULIO","AGOSTO","SEPTIEMBRE","OCTUBRE","NOVIEMBRE","DICIEMBRE"}, 0), 1,2,3,4,5,6,7,8,9,10,11,12), A1366)</f>
        <v>44954</v>
      </c>
      <c r="H1366">
        <v>40.75</v>
      </c>
      <c r="I1366">
        <v>56000</v>
      </c>
      <c r="J1366" s="1">
        <f t="shared" si="43"/>
        <v>44831</v>
      </c>
      <c r="K1366">
        <f t="shared" si="42"/>
        <v>16.5</v>
      </c>
    </row>
    <row r="1367" spans="1:11" x14ac:dyDescent="0.25">
      <c r="A1367">
        <v>29</v>
      </c>
      <c r="B1367" t="s">
        <v>26</v>
      </c>
      <c r="C1367">
        <v>2023</v>
      </c>
      <c r="D1367">
        <v>111.5</v>
      </c>
      <c r="E1367" t="s">
        <v>9</v>
      </c>
      <c r="F1367">
        <v>83.125</v>
      </c>
      <c r="G1367" s="1">
        <f>DATE(C1367, CHOOSE(MATCH(UPPER(B1367), {"ENERO","FEBRERO","MARZO","ABRIL","MAYO","JUNIO","JULIO","AGOSTO","SEPTIEMBRE","OCTUBRE","NOVIEMBRE","DICIEMBRE"}, 0), 1,2,3,4,5,6,7,8,9,10,11,12), A1367)</f>
        <v>44955</v>
      </c>
      <c r="H1367">
        <v>28.375</v>
      </c>
      <c r="I1367">
        <v>56000</v>
      </c>
      <c r="J1367" s="1">
        <f t="shared" si="43"/>
        <v>44832</v>
      </c>
      <c r="K1367">
        <f t="shared" si="42"/>
        <v>12.625</v>
      </c>
    </row>
    <row r="1368" spans="1:11" x14ac:dyDescent="0.25">
      <c r="A1368">
        <v>30</v>
      </c>
      <c r="B1368" t="s">
        <v>26</v>
      </c>
      <c r="C1368">
        <v>2023</v>
      </c>
      <c r="D1368">
        <v>83.125</v>
      </c>
      <c r="E1368" t="s">
        <v>9</v>
      </c>
      <c r="F1368">
        <v>62.75</v>
      </c>
      <c r="G1368" s="1">
        <f>DATE(C1368, CHOOSE(MATCH(UPPER(B1368), {"ENERO","FEBRERO","MARZO","ABRIL","MAYO","JUNIO","JULIO","AGOSTO","SEPTIEMBRE","OCTUBRE","NOVIEMBRE","DICIEMBRE"}, 0), 1,2,3,4,5,6,7,8,9,10,11,12), A1368)</f>
        <v>44956</v>
      </c>
      <c r="H1368">
        <v>20.375</v>
      </c>
      <c r="I1368">
        <v>56000</v>
      </c>
      <c r="J1368" s="1">
        <f t="shared" si="43"/>
        <v>44833</v>
      </c>
      <c r="K1368">
        <f t="shared" si="42"/>
        <v>25.25</v>
      </c>
    </row>
    <row r="1369" spans="1:11" x14ac:dyDescent="0.25">
      <c r="A1369">
        <v>31</v>
      </c>
      <c r="B1369" t="s">
        <v>26</v>
      </c>
      <c r="C1369">
        <v>2023</v>
      </c>
      <c r="D1369">
        <v>62.75</v>
      </c>
      <c r="E1369">
        <v>90</v>
      </c>
      <c r="F1369">
        <v>135.5</v>
      </c>
      <c r="G1369" s="1">
        <f>DATE(C1369, CHOOSE(MATCH(UPPER(B1369), {"ENERO","FEBRERO","MARZO","ABRIL","MAYO","JUNIO","JULIO","AGOSTO","SEPTIEMBRE","OCTUBRE","NOVIEMBRE","DICIEMBRE"}, 0), 1,2,3,4,5,6,7,8,9,10,11,12), A1369)</f>
        <v>44957</v>
      </c>
      <c r="H1369">
        <v>17.25</v>
      </c>
      <c r="I1369">
        <v>56000</v>
      </c>
      <c r="J1369" s="1">
        <f t="shared" si="43"/>
        <v>44834</v>
      </c>
      <c r="K1369">
        <f t="shared" si="42"/>
        <v>32.5</v>
      </c>
    </row>
    <row r="1370" spans="1:11" x14ac:dyDescent="0.25">
      <c r="A1370">
        <v>1</v>
      </c>
      <c r="B1370" t="s">
        <v>27</v>
      </c>
      <c r="C1370">
        <v>2023</v>
      </c>
      <c r="D1370">
        <v>135.5</v>
      </c>
      <c r="E1370" t="s">
        <v>9</v>
      </c>
      <c r="F1370">
        <v>106.5</v>
      </c>
      <c r="G1370" s="1">
        <f>DATE(C1370, CHOOSE(MATCH(UPPER(B1370), {"ENERO","FEBRERO","MARZO","ABRIL","MAYO","JUNIO","JULIO","AGOSTO","SEPTIEMBRE","OCTUBRE","NOVIEMBRE","DICIEMBRE"}, 0), 1,2,3,4,5,6,7,8,9,10,11,12), A1370)</f>
        <v>44958</v>
      </c>
      <c r="H1370">
        <v>29</v>
      </c>
      <c r="I1370">
        <v>56000</v>
      </c>
      <c r="J1370" s="1">
        <f t="shared" si="43"/>
        <v>44835</v>
      </c>
      <c r="K1370" t="e">
        <f t="shared" si="42"/>
        <v>#N/A</v>
      </c>
    </row>
    <row r="1371" spans="1:11" x14ac:dyDescent="0.25">
      <c r="A1371">
        <v>2</v>
      </c>
      <c r="B1371" t="s">
        <v>27</v>
      </c>
      <c r="C1371">
        <v>2023</v>
      </c>
      <c r="D1371">
        <v>106.5</v>
      </c>
      <c r="E1371" t="s">
        <v>9</v>
      </c>
      <c r="F1371">
        <v>84.5</v>
      </c>
      <c r="G1371" s="1">
        <f>DATE(C1371, CHOOSE(MATCH(UPPER(B1371), {"ENERO","FEBRERO","MARZO","ABRIL","MAYO","JUNIO","JULIO","AGOSTO","SEPTIEMBRE","OCTUBRE","NOVIEMBRE","DICIEMBRE"}, 0), 1,2,3,4,5,6,7,8,9,10,11,12), A1371)</f>
        <v>44959</v>
      </c>
      <c r="H1371">
        <v>22</v>
      </c>
      <c r="I1371">
        <v>56000</v>
      </c>
      <c r="J1371" s="1">
        <f t="shared" si="43"/>
        <v>44836</v>
      </c>
      <c r="K1371" t="e">
        <f t="shared" si="42"/>
        <v>#N/A</v>
      </c>
    </row>
    <row r="1372" spans="1:11" x14ac:dyDescent="0.25">
      <c r="A1372">
        <v>3</v>
      </c>
      <c r="B1372" t="s">
        <v>27</v>
      </c>
      <c r="C1372">
        <v>2023</v>
      </c>
      <c r="D1372">
        <v>84.5</v>
      </c>
      <c r="E1372">
        <v>90</v>
      </c>
      <c r="F1372">
        <v>148</v>
      </c>
      <c r="G1372" s="1">
        <f>DATE(C1372, CHOOSE(MATCH(UPPER(B1372), {"ENERO","FEBRERO","MARZO","ABRIL","MAYO","JUNIO","JULIO","AGOSTO","SEPTIEMBRE","OCTUBRE","NOVIEMBRE","DICIEMBRE"}, 0), 1,2,3,4,5,6,7,8,9,10,11,12), A1372)</f>
        <v>44960</v>
      </c>
      <c r="H1372">
        <v>26.5</v>
      </c>
      <c r="I1372">
        <v>56000</v>
      </c>
      <c r="J1372" s="1">
        <f t="shared" si="43"/>
        <v>44837</v>
      </c>
      <c r="K1372" t="e">
        <f t="shared" si="42"/>
        <v>#N/A</v>
      </c>
    </row>
    <row r="1373" spans="1:11" x14ac:dyDescent="0.25">
      <c r="A1373">
        <v>4</v>
      </c>
      <c r="B1373" t="s">
        <v>27</v>
      </c>
      <c r="C1373">
        <v>2023</v>
      </c>
      <c r="D1373">
        <v>148</v>
      </c>
      <c r="E1373" t="s">
        <v>9</v>
      </c>
      <c r="F1373">
        <v>99.875</v>
      </c>
      <c r="G1373" s="1">
        <f>DATE(C1373, CHOOSE(MATCH(UPPER(B1373), {"ENERO","FEBRERO","MARZO","ABRIL","MAYO","JUNIO","JULIO","AGOSTO","SEPTIEMBRE","OCTUBRE","NOVIEMBRE","DICIEMBRE"}, 0), 1,2,3,4,5,6,7,8,9,10,11,12), A1373)</f>
        <v>44961</v>
      </c>
      <c r="H1373">
        <v>48.125</v>
      </c>
      <c r="I1373">
        <v>56000</v>
      </c>
      <c r="J1373" s="1">
        <f t="shared" si="43"/>
        <v>44838</v>
      </c>
      <c r="K1373" t="e">
        <f t="shared" si="42"/>
        <v>#N/A</v>
      </c>
    </row>
    <row r="1374" spans="1:11" x14ac:dyDescent="0.25">
      <c r="A1374">
        <v>5</v>
      </c>
      <c r="B1374" t="s">
        <v>27</v>
      </c>
      <c r="C1374">
        <v>2023</v>
      </c>
      <c r="D1374">
        <v>99.875</v>
      </c>
      <c r="E1374" t="s">
        <v>9</v>
      </c>
      <c r="F1374">
        <v>68.375</v>
      </c>
      <c r="G1374" s="1">
        <f>DATE(C1374, CHOOSE(MATCH(UPPER(B1374), {"ENERO","FEBRERO","MARZO","ABRIL","MAYO","JUNIO","JULIO","AGOSTO","SEPTIEMBRE","OCTUBRE","NOVIEMBRE","DICIEMBRE"}, 0), 1,2,3,4,5,6,7,8,9,10,11,12), A1374)</f>
        <v>44962</v>
      </c>
      <c r="H1374">
        <v>31.5</v>
      </c>
      <c r="I1374">
        <v>56000</v>
      </c>
      <c r="J1374" s="1">
        <f t="shared" si="43"/>
        <v>44839</v>
      </c>
      <c r="K1374" t="e">
        <f t="shared" si="42"/>
        <v>#N/A</v>
      </c>
    </row>
    <row r="1375" spans="1:11" x14ac:dyDescent="0.25">
      <c r="A1375">
        <v>6</v>
      </c>
      <c r="B1375" t="s">
        <v>27</v>
      </c>
      <c r="C1375">
        <v>2023</v>
      </c>
      <c r="D1375">
        <v>68.375</v>
      </c>
      <c r="E1375" t="s">
        <v>9</v>
      </c>
      <c r="F1375">
        <v>49</v>
      </c>
      <c r="G1375" s="1">
        <f>DATE(C1375, CHOOSE(MATCH(UPPER(B1375), {"ENERO","FEBRERO","MARZO","ABRIL","MAYO","JUNIO","JULIO","AGOSTO","SEPTIEMBRE","OCTUBRE","NOVIEMBRE","DICIEMBRE"}, 0), 1,2,3,4,5,6,7,8,9,10,11,12), A1375)</f>
        <v>44963</v>
      </c>
      <c r="H1375">
        <v>19.375</v>
      </c>
      <c r="I1375">
        <v>56000</v>
      </c>
      <c r="J1375" s="1">
        <f t="shared" si="43"/>
        <v>44840</v>
      </c>
      <c r="K1375" t="e">
        <f t="shared" si="42"/>
        <v>#N/A</v>
      </c>
    </row>
    <row r="1376" spans="1:11" x14ac:dyDescent="0.25">
      <c r="A1376">
        <v>7</v>
      </c>
      <c r="B1376" t="s">
        <v>27</v>
      </c>
      <c r="C1376">
        <v>2023</v>
      </c>
      <c r="D1376">
        <v>49</v>
      </c>
      <c r="E1376">
        <v>120</v>
      </c>
      <c r="F1376">
        <v>158.625</v>
      </c>
      <c r="G1376" s="1">
        <f>DATE(C1376, CHOOSE(MATCH(UPPER(B1376), {"ENERO","FEBRERO","MARZO","ABRIL","MAYO","JUNIO","JULIO","AGOSTO","SEPTIEMBRE","OCTUBRE","NOVIEMBRE","DICIEMBRE"}, 0), 1,2,3,4,5,6,7,8,9,10,11,12), A1376)</f>
        <v>44964</v>
      </c>
      <c r="H1376">
        <v>10.375</v>
      </c>
      <c r="I1376">
        <v>56000</v>
      </c>
      <c r="J1376" s="1">
        <f t="shared" si="43"/>
        <v>44841</v>
      </c>
      <c r="K1376" t="e">
        <f t="shared" si="42"/>
        <v>#N/A</v>
      </c>
    </row>
    <row r="1377" spans="1:11" x14ac:dyDescent="0.25">
      <c r="A1377">
        <v>8</v>
      </c>
      <c r="B1377" t="s">
        <v>27</v>
      </c>
      <c r="C1377">
        <v>2023</v>
      </c>
      <c r="D1377">
        <v>158.625</v>
      </c>
      <c r="E1377" t="s">
        <v>9</v>
      </c>
      <c r="F1377">
        <v>140.875</v>
      </c>
      <c r="G1377" s="1">
        <f>DATE(C1377, CHOOSE(MATCH(UPPER(B1377), {"ENERO","FEBRERO","MARZO","ABRIL","MAYO","JUNIO","JULIO","AGOSTO","SEPTIEMBRE","OCTUBRE","NOVIEMBRE","DICIEMBRE"}, 0), 1,2,3,4,5,6,7,8,9,10,11,12), A1377)</f>
        <v>44965</v>
      </c>
      <c r="H1377">
        <v>17.75</v>
      </c>
      <c r="I1377">
        <v>56000</v>
      </c>
      <c r="J1377" s="1">
        <f t="shared" si="43"/>
        <v>44842</v>
      </c>
      <c r="K1377" t="e">
        <f t="shared" si="42"/>
        <v>#N/A</v>
      </c>
    </row>
    <row r="1378" spans="1:11" x14ac:dyDescent="0.25">
      <c r="A1378">
        <v>9</v>
      </c>
      <c r="B1378" t="s">
        <v>27</v>
      </c>
      <c r="C1378">
        <v>2023</v>
      </c>
      <c r="D1378">
        <v>140.875</v>
      </c>
      <c r="E1378" t="s">
        <v>9</v>
      </c>
      <c r="F1378">
        <v>124</v>
      </c>
      <c r="G1378" s="1">
        <f>DATE(C1378, CHOOSE(MATCH(UPPER(B1378), {"ENERO","FEBRERO","MARZO","ABRIL","MAYO","JUNIO","JULIO","AGOSTO","SEPTIEMBRE","OCTUBRE","NOVIEMBRE","DICIEMBRE"}, 0), 1,2,3,4,5,6,7,8,9,10,11,12), A1378)</f>
        <v>44966</v>
      </c>
      <c r="H1378">
        <v>16.875</v>
      </c>
      <c r="I1378">
        <v>56000</v>
      </c>
      <c r="J1378" s="1">
        <f t="shared" si="43"/>
        <v>44843</v>
      </c>
      <c r="K1378" t="e">
        <f t="shared" si="42"/>
        <v>#N/A</v>
      </c>
    </row>
    <row r="1379" spans="1:11" x14ac:dyDescent="0.25">
      <c r="A1379">
        <v>10</v>
      </c>
      <c r="B1379" t="s">
        <v>27</v>
      </c>
      <c r="C1379">
        <v>2023</v>
      </c>
      <c r="D1379">
        <v>124</v>
      </c>
      <c r="E1379" t="s">
        <v>9</v>
      </c>
      <c r="F1379">
        <v>87</v>
      </c>
      <c r="G1379" s="1">
        <f>DATE(C1379, CHOOSE(MATCH(UPPER(B1379), {"ENERO","FEBRERO","MARZO","ABRIL","MAYO","JUNIO","JULIO","AGOSTO","SEPTIEMBRE","OCTUBRE","NOVIEMBRE","DICIEMBRE"}, 0), 1,2,3,4,5,6,7,8,9,10,11,12), A1379)</f>
        <v>44967</v>
      </c>
      <c r="H1379">
        <v>37</v>
      </c>
      <c r="I1379">
        <v>56000</v>
      </c>
      <c r="J1379" s="1">
        <f t="shared" si="43"/>
        <v>44844</v>
      </c>
      <c r="K1379" t="e">
        <f t="shared" si="42"/>
        <v>#N/A</v>
      </c>
    </row>
    <row r="1380" spans="1:11" x14ac:dyDescent="0.25">
      <c r="A1380">
        <v>11</v>
      </c>
      <c r="B1380" t="s">
        <v>27</v>
      </c>
      <c r="C1380">
        <v>2023</v>
      </c>
      <c r="D1380">
        <v>87</v>
      </c>
      <c r="E1380">
        <v>70</v>
      </c>
      <c r="F1380">
        <v>127.375</v>
      </c>
      <c r="G1380" s="1">
        <f>DATE(C1380, CHOOSE(MATCH(UPPER(B1380), {"ENERO","FEBRERO","MARZO","ABRIL","MAYO","JUNIO","JULIO","AGOSTO","SEPTIEMBRE","OCTUBRE","NOVIEMBRE","DICIEMBRE"}, 0), 1,2,3,4,5,6,7,8,9,10,11,12), A1380)</f>
        <v>44968</v>
      </c>
      <c r="H1380">
        <v>29.625</v>
      </c>
      <c r="I1380">
        <v>56000</v>
      </c>
      <c r="J1380" s="1">
        <f t="shared" si="43"/>
        <v>44845</v>
      </c>
      <c r="K1380" t="e">
        <f t="shared" si="42"/>
        <v>#N/A</v>
      </c>
    </row>
    <row r="1381" spans="1:11" x14ac:dyDescent="0.25">
      <c r="A1381">
        <v>12</v>
      </c>
      <c r="B1381" t="s">
        <v>27</v>
      </c>
      <c r="C1381">
        <v>2023</v>
      </c>
      <c r="D1381">
        <v>127.375</v>
      </c>
      <c r="E1381" t="s">
        <v>9</v>
      </c>
      <c r="F1381">
        <v>96.25</v>
      </c>
      <c r="G1381" s="1">
        <f>DATE(C1381, CHOOSE(MATCH(UPPER(B1381), {"ENERO","FEBRERO","MARZO","ABRIL","MAYO","JUNIO","JULIO","AGOSTO","SEPTIEMBRE","OCTUBRE","NOVIEMBRE","DICIEMBRE"}, 0), 1,2,3,4,5,6,7,8,9,10,11,12), A1381)</f>
        <v>44969</v>
      </c>
      <c r="H1381">
        <v>31.125</v>
      </c>
      <c r="I1381">
        <v>56000</v>
      </c>
      <c r="J1381" s="1">
        <f t="shared" si="43"/>
        <v>44846</v>
      </c>
      <c r="K1381" t="e">
        <f t="shared" si="42"/>
        <v>#N/A</v>
      </c>
    </row>
    <row r="1382" spans="1:11" x14ac:dyDescent="0.25">
      <c r="A1382">
        <v>13</v>
      </c>
      <c r="B1382" t="s">
        <v>27</v>
      </c>
      <c r="C1382">
        <v>2023</v>
      </c>
      <c r="D1382">
        <v>96.25</v>
      </c>
      <c r="E1382" t="s">
        <v>9</v>
      </c>
      <c r="F1382">
        <v>76.125</v>
      </c>
      <c r="G1382" s="1">
        <f>DATE(C1382, CHOOSE(MATCH(UPPER(B1382), {"ENERO","FEBRERO","MARZO","ABRIL","MAYO","JUNIO","JULIO","AGOSTO","SEPTIEMBRE","OCTUBRE","NOVIEMBRE","DICIEMBRE"}, 0), 1,2,3,4,5,6,7,8,9,10,11,12), A1382)</f>
        <v>44970</v>
      </c>
      <c r="H1382">
        <v>20.125</v>
      </c>
      <c r="I1382">
        <v>56000</v>
      </c>
      <c r="J1382" s="1">
        <f t="shared" si="43"/>
        <v>44847</v>
      </c>
      <c r="K1382" t="e">
        <f t="shared" si="42"/>
        <v>#N/A</v>
      </c>
    </row>
    <row r="1383" spans="1:11" x14ac:dyDescent="0.25">
      <c r="A1383">
        <v>14</v>
      </c>
      <c r="B1383" t="s">
        <v>27</v>
      </c>
      <c r="C1383">
        <v>2023</v>
      </c>
      <c r="D1383">
        <v>76.125</v>
      </c>
      <c r="E1383">
        <v>90</v>
      </c>
      <c r="F1383">
        <v>145.125</v>
      </c>
      <c r="G1383" s="1">
        <f>DATE(C1383, CHOOSE(MATCH(UPPER(B1383), {"ENERO","FEBRERO","MARZO","ABRIL","MAYO","JUNIO","JULIO","AGOSTO","SEPTIEMBRE","OCTUBRE","NOVIEMBRE","DICIEMBRE"}, 0), 1,2,3,4,5,6,7,8,9,10,11,12), A1383)</f>
        <v>44971</v>
      </c>
      <c r="H1383">
        <v>21</v>
      </c>
      <c r="I1383">
        <v>56000</v>
      </c>
      <c r="J1383" s="1">
        <f t="shared" si="43"/>
        <v>44848</v>
      </c>
      <c r="K1383" t="e">
        <f t="shared" si="42"/>
        <v>#N/A</v>
      </c>
    </row>
    <row r="1384" spans="1:11" x14ac:dyDescent="0.25">
      <c r="A1384">
        <v>15</v>
      </c>
      <c r="B1384" t="s">
        <v>27</v>
      </c>
      <c r="C1384">
        <v>2023</v>
      </c>
      <c r="D1384">
        <v>145.125</v>
      </c>
      <c r="E1384" t="s">
        <v>9</v>
      </c>
      <c r="F1384">
        <v>130</v>
      </c>
      <c r="G1384" s="1">
        <f>DATE(C1384, CHOOSE(MATCH(UPPER(B1384), {"ENERO","FEBRERO","MARZO","ABRIL","MAYO","JUNIO","JULIO","AGOSTO","SEPTIEMBRE","OCTUBRE","NOVIEMBRE","DICIEMBRE"}, 0), 1,2,3,4,5,6,7,8,9,10,11,12), A1384)</f>
        <v>44972</v>
      </c>
      <c r="H1384">
        <v>15.125</v>
      </c>
      <c r="I1384">
        <v>56000</v>
      </c>
      <c r="J1384" s="1">
        <f t="shared" si="43"/>
        <v>44849</v>
      </c>
      <c r="K1384" t="e">
        <f t="shared" si="42"/>
        <v>#N/A</v>
      </c>
    </row>
    <row r="1385" spans="1:11" x14ac:dyDescent="0.25">
      <c r="A1385">
        <v>16</v>
      </c>
      <c r="B1385" t="s">
        <v>27</v>
      </c>
      <c r="C1385">
        <v>2023</v>
      </c>
      <c r="D1385">
        <v>130</v>
      </c>
      <c r="E1385" t="s">
        <v>9</v>
      </c>
      <c r="F1385">
        <v>112.75</v>
      </c>
      <c r="G1385" s="1">
        <f>DATE(C1385, CHOOSE(MATCH(UPPER(B1385), {"ENERO","FEBRERO","MARZO","ABRIL","MAYO","JUNIO","JULIO","AGOSTO","SEPTIEMBRE","OCTUBRE","NOVIEMBRE","DICIEMBRE"}, 0), 1,2,3,4,5,6,7,8,9,10,11,12), A1385)</f>
        <v>44973</v>
      </c>
      <c r="H1385">
        <v>17.25</v>
      </c>
      <c r="I1385">
        <v>56000</v>
      </c>
      <c r="J1385" s="1">
        <f t="shared" si="43"/>
        <v>44850</v>
      </c>
      <c r="K1385" t="e">
        <f t="shared" si="42"/>
        <v>#N/A</v>
      </c>
    </row>
    <row r="1386" spans="1:11" x14ac:dyDescent="0.25">
      <c r="A1386">
        <v>17</v>
      </c>
      <c r="B1386" t="s">
        <v>27</v>
      </c>
      <c r="C1386">
        <v>2023</v>
      </c>
      <c r="D1386">
        <v>112.75</v>
      </c>
      <c r="E1386" t="s">
        <v>9</v>
      </c>
      <c r="F1386">
        <v>85</v>
      </c>
      <c r="G1386" s="1">
        <f>DATE(C1386, CHOOSE(MATCH(UPPER(B1386), {"ENERO","FEBRERO","MARZO","ABRIL","MAYO","JUNIO","JULIO","AGOSTO","SEPTIEMBRE","OCTUBRE","NOVIEMBRE","DICIEMBRE"}, 0), 1,2,3,4,5,6,7,8,9,10,11,12), A1386)</f>
        <v>44974</v>
      </c>
      <c r="H1386">
        <v>27.75</v>
      </c>
      <c r="I1386">
        <v>56000</v>
      </c>
      <c r="J1386" s="1">
        <f t="shared" si="43"/>
        <v>44851</v>
      </c>
      <c r="K1386" t="e">
        <f t="shared" si="42"/>
        <v>#N/A</v>
      </c>
    </row>
    <row r="1387" spans="1:11" x14ac:dyDescent="0.25">
      <c r="A1387">
        <v>18</v>
      </c>
      <c r="B1387" t="s">
        <v>27</v>
      </c>
      <c r="C1387">
        <v>2023</v>
      </c>
      <c r="D1387">
        <v>85</v>
      </c>
      <c r="E1387">
        <v>70</v>
      </c>
      <c r="F1387">
        <v>114.25</v>
      </c>
      <c r="G1387" s="1">
        <f>DATE(C1387, CHOOSE(MATCH(UPPER(B1387), {"ENERO","FEBRERO","MARZO","ABRIL","MAYO","JUNIO","JULIO","AGOSTO","SEPTIEMBRE","OCTUBRE","NOVIEMBRE","DICIEMBRE"}, 0), 1,2,3,4,5,6,7,8,9,10,11,12), A1387)</f>
        <v>44975</v>
      </c>
      <c r="H1387">
        <v>40.75</v>
      </c>
      <c r="I1387">
        <v>56000</v>
      </c>
      <c r="J1387" s="1">
        <f t="shared" si="43"/>
        <v>44852</v>
      </c>
      <c r="K1387" t="e">
        <f t="shared" si="42"/>
        <v>#N/A</v>
      </c>
    </row>
    <row r="1388" spans="1:11" x14ac:dyDescent="0.25">
      <c r="A1388">
        <v>19</v>
      </c>
      <c r="B1388" t="s">
        <v>27</v>
      </c>
      <c r="C1388">
        <v>2023</v>
      </c>
      <c r="D1388">
        <v>114.25</v>
      </c>
      <c r="E1388" t="s">
        <v>9</v>
      </c>
      <c r="F1388">
        <v>87.25</v>
      </c>
      <c r="G1388" s="1">
        <f>DATE(C1388, CHOOSE(MATCH(UPPER(B1388), {"ENERO","FEBRERO","MARZO","ABRIL","MAYO","JUNIO","JULIO","AGOSTO","SEPTIEMBRE","OCTUBRE","NOVIEMBRE","DICIEMBRE"}, 0), 1,2,3,4,5,6,7,8,9,10,11,12), A1388)</f>
        <v>44976</v>
      </c>
      <c r="H1388">
        <v>27</v>
      </c>
      <c r="I1388">
        <v>56000</v>
      </c>
      <c r="J1388" s="1">
        <f t="shared" si="43"/>
        <v>44853</v>
      </c>
      <c r="K1388" t="e">
        <f t="shared" si="42"/>
        <v>#N/A</v>
      </c>
    </row>
    <row r="1389" spans="1:11" x14ac:dyDescent="0.25">
      <c r="A1389">
        <v>20</v>
      </c>
      <c r="B1389" t="s">
        <v>27</v>
      </c>
      <c r="C1389">
        <v>2023</v>
      </c>
      <c r="D1389">
        <v>87.25</v>
      </c>
      <c r="E1389" t="s">
        <v>9</v>
      </c>
      <c r="F1389">
        <v>74.125</v>
      </c>
      <c r="G1389" s="1">
        <f>DATE(C1389, CHOOSE(MATCH(UPPER(B1389), {"ENERO","FEBRERO","MARZO","ABRIL","MAYO","JUNIO","JULIO","AGOSTO","SEPTIEMBRE","OCTUBRE","NOVIEMBRE","DICIEMBRE"}, 0), 1,2,3,4,5,6,7,8,9,10,11,12), A1389)</f>
        <v>44977</v>
      </c>
      <c r="H1389">
        <v>13.125</v>
      </c>
      <c r="I1389">
        <v>56000</v>
      </c>
      <c r="J1389" s="1">
        <f t="shared" si="43"/>
        <v>44854</v>
      </c>
      <c r="K1389" t="e">
        <f t="shared" si="42"/>
        <v>#N/A</v>
      </c>
    </row>
    <row r="1390" spans="1:11" x14ac:dyDescent="0.25">
      <c r="A1390">
        <v>21</v>
      </c>
      <c r="B1390" t="s">
        <v>27</v>
      </c>
      <c r="C1390">
        <v>2023</v>
      </c>
      <c r="D1390">
        <v>74.125</v>
      </c>
      <c r="E1390">
        <v>80</v>
      </c>
      <c r="F1390">
        <v>141.625</v>
      </c>
      <c r="G1390" s="1">
        <f>DATE(C1390, CHOOSE(MATCH(UPPER(B1390), {"ENERO","FEBRERO","MARZO","ABRIL","MAYO","JUNIO","JULIO","AGOSTO","SEPTIEMBRE","OCTUBRE","NOVIEMBRE","DICIEMBRE"}, 0), 1,2,3,4,5,6,7,8,9,10,11,12), A1390)</f>
        <v>44978</v>
      </c>
      <c r="H1390">
        <v>12.5</v>
      </c>
      <c r="I1390">
        <v>56000</v>
      </c>
      <c r="J1390" s="1">
        <f t="shared" si="43"/>
        <v>44855</v>
      </c>
      <c r="K1390" t="e">
        <f t="shared" si="42"/>
        <v>#N/A</v>
      </c>
    </row>
    <row r="1391" spans="1:11" x14ac:dyDescent="0.25">
      <c r="A1391">
        <v>22</v>
      </c>
      <c r="B1391" t="s">
        <v>27</v>
      </c>
      <c r="C1391">
        <v>2023</v>
      </c>
      <c r="D1391">
        <v>141.625</v>
      </c>
      <c r="E1391" t="s">
        <v>9</v>
      </c>
      <c r="F1391">
        <v>130.5</v>
      </c>
      <c r="G1391" s="1">
        <f>DATE(C1391, CHOOSE(MATCH(UPPER(B1391), {"ENERO","FEBRERO","MARZO","ABRIL","MAYO","JUNIO","JULIO","AGOSTO","SEPTIEMBRE","OCTUBRE","NOVIEMBRE","DICIEMBRE"}, 0), 1,2,3,4,5,6,7,8,9,10,11,12), A1391)</f>
        <v>44979</v>
      </c>
      <c r="H1391">
        <v>11.125</v>
      </c>
      <c r="I1391">
        <v>56000</v>
      </c>
      <c r="J1391" s="1">
        <f t="shared" si="43"/>
        <v>44856</v>
      </c>
      <c r="K1391" t="e">
        <f t="shared" si="42"/>
        <v>#N/A</v>
      </c>
    </row>
    <row r="1392" spans="1:11" x14ac:dyDescent="0.25">
      <c r="A1392">
        <v>23</v>
      </c>
      <c r="B1392" t="s">
        <v>27</v>
      </c>
      <c r="C1392">
        <v>2023</v>
      </c>
      <c r="D1392">
        <v>130.5</v>
      </c>
      <c r="E1392" t="s">
        <v>9</v>
      </c>
      <c r="F1392">
        <v>112.125</v>
      </c>
      <c r="G1392" s="1">
        <f>DATE(C1392, CHOOSE(MATCH(UPPER(B1392), {"ENERO","FEBRERO","MARZO","ABRIL","MAYO","JUNIO","JULIO","AGOSTO","SEPTIEMBRE","OCTUBRE","NOVIEMBRE","DICIEMBRE"}, 0), 1,2,3,4,5,6,7,8,9,10,11,12), A1392)</f>
        <v>44980</v>
      </c>
      <c r="H1392">
        <v>18.375</v>
      </c>
      <c r="I1392">
        <v>56000</v>
      </c>
      <c r="J1392" s="1">
        <f t="shared" si="43"/>
        <v>44857</v>
      </c>
      <c r="K1392" t="e">
        <f t="shared" si="42"/>
        <v>#N/A</v>
      </c>
    </row>
    <row r="1393" spans="1:11" x14ac:dyDescent="0.25">
      <c r="A1393">
        <v>24</v>
      </c>
      <c r="B1393" t="s">
        <v>27</v>
      </c>
      <c r="C1393">
        <v>2023</v>
      </c>
      <c r="D1393">
        <v>112.125</v>
      </c>
      <c r="E1393">
        <v>80</v>
      </c>
      <c r="F1393">
        <v>166.5</v>
      </c>
      <c r="G1393" s="1">
        <f>DATE(C1393, CHOOSE(MATCH(UPPER(B1393), {"ENERO","FEBRERO","MARZO","ABRIL","MAYO","JUNIO","JULIO","AGOSTO","SEPTIEMBRE","OCTUBRE","NOVIEMBRE","DICIEMBRE"}, 0), 1,2,3,4,5,6,7,8,9,10,11,12), A1393)</f>
        <v>44981</v>
      </c>
      <c r="H1393">
        <v>25.625</v>
      </c>
      <c r="I1393">
        <v>56000</v>
      </c>
      <c r="J1393" s="1">
        <f t="shared" si="43"/>
        <v>44858</v>
      </c>
      <c r="K1393" t="e">
        <f t="shared" si="42"/>
        <v>#N/A</v>
      </c>
    </row>
    <row r="1394" spans="1:11" x14ac:dyDescent="0.25">
      <c r="A1394">
        <v>25</v>
      </c>
      <c r="B1394" t="s">
        <v>27</v>
      </c>
      <c r="C1394">
        <v>2023</v>
      </c>
      <c r="D1394">
        <v>166.5</v>
      </c>
      <c r="E1394" t="s">
        <v>9</v>
      </c>
      <c r="F1394">
        <v>131.25</v>
      </c>
      <c r="G1394" s="1">
        <f>DATE(C1394, CHOOSE(MATCH(UPPER(B1394), {"ENERO","FEBRERO","MARZO","ABRIL","MAYO","JUNIO","JULIO","AGOSTO","SEPTIEMBRE","OCTUBRE","NOVIEMBRE","DICIEMBRE"}, 0), 1,2,3,4,5,6,7,8,9,10,11,12), A1394)</f>
        <v>44982</v>
      </c>
      <c r="H1394">
        <v>35.25</v>
      </c>
      <c r="I1394">
        <v>56000</v>
      </c>
      <c r="J1394" s="1">
        <f t="shared" si="43"/>
        <v>44859</v>
      </c>
      <c r="K1394" t="e">
        <f t="shared" si="42"/>
        <v>#N/A</v>
      </c>
    </row>
    <row r="1395" spans="1:11" x14ac:dyDescent="0.25">
      <c r="A1395">
        <v>26</v>
      </c>
      <c r="B1395" t="s">
        <v>27</v>
      </c>
      <c r="C1395">
        <v>2023</v>
      </c>
      <c r="D1395">
        <v>131.25</v>
      </c>
      <c r="E1395" t="s">
        <v>9</v>
      </c>
      <c r="F1395">
        <v>105.375</v>
      </c>
      <c r="G1395" s="1">
        <f>DATE(C1395, CHOOSE(MATCH(UPPER(B1395), {"ENERO","FEBRERO","MARZO","ABRIL","MAYO","JUNIO","JULIO","AGOSTO","SEPTIEMBRE","OCTUBRE","NOVIEMBRE","DICIEMBRE"}, 0), 1,2,3,4,5,6,7,8,9,10,11,12), A1395)</f>
        <v>44983</v>
      </c>
      <c r="H1395">
        <v>25.875</v>
      </c>
      <c r="I1395">
        <v>56000</v>
      </c>
      <c r="J1395" s="1">
        <f t="shared" si="43"/>
        <v>44860</v>
      </c>
      <c r="K1395" t="e">
        <f t="shared" si="42"/>
        <v>#N/A</v>
      </c>
    </row>
    <row r="1396" spans="1:11" x14ac:dyDescent="0.25">
      <c r="A1396">
        <v>27</v>
      </c>
      <c r="B1396" t="s">
        <v>27</v>
      </c>
      <c r="C1396">
        <v>2023</v>
      </c>
      <c r="D1396">
        <v>105.375</v>
      </c>
      <c r="E1396" t="s">
        <v>9</v>
      </c>
      <c r="F1396">
        <v>91.625</v>
      </c>
      <c r="G1396" s="1">
        <f>DATE(C1396, CHOOSE(MATCH(UPPER(B1396), {"ENERO","FEBRERO","MARZO","ABRIL","MAYO","JUNIO","JULIO","AGOSTO","SEPTIEMBRE","OCTUBRE","NOVIEMBRE","DICIEMBRE"}, 0), 1,2,3,4,5,6,7,8,9,10,11,12), A1396)</f>
        <v>44984</v>
      </c>
      <c r="H1396">
        <v>13.75</v>
      </c>
      <c r="I1396">
        <v>56000</v>
      </c>
      <c r="J1396" s="1">
        <f t="shared" si="43"/>
        <v>44861</v>
      </c>
      <c r="K1396" t="e">
        <f t="shared" si="42"/>
        <v>#N/A</v>
      </c>
    </row>
    <row r="1397" spans="1:11" x14ac:dyDescent="0.25">
      <c r="A1397">
        <v>28</v>
      </c>
      <c r="B1397" t="s">
        <v>27</v>
      </c>
      <c r="C1397">
        <v>2023</v>
      </c>
      <c r="D1397">
        <v>91.625</v>
      </c>
      <c r="E1397">
        <v>60</v>
      </c>
      <c r="F1397">
        <v>129</v>
      </c>
      <c r="G1397" s="1">
        <f>DATE(C1397, CHOOSE(MATCH(UPPER(B1397), {"ENERO","FEBRERO","MARZO","ABRIL","MAYO","JUNIO","JULIO","AGOSTO","SEPTIEMBRE","OCTUBRE","NOVIEMBRE","DICIEMBRE"}, 0), 1,2,3,4,5,6,7,8,9,10,11,12), A1397)</f>
        <v>44985</v>
      </c>
      <c r="H1397">
        <v>22.625</v>
      </c>
      <c r="I1397">
        <v>56000</v>
      </c>
      <c r="J1397" s="1">
        <f t="shared" si="43"/>
        <v>44862</v>
      </c>
      <c r="K1397" t="e">
        <f t="shared" si="42"/>
        <v>#N/A</v>
      </c>
    </row>
    <row r="1398" spans="1:11" x14ac:dyDescent="0.25">
      <c r="A1398">
        <v>1</v>
      </c>
      <c r="B1398" t="s">
        <v>28</v>
      </c>
      <c r="C1398">
        <v>2023</v>
      </c>
      <c r="D1398">
        <v>129</v>
      </c>
      <c r="E1398" t="s">
        <v>9</v>
      </c>
      <c r="F1398">
        <v>107.375</v>
      </c>
      <c r="G1398" s="1">
        <f>DATE(C1398, CHOOSE(MATCH(UPPER(B1398), {"ENERO","FEBRERO","MARZO","ABRIL","MAYO","JUNIO","JULIO","AGOSTO","SEPTIEMBRE","OCTUBRE","NOVIEMBRE","DICIEMBRE"}, 0), 1,2,3,4,5,6,7,8,9,10,11,12), A1398)</f>
        <v>44986</v>
      </c>
      <c r="H1398">
        <v>21.625</v>
      </c>
      <c r="I1398">
        <v>56000</v>
      </c>
      <c r="J1398" s="1">
        <f t="shared" si="43"/>
        <v>44863</v>
      </c>
      <c r="K1398" t="e">
        <f t="shared" si="42"/>
        <v>#N/A</v>
      </c>
    </row>
    <row r="1399" spans="1:11" x14ac:dyDescent="0.25">
      <c r="A1399">
        <v>2</v>
      </c>
      <c r="B1399" t="s">
        <v>28</v>
      </c>
      <c r="C1399">
        <v>2023</v>
      </c>
      <c r="D1399">
        <v>107.375</v>
      </c>
      <c r="E1399" t="s">
        <v>9</v>
      </c>
      <c r="F1399">
        <v>89.5</v>
      </c>
      <c r="G1399" s="1">
        <f>DATE(C1399, CHOOSE(MATCH(UPPER(B1399), {"ENERO","FEBRERO","MARZO","ABRIL","MAYO","JUNIO","JULIO","AGOSTO","SEPTIEMBRE","OCTUBRE","NOVIEMBRE","DICIEMBRE"}, 0), 1,2,3,4,5,6,7,8,9,10,11,12), A1399)</f>
        <v>44987</v>
      </c>
      <c r="H1399">
        <v>17.875</v>
      </c>
      <c r="I1399">
        <v>56000</v>
      </c>
      <c r="J1399" s="1">
        <f t="shared" si="43"/>
        <v>44864</v>
      </c>
      <c r="K1399" t="e">
        <f t="shared" si="42"/>
        <v>#N/A</v>
      </c>
    </row>
    <row r="1400" spans="1:11" x14ac:dyDescent="0.25">
      <c r="A1400">
        <v>3</v>
      </c>
      <c r="B1400" t="s">
        <v>28</v>
      </c>
      <c r="C1400">
        <v>2023</v>
      </c>
      <c r="D1400">
        <v>89.5</v>
      </c>
      <c r="E1400" t="s">
        <v>9</v>
      </c>
      <c r="F1400">
        <v>59.625</v>
      </c>
      <c r="G1400" s="1">
        <f>DATE(C1400, CHOOSE(MATCH(UPPER(B1400), {"ENERO","FEBRERO","MARZO","ABRIL","MAYO","JUNIO","JULIO","AGOSTO","SEPTIEMBRE","OCTUBRE","NOVIEMBRE","DICIEMBRE"}, 0), 1,2,3,4,5,6,7,8,9,10,11,12), A1400)</f>
        <v>44988</v>
      </c>
      <c r="H1400">
        <v>29.875</v>
      </c>
      <c r="I1400">
        <v>56000</v>
      </c>
      <c r="J1400" s="1">
        <f t="shared" si="43"/>
        <v>44865</v>
      </c>
      <c r="K1400" t="e">
        <f t="shared" si="42"/>
        <v>#N/A</v>
      </c>
    </row>
    <row r="1401" spans="1:11" x14ac:dyDescent="0.25">
      <c r="A1401">
        <v>4</v>
      </c>
      <c r="B1401" t="s">
        <v>28</v>
      </c>
      <c r="C1401">
        <v>2023</v>
      </c>
      <c r="D1401">
        <v>59.625</v>
      </c>
      <c r="E1401">
        <v>90</v>
      </c>
      <c r="F1401">
        <v>116</v>
      </c>
      <c r="G1401" s="1">
        <f>DATE(C1401, CHOOSE(MATCH(UPPER(B1401), {"ENERO","FEBRERO","MARZO","ABRIL","MAYO","JUNIO","JULIO","AGOSTO","SEPTIEMBRE","OCTUBRE","NOVIEMBRE","DICIEMBRE"}, 0), 1,2,3,4,5,6,7,8,9,10,11,12), A1401)</f>
        <v>44989</v>
      </c>
      <c r="H1401">
        <v>33.625</v>
      </c>
      <c r="I1401">
        <v>56000</v>
      </c>
      <c r="J1401" s="1">
        <f t="shared" si="43"/>
        <v>44866</v>
      </c>
      <c r="K1401" t="e">
        <f t="shared" si="42"/>
        <v>#N/A</v>
      </c>
    </row>
    <row r="1402" spans="1:11" x14ac:dyDescent="0.25">
      <c r="A1402">
        <v>5</v>
      </c>
      <c r="B1402" t="s">
        <v>28</v>
      </c>
      <c r="C1402">
        <v>2023</v>
      </c>
      <c r="D1402">
        <v>116</v>
      </c>
      <c r="E1402" t="s">
        <v>9</v>
      </c>
      <c r="F1402">
        <v>65.375</v>
      </c>
      <c r="G1402" s="1">
        <f>DATE(C1402, CHOOSE(MATCH(UPPER(B1402), {"ENERO","FEBRERO","MARZO","ABRIL","MAYO","JUNIO","JULIO","AGOSTO","SEPTIEMBRE","OCTUBRE","NOVIEMBRE","DICIEMBRE"}, 0), 1,2,3,4,5,6,7,8,9,10,11,12), A1402)</f>
        <v>44990</v>
      </c>
      <c r="H1402">
        <v>50.625</v>
      </c>
      <c r="I1402">
        <v>56000</v>
      </c>
      <c r="J1402" s="1">
        <f t="shared" si="43"/>
        <v>44867</v>
      </c>
      <c r="K1402" t="e">
        <f t="shared" si="42"/>
        <v>#N/A</v>
      </c>
    </row>
    <row r="1403" spans="1:11" x14ac:dyDescent="0.25">
      <c r="A1403">
        <v>6</v>
      </c>
      <c r="B1403" t="s">
        <v>28</v>
      </c>
      <c r="C1403">
        <v>2023</v>
      </c>
      <c r="D1403">
        <v>65.375</v>
      </c>
      <c r="E1403" t="s">
        <v>9</v>
      </c>
      <c r="F1403">
        <v>54.375</v>
      </c>
      <c r="G1403" s="1">
        <f>DATE(C1403, CHOOSE(MATCH(UPPER(B1403), {"ENERO","FEBRERO","MARZO","ABRIL","MAYO","JUNIO","JULIO","AGOSTO","SEPTIEMBRE","OCTUBRE","NOVIEMBRE","DICIEMBRE"}, 0), 1,2,3,4,5,6,7,8,9,10,11,12), A1403)</f>
        <v>44991</v>
      </c>
      <c r="H1403">
        <v>11</v>
      </c>
      <c r="I1403">
        <v>56000</v>
      </c>
      <c r="J1403" s="1">
        <f t="shared" si="43"/>
        <v>44868</v>
      </c>
      <c r="K1403" t="e">
        <f t="shared" si="42"/>
        <v>#N/A</v>
      </c>
    </row>
    <row r="1404" spans="1:11" x14ac:dyDescent="0.25">
      <c r="A1404">
        <v>7</v>
      </c>
      <c r="B1404" t="s">
        <v>28</v>
      </c>
      <c r="C1404">
        <v>2023</v>
      </c>
      <c r="D1404">
        <v>54.375</v>
      </c>
      <c r="E1404">
        <v>100</v>
      </c>
      <c r="F1404">
        <v>142.75</v>
      </c>
      <c r="G1404" s="1">
        <f>DATE(C1404, CHOOSE(MATCH(UPPER(B1404), {"ENERO","FEBRERO","MARZO","ABRIL","MAYO","JUNIO","JULIO","AGOSTO","SEPTIEMBRE","OCTUBRE","NOVIEMBRE","DICIEMBRE"}, 0), 1,2,3,4,5,6,7,8,9,10,11,12), A1404)</f>
        <v>44992</v>
      </c>
      <c r="H1404">
        <v>11.625</v>
      </c>
      <c r="I1404">
        <v>56000</v>
      </c>
      <c r="J1404" s="1">
        <f t="shared" si="43"/>
        <v>44869</v>
      </c>
      <c r="K1404" t="e">
        <f t="shared" si="42"/>
        <v>#N/A</v>
      </c>
    </row>
    <row r="1405" spans="1:11" x14ac:dyDescent="0.25">
      <c r="A1405">
        <v>8</v>
      </c>
      <c r="B1405" t="s">
        <v>28</v>
      </c>
      <c r="C1405">
        <v>2023</v>
      </c>
      <c r="D1405">
        <v>142.75</v>
      </c>
      <c r="E1405" t="s">
        <v>9</v>
      </c>
      <c r="F1405">
        <v>119.25</v>
      </c>
      <c r="G1405" s="1">
        <f>DATE(C1405, CHOOSE(MATCH(UPPER(B1405), {"ENERO","FEBRERO","MARZO","ABRIL","MAYO","JUNIO","JULIO","AGOSTO","SEPTIEMBRE","OCTUBRE","NOVIEMBRE","DICIEMBRE"}, 0), 1,2,3,4,5,6,7,8,9,10,11,12), A1405)</f>
        <v>44993</v>
      </c>
      <c r="H1405">
        <v>23.5</v>
      </c>
      <c r="I1405">
        <v>56000</v>
      </c>
      <c r="J1405" s="1">
        <f t="shared" si="43"/>
        <v>44870</v>
      </c>
      <c r="K1405" t="e">
        <f t="shared" si="42"/>
        <v>#N/A</v>
      </c>
    </row>
    <row r="1406" spans="1:11" x14ac:dyDescent="0.25">
      <c r="A1406">
        <v>9</v>
      </c>
      <c r="B1406" t="s">
        <v>28</v>
      </c>
      <c r="C1406">
        <v>2023</v>
      </c>
      <c r="D1406">
        <v>119.25</v>
      </c>
      <c r="E1406" t="s">
        <v>9</v>
      </c>
      <c r="F1406">
        <v>103.375</v>
      </c>
      <c r="G1406" s="1">
        <f>DATE(C1406, CHOOSE(MATCH(UPPER(B1406), {"ENERO","FEBRERO","MARZO","ABRIL","MAYO","JUNIO","JULIO","AGOSTO","SEPTIEMBRE","OCTUBRE","NOVIEMBRE","DICIEMBRE"}, 0), 1,2,3,4,5,6,7,8,9,10,11,12), A1406)</f>
        <v>44994</v>
      </c>
      <c r="H1406">
        <v>15.875</v>
      </c>
      <c r="I1406">
        <v>56000</v>
      </c>
      <c r="J1406" s="1">
        <f t="shared" si="43"/>
        <v>44871</v>
      </c>
      <c r="K1406" t="e">
        <f t="shared" si="42"/>
        <v>#N/A</v>
      </c>
    </row>
    <row r="1407" spans="1:11" x14ac:dyDescent="0.25">
      <c r="A1407">
        <v>10</v>
      </c>
      <c r="B1407" t="s">
        <v>28</v>
      </c>
      <c r="C1407">
        <v>2023</v>
      </c>
      <c r="D1407">
        <v>103.375</v>
      </c>
      <c r="E1407" t="s">
        <v>9</v>
      </c>
      <c r="F1407">
        <v>77.5</v>
      </c>
      <c r="G1407" s="1">
        <f>DATE(C1407, CHOOSE(MATCH(UPPER(B1407), {"ENERO","FEBRERO","MARZO","ABRIL","MAYO","JUNIO","JULIO","AGOSTO","SEPTIEMBRE","OCTUBRE","NOVIEMBRE","DICIEMBRE"}, 0), 1,2,3,4,5,6,7,8,9,10,11,12), A1407)</f>
        <v>44995</v>
      </c>
      <c r="H1407">
        <v>25.875</v>
      </c>
      <c r="I1407">
        <v>56000</v>
      </c>
      <c r="J1407" s="1">
        <f t="shared" si="43"/>
        <v>44872</v>
      </c>
      <c r="K1407" t="e">
        <f t="shared" si="42"/>
        <v>#N/A</v>
      </c>
    </row>
    <row r="1408" spans="1:11" x14ac:dyDescent="0.25">
      <c r="A1408">
        <v>11</v>
      </c>
      <c r="B1408" t="s">
        <v>28</v>
      </c>
      <c r="C1408">
        <v>2023</v>
      </c>
      <c r="D1408">
        <v>77.5</v>
      </c>
      <c r="E1408">
        <v>80</v>
      </c>
      <c r="F1408">
        <v>118.625</v>
      </c>
      <c r="G1408" s="1">
        <f>DATE(C1408, CHOOSE(MATCH(UPPER(B1408), {"ENERO","FEBRERO","MARZO","ABRIL","MAYO","JUNIO","JULIO","AGOSTO","SEPTIEMBRE","OCTUBRE","NOVIEMBRE","DICIEMBRE"}, 0), 1,2,3,4,5,6,7,8,9,10,11,12), A1408)</f>
        <v>44996</v>
      </c>
      <c r="H1408">
        <v>38.875</v>
      </c>
      <c r="I1408">
        <v>56000</v>
      </c>
      <c r="J1408" s="1">
        <f t="shared" si="43"/>
        <v>44873</v>
      </c>
      <c r="K1408" t="e">
        <f t="shared" si="42"/>
        <v>#N/A</v>
      </c>
    </row>
    <row r="1409" spans="1:11" x14ac:dyDescent="0.25">
      <c r="A1409">
        <v>12</v>
      </c>
      <c r="B1409" t="s">
        <v>28</v>
      </c>
      <c r="C1409">
        <v>2023</v>
      </c>
      <c r="D1409">
        <v>118.625</v>
      </c>
      <c r="E1409" t="s">
        <v>9</v>
      </c>
      <c r="F1409">
        <v>83.875</v>
      </c>
      <c r="G1409" s="1">
        <f>DATE(C1409, CHOOSE(MATCH(UPPER(B1409), {"ENERO","FEBRERO","MARZO","ABRIL","MAYO","JUNIO","JULIO","AGOSTO","SEPTIEMBRE","OCTUBRE","NOVIEMBRE","DICIEMBRE"}, 0), 1,2,3,4,5,6,7,8,9,10,11,12), A1409)</f>
        <v>44997</v>
      </c>
      <c r="H1409">
        <v>34.75</v>
      </c>
      <c r="I1409">
        <v>56000</v>
      </c>
      <c r="J1409" s="1">
        <f t="shared" si="43"/>
        <v>44874</v>
      </c>
      <c r="K1409" t="e">
        <f t="shared" si="42"/>
        <v>#N/A</v>
      </c>
    </row>
    <row r="1410" spans="1:11" x14ac:dyDescent="0.25">
      <c r="A1410">
        <v>13</v>
      </c>
      <c r="B1410" t="s">
        <v>28</v>
      </c>
      <c r="C1410">
        <v>2023</v>
      </c>
      <c r="D1410">
        <v>83.875</v>
      </c>
      <c r="E1410" t="s">
        <v>9</v>
      </c>
      <c r="F1410">
        <v>69.75</v>
      </c>
      <c r="G1410" s="1">
        <f>DATE(C1410, CHOOSE(MATCH(UPPER(B1410), {"ENERO","FEBRERO","MARZO","ABRIL","MAYO","JUNIO","JULIO","AGOSTO","SEPTIEMBRE","OCTUBRE","NOVIEMBRE","DICIEMBRE"}, 0), 1,2,3,4,5,6,7,8,9,10,11,12), A1410)</f>
        <v>44998</v>
      </c>
      <c r="H1410">
        <v>14.125</v>
      </c>
      <c r="I1410">
        <v>56000</v>
      </c>
      <c r="J1410" s="1">
        <f t="shared" si="43"/>
        <v>44875</v>
      </c>
      <c r="K1410" t="e">
        <f t="shared" si="42"/>
        <v>#N/A</v>
      </c>
    </row>
    <row r="1411" spans="1:11" x14ac:dyDescent="0.25">
      <c r="A1411">
        <v>14</v>
      </c>
      <c r="B1411" t="s">
        <v>28</v>
      </c>
      <c r="C1411">
        <v>2023</v>
      </c>
      <c r="D1411">
        <v>69.75</v>
      </c>
      <c r="E1411">
        <v>60</v>
      </c>
      <c r="F1411">
        <v>114.375</v>
      </c>
      <c r="G1411" s="1">
        <f>DATE(C1411, CHOOSE(MATCH(UPPER(B1411), {"ENERO","FEBRERO","MARZO","ABRIL","MAYO","JUNIO","JULIO","AGOSTO","SEPTIEMBRE","OCTUBRE","NOVIEMBRE","DICIEMBRE"}, 0), 1,2,3,4,5,6,7,8,9,10,11,12), A1411)</f>
        <v>44999</v>
      </c>
      <c r="H1411">
        <v>15.375</v>
      </c>
      <c r="I1411">
        <v>56000</v>
      </c>
      <c r="J1411" s="1">
        <f t="shared" si="43"/>
        <v>44876</v>
      </c>
      <c r="K1411" t="e">
        <f t="shared" ref="K1411:K1474" si="44">VLOOKUP(J1411, G:H, 2, FALSE)</f>
        <v>#N/A</v>
      </c>
    </row>
    <row r="1412" spans="1:11" x14ac:dyDescent="0.25">
      <c r="A1412">
        <v>15</v>
      </c>
      <c r="B1412" t="s">
        <v>28</v>
      </c>
      <c r="C1412">
        <v>2023</v>
      </c>
      <c r="D1412">
        <v>114.375</v>
      </c>
      <c r="E1412" t="s">
        <v>9</v>
      </c>
      <c r="F1412">
        <v>91.5</v>
      </c>
      <c r="G1412" s="1">
        <f>DATE(C1412, CHOOSE(MATCH(UPPER(B1412), {"ENERO","FEBRERO","MARZO","ABRIL","MAYO","JUNIO","JULIO","AGOSTO","SEPTIEMBRE","OCTUBRE","NOVIEMBRE","DICIEMBRE"}, 0), 1,2,3,4,5,6,7,8,9,10,11,12), A1412)</f>
        <v>45000</v>
      </c>
      <c r="H1412">
        <v>22.875</v>
      </c>
      <c r="I1412">
        <v>56000</v>
      </c>
      <c r="J1412" s="1">
        <f t="shared" si="43"/>
        <v>44877</v>
      </c>
      <c r="K1412" t="e">
        <f t="shared" si="44"/>
        <v>#N/A</v>
      </c>
    </row>
    <row r="1413" spans="1:11" x14ac:dyDescent="0.25">
      <c r="A1413">
        <v>16</v>
      </c>
      <c r="B1413" t="s">
        <v>28</v>
      </c>
      <c r="C1413">
        <v>2023</v>
      </c>
      <c r="D1413">
        <v>91.5</v>
      </c>
      <c r="E1413" t="s">
        <v>9</v>
      </c>
      <c r="F1413">
        <v>80.5</v>
      </c>
      <c r="G1413" s="1">
        <f>DATE(C1413, CHOOSE(MATCH(UPPER(B1413), {"ENERO","FEBRERO","MARZO","ABRIL","MAYO","JUNIO","JULIO","AGOSTO","SEPTIEMBRE","OCTUBRE","NOVIEMBRE","DICIEMBRE"}, 0), 1,2,3,4,5,6,7,8,9,10,11,12), A1413)</f>
        <v>45001</v>
      </c>
      <c r="H1413">
        <v>11</v>
      </c>
      <c r="I1413">
        <v>56000</v>
      </c>
      <c r="J1413" s="1">
        <f t="shared" ref="J1413:J1476" si="45">DATE(2019,1,1) + ROW()-1</f>
        <v>44878</v>
      </c>
      <c r="K1413" t="e">
        <f t="shared" si="44"/>
        <v>#N/A</v>
      </c>
    </row>
    <row r="1414" spans="1:11" x14ac:dyDescent="0.25">
      <c r="A1414">
        <v>17</v>
      </c>
      <c r="B1414" t="s">
        <v>28</v>
      </c>
      <c r="C1414">
        <v>2023</v>
      </c>
      <c r="D1414">
        <v>80.5</v>
      </c>
      <c r="E1414" t="s">
        <v>9</v>
      </c>
      <c r="F1414">
        <v>54</v>
      </c>
      <c r="G1414" s="1">
        <f>DATE(C1414, CHOOSE(MATCH(UPPER(B1414), {"ENERO","FEBRERO","MARZO","ABRIL","MAYO","JUNIO","JULIO","AGOSTO","SEPTIEMBRE","OCTUBRE","NOVIEMBRE","DICIEMBRE"}, 0), 1,2,3,4,5,6,7,8,9,10,11,12), A1414)</f>
        <v>45002</v>
      </c>
      <c r="H1414">
        <v>26.5</v>
      </c>
      <c r="I1414">
        <v>56000</v>
      </c>
      <c r="J1414" s="1">
        <f t="shared" si="45"/>
        <v>44879</v>
      </c>
      <c r="K1414" t="e">
        <f t="shared" si="44"/>
        <v>#N/A</v>
      </c>
    </row>
    <row r="1415" spans="1:11" x14ac:dyDescent="0.25">
      <c r="A1415">
        <v>18</v>
      </c>
      <c r="B1415" t="s">
        <v>28</v>
      </c>
      <c r="C1415">
        <v>2023</v>
      </c>
      <c r="D1415">
        <v>54</v>
      </c>
      <c r="E1415">
        <v>70</v>
      </c>
      <c r="F1415">
        <v>86.875</v>
      </c>
      <c r="G1415" s="1">
        <f>DATE(C1415, CHOOSE(MATCH(UPPER(B1415), {"ENERO","FEBRERO","MARZO","ABRIL","MAYO","JUNIO","JULIO","AGOSTO","SEPTIEMBRE","OCTUBRE","NOVIEMBRE","DICIEMBRE"}, 0), 1,2,3,4,5,6,7,8,9,10,11,12), A1415)</f>
        <v>45003</v>
      </c>
      <c r="H1415">
        <v>37.125</v>
      </c>
      <c r="I1415">
        <v>56000</v>
      </c>
      <c r="J1415" s="1">
        <f t="shared" si="45"/>
        <v>44880</v>
      </c>
      <c r="K1415" t="e">
        <f t="shared" si="44"/>
        <v>#N/A</v>
      </c>
    </row>
    <row r="1416" spans="1:11" x14ac:dyDescent="0.25">
      <c r="A1416">
        <v>19</v>
      </c>
      <c r="B1416" t="s">
        <v>28</v>
      </c>
      <c r="C1416">
        <v>2023</v>
      </c>
      <c r="D1416">
        <v>86.875</v>
      </c>
      <c r="E1416" t="s">
        <v>9</v>
      </c>
      <c r="F1416">
        <v>52.875</v>
      </c>
      <c r="G1416" s="1">
        <f>DATE(C1416, CHOOSE(MATCH(UPPER(B1416), {"ENERO","FEBRERO","MARZO","ABRIL","MAYO","JUNIO","JULIO","AGOSTO","SEPTIEMBRE","OCTUBRE","NOVIEMBRE","DICIEMBRE"}, 0), 1,2,3,4,5,6,7,8,9,10,11,12), A1416)</f>
        <v>45004</v>
      </c>
      <c r="H1416">
        <v>34</v>
      </c>
      <c r="I1416">
        <v>56000</v>
      </c>
      <c r="J1416" s="1">
        <f t="shared" si="45"/>
        <v>44881</v>
      </c>
      <c r="K1416" t="e">
        <f t="shared" si="44"/>
        <v>#N/A</v>
      </c>
    </row>
    <row r="1417" spans="1:11" x14ac:dyDescent="0.25">
      <c r="A1417">
        <v>20</v>
      </c>
      <c r="B1417" t="s">
        <v>28</v>
      </c>
      <c r="C1417">
        <v>2023</v>
      </c>
      <c r="D1417">
        <v>52.875</v>
      </c>
      <c r="E1417" t="s">
        <v>9</v>
      </c>
      <c r="F1417">
        <v>26.375</v>
      </c>
      <c r="G1417" s="1">
        <f>DATE(C1417, CHOOSE(MATCH(UPPER(B1417), {"ENERO","FEBRERO","MARZO","ABRIL","MAYO","JUNIO","JULIO","AGOSTO","SEPTIEMBRE","OCTUBRE","NOVIEMBRE","DICIEMBRE"}, 0), 1,2,3,4,5,6,7,8,9,10,11,12), A1417)</f>
        <v>45005</v>
      </c>
      <c r="H1417">
        <v>26.5</v>
      </c>
      <c r="I1417">
        <v>56000</v>
      </c>
      <c r="J1417" s="1">
        <f t="shared" si="45"/>
        <v>44882</v>
      </c>
      <c r="K1417" t="e">
        <f t="shared" si="44"/>
        <v>#N/A</v>
      </c>
    </row>
    <row r="1418" spans="1:11" x14ac:dyDescent="0.25">
      <c r="A1418">
        <v>21</v>
      </c>
      <c r="B1418" t="s">
        <v>28</v>
      </c>
      <c r="C1418">
        <v>2023</v>
      </c>
      <c r="D1418">
        <v>26.375</v>
      </c>
      <c r="E1418">
        <v>100</v>
      </c>
      <c r="F1418">
        <v>117.875</v>
      </c>
      <c r="G1418" s="1">
        <f>DATE(C1418, CHOOSE(MATCH(UPPER(B1418), {"ENERO","FEBRERO","MARZO","ABRIL","MAYO","JUNIO","JULIO","AGOSTO","SEPTIEMBRE","OCTUBRE","NOVIEMBRE","DICIEMBRE"}, 0), 1,2,3,4,5,6,7,8,9,10,11,12), A1418)</f>
        <v>45006</v>
      </c>
      <c r="H1418">
        <v>8.5</v>
      </c>
      <c r="I1418">
        <v>56000</v>
      </c>
      <c r="J1418" s="1">
        <f t="shared" si="45"/>
        <v>44883</v>
      </c>
      <c r="K1418" t="e">
        <f t="shared" si="44"/>
        <v>#N/A</v>
      </c>
    </row>
    <row r="1419" spans="1:11" x14ac:dyDescent="0.25">
      <c r="A1419">
        <v>22</v>
      </c>
      <c r="B1419" t="s">
        <v>28</v>
      </c>
      <c r="C1419">
        <v>2023</v>
      </c>
      <c r="D1419">
        <v>117.875</v>
      </c>
      <c r="E1419" t="s">
        <v>9</v>
      </c>
      <c r="F1419">
        <v>108.875</v>
      </c>
      <c r="G1419" s="1">
        <f>DATE(C1419, CHOOSE(MATCH(UPPER(B1419), {"ENERO","FEBRERO","MARZO","ABRIL","MAYO","JUNIO","JULIO","AGOSTO","SEPTIEMBRE","OCTUBRE","NOVIEMBRE","DICIEMBRE"}, 0), 1,2,3,4,5,6,7,8,9,10,11,12), A1419)</f>
        <v>45007</v>
      </c>
      <c r="H1419">
        <v>9</v>
      </c>
      <c r="I1419">
        <v>56000</v>
      </c>
      <c r="J1419" s="1">
        <f t="shared" si="45"/>
        <v>44884</v>
      </c>
      <c r="K1419" t="e">
        <f t="shared" si="44"/>
        <v>#N/A</v>
      </c>
    </row>
    <row r="1420" spans="1:11" x14ac:dyDescent="0.25">
      <c r="A1420">
        <v>23</v>
      </c>
      <c r="B1420" t="s">
        <v>28</v>
      </c>
      <c r="C1420">
        <v>2023</v>
      </c>
      <c r="D1420">
        <v>108.875</v>
      </c>
      <c r="E1420" t="s">
        <v>9</v>
      </c>
      <c r="F1420">
        <v>96.375</v>
      </c>
      <c r="G1420" s="1">
        <f>DATE(C1420, CHOOSE(MATCH(UPPER(B1420), {"ENERO","FEBRERO","MARZO","ABRIL","MAYO","JUNIO","JULIO","AGOSTO","SEPTIEMBRE","OCTUBRE","NOVIEMBRE","DICIEMBRE"}, 0), 1,2,3,4,5,6,7,8,9,10,11,12), A1420)</f>
        <v>45008</v>
      </c>
      <c r="H1420">
        <v>12.5</v>
      </c>
      <c r="I1420">
        <v>56000</v>
      </c>
      <c r="J1420" s="1">
        <f t="shared" si="45"/>
        <v>44885</v>
      </c>
      <c r="K1420" t="e">
        <f t="shared" si="44"/>
        <v>#N/A</v>
      </c>
    </row>
    <row r="1421" spans="1:11" x14ac:dyDescent="0.25">
      <c r="A1421">
        <v>24</v>
      </c>
      <c r="B1421" t="s">
        <v>28</v>
      </c>
      <c r="C1421">
        <v>2023</v>
      </c>
      <c r="D1421">
        <v>96.375</v>
      </c>
      <c r="E1421" t="s">
        <v>9</v>
      </c>
      <c r="F1421">
        <v>70.75</v>
      </c>
      <c r="G1421" s="1">
        <f>DATE(C1421, CHOOSE(MATCH(UPPER(B1421), {"ENERO","FEBRERO","MARZO","ABRIL","MAYO","JUNIO","JULIO","AGOSTO","SEPTIEMBRE","OCTUBRE","NOVIEMBRE","DICIEMBRE"}, 0), 1,2,3,4,5,6,7,8,9,10,11,12), A1421)</f>
        <v>45009</v>
      </c>
      <c r="H1421">
        <v>25.625</v>
      </c>
      <c r="I1421">
        <v>56000</v>
      </c>
      <c r="J1421" s="1">
        <f t="shared" si="45"/>
        <v>44886</v>
      </c>
      <c r="K1421" t="e">
        <f t="shared" si="44"/>
        <v>#N/A</v>
      </c>
    </row>
    <row r="1422" spans="1:11" x14ac:dyDescent="0.25">
      <c r="A1422">
        <v>25</v>
      </c>
      <c r="B1422" t="s">
        <v>28</v>
      </c>
      <c r="C1422">
        <v>2023</v>
      </c>
      <c r="D1422">
        <v>70.75</v>
      </c>
      <c r="E1422">
        <v>60</v>
      </c>
      <c r="F1422">
        <v>88</v>
      </c>
      <c r="G1422" s="1">
        <f>DATE(C1422, CHOOSE(MATCH(UPPER(B1422), {"ENERO","FEBRERO","MARZO","ABRIL","MAYO","JUNIO","JULIO","AGOSTO","SEPTIEMBRE","OCTUBRE","NOVIEMBRE","DICIEMBRE"}, 0), 1,2,3,4,5,6,7,8,9,10,11,12), A1422)</f>
        <v>45010</v>
      </c>
      <c r="H1422">
        <v>42.75</v>
      </c>
      <c r="I1422">
        <v>56000</v>
      </c>
      <c r="J1422" s="1">
        <f t="shared" si="45"/>
        <v>44887</v>
      </c>
      <c r="K1422" t="e">
        <f t="shared" si="44"/>
        <v>#N/A</v>
      </c>
    </row>
    <row r="1423" spans="1:11" x14ac:dyDescent="0.25">
      <c r="A1423">
        <v>26</v>
      </c>
      <c r="B1423" t="s">
        <v>28</v>
      </c>
      <c r="C1423">
        <v>2023</v>
      </c>
      <c r="D1423">
        <v>88</v>
      </c>
      <c r="E1423" t="s">
        <v>9</v>
      </c>
      <c r="F1423">
        <v>57.75</v>
      </c>
      <c r="G1423" s="1">
        <f>DATE(C1423, CHOOSE(MATCH(UPPER(B1423), {"ENERO","FEBRERO","MARZO","ABRIL","MAYO","JUNIO","JULIO","AGOSTO","SEPTIEMBRE","OCTUBRE","NOVIEMBRE","DICIEMBRE"}, 0), 1,2,3,4,5,6,7,8,9,10,11,12), A1423)</f>
        <v>45011</v>
      </c>
      <c r="H1423">
        <v>30.25</v>
      </c>
      <c r="I1423">
        <v>56000</v>
      </c>
      <c r="J1423" s="1">
        <f t="shared" si="45"/>
        <v>44888</v>
      </c>
      <c r="K1423" t="e">
        <f t="shared" si="44"/>
        <v>#N/A</v>
      </c>
    </row>
    <row r="1424" spans="1:11" x14ac:dyDescent="0.25">
      <c r="A1424">
        <v>27</v>
      </c>
      <c r="B1424" t="s">
        <v>28</v>
      </c>
      <c r="C1424">
        <v>2023</v>
      </c>
      <c r="D1424">
        <v>57.75</v>
      </c>
      <c r="E1424" t="s">
        <v>9</v>
      </c>
      <c r="F1424">
        <v>41.375</v>
      </c>
      <c r="G1424" s="1">
        <f>DATE(C1424, CHOOSE(MATCH(UPPER(B1424), {"ENERO","FEBRERO","MARZO","ABRIL","MAYO","JUNIO","JULIO","AGOSTO","SEPTIEMBRE","OCTUBRE","NOVIEMBRE","DICIEMBRE"}, 0), 1,2,3,4,5,6,7,8,9,10,11,12), A1424)</f>
        <v>45012</v>
      </c>
      <c r="H1424">
        <v>16.375</v>
      </c>
      <c r="I1424">
        <v>56000</v>
      </c>
      <c r="J1424" s="1">
        <f t="shared" si="45"/>
        <v>44889</v>
      </c>
      <c r="K1424" t="e">
        <f t="shared" si="44"/>
        <v>#N/A</v>
      </c>
    </row>
    <row r="1425" spans="1:11" x14ac:dyDescent="0.25">
      <c r="A1425">
        <v>28</v>
      </c>
      <c r="B1425" t="s">
        <v>28</v>
      </c>
      <c r="C1425">
        <v>2023</v>
      </c>
      <c r="D1425">
        <v>41.375</v>
      </c>
      <c r="E1425">
        <v>80</v>
      </c>
      <c r="F1425">
        <v>107.375</v>
      </c>
      <c r="G1425" s="1">
        <f>DATE(C1425, CHOOSE(MATCH(UPPER(B1425), {"ENERO","FEBRERO","MARZO","ABRIL","MAYO","JUNIO","JULIO","AGOSTO","SEPTIEMBRE","OCTUBRE","NOVIEMBRE","DICIEMBRE"}, 0), 1,2,3,4,5,6,7,8,9,10,11,12), A1425)</f>
        <v>45013</v>
      </c>
      <c r="H1425">
        <v>14</v>
      </c>
      <c r="I1425">
        <v>56000</v>
      </c>
      <c r="J1425" s="1">
        <f t="shared" si="45"/>
        <v>44890</v>
      </c>
      <c r="K1425" t="e">
        <f t="shared" si="44"/>
        <v>#N/A</v>
      </c>
    </row>
    <row r="1426" spans="1:11" x14ac:dyDescent="0.25">
      <c r="A1426">
        <v>29</v>
      </c>
      <c r="B1426" t="s">
        <v>28</v>
      </c>
      <c r="C1426">
        <v>2023</v>
      </c>
      <c r="D1426">
        <v>107.375</v>
      </c>
      <c r="E1426" t="s">
        <v>9</v>
      </c>
      <c r="F1426">
        <v>94.375</v>
      </c>
      <c r="G1426" s="1">
        <f>DATE(C1426, CHOOSE(MATCH(UPPER(B1426), {"ENERO","FEBRERO","MARZO","ABRIL","MAYO","JUNIO","JULIO","AGOSTO","SEPTIEMBRE","OCTUBRE","NOVIEMBRE","DICIEMBRE"}, 0), 1,2,3,4,5,6,7,8,9,10,11,12), A1426)</f>
        <v>45014</v>
      </c>
      <c r="H1426">
        <v>13</v>
      </c>
      <c r="I1426">
        <v>56000</v>
      </c>
      <c r="J1426" s="1">
        <f t="shared" si="45"/>
        <v>44891</v>
      </c>
      <c r="K1426" t="e">
        <f t="shared" si="44"/>
        <v>#N/A</v>
      </c>
    </row>
    <row r="1427" spans="1:11" x14ac:dyDescent="0.25">
      <c r="A1427">
        <v>30</v>
      </c>
      <c r="B1427" t="s">
        <v>28</v>
      </c>
      <c r="C1427">
        <v>2023</v>
      </c>
      <c r="D1427">
        <v>94.375</v>
      </c>
      <c r="E1427" t="s">
        <v>9</v>
      </c>
      <c r="F1427">
        <v>73</v>
      </c>
      <c r="G1427" s="1">
        <f>DATE(C1427, CHOOSE(MATCH(UPPER(B1427), {"ENERO","FEBRERO","MARZO","ABRIL","MAYO","JUNIO","JULIO","AGOSTO","SEPTIEMBRE","OCTUBRE","NOVIEMBRE","DICIEMBRE"}, 0), 1,2,3,4,5,6,7,8,9,10,11,12), A1427)</f>
        <v>45015</v>
      </c>
      <c r="H1427">
        <v>21.375</v>
      </c>
      <c r="I1427">
        <v>56000</v>
      </c>
      <c r="J1427" s="1">
        <f t="shared" si="45"/>
        <v>44892</v>
      </c>
      <c r="K1427" t="e">
        <f t="shared" si="44"/>
        <v>#N/A</v>
      </c>
    </row>
    <row r="1428" spans="1:11" x14ac:dyDescent="0.25">
      <c r="A1428">
        <v>31</v>
      </c>
      <c r="B1428" t="s">
        <v>28</v>
      </c>
      <c r="C1428">
        <v>2023</v>
      </c>
      <c r="D1428">
        <v>73</v>
      </c>
      <c r="E1428" t="s">
        <v>9</v>
      </c>
      <c r="F1428">
        <v>38</v>
      </c>
      <c r="G1428" s="1">
        <f>DATE(C1428, CHOOSE(MATCH(UPPER(B1428), {"ENERO","FEBRERO","MARZO","ABRIL","MAYO","JUNIO","JULIO","AGOSTO","SEPTIEMBRE","OCTUBRE","NOVIEMBRE","DICIEMBRE"}, 0), 1,2,3,4,5,6,7,8,9,10,11,12), A1428)</f>
        <v>45016</v>
      </c>
      <c r="H1428">
        <v>35</v>
      </c>
      <c r="I1428">
        <v>56000</v>
      </c>
      <c r="J1428" s="1">
        <f t="shared" si="45"/>
        <v>44893</v>
      </c>
      <c r="K1428" t="e">
        <f t="shared" si="44"/>
        <v>#N/A</v>
      </c>
    </row>
    <row r="1429" spans="1:11" x14ac:dyDescent="0.25">
      <c r="A1429">
        <v>1</v>
      </c>
      <c r="B1429" t="s">
        <v>29</v>
      </c>
      <c r="C1429">
        <v>2023</v>
      </c>
      <c r="D1429">
        <v>34.125</v>
      </c>
      <c r="E1429">
        <v>110.625</v>
      </c>
      <c r="F1429">
        <v>105.125</v>
      </c>
      <c r="G1429" s="1">
        <f>DATE(C1429, CHOOSE(MATCH(UPPER(B1429), {"ENERO","FEBRERO","MARZO","ABRIL","MAYO","JUNIO","JULIO","AGOSTO","SEPTIEMBRE","OCTUBRE","NOVIEMBRE","DICIEMBRE"}, 0), 1,2,3,4,5,6,7,8,9,10,11,12), A1429)</f>
        <v>45047</v>
      </c>
      <c r="H1429">
        <v>39.625</v>
      </c>
      <c r="I1429">
        <v>56000</v>
      </c>
      <c r="J1429" s="1">
        <f t="shared" si="45"/>
        <v>44894</v>
      </c>
      <c r="K1429" t="e">
        <f t="shared" si="44"/>
        <v>#N/A</v>
      </c>
    </row>
    <row r="1430" spans="1:11" x14ac:dyDescent="0.25">
      <c r="A1430">
        <v>2</v>
      </c>
      <c r="B1430" t="s">
        <v>29</v>
      </c>
      <c r="C1430">
        <v>2023</v>
      </c>
      <c r="D1430">
        <v>105.125</v>
      </c>
      <c r="E1430" t="s">
        <v>9</v>
      </c>
      <c r="F1430">
        <v>82.125</v>
      </c>
      <c r="G1430" s="1">
        <f>DATE(C1430, CHOOSE(MATCH(UPPER(B1430), {"ENERO","FEBRERO","MARZO","ABRIL","MAYO","JUNIO","JULIO","AGOSTO","SEPTIEMBRE","OCTUBRE","NOVIEMBRE","DICIEMBRE"}, 0), 1,2,3,4,5,6,7,8,9,10,11,12), A1430)</f>
        <v>45048</v>
      </c>
      <c r="H1430">
        <v>23</v>
      </c>
      <c r="I1430">
        <v>56000</v>
      </c>
      <c r="J1430" s="1">
        <f t="shared" si="45"/>
        <v>44895</v>
      </c>
      <c r="K1430" t="e">
        <f t="shared" si="44"/>
        <v>#N/A</v>
      </c>
    </row>
    <row r="1431" spans="1:11" x14ac:dyDescent="0.25">
      <c r="A1431">
        <v>3</v>
      </c>
      <c r="B1431" t="s">
        <v>29</v>
      </c>
      <c r="C1431">
        <v>2023</v>
      </c>
      <c r="D1431">
        <v>82.125</v>
      </c>
      <c r="E1431" t="s">
        <v>9</v>
      </c>
      <c r="F1431">
        <v>62.625</v>
      </c>
      <c r="G1431" s="1">
        <f>DATE(C1431, CHOOSE(MATCH(UPPER(B1431), {"ENERO","FEBRERO","MARZO","ABRIL","MAYO","JUNIO","JULIO","AGOSTO","SEPTIEMBRE","OCTUBRE","NOVIEMBRE","DICIEMBRE"}, 0), 1,2,3,4,5,6,7,8,9,10,11,12), A1431)</f>
        <v>45049</v>
      </c>
      <c r="H1431">
        <v>19.5</v>
      </c>
      <c r="I1431">
        <v>56000</v>
      </c>
      <c r="J1431" s="1">
        <f t="shared" si="45"/>
        <v>44896</v>
      </c>
      <c r="K1431">
        <f t="shared" si="44"/>
        <v>27.75</v>
      </c>
    </row>
    <row r="1432" spans="1:11" x14ac:dyDescent="0.25">
      <c r="A1432">
        <v>4</v>
      </c>
      <c r="B1432" t="s">
        <v>29</v>
      </c>
      <c r="C1432">
        <v>2023</v>
      </c>
      <c r="D1432">
        <v>62.625</v>
      </c>
      <c r="E1432" t="s">
        <v>9</v>
      </c>
      <c r="F1432">
        <v>40.875</v>
      </c>
      <c r="G1432" s="1">
        <f>DATE(C1432, CHOOSE(MATCH(UPPER(B1432), {"ENERO","FEBRERO","MARZO","ABRIL","MAYO","JUNIO","JULIO","AGOSTO","SEPTIEMBRE","OCTUBRE","NOVIEMBRE","DICIEMBRE"}, 0), 1,2,3,4,5,6,7,8,9,10,11,12), A1432)</f>
        <v>45050</v>
      </c>
      <c r="H1432">
        <v>21.75</v>
      </c>
      <c r="I1432">
        <v>56000</v>
      </c>
      <c r="J1432" s="1">
        <f t="shared" si="45"/>
        <v>44897</v>
      </c>
      <c r="K1432">
        <f t="shared" si="44"/>
        <v>25.875</v>
      </c>
    </row>
    <row r="1433" spans="1:11" x14ac:dyDescent="0.25">
      <c r="A1433">
        <v>5</v>
      </c>
      <c r="B1433" t="s">
        <v>29</v>
      </c>
      <c r="C1433">
        <v>2023</v>
      </c>
      <c r="D1433">
        <v>40.875</v>
      </c>
      <c r="E1433">
        <v>20</v>
      </c>
      <c r="F1433">
        <v>32.375</v>
      </c>
      <c r="G1433" s="1">
        <f>DATE(C1433, CHOOSE(MATCH(UPPER(B1433), {"ENERO","FEBRERO","MARZO","ABRIL","MAYO","JUNIO","JULIO","AGOSTO","SEPTIEMBRE","OCTUBRE","NOVIEMBRE","DICIEMBRE"}, 0), 1,2,3,4,5,6,7,8,9,10,11,12), A1433)</f>
        <v>45051</v>
      </c>
      <c r="H1433">
        <v>28.5</v>
      </c>
      <c r="I1433">
        <v>56000</v>
      </c>
      <c r="J1433" s="1">
        <f t="shared" si="45"/>
        <v>44898</v>
      </c>
      <c r="K1433">
        <f t="shared" si="44"/>
        <v>46</v>
      </c>
    </row>
    <row r="1434" spans="1:11" x14ac:dyDescent="0.25">
      <c r="A1434">
        <v>6</v>
      </c>
      <c r="B1434" t="s">
        <v>29</v>
      </c>
      <c r="C1434">
        <v>2023</v>
      </c>
      <c r="D1434">
        <v>32.375</v>
      </c>
      <c r="E1434">
        <v>100</v>
      </c>
      <c r="F1434">
        <v>91.125</v>
      </c>
      <c r="G1434" s="1">
        <f>DATE(C1434, CHOOSE(MATCH(UPPER(B1434), {"ENERO","FEBRERO","MARZO","ABRIL","MAYO","JUNIO","JULIO","AGOSTO","SEPTIEMBRE","OCTUBRE","NOVIEMBRE","DICIEMBRE"}, 0), 1,2,3,4,5,6,7,8,9,10,11,12), A1434)</f>
        <v>45052</v>
      </c>
      <c r="H1434">
        <v>41.25</v>
      </c>
      <c r="I1434">
        <v>56000</v>
      </c>
      <c r="J1434" s="1">
        <f t="shared" si="45"/>
        <v>44899</v>
      </c>
      <c r="K1434">
        <f t="shared" si="44"/>
        <v>44.75</v>
      </c>
    </row>
    <row r="1435" spans="1:11" x14ac:dyDescent="0.25">
      <c r="A1435">
        <v>7</v>
      </c>
      <c r="B1435" t="s">
        <v>29</v>
      </c>
      <c r="C1435">
        <v>2023</v>
      </c>
      <c r="D1435">
        <v>91.125</v>
      </c>
      <c r="E1435" t="s">
        <v>9</v>
      </c>
      <c r="F1435">
        <v>59.125</v>
      </c>
      <c r="G1435" s="1">
        <f>DATE(C1435, CHOOSE(MATCH(UPPER(B1435), {"ENERO","FEBRERO","MARZO","ABRIL","MAYO","JUNIO","JULIO","AGOSTO","SEPTIEMBRE","OCTUBRE","NOVIEMBRE","DICIEMBRE"}, 0), 1,2,3,4,5,6,7,8,9,10,11,12), A1435)</f>
        <v>45053</v>
      </c>
      <c r="H1435">
        <v>32</v>
      </c>
      <c r="I1435">
        <v>56000</v>
      </c>
      <c r="J1435" s="1">
        <f t="shared" si="45"/>
        <v>44900</v>
      </c>
      <c r="K1435">
        <f t="shared" si="44"/>
        <v>24</v>
      </c>
    </row>
    <row r="1436" spans="1:11" x14ac:dyDescent="0.25">
      <c r="A1436">
        <v>8</v>
      </c>
      <c r="B1436" t="s">
        <v>29</v>
      </c>
      <c r="C1436">
        <v>2023</v>
      </c>
      <c r="D1436">
        <v>59.125</v>
      </c>
      <c r="E1436" t="s">
        <v>9</v>
      </c>
      <c r="F1436">
        <v>44.25</v>
      </c>
      <c r="G1436" s="1">
        <f>DATE(C1436, CHOOSE(MATCH(UPPER(B1436), {"ENERO","FEBRERO","MARZO","ABRIL","MAYO","JUNIO","JULIO","AGOSTO","SEPTIEMBRE","OCTUBRE","NOVIEMBRE","DICIEMBRE"}, 0), 1,2,3,4,5,6,7,8,9,10,11,12), A1436)</f>
        <v>45054</v>
      </c>
      <c r="H1436">
        <v>14.875</v>
      </c>
      <c r="I1436">
        <v>56000</v>
      </c>
      <c r="J1436" s="1">
        <f t="shared" si="45"/>
        <v>44901</v>
      </c>
      <c r="K1436">
        <f t="shared" si="44"/>
        <v>24.375</v>
      </c>
    </row>
    <row r="1437" spans="1:11" x14ac:dyDescent="0.25">
      <c r="A1437">
        <v>9</v>
      </c>
      <c r="B1437" t="s">
        <v>29</v>
      </c>
      <c r="C1437">
        <v>2023</v>
      </c>
      <c r="D1437">
        <v>44.25</v>
      </c>
      <c r="E1437">
        <v>106</v>
      </c>
      <c r="F1437">
        <v>145.875</v>
      </c>
      <c r="G1437" s="1">
        <f>DATE(C1437, CHOOSE(MATCH(UPPER(B1437), {"ENERO","FEBRERO","MARZO","ABRIL","MAYO","JUNIO","JULIO","AGOSTO","SEPTIEMBRE","OCTUBRE","NOVIEMBRE","DICIEMBRE"}, 0), 1,2,3,4,5,6,7,8,9,10,11,12), A1437)</f>
        <v>45055</v>
      </c>
      <c r="H1437">
        <v>4.375</v>
      </c>
      <c r="I1437">
        <v>56000</v>
      </c>
      <c r="J1437" s="1">
        <f t="shared" si="45"/>
        <v>44902</v>
      </c>
      <c r="K1437">
        <f t="shared" si="44"/>
        <v>57</v>
      </c>
    </row>
    <row r="1438" spans="1:11" x14ac:dyDescent="0.25">
      <c r="A1438">
        <v>10</v>
      </c>
      <c r="B1438" t="s">
        <v>29</v>
      </c>
      <c r="C1438">
        <v>2023</v>
      </c>
      <c r="D1438">
        <v>145.875</v>
      </c>
      <c r="E1438" t="s">
        <v>9</v>
      </c>
      <c r="F1438">
        <v>129.875</v>
      </c>
      <c r="G1438" s="1">
        <f>DATE(C1438, CHOOSE(MATCH(UPPER(B1438), {"ENERO","FEBRERO","MARZO","ABRIL","MAYO","JUNIO","JULIO","AGOSTO","SEPTIEMBRE","OCTUBRE","NOVIEMBRE","DICIEMBRE"}, 0), 1,2,3,4,5,6,7,8,9,10,11,12), A1438)</f>
        <v>45056</v>
      </c>
      <c r="H1438">
        <v>16</v>
      </c>
      <c r="I1438">
        <v>56000</v>
      </c>
      <c r="J1438" s="1">
        <f t="shared" si="45"/>
        <v>44903</v>
      </c>
      <c r="K1438">
        <f t="shared" si="44"/>
        <v>38.375</v>
      </c>
    </row>
    <row r="1439" spans="1:11" x14ac:dyDescent="0.25">
      <c r="A1439">
        <v>11</v>
      </c>
      <c r="B1439" t="s">
        <v>29</v>
      </c>
      <c r="C1439">
        <v>2023</v>
      </c>
      <c r="D1439">
        <v>129.875</v>
      </c>
      <c r="E1439" t="s">
        <v>9</v>
      </c>
      <c r="F1439">
        <v>115.375</v>
      </c>
      <c r="G1439" s="1">
        <f>DATE(C1439, CHOOSE(MATCH(UPPER(B1439), {"ENERO","FEBRERO","MARZO","ABRIL","MAYO","JUNIO","JULIO","AGOSTO","SEPTIEMBRE","OCTUBRE","NOVIEMBRE","DICIEMBRE"}, 0), 1,2,3,4,5,6,7,8,9,10,11,12), A1439)</f>
        <v>45057</v>
      </c>
      <c r="H1439">
        <v>14.5</v>
      </c>
      <c r="I1439">
        <v>56000</v>
      </c>
      <c r="J1439" s="1">
        <f t="shared" si="45"/>
        <v>44904</v>
      </c>
      <c r="K1439">
        <f t="shared" si="44"/>
        <v>38.25</v>
      </c>
    </row>
    <row r="1440" spans="1:11" x14ac:dyDescent="0.25">
      <c r="A1440">
        <v>12</v>
      </c>
      <c r="B1440" t="s">
        <v>29</v>
      </c>
      <c r="C1440">
        <v>2023</v>
      </c>
      <c r="D1440">
        <v>115.375</v>
      </c>
      <c r="E1440" t="s">
        <v>9</v>
      </c>
      <c r="F1440">
        <v>74.5</v>
      </c>
      <c r="G1440" s="1">
        <f>DATE(C1440, CHOOSE(MATCH(UPPER(B1440), {"ENERO","FEBRERO","MARZO","ABRIL","MAYO","JUNIO","JULIO","AGOSTO","SEPTIEMBRE","OCTUBRE","NOVIEMBRE","DICIEMBRE"}, 0), 1,2,3,4,5,6,7,8,9,10,11,12), A1440)</f>
        <v>45058</v>
      </c>
      <c r="H1440">
        <v>40.875</v>
      </c>
      <c r="I1440">
        <v>56000</v>
      </c>
      <c r="J1440" s="1">
        <f t="shared" si="45"/>
        <v>44905</v>
      </c>
      <c r="K1440">
        <f t="shared" si="44"/>
        <v>41.375</v>
      </c>
    </row>
    <row r="1441" spans="1:11" x14ac:dyDescent="0.25">
      <c r="A1441">
        <v>13</v>
      </c>
      <c r="B1441" t="s">
        <v>29</v>
      </c>
      <c r="C1441">
        <v>2023</v>
      </c>
      <c r="D1441">
        <v>74.5</v>
      </c>
      <c r="E1441">
        <v>170</v>
      </c>
      <c r="F1441">
        <v>202.5</v>
      </c>
      <c r="G1441" s="1">
        <f>DATE(C1441, CHOOSE(MATCH(UPPER(B1441), {"ENERO","FEBRERO","MARZO","ABRIL","MAYO","JUNIO","JULIO","AGOSTO","SEPTIEMBRE","OCTUBRE","NOVIEMBRE","DICIEMBRE"}, 0), 1,2,3,4,5,6,7,8,9,10,11,12), A1441)</f>
        <v>45059</v>
      </c>
      <c r="H1441">
        <v>42</v>
      </c>
      <c r="I1441">
        <v>56000</v>
      </c>
      <c r="J1441" s="1">
        <f t="shared" si="45"/>
        <v>44906</v>
      </c>
      <c r="K1441">
        <f t="shared" si="44"/>
        <v>53.625</v>
      </c>
    </row>
    <row r="1442" spans="1:11" x14ac:dyDescent="0.25">
      <c r="A1442">
        <v>14</v>
      </c>
      <c r="B1442" t="s">
        <v>29</v>
      </c>
      <c r="C1442">
        <v>2023</v>
      </c>
      <c r="D1442">
        <v>202.5</v>
      </c>
      <c r="E1442" t="s">
        <v>9</v>
      </c>
      <c r="F1442">
        <v>162.875</v>
      </c>
      <c r="G1442" s="1">
        <f>DATE(C1442, CHOOSE(MATCH(UPPER(B1442), {"ENERO","FEBRERO","MARZO","ABRIL","MAYO","JUNIO","JULIO","AGOSTO","SEPTIEMBRE","OCTUBRE","NOVIEMBRE","DICIEMBRE"}, 0), 1,2,3,4,5,6,7,8,9,10,11,12), A1442)</f>
        <v>45060</v>
      </c>
      <c r="H1442">
        <v>39.625</v>
      </c>
      <c r="I1442">
        <v>56000</v>
      </c>
      <c r="J1442" s="1">
        <f t="shared" si="45"/>
        <v>44907</v>
      </c>
      <c r="K1442">
        <f t="shared" si="44"/>
        <v>14.625</v>
      </c>
    </row>
    <row r="1443" spans="1:11" x14ac:dyDescent="0.25">
      <c r="A1443">
        <v>15</v>
      </c>
      <c r="B1443" t="s">
        <v>29</v>
      </c>
      <c r="C1443">
        <v>2023</v>
      </c>
      <c r="D1443">
        <v>162.875</v>
      </c>
      <c r="E1443" t="s">
        <v>9</v>
      </c>
      <c r="F1443">
        <v>141</v>
      </c>
      <c r="G1443" s="1">
        <f>DATE(C1443, CHOOSE(MATCH(UPPER(B1443), {"ENERO","FEBRERO","MARZO","ABRIL","MAYO","JUNIO","JULIO","AGOSTO","SEPTIEMBRE","OCTUBRE","NOVIEMBRE","DICIEMBRE"}, 0), 1,2,3,4,5,6,7,8,9,10,11,12), A1443)</f>
        <v>45061</v>
      </c>
      <c r="H1443">
        <v>21.875</v>
      </c>
      <c r="I1443">
        <v>56000</v>
      </c>
      <c r="J1443" s="1">
        <f t="shared" si="45"/>
        <v>44908</v>
      </c>
      <c r="K1443">
        <f t="shared" si="44"/>
        <v>26.125</v>
      </c>
    </row>
    <row r="1444" spans="1:11" x14ac:dyDescent="0.25">
      <c r="A1444">
        <v>16</v>
      </c>
      <c r="B1444" t="s">
        <v>29</v>
      </c>
      <c r="C1444">
        <v>2023</v>
      </c>
      <c r="D1444">
        <v>141</v>
      </c>
      <c r="E1444">
        <v>6.25</v>
      </c>
      <c r="F1444">
        <v>141</v>
      </c>
      <c r="G1444" s="1">
        <f>DATE(C1444, CHOOSE(MATCH(UPPER(B1444), {"ENERO","FEBRERO","MARZO","ABRIL","MAYO","JUNIO","JULIO","AGOSTO","SEPTIEMBRE","OCTUBRE","NOVIEMBRE","DICIEMBRE"}, 0), 1,2,3,4,5,6,7,8,9,10,11,12), A1444)</f>
        <v>45062</v>
      </c>
      <c r="H1444">
        <v>6.25</v>
      </c>
      <c r="I1444">
        <v>56000</v>
      </c>
      <c r="J1444" s="1">
        <f t="shared" si="45"/>
        <v>44909</v>
      </c>
      <c r="K1444">
        <f t="shared" si="44"/>
        <v>45.375</v>
      </c>
    </row>
    <row r="1445" spans="1:11" x14ac:dyDescent="0.25">
      <c r="A1445">
        <v>17</v>
      </c>
      <c r="B1445" t="s">
        <v>29</v>
      </c>
      <c r="C1445">
        <v>2023</v>
      </c>
      <c r="D1445">
        <v>141</v>
      </c>
      <c r="E1445" t="s">
        <v>9</v>
      </c>
      <c r="F1445">
        <v>120.125</v>
      </c>
      <c r="G1445" s="1">
        <f>DATE(C1445, CHOOSE(MATCH(UPPER(B1445), {"ENERO","FEBRERO","MARZO","ABRIL","MAYO","JUNIO","JULIO","AGOSTO","SEPTIEMBRE","OCTUBRE","NOVIEMBRE","DICIEMBRE"}, 0), 1,2,3,4,5,6,7,8,9,10,11,12), A1445)</f>
        <v>45063</v>
      </c>
      <c r="H1445">
        <v>20.875</v>
      </c>
      <c r="I1445">
        <v>56000</v>
      </c>
      <c r="J1445" s="1">
        <f t="shared" si="45"/>
        <v>44910</v>
      </c>
      <c r="K1445">
        <f t="shared" si="44"/>
        <v>41.5</v>
      </c>
    </row>
    <row r="1446" spans="1:11" x14ac:dyDescent="0.25">
      <c r="A1446">
        <v>18</v>
      </c>
      <c r="B1446" t="s">
        <v>29</v>
      </c>
      <c r="C1446">
        <v>2023</v>
      </c>
      <c r="D1446">
        <v>120.125</v>
      </c>
      <c r="E1446" t="s">
        <v>9</v>
      </c>
      <c r="F1446">
        <v>90.5</v>
      </c>
      <c r="G1446" s="1">
        <f>DATE(C1446, CHOOSE(MATCH(UPPER(B1446), {"ENERO","FEBRERO","MARZO","ABRIL","MAYO","JUNIO","JULIO","AGOSTO","SEPTIEMBRE","OCTUBRE","NOVIEMBRE","DICIEMBRE"}, 0), 1,2,3,4,5,6,7,8,9,10,11,12), A1446)</f>
        <v>45064</v>
      </c>
      <c r="H1446">
        <v>29.625</v>
      </c>
      <c r="I1446">
        <v>56000</v>
      </c>
      <c r="J1446" s="1">
        <f t="shared" si="45"/>
        <v>44911</v>
      </c>
      <c r="K1446">
        <f t="shared" si="44"/>
        <v>41.25</v>
      </c>
    </row>
    <row r="1447" spans="1:11" x14ac:dyDescent="0.25">
      <c r="A1447">
        <v>19</v>
      </c>
      <c r="B1447" t="s">
        <v>29</v>
      </c>
      <c r="C1447">
        <v>2023</v>
      </c>
      <c r="D1447">
        <v>90.5</v>
      </c>
      <c r="E1447">
        <v>-15</v>
      </c>
      <c r="F1447">
        <v>54.375</v>
      </c>
      <c r="G1447" s="1">
        <f>DATE(C1447, CHOOSE(MATCH(UPPER(B1447), {"ENERO","FEBRERO","MARZO","ABRIL","MAYO","JUNIO","JULIO","AGOSTO","SEPTIEMBRE","OCTUBRE","NOVIEMBRE","DICIEMBRE"}, 0), 1,2,3,4,5,6,7,8,9,10,11,12), A1447)</f>
        <v>45065</v>
      </c>
      <c r="H1447">
        <v>21.125</v>
      </c>
      <c r="I1447">
        <v>56000</v>
      </c>
      <c r="J1447" s="1">
        <f t="shared" si="45"/>
        <v>44912</v>
      </c>
      <c r="K1447">
        <f t="shared" si="44"/>
        <v>45.25</v>
      </c>
    </row>
    <row r="1448" spans="1:11" x14ac:dyDescent="0.25">
      <c r="A1448">
        <v>20</v>
      </c>
      <c r="B1448" t="s">
        <v>29</v>
      </c>
      <c r="C1448">
        <v>2023</v>
      </c>
      <c r="D1448">
        <v>54.375</v>
      </c>
      <c r="E1448">
        <v>60</v>
      </c>
      <c r="F1448">
        <v>71.625</v>
      </c>
      <c r="G1448" s="1">
        <f>DATE(C1448, CHOOSE(MATCH(UPPER(B1448), {"ENERO","FEBRERO","MARZO","ABRIL","MAYO","JUNIO","JULIO","AGOSTO","SEPTIEMBRE","OCTUBRE","NOVIEMBRE","DICIEMBRE"}, 0), 1,2,3,4,5,6,7,8,9,10,11,12), A1448)</f>
        <v>45066</v>
      </c>
      <c r="H1448">
        <v>42.75</v>
      </c>
      <c r="I1448">
        <v>56000</v>
      </c>
      <c r="J1448" s="1">
        <f t="shared" si="45"/>
        <v>44913</v>
      </c>
      <c r="K1448">
        <f t="shared" si="44"/>
        <v>58.25</v>
      </c>
    </row>
    <row r="1449" spans="1:11" x14ac:dyDescent="0.25">
      <c r="A1449">
        <v>21</v>
      </c>
      <c r="B1449" t="s">
        <v>29</v>
      </c>
      <c r="C1449">
        <v>2023</v>
      </c>
      <c r="D1449">
        <v>71.625</v>
      </c>
      <c r="E1449" t="s">
        <v>9</v>
      </c>
      <c r="F1449">
        <v>23.875</v>
      </c>
      <c r="G1449" s="1">
        <f>DATE(C1449, CHOOSE(MATCH(UPPER(B1449), {"ENERO","FEBRERO","MARZO","ABRIL","MAYO","JUNIO","JULIO","AGOSTO","SEPTIEMBRE","OCTUBRE","NOVIEMBRE","DICIEMBRE"}, 0), 1,2,3,4,5,6,7,8,9,10,11,12), A1449)</f>
        <v>45067</v>
      </c>
      <c r="H1449">
        <v>47.75</v>
      </c>
      <c r="I1449">
        <v>56000</v>
      </c>
      <c r="J1449" s="1">
        <f t="shared" si="45"/>
        <v>44914</v>
      </c>
      <c r="K1449">
        <f t="shared" si="44"/>
        <v>36.5</v>
      </c>
    </row>
    <row r="1450" spans="1:11" x14ac:dyDescent="0.25">
      <c r="A1450">
        <v>22</v>
      </c>
      <c r="B1450" t="s">
        <v>29</v>
      </c>
      <c r="C1450">
        <v>2023</v>
      </c>
      <c r="D1450">
        <v>23.875</v>
      </c>
      <c r="E1450">
        <v>150</v>
      </c>
      <c r="F1450">
        <v>147.875</v>
      </c>
      <c r="G1450" s="1">
        <f>DATE(C1450, CHOOSE(MATCH(UPPER(B1450), {"ENERO","FEBRERO","MARZO","ABRIL","MAYO","JUNIO","JULIO","AGOSTO","SEPTIEMBRE","OCTUBRE","NOVIEMBRE","DICIEMBRE"}, 0), 1,2,3,4,5,6,7,8,9,10,11,12), A1450)</f>
        <v>45068</v>
      </c>
      <c r="H1450">
        <v>26</v>
      </c>
      <c r="I1450">
        <v>56000</v>
      </c>
      <c r="J1450" s="1">
        <f t="shared" si="45"/>
        <v>44915</v>
      </c>
      <c r="K1450">
        <f t="shared" si="44"/>
        <v>39.625</v>
      </c>
    </row>
    <row r="1451" spans="1:11" x14ac:dyDescent="0.25">
      <c r="A1451">
        <v>23</v>
      </c>
      <c r="B1451" t="s">
        <v>29</v>
      </c>
      <c r="C1451">
        <v>2023</v>
      </c>
      <c r="D1451">
        <v>147.875</v>
      </c>
      <c r="E1451">
        <v>-57.75</v>
      </c>
      <c r="F1451">
        <v>83.875</v>
      </c>
      <c r="G1451" s="1">
        <f>DATE(C1451, CHOOSE(MATCH(UPPER(B1451), {"ENERO","FEBRERO","MARZO","ABRIL","MAYO","JUNIO","JULIO","AGOSTO","SEPTIEMBRE","OCTUBRE","NOVIEMBRE","DICIEMBRE"}, 0), 1,2,3,4,5,6,7,8,9,10,11,12), A1451)</f>
        <v>45069</v>
      </c>
      <c r="H1451">
        <v>6.25</v>
      </c>
      <c r="I1451">
        <v>56000</v>
      </c>
      <c r="J1451" s="1">
        <f t="shared" si="45"/>
        <v>44916</v>
      </c>
      <c r="K1451">
        <f t="shared" si="44"/>
        <v>29.75</v>
      </c>
    </row>
    <row r="1452" spans="1:11" x14ac:dyDescent="0.25">
      <c r="A1452">
        <v>24</v>
      </c>
      <c r="B1452" t="s">
        <v>29</v>
      </c>
      <c r="C1452">
        <v>2023</v>
      </c>
      <c r="D1452">
        <v>83.875</v>
      </c>
      <c r="E1452" t="s">
        <v>9</v>
      </c>
      <c r="F1452">
        <v>58.25</v>
      </c>
      <c r="G1452" s="1">
        <f>DATE(C1452, CHOOSE(MATCH(UPPER(B1452), {"ENERO","FEBRERO","MARZO","ABRIL","MAYO","JUNIO","JULIO","AGOSTO","SEPTIEMBRE","OCTUBRE","NOVIEMBRE","DICIEMBRE"}, 0), 1,2,3,4,5,6,7,8,9,10,11,12), A1452)</f>
        <v>45070</v>
      </c>
      <c r="H1452">
        <v>25.625</v>
      </c>
      <c r="I1452">
        <v>56000</v>
      </c>
      <c r="J1452" s="1">
        <f t="shared" si="45"/>
        <v>44917</v>
      </c>
      <c r="K1452">
        <f t="shared" si="44"/>
        <v>35.5</v>
      </c>
    </row>
    <row r="1453" spans="1:11" x14ac:dyDescent="0.25">
      <c r="A1453">
        <v>25</v>
      </c>
      <c r="B1453" t="s">
        <v>29</v>
      </c>
      <c r="C1453">
        <v>2023</v>
      </c>
      <c r="D1453">
        <v>58.25</v>
      </c>
      <c r="E1453" t="s">
        <v>9</v>
      </c>
      <c r="F1453">
        <v>31.5</v>
      </c>
      <c r="G1453" s="1">
        <f>DATE(C1453, CHOOSE(MATCH(UPPER(B1453), {"ENERO","FEBRERO","MARZO","ABRIL","MAYO","JUNIO","JULIO","AGOSTO","SEPTIEMBRE","OCTUBRE","NOVIEMBRE","DICIEMBRE"}, 0), 1,2,3,4,5,6,7,8,9,10,11,12), A1453)</f>
        <v>45071</v>
      </c>
      <c r="H1453">
        <v>26.75</v>
      </c>
      <c r="I1453">
        <v>56000</v>
      </c>
      <c r="J1453" s="1">
        <f t="shared" si="45"/>
        <v>44918</v>
      </c>
      <c r="K1453">
        <f t="shared" si="44"/>
        <v>48.625</v>
      </c>
    </row>
    <row r="1454" spans="1:11" x14ac:dyDescent="0.25">
      <c r="A1454">
        <v>26</v>
      </c>
      <c r="B1454" t="s">
        <v>29</v>
      </c>
      <c r="C1454">
        <v>2023</v>
      </c>
      <c r="D1454">
        <v>31.5</v>
      </c>
      <c r="E1454">
        <v>150</v>
      </c>
      <c r="F1454">
        <v>143.25</v>
      </c>
      <c r="G1454" s="1">
        <f>DATE(C1454, CHOOSE(MATCH(UPPER(B1454), {"ENERO","FEBRERO","MARZO","ABRIL","MAYO","JUNIO","JULIO","AGOSTO","SEPTIEMBRE","OCTUBRE","NOVIEMBRE","DICIEMBRE"}, 0), 1,2,3,4,5,6,7,8,9,10,11,12), A1454)</f>
        <v>45072</v>
      </c>
      <c r="H1454">
        <v>38.25</v>
      </c>
      <c r="I1454">
        <v>56000</v>
      </c>
      <c r="J1454" s="1">
        <f t="shared" si="45"/>
        <v>44919</v>
      </c>
      <c r="K1454">
        <f t="shared" si="44"/>
        <v>31.25</v>
      </c>
    </row>
    <row r="1455" spans="1:11" x14ac:dyDescent="0.25">
      <c r="A1455">
        <v>27</v>
      </c>
      <c r="B1455" t="s">
        <v>29</v>
      </c>
      <c r="C1455">
        <v>2023</v>
      </c>
      <c r="D1455">
        <v>143.25</v>
      </c>
      <c r="E1455">
        <v>2.875</v>
      </c>
      <c r="F1455">
        <v>104.875</v>
      </c>
      <c r="G1455" s="1">
        <f>DATE(C1455, CHOOSE(MATCH(UPPER(B1455), {"ENERO","FEBRERO","MARZO","ABRIL","MAYO","JUNIO","JULIO","AGOSTO","SEPTIEMBRE","OCTUBRE","NOVIEMBRE","DICIEMBRE"}, 0), 1,2,3,4,5,6,7,8,9,10,11,12), A1455)</f>
        <v>45073</v>
      </c>
      <c r="H1455">
        <v>41.25</v>
      </c>
      <c r="I1455">
        <v>56000</v>
      </c>
      <c r="J1455" s="1">
        <f t="shared" si="45"/>
        <v>44920</v>
      </c>
      <c r="K1455">
        <f t="shared" si="44"/>
        <v>65.125</v>
      </c>
    </row>
    <row r="1456" spans="1:11" x14ac:dyDescent="0.25">
      <c r="A1456">
        <v>28</v>
      </c>
      <c r="B1456" t="s">
        <v>29</v>
      </c>
      <c r="C1456">
        <v>2023</v>
      </c>
      <c r="D1456">
        <v>104.875</v>
      </c>
      <c r="E1456" t="s">
        <v>9</v>
      </c>
      <c r="F1456">
        <v>64</v>
      </c>
      <c r="G1456" s="1">
        <f>DATE(C1456, CHOOSE(MATCH(UPPER(B1456), {"ENERO","FEBRERO","MARZO","ABRIL","MAYO","JUNIO","JULIO","AGOSTO","SEPTIEMBRE","OCTUBRE","NOVIEMBRE","DICIEMBRE"}, 0), 1,2,3,4,5,6,7,8,9,10,11,12), A1456)</f>
        <v>45074</v>
      </c>
      <c r="H1456">
        <v>40.875</v>
      </c>
      <c r="I1456">
        <v>56000</v>
      </c>
      <c r="J1456" s="1">
        <f t="shared" si="45"/>
        <v>44921</v>
      </c>
      <c r="K1456">
        <f t="shared" si="44"/>
        <v>43.75</v>
      </c>
    </row>
    <row r="1457" spans="1:11" x14ac:dyDescent="0.25">
      <c r="A1457">
        <v>29</v>
      </c>
      <c r="B1457" t="s">
        <v>29</v>
      </c>
      <c r="C1457">
        <v>2023</v>
      </c>
      <c r="D1457">
        <v>64</v>
      </c>
      <c r="E1457" t="s">
        <v>9</v>
      </c>
      <c r="F1457">
        <v>43.25</v>
      </c>
      <c r="G1457" s="1">
        <f>DATE(C1457, CHOOSE(MATCH(UPPER(B1457), {"ENERO","FEBRERO","MARZO","ABRIL","MAYO","JUNIO","JULIO","AGOSTO","SEPTIEMBRE","OCTUBRE","NOVIEMBRE","DICIEMBRE"}, 0), 1,2,3,4,5,6,7,8,9,10,11,12), A1457)</f>
        <v>45075</v>
      </c>
      <c r="H1457">
        <v>20.75</v>
      </c>
      <c r="I1457">
        <v>56000</v>
      </c>
      <c r="J1457" s="1">
        <f t="shared" si="45"/>
        <v>44922</v>
      </c>
      <c r="K1457">
        <f t="shared" si="44"/>
        <v>46.75</v>
      </c>
    </row>
    <row r="1458" spans="1:11" x14ac:dyDescent="0.25">
      <c r="A1458">
        <v>30</v>
      </c>
      <c r="B1458" t="s">
        <v>29</v>
      </c>
      <c r="C1458">
        <v>2023</v>
      </c>
      <c r="D1458">
        <v>43.25</v>
      </c>
      <c r="E1458">
        <v>61.75</v>
      </c>
      <c r="F1458">
        <v>98.25</v>
      </c>
      <c r="G1458" s="1">
        <f>DATE(C1458, CHOOSE(MATCH(UPPER(B1458), {"ENERO","FEBRERO","MARZO","ABRIL","MAYO","JUNIO","JULIO","AGOSTO","SEPTIEMBRE","OCTUBRE","NOVIEMBRE","DICIEMBRE"}, 0), 1,2,3,4,5,6,7,8,9,10,11,12), A1458)</f>
        <v>45076</v>
      </c>
      <c r="H1458">
        <v>7</v>
      </c>
      <c r="I1458">
        <v>56000</v>
      </c>
      <c r="J1458" s="1">
        <f t="shared" si="45"/>
        <v>44923</v>
      </c>
      <c r="K1458">
        <f t="shared" si="44"/>
        <v>38.75</v>
      </c>
    </row>
    <row r="1459" spans="1:11" x14ac:dyDescent="0.25">
      <c r="A1459">
        <v>31</v>
      </c>
      <c r="B1459" t="s">
        <v>29</v>
      </c>
      <c r="C1459">
        <v>2023</v>
      </c>
      <c r="D1459">
        <v>98.25</v>
      </c>
      <c r="E1459" t="s">
        <v>9</v>
      </c>
      <c r="F1459">
        <v>77.125</v>
      </c>
      <c r="G1459" s="1">
        <f>DATE(C1459, CHOOSE(MATCH(UPPER(B1459), {"ENERO","FEBRERO","MARZO","ABRIL","MAYO","JUNIO","JULIO","AGOSTO","SEPTIEMBRE","OCTUBRE","NOVIEMBRE","DICIEMBRE"}, 0), 1,2,3,4,5,6,7,8,9,10,11,12), A1459)</f>
        <v>45077</v>
      </c>
      <c r="H1459">
        <v>21.125</v>
      </c>
      <c r="I1459">
        <v>56000</v>
      </c>
      <c r="J1459" s="1">
        <f t="shared" si="45"/>
        <v>44924</v>
      </c>
      <c r="K1459">
        <f t="shared" si="44"/>
        <v>37</v>
      </c>
    </row>
    <row r="1460" spans="1:11" x14ac:dyDescent="0.25">
      <c r="A1460">
        <v>1</v>
      </c>
      <c r="B1460" t="s">
        <v>30</v>
      </c>
      <c r="C1460">
        <v>2023</v>
      </c>
      <c r="D1460">
        <v>77.125</v>
      </c>
      <c r="E1460" t="s">
        <v>9</v>
      </c>
      <c r="F1460">
        <v>50.25</v>
      </c>
      <c r="G1460" s="1">
        <f>DATE(C1460, CHOOSE(MATCH(UPPER(B1460), {"ENERO","FEBRERO","MARZO","ABRIL","MAYO","JUNIO","JULIO","AGOSTO","SEPTIEMBRE","OCTUBRE","NOVIEMBRE","DICIEMBRE"}, 0), 1,2,3,4,5,6,7,8,9,10,11,12), A1460)</f>
        <v>45078</v>
      </c>
      <c r="H1460">
        <v>26.875</v>
      </c>
      <c r="I1460">
        <v>56000</v>
      </c>
      <c r="J1460" s="1">
        <f t="shared" si="45"/>
        <v>44925</v>
      </c>
      <c r="K1460">
        <f t="shared" si="44"/>
        <v>53.125</v>
      </c>
    </row>
    <row r="1461" spans="1:11" x14ac:dyDescent="0.25">
      <c r="A1461">
        <v>2</v>
      </c>
      <c r="B1461" t="s">
        <v>30</v>
      </c>
      <c r="C1461">
        <v>2023</v>
      </c>
      <c r="D1461">
        <v>50.25</v>
      </c>
      <c r="E1461">
        <v>180</v>
      </c>
      <c r="F1461">
        <v>197.625</v>
      </c>
      <c r="G1461" s="1">
        <f>DATE(C1461, CHOOSE(MATCH(UPPER(B1461), {"ENERO","FEBRERO","MARZO","ABRIL","MAYO","JUNIO","JULIO","AGOSTO","SEPTIEMBRE","OCTUBRE","NOVIEMBRE","DICIEMBRE"}, 0), 1,2,3,4,5,6,7,8,9,10,11,12), A1461)</f>
        <v>45079</v>
      </c>
      <c r="H1461">
        <v>32.625</v>
      </c>
      <c r="I1461">
        <v>56000</v>
      </c>
      <c r="J1461" s="1">
        <f t="shared" si="45"/>
        <v>44926</v>
      </c>
      <c r="K1461">
        <f t="shared" si="44"/>
        <v>39.25</v>
      </c>
    </row>
    <row r="1462" spans="1:11" x14ac:dyDescent="0.25">
      <c r="A1462">
        <v>3</v>
      </c>
      <c r="B1462" t="s">
        <v>30</v>
      </c>
      <c r="C1462">
        <v>2023</v>
      </c>
      <c r="D1462">
        <v>197.625</v>
      </c>
      <c r="E1462" t="s">
        <v>9</v>
      </c>
      <c r="F1462">
        <v>146.25</v>
      </c>
      <c r="G1462" s="1">
        <f>DATE(C1462, CHOOSE(MATCH(UPPER(B1462), {"ENERO","FEBRERO","MARZO","ABRIL","MAYO","JUNIO","JULIO","AGOSTO","SEPTIEMBRE","OCTUBRE","NOVIEMBRE","DICIEMBRE"}, 0), 1,2,3,4,5,6,7,8,9,10,11,12), A1462)</f>
        <v>45080</v>
      </c>
      <c r="H1462">
        <v>51.375</v>
      </c>
      <c r="I1462">
        <v>56000</v>
      </c>
      <c r="J1462" s="1">
        <f t="shared" si="45"/>
        <v>44927</v>
      </c>
      <c r="K1462">
        <f t="shared" si="44"/>
        <v>59</v>
      </c>
    </row>
    <row r="1463" spans="1:11" x14ac:dyDescent="0.25">
      <c r="A1463">
        <v>4</v>
      </c>
      <c r="B1463" t="s">
        <v>30</v>
      </c>
      <c r="C1463">
        <v>2023</v>
      </c>
      <c r="D1463">
        <v>146.25</v>
      </c>
      <c r="E1463" t="s">
        <v>9</v>
      </c>
      <c r="F1463">
        <v>103.875</v>
      </c>
      <c r="G1463" s="1">
        <f>DATE(C1463, CHOOSE(MATCH(UPPER(B1463), {"ENERO","FEBRERO","MARZO","ABRIL","MAYO","JUNIO","JULIO","AGOSTO","SEPTIEMBRE","OCTUBRE","NOVIEMBRE","DICIEMBRE"}, 0), 1,2,3,4,5,6,7,8,9,10,11,12), A1463)</f>
        <v>45081</v>
      </c>
      <c r="H1463">
        <v>42.375</v>
      </c>
      <c r="I1463">
        <v>56000</v>
      </c>
      <c r="J1463" s="1">
        <f t="shared" si="45"/>
        <v>44928</v>
      </c>
      <c r="K1463">
        <f t="shared" si="44"/>
        <v>34.125</v>
      </c>
    </row>
    <row r="1464" spans="1:11" x14ac:dyDescent="0.25">
      <c r="A1464">
        <v>5</v>
      </c>
      <c r="B1464" t="s">
        <v>30</v>
      </c>
      <c r="C1464">
        <v>2023</v>
      </c>
      <c r="D1464">
        <v>103.875</v>
      </c>
      <c r="E1464" t="s">
        <v>9</v>
      </c>
      <c r="F1464">
        <v>88.125</v>
      </c>
      <c r="G1464" s="1">
        <f>DATE(C1464, CHOOSE(MATCH(UPPER(B1464), {"ENERO","FEBRERO","MARZO","ABRIL","MAYO","JUNIO","JULIO","AGOSTO","SEPTIEMBRE","OCTUBRE","NOVIEMBRE","DICIEMBRE"}, 0), 1,2,3,4,5,6,7,8,9,10,11,12), A1464)</f>
        <v>45082</v>
      </c>
      <c r="H1464">
        <v>15.75</v>
      </c>
      <c r="I1464">
        <v>56000</v>
      </c>
      <c r="J1464" s="1">
        <f t="shared" si="45"/>
        <v>44929</v>
      </c>
      <c r="K1464">
        <f t="shared" si="44"/>
        <v>33</v>
      </c>
    </row>
    <row r="1465" spans="1:11" x14ac:dyDescent="0.25">
      <c r="A1465">
        <v>6</v>
      </c>
      <c r="B1465" t="s">
        <v>30</v>
      </c>
      <c r="C1465">
        <v>2023</v>
      </c>
      <c r="D1465">
        <v>88.125</v>
      </c>
      <c r="E1465" t="s">
        <v>9</v>
      </c>
      <c r="F1465">
        <v>65.25</v>
      </c>
      <c r="G1465" s="1">
        <f>DATE(C1465, CHOOSE(MATCH(UPPER(B1465), {"ENERO","FEBRERO","MARZO","ABRIL","MAYO","JUNIO","JULIO","AGOSTO","SEPTIEMBRE","OCTUBRE","NOVIEMBRE","DICIEMBRE"}, 0), 1,2,3,4,5,6,7,8,9,10,11,12), A1465)</f>
        <v>45083</v>
      </c>
      <c r="H1465">
        <v>22.875</v>
      </c>
      <c r="I1465">
        <v>56000</v>
      </c>
      <c r="J1465" s="1">
        <f t="shared" si="45"/>
        <v>44930</v>
      </c>
      <c r="K1465">
        <f t="shared" si="44"/>
        <v>41.75</v>
      </c>
    </row>
    <row r="1466" spans="1:11" x14ac:dyDescent="0.25">
      <c r="A1466">
        <v>7</v>
      </c>
      <c r="B1466" t="s">
        <v>30</v>
      </c>
      <c r="C1466">
        <v>2023</v>
      </c>
      <c r="D1466">
        <v>65.25</v>
      </c>
      <c r="E1466" t="s">
        <v>9</v>
      </c>
      <c r="F1466">
        <v>40.875</v>
      </c>
      <c r="G1466" s="1">
        <f>DATE(C1466, CHOOSE(MATCH(UPPER(B1466), {"ENERO","FEBRERO","MARZO","ABRIL","MAYO","JUNIO","JULIO","AGOSTO","SEPTIEMBRE","OCTUBRE","NOVIEMBRE","DICIEMBRE"}, 0), 1,2,3,4,5,6,7,8,9,10,11,12), A1466)</f>
        <v>45084</v>
      </c>
      <c r="H1466">
        <v>24.375</v>
      </c>
      <c r="I1466">
        <v>56000</v>
      </c>
      <c r="J1466" s="1">
        <f t="shared" si="45"/>
        <v>44931</v>
      </c>
      <c r="K1466">
        <f t="shared" si="44"/>
        <v>25.875</v>
      </c>
    </row>
    <row r="1467" spans="1:11" x14ac:dyDescent="0.25">
      <c r="A1467">
        <v>8</v>
      </c>
      <c r="B1467" t="s">
        <v>30</v>
      </c>
      <c r="C1467">
        <v>2023</v>
      </c>
      <c r="D1467">
        <v>40.875</v>
      </c>
      <c r="E1467">
        <v>140</v>
      </c>
      <c r="F1467">
        <v>152.625</v>
      </c>
      <c r="G1467" s="1">
        <f>DATE(C1467, CHOOSE(MATCH(UPPER(B1467), {"ENERO","FEBRERO","MARZO","ABRIL","MAYO","JUNIO","JULIO","AGOSTO","SEPTIEMBRE","OCTUBRE","NOVIEMBRE","DICIEMBRE"}, 0), 1,2,3,4,5,6,7,8,9,10,11,12), A1467)</f>
        <v>45085</v>
      </c>
      <c r="H1467">
        <v>28.25</v>
      </c>
      <c r="I1467">
        <v>56000</v>
      </c>
      <c r="J1467" s="1">
        <f t="shared" si="45"/>
        <v>44932</v>
      </c>
      <c r="K1467">
        <f t="shared" si="44"/>
        <v>26.375</v>
      </c>
    </row>
    <row r="1468" spans="1:11" x14ac:dyDescent="0.25">
      <c r="A1468">
        <v>9</v>
      </c>
      <c r="B1468" t="s">
        <v>30</v>
      </c>
      <c r="C1468">
        <v>2023</v>
      </c>
      <c r="D1468">
        <v>152.625</v>
      </c>
      <c r="E1468" t="s">
        <v>9</v>
      </c>
      <c r="F1468">
        <v>118</v>
      </c>
      <c r="G1468" s="1">
        <f>DATE(C1468, CHOOSE(MATCH(UPPER(B1468), {"ENERO","FEBRERO","MARZO","ABRIL","MAYO","JUNIO","JULIO","AGOSTO","SEPTIEMBRE","OCTUBRE","NOVIEMBRE","DICIEMBRE"}, 0), 1,2,3,4,5,6,7,8,9,10,11,12), A1468)</f>
        <v>45086</v>
      </c>
      <c r="H1468">
        <v>34.625</v>
      </c>
      <c r="I1468">
        <v>56000</v>
      </c>
      <c r="J1468" s="1">
        <f t="shared" si="45"/>
        <v>44933</v>
      </c>
      <c r="K1468">
        <f t="shared" si="44"/>
        <v>52</v>
      </c>
    </row>
    <row r="1469" spans="1:11" x14ac:dyDescent="0.25">
      <c r="A1469">
        <v>10</v>
      </c>
      <c r="B1469" t="s">
        <v>30</v>
      </c>
      <c r="C1469">
        <v>2023</v>
      </c>
      <c r="D1469">
        <v>118</v>
      </c>
      <c r="E1469" t="s">
        <v>9</v>
      </c>
      <c r="F1469">
        <v>77.625</v>
      </c>
      <c r="G1469" s="1">
        <f>DATE(C1469, CHOOSE(MATCH(UPPER(B1469), {"ENERO","FEBRERO","MARZO","ABRIL","MAYO","JUNIO","JULIO","AGOSTO","SEPTIEMBRE","OCTUBRE","NOVIEMBRE","DICIEMBRE"}, 0), 1,2,3,4,5,6,7,8,9,10,11,12), A1469)</f>
        <v>45087</v>
      </c>
      <c r="H1469">
        <v>40.375</v>
      </c>
      <c r="I1469">
        <v>56000</v>
      </c>
      <c r="J1469" s="1">
        <f t="shared" si="45"/>
        <v>44934</v>
      </c>
      <c r="K1469">
        <f t="shared" si="44"/>
        <v>50.625</v>
      </c>
    </row>
    <row r="1470" spans="1:11" x14ac:dyDescent="0.25">
      <c r="A1470">
        <v>11</v>
      </c>
      <c r="B1470" t="s">
        <v>30</v>
      </c>
      <c r="C1470">
        <v>2023</v>
      </c>
      <c r="D1470">
        <v>77.625</v>
      </c>
      <c r="E1470" t="s">
        <v>9</v>
      </c>
      <c r="F1470">
        <v>34.25</v>
      </c>
      <c r="G1470" s="1">
        <f>DATE(C1470, CHOOSE(MATCH(UPPER(B1470), {"ENERO","FEBRERO","MARZO","ABRIL","MAYO","JUNIO","JULIO","AGOSTO","SEPTIEMBRE","OCTUBRE","NOVIEMBRE","DICIEMBRE"}, 0), 1,2,3,4,5,6,7,8,9,10,11,12), A1470)</f>
        <v>45088</v>
      </c>
      <c r="H1470">
        <v>43.375</v>
      </c>
      <c r="I1470">
        <v>56000</v>
      </c>
      <c r="J1470" s="1">
        <f t="shared" si="45"/>
        <v>44935</v>
      </c>
      <c r="K1470">
        <f t="shared" si="44"/>
        <v>46.375</v>
      </c>
    </row>
    <row r="1471" spans="1:11" x14ac:dyDescent="0.25">
      <c r="A1471">
        <v>12</v>
      </c>
      <c r="B1471" t="s">
        <v>30</v>
      </c>
      <c r="C1471">
        <v>2023</v>
      </c>
      <c r="D1471">
        <v>34.25</v>
      </c>
      <c r="E1471">
        <v>80</v>
      </c>
      <c r="F1471">
        <v>85.375</v>
      </c>
      <c r="G1471" s="1">
        <f>DATE(C1471, CHOOSE(MATCH(UPPER(B1471), {"ENERO","FEBRERO","MARZO","ABRIL","MAYO","JUNIO","JULIO","AGOSTO","SEPTIEMBRE","OCTUBRE","NOVIEMBRE","DICIEMBRE"}, 0), 1,2,3,4,5,6,7,8,9,10,11,12), A1471)</f>
        <v>45089</v>
      </c>
      <c r="H1471">
        <v>28.875</v>
      </c>
      <c r="I1471">
        <v>56000</v>
      </c>
      <c r="J1471" s="1">
        <f t="shared" si="45"/>
        <v>44936</v>
      </c>
      <c r="K1471">
        <f t="shared" si="44"/>
        <v>18.875</v>
      </c>
    </row>
    <row r="1472" spans="1:11" x14ac:dyDescent="0.25">
      <c r="A1472">
        <v>13</v>
      </c>
      <c r="B1472" t="s">
        <v>30</v>
      </c>
      <c r="C1472">
        <v>2023</v>
      </c>
      <c r="D1472">
        <v>85.375</v>
      </c>
      <c r="E1472" t="s">
        <v>9</v>
      </c>
      <c r="F1472">
        <v>61.625</v>
      </c>
      <c r="G1472" s="1">
        <f>DATE(C1472, CHOOSE(MATCH(UPPER(B1472), {"ENERO","FEBRERO","MARZO","ABRIL","MAYO","JUNIO","JULIO","AGOSTO","SEPTIEMBRE","OCTUBRE","NOVIEMBRE","DICIEMBRE"}, 0), 1,2,3,4,5,6,7,8,9,10,11,12), A1472)</f>
        <v>45090</v>
      </c>
      <c r="H1472">
        <v>23.75</v>
      </c>
      <c r="I1472">
        <v>56000</v>
      </c>
      <c r="J1472" s="1">
        <f t="shared" si="45"/>
        <v>44937</v>
      </c>
      <c r="K1472">
        <f t="shared" si="44"/>
        <v>28.625</v>
      </c>
    </row>
    <row r="1473" spans="1:11" x14ac:dyDescent="0.25">
      <c r="A1473">
        <v>14</v>
      </c>
      <c r="B1473" t="s">
        <v>30</v>
      </c>
      <c r="C1473">
        <v>2023</v>
      </c>
      <c r="D1473">
        <v>61.625</v>
      </c>
      <c r="E1473" t="s">
        <v>9</v>
      </c>
      <c r="F1473">
        <v>37.25</v>
      </c>
      <c r="G1473" s="1">
        <f>DATE(C1473, CHOOSE(MATCH(UPPER(B1473), {"ENERO","FEBRERO","MARZO","ABRIL","MAYO","JUNIO","JULIO","AGOSTO","SEPTIEMBRE","OCTUBRE","NOVIEMBRE","DICIEMBRE"}, 0), 1,2,3,4,5,6,7,8,9,10,11,12), A1473)</f>
        <v>45091</v>
      </c>
      <c r="H1473">
        <v>24.375</v>
      </c>
      <c r="I1473">
        <v>56000</v>
      </c>
      <c r="J1473" s="1">
        <f t="shared" si="45"/>
        <v>44938</v>
      </c>
      <c r="K1473">
        <f t="shared" si="44"/>
        <v>23.5</v>
      </c>
    </row>
    <row r="1474" spans="1:11" x14ac:dyDescent="0.25">
      <c r="A1474">
        <v>15</v>
      </c>
      <c r="B1474" t="s">
        <v>30</v>
      </c>
      <c r="C1474">
        <v>2023</v>
      </c>
      <c r="D1474">
        <v>37.25</v>
      </c>
      <c r="E1474">
        <v>60</v>
      </c>
      <c r="F1474">
        <v>65.125</v>
      </c>
      <c r="G1474" s="1">
        <f>DATE(C1474, CHOOSE(MATCH(UPPER(B1474), {"ENERO","FEBRERO","MARZO","ABRIL","MAYO","JUNIO","JULIO","AGOSTO","SEPTIEMBRE","OCTUBRE","NOVIEMBRE","DICIEMBRE"}, 0), 1,2,3,4,5,6,7,8,9,10,11,12), A1474)</f>
        <v>45092</v>
      </c>
      <c r="H1474">
        <v>32.125</v>
      </c>
      <c r="I1474">
        <v>56000</v>
      </c>
      <c r="J1474" s="1">
        <f t="shared" si="45"/>
        <v>44939</v>
      </c>
      <c r="K1474">
        <f t="shared" si="44"/>
        <v>32.625</v>
      </c>
    </row>
    <row r="1475" spans="1:11" x14ac:dyDescent="0.25">
      <c r="A1475">
        <v>16</v>
      </c>
      <c r="B1475" t="s">
        <v>30</v>
      </c>
      <c r="C1475">
        <v>2023</v>
      </c>
      <c r="D1475">
        <v>65.125</v>
      </c>
      <c r="E1475" t="s">
        <v>9</v>
      </c>
      <c r="F1475">
        <v>30.25</v>
      </c>
      <c r="G1475" s="1">
        <f>DATE(C1475, CHOOSE(MATCH(UPPER(B1475), {"ENERO","FEBRERO","MARZO","ABRIL","MAYO","JUNIO","JULIO","AGOSTO","SEPTIEMBRE","OCTUBRE","NOVIEMBRE","DICIEMBRE"}, 0), 1,2,3,4,5,6,7,8,9,10,11,12), A1475)</f>
        <v>45093</v>
      </c>
      <c r="H1475">
        <v>34.875</v>
      </c>
      <c r="I1475">
        <v>56000</v>
      </c>
      <c r="J1475" s="1">
        <f t="shared" si="45"/>
        <v>44940</v>
      </c>
      <c r="K1475">
        <f t="shared" ref="K1475:K1538" si="46">VLOOKUP(J1475, G:H, 2, FALSE)</f>
        <v>46</v>
      </c>
    </row>
    <row r="1476" spans="1:11" x14ac:dyDescent="0.25">
      <c r="A1476">
        <v>17</v>
      </c>
      <c r="B1476" t="s">
        <v>30</v>
      </c>
      <c r="C1476">
        <v>2023</v>
      </c>
      <c r="D1476">
        <v>30.25</v>
      </c>
      <c r="E1476">
        <v>90</v>
      </c>
      <c r="F1476">
        <v>76.25</v>
      </c>
      <c r="G1476" s="1">
        <f>DATE(C1476, CHOOSE(MATCH(UPPER(B1476), {"ENERO","FEBRERO","MARZO","ABRIL","MAYO","JUNIO","JULIO","AGOSTO","SEPTIEMBRE","OCTUBRE","NOVIEMBRE","DICIEMBRE"}, 0), 1,2,3,4,5,6,7,8,9,10,11,12), A1476)</f>
        <v>45094</v>
      </c>
      <c r="H1476">
        <v>44</v>
      </c>
      <c r="I1476">
        <v>56000</v>
      </c>
      <c r="J1476" s="1">
        <f t="shared" si="45"/>
        <v>44941</v>
      </c>
      <c r="K1476">
        <f t="shared" si="46"/>
        <v>38.5</v>
      </c>
    </row>
    <row r="1477" spans="1:11" x14ac:dyDescent="0.25">
      <c r="A1477">
        <v>18</v>
      </c>
      <c r="B1477" t="s">
        <v>30</v>
      </c>
      <c r="C1477">
        <v>2023</v>
      </c>
      <c r="D1477">
        <v>76.25</v>
      </c>
      <c r="E1477" t="s">
        <v>9</v>
      </c>
      <c r="F1477">
        <v>42.375</v>
      </c>
      <c r="G1477" s="1">
        <f>DATE(C1477, CHOOSE(MATCH(UPPER(B1477), {"ENERO","FEBRERO","MARZO","ABRIL","MAYO","JUNIO","JULIO","AGOSTO","SEPTIEMBRE","OCTUBRE","NOVIEMBRE","DICIEMBRE"}, 0), 1,2,3,4,5,6,7,8,9,10,11,12), A1477)</f>
        <v>45095</v>
      </c>
      <c r="H1477">
        <v>33.875</v>
      </c>
      <c r="I1477">
        <v>56000</v>
      </c>
      <c r="J1477" s="1">
        <f t="shared" ref="J1477:J1540" si="47">DATE(2019,1,1) + ROW()-1</f>
        <v>44942</v>
      </c>
      <c r="K1477">
        <f t="shared" si="46"/>
        <v>25.25</v>
      </c>
    </row>
    <row r="1478" spans="1:11" x14ac:dyDescent="0.25">
      <c r="A1478">
        <v>19</v>
      </c>
      <c r="B1478" t="s">
        <v>30</v>
      </c>
      <c r="C1478">
        <v>2023</v>
      </c>
      <c r="D1478">
        <v>42.375</v>
      </c>
      <c r="E1478">
        <v>90</v>
      </c>
      <c r="F1478">
        <v>98.75</v>
      </c>
      <c r="G1478" s="1">
        <f>DATE(C1478, CHOOSE(MATCH(UPPER(B1478), {"ENERO","FEBRERO","MARZO","ABRIL","MAYO","JUNIO","JULIO","AGOSTO","SEPTIEMBRE","OCTUBRE","NOVIEMBRE","DICIEMBRE"}, 0), 1,2,3,4,5,6,7,8,9,10,11,12), A1478)</f>
        <v>45096</v>
      </c>
      <c r="H1478">
        <v>33.625</v>
      </c>
      <c r="I1478">
        <v>56000</v>
      </c>
      <c r="J1478" s="1">
        <f t="shared" si="47"/>
        <v>44943</v>
      </c>
      <c r="K1478">
        <f t="shared" si="46"/>
        <v>22</v>
      </c>
    </row>
    <row r="1479" spans="1:11" x14ac:dyDescent="0.25">
      <c r="A1479">
        <v>20</v>
      </c>
      <c r="B1479" t="s">
        <v>30</v>
      </c>
      <c r="C1479">
        <v>2023</v>
      </c>
      <c r="D1479">
        <v>98.75</v>
      </c>
      <c r="E1479" t="s">
        <v>9</v>
      </c>
      <c r="F1479">
        <v>79.625</v>
      </c>
      <c r="G1479" s="1">
        <f>DATE(C1479, CHOOSE(MATCH(UPPER(B1479), {"ENERO","FEBRERO","MARZO","ABRIL","MAYO","JUNIO","JULIO","AGOSTO","SEPTIEMBRE","OCTUBRE","NOVIEMBRE","DICIEMBRE"}, 0), 1,2,3,4,5,6,7,8,9,10,11,12), A1479)</f>
        <v>45097</v>
      </c>
      <c r="H1479">
        <v>19.125</v>
      </c>
      <c r="I1479">
        <v>56000</v>
      </c>
      <c r="J1479" s="1">
        <f t="shared" si="47"/>
        <v>44944</v>
      </c>
      <c r="K1479">
        <f t="shared" si="46"/>
        <v>23.375</v>
      </c>
    </row>
    <row r="1480" spans="1:11" x14ac:dyDescent="0.25">
      <c r="A1480">
        <v>21</v>
      </c>
      <c r="B1480" t="s">
        <v>30</v>
      </c>
      <c r="C1480">
        <v>2023</v>
      </c>
      <c r="D1480">
        <v>79.625</v>
      </c>
      <c r="E1480" t="s">
        <v>9</v>
      </c>
      <c r="F1480">
        <v>55.25</v>
      </c>
      <c r="G1480" s="1">
        <f>DATE(C1480, CHOOSE(MATCH(UPPER(B1480), {"ENERO","FEBRERO","MARZO","ABRIL","MAYO","JUNIO","JULIO","AGOSTO","SEPTIEMBRE","OCTUBRE","NOVIEMBRE","DICIEMBRE"}, 0), 1,2,3,4,5,6,7,8,9,10,11,12), A1480)</f>
        <v>45098</v>
      </c>
      <c r="H1480">
        <v>24.375</v>
      </c>
      <c r="I1480">
        <v>56000</v>
      </c>
      <c r="J1480" s="1">
        <f t="shared" si="47"/>
        <v>44945</v>
      </c>
      <c r="K1480">
        <f t="shared" si="46"/>
        <v>26.5</v>
      </c>
    </row>
    <row r="1481" spans="1:11" x14ac:dyDescent="0.25">
      <c r="A1481">
        <v>22</v>
      </c>
      <c r="B1481" t="s">
        <v>30</v>
      </c>
      <c r="C1481">
        <v>2023</v>
      </c>
      <c r="D1481">
        <v>55.25</v>
      </c>
      <c r="E1481">
        <v>60</v>
      </c>
      <c r="F1481">
        <v>90.75</v>
      </c>
      <c r="G1481" s="1">
        <f>DATE(C1481, CHOOSE(MATCH(UPPER(B1481), {"ENERO","FEBRERO","MARZO","ABRIL","MAYO","JUNIO","JULIO","AGOSTO","SEPTIEMBRE","OCTUBRE","NOVIEMBRE","DICIEMBRE"}, 0), 1,2,3,4,5,6,7,8,9,10,11,12), A1481)</f>
        <v>45099</v>
      </c>
      <c r="H1481">
        <v>24.5</v>
      </c>
      <c r="I1481">
        <v>56000</v>
      </c>
      <c r="J1481" s="1">
        <f t="shared" si="47"/>
        <v>44946</v>
      </c>
      <c r="K1481">
        <f t="shared" si="46"/>
        <v>25.125</v>
      </c>
    </row>
    <row r="1482" spans="1:11" x14ac:dyDescent="0.25">
      <c r="A1482">
        <v>23</v>
      </c>
      <c r="B1482" t="s">
        <v>30</v>
      </c>
      <c r="C1482">
        <v>2023</v>
      </c>
      <c r="D1482">
        <v>90.75</v>
      </c>
      <c r="E1482" t="s">
        <v>9</v>
      </c>
      <c r="F1482">
        <v>54.75</v>
      </c>
      <c r="G1482" s="1">
        <f>DATE(C1482, CHOOSE(MATCH(UPPER(B1482), {"ENERO","FEBRERO","MARZO","ABRIL","MAYO","JUNIO","JULIO","AGOSTO","SEPTIEMBRE","OCTUBRE","NOVIEMBRE","DICIEMBRE"}, 0), 1,2,3,4,5,6,7,8,9,10,11,12), A1482)</f>
        <v>45100</v>
      </c>
      <c r="H1482">
        <v>36</v>
      </c>
      <c r="I1482">
        <v>56000</v>
      </c>
      <c r="J1482" s="1">
        <f t="shared" si="47"/>
        <v>44947</v>
      </c>
      <c r="K1482">
        <f t="shared" si="46"/>
        <v>34.75</v>
      </c>
    </row>
    <row r="1483" spans="1:11" x14ac:dyDescent="0.25">
      <c r="A1483">
        <v>24</v>
      </c>
      <c r="B1483" t="s">
        <v>30</v>
      </c>
      <c r="C1483">
        <v>2023</v>
      </c>
      <c r="D1483">
        <v>54.75</v>
      </c>
      <c r="E1483">
        <v>80</v>
      </c>
      <c r="F1483">
        <v>90.25</v>
      </c>
      <c r="G1483" s="1">
        <f>DATE(C1483, CHOOSE(MATCH(UPPER(B1483), {"ENERO","FEBRERO","MARZO","ABRIL","MAYO","JUNIO","JULIO","AGOSTO","SEPTIEMBRE","OCTUBRE","NOVIEMBRE","DICIEMBRE"}, 0), 1,2,3,4,5,6,7,8,9,10,11,12), A1483)</f>
        <v>45101</v>
      </c>
      <c r="H1483">
        <v>44.5</v>
      </c>
      <c r="I1483">
        <v>56000</v>
      </c>
      <c r="J1483" s="1">
        <f t="shared" si="47"/>
        <v>44948</v>
      </c>
      <c r="K1483">
        <f t="shared" si="46"/>
        <v>39.625</v>
      </c>
    </row>
    <row r="1484" spans="1:11" x14ac:dyDescent="0.25">
      <c r="A1484">
        <v>25</v>
      </c>
      <c r="B1484" t="s">
        <v>30</v>
      </c>
      <c r="C1484">
        <v>2023</v>
      </c>
      <c r="D1484">
        <v>90.25</v>
      </c>
      <c r="E1484" t="s">
        <v>9</v>
      </c>
      <c r="F1484">
        <v>59.125</v>
      </c>
      <c r="G1484" s="1">
        <f>DATE(C1484, CHOOSE(MATCH(UPPER(B1484), {"ENERO","FEBRERO","MARZO","ABRIL","MAYO","JUNIO","JULIO","AGOSTO","SEPTIEMBRE","OCTUBRE","NOVIEMBRE","DICIEMBRE"}, 0), 1,2,3,4,5,6,7,8,9,10,11,12), A1484)</f>
        <v>45102</v>
      </c>
      <c r="H1484">
        <v>31.125</v>
      </c>
      <c r="I1484">
        <v>56000</v>
      </c>
      <c r="J1484" s="1">
        <f t="shared" si="47"/>
        <v>44949</v>
      </c>
      <c r="K1484">
        <f t="shared" si="46"/>
        <v>16.125</v>
      </c>
    </row>
    <row r="1485" spans="1:11" x14ac:dyDescent="0.25">
      <c r="A1485">
        <v>26</v>
      </c>
      <c r="B1485" t="s">
        <v>30</v>
      </c>
      <c r="C1485">
        <v>2023</v>
      </c>
      <c r="D1485">
        <v>59.125</v>
      </c>
      <c r="E1485" t="s">
        <v>9</v>
      </c>
      <c r="F1485">
        <v>42.5</v>
      </c>
      <c r="G1485" s="1">
        <f>DATE(C1485, CHOOSE(MATCH(UPPER(B1485), {"ENERO","FEBRERO","MARZO","ABRIL","MAYO","JUNIO","JULIO","AGOSTO","SEPTIEMBRE","OCTUBRE","NOVIEMBRE","DICIEMBRE"}, 0), 1,2,3,4,5,6,7,8,9,10,11,12), A1485)</f>
        <v>45103</v>
      </c>
      <c r="H1485">
        <v>16.625</v>
      </c>
      <c r="I1485">
        <v>56000</v>
      </c>
      <c r="J1485" s="1">
        <f t="shared" si="47"/>
        <v>44950</v>
      </c>
      <c r="K1485">
        <f t="shared" si="46"/>
        <v>24.125</v>
      </c>
    </row>
    <row r="1486" spans="1:11" x14ac:dyDescent="0.25">
      <c r="A1486">
        <v>27</v>
      </c>
      <c r="B1486" t="s">
        <v>30</v>
      </c>
      <c r="C1486">
        <v>2023</v>
      </c>
      <c r="D1486">
        <v>42.5</v>
      </c>
      <c r="E1486">
        <v>90</v>
      </c>
      <c r="F1486">
        <v>112.25</v>
      </c>
      <c r="G1486" s="1">
        <f>DATE(C1486, CHOOSE(MATCH(UPPER(B1486), {"ENERO","FEBRERO","MARZO","ABRIL","MAYO","JUNIO","JULIO","AGOSTO","SEPTIEMBRE","OCTUBRE","NOVIEMBRE","DICIEMBRE"}, 0), 1,2,3,4,5,6,7,8,9,10,11,12), A1486)</f>
        <v>45104</v>
      </c>
      <c r="H1486">
        <v>20.25</v>
      </c>
      <c r="I1486">
        <v>56000</v>
      </c>
      <c r="J1486" s="1">
        <f t="shared" si="47"/>
        <v>44951</v>
      </c>
      <c r="K1486">
        <f t="shared" si="46"/>
        <v>14.25</v>
      </c>
    </row>
    <row r="1487" spans="1:11" x14ac:dyDescent="0.25">
      <c r="A1487">
        <v>28</v>
      </c>
      <c r="B1487" t="s">
        <v>30</v>
      </c>
      <c r="C1487">
        <v>2023</v>
      </c>
      <c r="D1487">
        <v>112.25</v>
      </c>
      <c r="E1487" t="s">
        <v>9</v>
      </c>
      <c r="F1487">
        <v>85.875</v>
      </c>
      <c r="G1487" s="1">
        <f>DATE(C1487, CHOOSE(MATCH(UPPER(B1487), {"ENERO","FEBRERO","MARZO","ABRIL","MAYO","JUNIO","JULIO","AGOSTO","SEPTIEMBRE","OCTUBRE","NOVIEMBRE","DICIEMBRE"}, 0), 1,2,3,4,5,6,7,8,9,10,11,12), A1487)</f>
        <v>45105</v>
      </c>
      <c r="H1487">
        <v>26.375</v>
      </c>
      <c r="I1487">
        <v>56000</v>
      </c>
      <c r="J1487" s="1">
        <f t="shared" si="47"/>
        <v>44952</v>
      </c>
      <c r="K1487">
        <f t="shared" si="46"/>
        <v>26</v>
      </c>
    </row>
    <row r="1488" spans="1:11" x14ac:dyDescent="0.25">
      <c r="A1488">
        <v>29</v>
      </c>
      <c r="B1488" t="s">
        <v>30</v>
      </c>
      <c r="C1488">
        <v>2023</v>
      </c>
      <c r="D1488">
        <v>85.875</v>
      </c>
      <c r="E1488" t="s">
        <v>9</v>
      </c>
      <c r="F1488">
        <v>43.875</v>
      </c>
      <c r="G1488" s="1">
        <f>DATE(C1488, CHOOSE(MATCH(UPPER(B1488), {"ENERO","FEBRERO","MARZO","ABRIL","MAYO","JUNIO","JULIO","AGOSTO","SEPTIEMBRE","OCTUBRE","NOVIEMBRE","DICIEMBRE"}, 0), 1,2,3,4,5,6,7,8,9,10,11,12), A1488)</f>
        <v>45106</v>
      </c>
      <c r="H1488">
        <v>42</v>
      </c>
      <c r="I1488">
        <v>56000</v>
      </c>
      <c r="J1488" s="1">
        <f t="shared" si="47"/>
        <v>44953</v>
      </c>
      <c r="K1488">
        <f t="shared" si="46"/>
        <v>31.5</v>
      </c>
    </row>
    <row r="1489" spans="1:11" x14ac:dyDescent="0.25">
      <c r="A1489">
        <v>30</v>
      </c>
      <c r="B1489" t="s">
        <v>30</v>
      </c>
      <c r="C1489">
        <v>2023</v>
      </c>
      <c r="D1489">
        <v>43.875</v>
      </c>
      <c r="E1489">
        <v>20</v>
      </c>
      <c r="F1489">
        <v>16.25</v>
      </c>
      <c r="G1489" s="1">
        <f>DATE(C1489, CHOOSE(MATCH(UPPER(B1489), {"ENERO","FEBRERO","MARZO","ABRIL","MAYO","JUNIO","JULIO","AGOSTO","SEPTIEMBRE","OCTUBRE","NOVIEMBRE","DICIEMBRE"}, 0), 1,2,3,4,5,6,7,8,9,10,11,12), A1489)</f>
        <v>45107</v>
      </c>
      <c r="H1489">
        <v>47.625</v>
      </c>
      <c r="I1489">
        <v>56000</v>
      </c>
      <c r="J1489" s="1">
        <f t="shared" si="47"/>
        <v>44954</v>
      </c>
      <c r="K1489">
        <f t="shared" si="46"/>
        <v>40.75</v>
      </c>
    </row>
    <row r="1490" spans="1:11" x14ac:dyDescent="0.25">
      <c r="A1490">
        <v>31</v>
      </c>
      <c r="B1490" t="s">
        <v>30</v>
      </c>
      <c r="C1490">
        <v>2023</v>
      </c>
      <c r="D1490">
        <v>16.25</v>
      </c>
      <c r="E1490" t="s">
        <v>9</v>
      </c>
      <c r="F1490" t="s">
        <v>9</v>
      </c>
      <c r="G1490" s="1">
        <f>DATE(C1490, CHOOSE(MATCH(UPPER(B1490), {"ENERO","FEBRERO","MARZO","ABRIL","MAYO","JUNIO","JULIO","AGOSTO","SEPTIEMBRE","OCTUBRE","NOVIEMBRE","DICIEMBRE"}, 0), 1,2,3,4,5,6,7,8,9,10,11,12), A1490)</f>
        <v>45108</v>
      </c>
      <c r="H1490">
        <v>16.25</v>
      </c>
      <c r="I1490">
        <v>56000</v>
      </c>
      <c r="J1490" s="1">
        <f t="shared" si="47"/>
        <v>44955</v>
      </c>
      <c r="K1490">
        <f t="shared" si="46"/>
        <v>28.375</v>
      </c>
    </row>
    <row r="1491" spans="1:11" x14ac:dyDescent="0.25">
      <c r="A1491">
        <v>1</v>
      </c>
      <c r="B1491" t="s">
        <v>32</v>
      </c>
      <c r="C1491">
        <v>2023</v>
      </c>
      <c r="D1491">
        <v>81.5</v>
      </c>
      <c r="E1491" t="s">
        <v>9</v>
      </c>
      <c r="F1491">
        <v>57.125</v>
      </c>
      <c r="G1491" s="1">
        <f>DATE(C1491, CHOOSE(MATCH(UPPER(B1491), {"ENERO","FEBRERO","MARZO","ABRIL","MAYO","JUNIO","JULIO","AGOSTO","SEPTIEMBRE","OCTUBRE","NOVIEMBRE","DICIEMBRE"}, 0), 1,2,3,4,5,6,7,8,9,10,11,12), A1491)</f>
        <v>45139</v>
      </c>
      <c r="H1491">
        <v>24.375</v>
      </c>
      <c r="I1491">
        <v>56000</v>
      </c>
      <c r="J1491" s="1">
        <f t="shared" si="47"/>
        <v>44956</v>
      </c>
      <c r="K1491">
        <f t="shared" si="46"/>
        <v>20.375</v>
      </c>
    </row>
    <row r="1492" spans="1:11" x14ac:dyDescent="0.25">
      <c r="A1492">
        <v>2</v>
      </c>
      <c r="B1492" t="s">
        <v>32</v>
      </c>
      <c r="C1492">
        <v>2023</v>
      </c>
      <c r="D1492">
        <v>57.125</v>
      </c>
      <c r="E1492">
        <v>90</v>
      </c>
      <c r="F1492">
        <v>117</v>
      </c>
      <c r="G1492" s="1">
        <f>DATE(C1492, CHOOSE(MATCH(UPPER(B1492), {"ENERO","FEBRERO","MARZO","ABRIL","MAYO","JUNIO","JULIO","AGOSTO","SEPTIEMBRE","OCTUBRE","NOVIEMBRE","DICIEMBRE"}, 0), 1,2,3,4,5,6,7,8,9,10,11,12), A1492)</f>
        <v>45140</v>
      </c>
      <c r="H1492">
        <v>30.125</v>
      </c>
      <c r="I1492">
        <v>56000</v>
      </c>
      <c r="J1492" s="1">
        <f t="shared" si="47"/>
        <v>44957</v>
      </c>
      <c r="K1492">
        <f t="shared" si="46"/>
        <v>17.25</v>
      </c>
    </row>
    <row r="1493" spans="1:11" x14ac:dyDescent="0.25">
      <c r="A1493">
        <v>3</v>
      </c>
      <c r="B1493" t="s">
        <v>32</v>
      </c>
      <c r="C1493">
        <v>2023</v>
      </c>
      <c r="D1493">
        <v>117</v>
      </c>
      <c r="E1493" t="s">
        <v>9</v>
      </c>
      <c r="F1493">
        <v>100.25</v>
      </c>
      <c r="G1493" s="1">
        <f>DATE(C1493, CHOOSE(MATCH(UPPER(B1493), {"ENERO","FEBRERO","MARZO","ABRIL","MAYO","JUNIO","JULIO","AGOSTO","SEPTIEMBRE","OCTUBRE","NOVIEMBRE","DICIEMBRE"}, 0), 1,2,3,4,5,6,7,8,9,10,11,12), A1493)</f>
        <v>45141</v>
      </c>
      <c r="H1493">
        <v>16.75</v>
      </c>
      <c r="I1493">
        <v>56000</v>
      </c>
      <c r="J1493" s="1">
        <f t="shared" si="47"/>
        <v>44958</v>
      </c>
      <c r="K1493">
        <f t="shared" si="46"/>
        <v>29</v>
      </c>
    </row>
    <row r="1494" spans="1:11" x14ac:dyDescent="0.25">
      <c r="A1494">
        <v>4</v>
      </c>
      <c r="B1494" t="s">
        <v>32</v>
      </c>
      <c r="C1494">
        <v>2023</v>
      </c>
      <c r="D1494">
        <v>100.25</v>
      </c>
      <c r="E1494" t="s">
        <v>9</v>
      </c>
      <c r="F1494">
        <v>56.25</v>
      </c>
      <c r="G1494" s="1">
        <f>DATE(C1494, CHOOSE(MATCH(UPPER(B1494), {"ENERO","FEBRERO","MARZO","ABRIL","MAYO","JUNIO","JULIO","AGOSTO","SEPTIEMBRE","OCTUBRE","NOVIEMBRE","DICIEMBRE"}, 0), 1,2,3,4,5,6,7,8,9,10,11,12), A1494)</f>
        <v>45142</v>
      </c>
      <c r="H1494">
        <v>44</v>
      </c>
      <c r="I1494">
        <v>56000</v>
      </c>
      <c r="J1494" s="1">
        <f t="shared" si="47"/>
        <v>44959</v>
      </c>
      <c r="K1494">
        <f t="shared" si="46"/>
        <v>22</v>
      </c>
    </row>
    <row r="1495" spans="1:11" x14ac:dyDescent="0.25">
      <c r="A1495">
        <v>5</v>
      </c>
      <c r="B1495" t="s">
        <v>32</v>
      </c>
      <c r="C1495">
        <v>2023</v>
      </c>
      <c r="D1495">
        <v>56.25</v>
      </c>
      <c r="E1495">
        <v>120</v>
      </c>
      <c r="F1495">
        <v>130.125</v>
      </c>
      <c r="G1495" s="1">
        <f>DATE(C1495, CHOOSE(MATCH(UPPER(B1495), {"ENERO","FEBRERO","MARZO","ABRIL","MAYO","JUNIO","JULIO","AGOSTO","SEPTIEMBRE","OCTUBRE","NOVIEMBRE","DICIEMBRE"}, 0), 1,2,3,4,5,6,7,8,9,10,11,12), A1495)</f>
        <v>45143</v>
      </c>
      <c r="H1495">
        <v>46.125</v>
      </c>
      <c r="I1495">
        <v>56000</v>
      </c>
      <c r="J1495" s="1">
        <f t="shared" si="47"/>
        <v>44960</v>
      </c>
      <c r="K1495">
        <f t="shared" si="46"/>
        <v>26.5</v>
      </c>
    </row>
    <row r="1496" spans="1:11" x14ac:dyDescent="0.25">
      <c r="A1496">
        <v>6</v>
      </c>
      <c r="B1496" t="s">
        <v>32</v>
      </c>
      <c r="C1496">
        <v>2023</v>
      </c>
      <c r="D1496">
        <v>130.125</v>
      </c>
      <c r="E1496" t="s">
        <v>9</v>
      </c>
      <c r="F1496">
        <v>85.75</v>
      </c>
      <c r="G1496" s="1">
        <f>DATE(C1496, CHOOSE(MATCH(UPPER(B1496), {"ENERO","FEBRERO","MARZO","ABRIL","MAYO","JUNIO","JULIO","AGOSTO","SEPTIEMBRE","OCTUBRE","NOVIEMBRE","DICIEMBRE"}, 0), 1,2,3,4,5,6,7,8,9,10,11,12), A1496)</f>
        <v>45144</v>
      </c>
      <c r="H1496">
        <v>44.375</v>
      </c>
      <c r="I1496">
        <v>56000</v>
      </c>
      <c r="J1496" s="1">
        <f t="shared" si="47"/>
        <v>44961</v>
      </c>
      <c r="K1496">
        <f t="shared" si="46"/>
        <v>48.125</v>
      </c>
    </row>
    <row r="1497" spans="1:11" x14ac:dyDescent="0.25">
      <c r="A1497">
        <v>7</v>
      </c>
      <c r="B1497" t="s">
        <v>32</v>
      </c>
      <c r="C1497">
        <v>2023</v>
      </c>
      <c r="D1497">
        <v>85.75</v>
      </c>
      <c r="E1497">
        <v>150</v>
      </c>
      <c r="F1497">
        <v>193.375</v>
      </c>
      <c r="G1497" s="1">
        <f>DATE(C1497, CHOOSE(MATCH(UPPER(B1497), {"ENERO","FEBRERO","MARZO","ABRIL","MAYO","JUNIO","JULIO","AGOSTO","SEPTIEMBRE","OCTUBRE","NOVIEMBRE","DICIEMBRE"}, 0), 1,2,3,4,5,6,7,8,9,10,11,12), A1497)</f>
        <v>45145</v>
      </c>
      <c r="H1497">
        <v>42.375</v>
      </c>
      <c r="I1497">
        <v>56000</v>
      </c>
      <c r="J1497" s="1">
        <f t="shared" si="47"/>
        <v>44962</v>
      </c>
      <c r="K1497">
        <f t="shared" si="46"/>
        <v>31.5</v>
      </c>
    </row>
    <row r="1498" spans="1:11" x14ac:dyDescent="0.25">
      <c r="A1498">
        <v>8</v>
      </c>
      <c r="B1498" t="s">
        <v>32</v>
      </c>
      <c r="C1498">
        <v>2023</v>
      </c>
      <c r="D1498">
        <v>193.375</v>
      </c>
      <c r="E1498">
        <v>-51.25</v>
      </c>
      <c r="F1498">
        <v>132.125</v>
      </c>
      <c r="G1498" s="1">
        <f>DATE(C1498, CHOOSE(MATCH(UPPER(B1498), {"ENERO","FEBRERO","MARZO","ABRIL","MAYO","JUNIO","JULIO","AGOSTO","SEPTIEMBRE","OCTUBRE","NOVIEMBRE","DICIEMBRE"}, 0), 1,2,3,4,5,6,7,8,9,10,11,12), A1498)</f>
        <v>45146</v>
      </c>
      <c r="H1498">
        <v>10</v>
      </c>
      <c r="I1498">
        <v>56000</v>
      </c>
      <c r="J1498" s="1">
        <f t="shared" si="47"/>
        <v>44963</v>
      </c>
      <c r="K1498">
        <f t="shared" si="46"/>
        <v>19.375</v>
      </c>
    </row>
    <row r="1499" spans="1:11" x14ac:dyDescent="0.25">
      <c r="A1499">
        <v>9</v>
      </c>
      <c r="B1499" t="s">
        <v>32</v>
      </c>
      <c r="C1499">
        <v>2023</v>
      </c>
      <c r="D1499">
        <v>132.125</v>
      </c>
      <c r="E1499" t="s">
        <v>9</v>
      </c>
      <c r="F1499">
        <v>110.75</v>
      </c>
      <c r="G1499" s="1">
        <f>DATE(C1499, CHOOSE(MATCH(UPPER(B1499), {"ENERO","FEBRERO","MARZO","ABRIL","MAYO","JUNIO","JULIO","AGOSTO","SEPTIEMBRE","OCTUBRE","NOVIEMBRE","DICIEMBRE"}, 0), 1,2,3,4,5,6,7,8,9,10,11,12), A1499)</f>
        <v>45147</v>
      </c>
      <c r="H1499">
        <v>21.375</v>
      </c>
      <c r="I1499">
        <v>56000</v>
      </c>
      <c r="J1499" s="1">
        <f t="shared" si="47"/>
        <v>44964</v>
      </c>
      <c r="K1499">
        <f t="shared" si="46"/>
        <v>10.375</v>
      </c>
    </row>
    <row r="1500" spans="1:11" x14ac:dyDescent="0.25">
      <c r="A1500">
        <v>10</v>
      </c>
      <c r="B1500" t="s">
        <v>32</v>
      </c>
      <c r="C1500">
        <v>2023</v>
      </c>
      <c r="D1500">
        <v>110.75</v>
      </c>
      <c r="E1500" t="s">
        <v>9</v>
      </c>
      <c r="F1500">
        <v>90.25</v>
      </c>
      <c r="G1500" s="1">
        <f>DATE(C1500, CHOOSE(MATCH(UPPER(B1500), {"ENERO","FEBRERO","MARZO","ABRIL","MAYO","JUNIO","JULIO","AGOSTO","SEPTIEMBRE","OCTUBRE","NOVIEMBRE","DICIEMBRE"}, 0), 1,2,3,4,5,6,7,8,9,10,11,12), A1500)</f>
        <v>45148</v>
      </c>
      <c r="H1500">
        <v>20.5</v>
      </c>
      <c r="I1500">
        <v>56000</v>
      </c>
      <c r="J1500" s="1">
        <f t="shared" si="47"/>
        <v>44965</v>
      </c>
      <c r="K1500">
        <f t="shared" si="46"/>
        <v>17.75</v>
      </c>
    </row>
    <row r="1501" spans="1:11" x14ac:dyDescent="0.25">
      <c r="A1501">
        <v>11</v>
      </c>
      <c r="B1501" t="s">
        <v>32</v>
      </c>
      <c r="C1501">
        <v>2023</v>
      </c>
      <c r="D1501">
        <v>90.25</v>
      </c>
      <c r="E1501" t="s">
        <v>9</v>
      </c>
      <c r="F1501">
        <v>55.625</v>
      </c>
      <c r="G1501" s="1">
        <f>DATE(C1501, CHOOSE(MATCH(UPPER(B1501), {"ENERO","FEBRERO","MARZO","ABRIL","MAYO","JUNIO","JULIO","AGOSTO","SEPTIEMBRE","OCTUBRE","NOVIEMBRE","DICIEMBRE"}, 0), 1,2,3,4,5,6,7,8,9,10,11,12), A1501)</f>
        <v>45149</v>
      </c>
      <c r="H1501">
        <v>34.625</v>
      </c>
      <c r="I1501">
        <v>56000</v>
      </c>
      <c r="J1501" s="1">
        <f t="shared" si="47"/>
        <v>44966</v>
      </c>
      <c r="K1501">
        <f t="shared" si="46"/>
        <v>16.875</v>
      </c>
    </row>
    <row r="1502" spans="1:11" x14ac:dyDescent="0.25">
      <c r="A1502">
        <v>12</v>
      </c>
      <c r="B1502" t="s">
        <v>32</v>
      </c>
      <c r="C1502">
        <v>2023</v>
      </c>
      <c r="D1502">
        <v>55.625</v>
      </c>
      <c r="E1502">
        <v>120</v>
      </c>
      <c r="F1502">
        <v>131.375</v>
      </c>
      <c r="G1502" s="1">
        <f>DATE(C1502, CHOOSE(MATCH(UPPER(B1502), {"ENERO","FEBRERO","MARZO","ABRIL","MAYO","JUNIO","JULIO","AGOSTO","SEPTIEMBRE","OCTUBRE","NOVIEMBRE","DICIEMBRE"}, 0), 1,2,3,4,5,6,7,8,9,10,11,12), A1502)</f>
        <v>45150</v>
      </c>
      <c r="H1502">
        <v>44.25</v>
      </c>
      <c r="I1502">
        <v>56000</v>
      </c>
      <c r="J1502" s="1">
        <f t="shared" si="47"/>
        <v>44967</v>
      </c>
      <c r="K1502">
        <f t="shared" si="46"/>
        <v>37</v>
      </c>
    </row>
    <row r="1503" spans="1:11" x14ac:dyDescent="0.25">
      <c r="A1503">
        <v>13</v>
      </c>
      <c r="B1503" t="s">
        <v>32</v>
      </c>
      <c r="C1503">
        <v>2023</v>
      </c>
      <c r="D1503">
        <v>131.375</v>
      </c>
      <c r="E1503" t="s">
        <v>9</v>
      </c>
      <c r="F1503">
        <v>95</v>
      </c>
      <c r="G1503" s="1">
        <f>DATE(C1503, CHOOSE(MATCH(UPPER(B1503), {"ENERO","FEBRERO","MARZO","ABRIL","MAYO","JUNIO","JULIO","AGOSTO","SEPTIEMBRE","OCTUBRE","NOVIEMBRE","DICIEMBRE"}, 0), 1,2,3,4,5,6,7,8,9,10,11,12), A1503)</f>
        <v>45151</v>
      </c>
      <c r="H1503">
        <v>36.375</v>
      </c>
      <c r="I1503">
        <v>56000</v>
      </c>
      <c r="J1503" s="1">
        <f t="shared" si="47"/>
        <v>44968</v>
      </c>
      <c r="K1503">
        <f t="shared" si="46"/>
        <v>29.625</v>
      </c>
    </row>
    <row r="1504" spans="1:11" x14ac:dyDescent="0.25">
      <c r="A1504">
        <v>14</v>
      </c>
      <c r="B1504" t="s">
        <v>32</v>
      </c>
      <c r="C1504">
        <v>2023</v>
      </c>
      <c r="D1504">
        <v>95</v>
      </c>
      <c r="E1504">
        <v>70</v>
      </c>
      <c r="F1504">
        <v>134.375</v>
      </c>
      <c r="G1504" s="1">
        <f>DATE(C1504, CHOOSE(MATCH(UPPER(B1504), {"ENERO","FEBRERO","MARZO","ABRIL","MAYO","JUNIO","JULIO","AGOSTO","SEPTIEMBRE","OCTUBRE","NOVIEMBRE","DICIEMBRE"}, 0), 1,2,3,4,5,6,7,8,9,10,11,12), A1504)</f>
        <v>45152</v>
      </c>
      <c r="H1504">
        <v>30.625</v>
      </c>
      <c r="I1504">
        <v>56000</v>
      </c>
      <c r="J1504" s="1">
        <f t="shared" si="47"/>
        <v>44969</v>
      </c>
      <c r="K1504">
        <f t="shared" si="46"/>
        <v>31.125</v>
      </c>
    </row>
    <row r="1505" spans="1:11" x14ac:dyDescent="0.25">
      <c r="A1505">
        <v>15</v>
      </c>
      <c r="B1505" t="s">
        <v>32</v>
      </c>
      <c r="C1505">
        <v>2023</v>
      </c>
      <c r="D1505">
        <v>134.375</v>
      </c>
      <c r="E1505">
        <v>-74.25</v>
      </c>
      <c r="F1505">
        <v>54.625</v>
      </c>
      <c r="G1505" s="1">
        <f>DATE(C1505, CHOOSE(MATCH(UPPER(B1505), {"ENERO","FEBRERO","MARZO","ABRIL","MAYO","JUNIO","JULIO","AGOSTO","SEPTIEMBRE","OCTUBRE","NOVIEMBRE","DICIEMBRE"}, 0), 1,2,3,4,5,6,7,8,9,10,11,12), A1505)</f>
        <v>45153</v>
      </c>
      <c r="H1505">
        <v>5.5</v>
      </c>
      <c r="I1505">
        <v>56000</v>
      </c>
      <c r="J1505" s="1">
        <f t="shared" si="47"/>
        <v>44970</v>
      </c>
      <c r="K1505">
        <f t="shared" si="46"/>
        <v>20.125</v>
      </c>
    </row>
    <row r="1506" spans="1:11" x14ac:dyDescent="0.25">
      <c r="A1506">
        <v>16</v>
      </c>
      <c r="B1506" t="s">
        <v>32</v>
      </c>
      <c r="C1506">
        <v>2023</v>
      </c>
      <c r="D1506">
        <v>54.625</v>
      </c>
      <c r="E1506" t="s">
        <v>9</v>
      </c>
      <c r="F1506">
        <v>31.125</v>
      </c>
      <c r="G1506" s="1">
        <f>DATE(C1506, CHOOSE(MATCH(UPPER(B1506), {"ENERO","FEBRERO","MARZO","ABRIL","MAYO","JUNIO","JULIO","AGOSTO","SEPTIEMBRE","OCTUBRE","NOVIEMBRE","DICIEMBRE"}, 0), 1,2,3,4,5,6,7,8,9,10,11,12), A1506)</f>
        <v>45154</v>
      </c>
      <c r="H1506">
        <v>23.5</v>
      </c>
      <c r="I1506">
        <v>56000</v>
      </c>
      <c r="J1506" s="1">
        <f t="shared" si="47"/>
        <v>44971</v>
      </c>
      <c r="K1506">
        <f t="shared" si="46"/>
        <v>21</v>
      </c>
    </row>
    <row r="1507" spans="1:11" x14ac:dyDescent="0.25">
      <c r="A1507">
        <v>17</v>
      </c>
      <c r="B1507" t="s">
        <v>32</v>
      </c>
      <c r="C1507">
        <v>2023</v>
      </c>
      <c r="D1507">
        <v>31.125</v>
      </c>
      <c r="E1507">
        <v>150</v>
      </c>
      <c r="F1507">
        <v>156.375</v>
      </c>
      <c r="G1507" s="1">
        <f>DATE(C1507, CHOOSE(MATCH(UPPER(B1507), {"ENERO","FEBRERO","MARZO","ABRIL","MAYO","JUNIO","JULIO","AGOSTO","SEPTIEMBRE","OCTUBRE","NOVIEMBRE","DICIEMBRE"}, 0), 1,2,3,4,5,6,7,8,9,10,11,12), A1507)</f>
        <v>45155</v>
      </c>
      <c r="H1507">
        <v>24.75</v>
      </c>
      <c r="I1507">
        <v>56000</v>
      </c>
      <c r="J1507" s="1">
        <f t="shared" si="47"/>
        <v>44972</v>
      </c>
      <c r="K1507">
        <f t="shared" si="46"/>
        <v>15.125</v>
      </c>
    </row>
    <row r="1508" spans="1:11" x14ac:dyDescent="0.25">
      <c r="A1508">
        <v>18</v>
      </c>
      <c r="B1508" t="s">
        <v>32</v>
      </c>
      <c r="C1508">
        <v>2023</v>
      </c>
      <c r="D1508">
        <v>156.375</v>
      </c>
      <c r="E1508" t="s">
        <v>9</v>
      </c>
      <c r="F1508">
        <v>122</v>
      </c>
      <c r="G1508" s="1">
        <f>DATE(C1508, CHOOSE(MATCH(UPPER(B1508), {"ENERO","FEBRERO","MARZO","ABRIL","MAYO","JUNIO","JULIO","AGOSTO","SEPTIEMBRE","OCTUBRE","NOVIEMBRE","DICIEMBRE"}, 0), 1,2,3,4,5,6,7,8,9,10,11,12), A1508)</f>
        <v>45156</v>
      </c>
      <c r="H1508">
        <v>34.375</v>
      </c>
      <c r="I1508">
        <v>56000</v>
      </c>
      <c r="J1508" s="1">
        <f t="shared" si="47"/>
        <v>44973</v>
      </c>
      <c r="K1508">
        <f t="shared" si="46"/>
        <v>17.25</v>
      </c>
    </row>
    <row r="1509" spans="1:11" x14ac:dyDescent="0.25">
      <c r="A1509">
        <v>19</v>
      </c>
      <c r="B1509" t="s">
        <v>32</v>
      </c>
      <c r="C1509">
        <v>2023</v>
      </c>
      <c r="D1509">
        <v>122</v>
      </c>
      <c r="E1509">
        <v>60</v>
      </c>
      <c r="F1509">
        <v>157</v>
      </c>
      <c r="G1509" s="1">
        <f>DATE(C1509, CHOOSE(MATCH(UPPER(B1509), {"ENERO","FEBRERO","MARZO","ABRIL","MAYO","JUNIO","JULIO","AGOSTO","SEPTIEMBRE","OCTUBRE","NOVIEMBRE","DICIEMBRE"}, 0), 1,2,3,4,5,6,7,8,9,10,11,12), A1509)</f>
        <v>45157</v>
      </c>
      <c r="H1509">
        <v>25</v>
      </c>
      <c r="I1509">
        <v>56000</v>
      </c>
      <c r="J1509" s="1">
        <f t="shared" si="47"/>
        <v>44974</v>
      </c>
      <c r="K1509">
        <f t="shared" si="46"/>
        <v>27.75</v>
      </c>
    </row>
    <row r="1510" spans="1:11" x14ac:dyDescent="0.25">
      <c r="A1510">
        <v>20</v>
      </c>
      <c r="B1510" t="s">
        <v>32</v>
      </c>
      <c r="C1510">
        <v>2023</v>
      </c>
      <c r="D1510">
        <v>157</v>
      </c>
      <c r="E1510" t="s">
        <v>9</v>
      </c>
      <c r="F1510">
        <v>117.75</v>
      </c>
      <c r="G1510" s="1">
        <f>DATE(C1510, CHOOSE(MATCH(UPPER(B1510), {"ENERO","FEBRERO","MARZO","ABRIL","MAYO","JUNIO","JULIO","AGOSTO","SEPTIEMBRE","OCTUBRE","NOVIEMBRE","DICIEMBRE"}, 0), 1,2,3,4,5,6,7,8,9,10,11,12), A1510)</f>
        <v>45158</v>
      </c>
      <c r="H1510">
        <v>39.25</v>
      </c>
      <c r="I1510">
        <v>56000</v>
      </c>
      <c r="J1510" s="1">
        <f t="shared" si="47"/>
        <v>44975</v>
      </c>
      <c r="K1510">
        <f t="shared" si="46"/>
        <v>40.75</v>
      </c>
    </row>
    <row r="1511" spans="1:11" x14ac:dyDescent="0.25">
      <c r="A1511">
        <v>21</v>
      </c>
      <c r="B1511" t="s">
        <v>32</v>
      </c>
      <c r="C1511">
        <v>2023</v>
      </c>
      <c r="D1511">
        <v>117.75</v>
      </c>
      <c r="E1511">
        <v>80</v>
      </c>
      <c r="F1511">
        <v>174</v>
      </c>
      <c r="G1511" s="1">
        <f>DATE(C1511, CHOOSE(MATCH(UPPER(B1511), {"ENERO","FEBRERO","MARZO","ABRIL","MAYO","JUNIO","JULIO","AGOSTO","SEPTIEMBRE","OCTUBRE","NOVIEMBRE","DICIEMBRE"}, 0), 1,2,3,4,5,6,7,8,9,10,11,12), A1511)</f>
        <v>45159</v>
      </c>
      <c r="H1511">
        <v>23.75</v>
      </c>
      <c r="I1511">
        <v>56000</v>
      </c>
      <c r="J1511" s="1">
        <f t="shared" si="47"/>
        <v>44976</v>
      </c>
      <c r="K1511">
        <f t="shared" si="46"/>
        <v>27</v>
      </c>
    </row>
    <row r="1512" spans="1:11" x14ac:dyDescent="0.25">
      <c r="A1512">
        <v>22</v>
      </c>
      <c r="B1512" t="s">
        <v>32</v>
      </c>
      <c r="C1512">
        <v>2023</v>
      </c>
      <c r="D1512">
        <v>174</v>
      </c>
      <c r="E1512">
        <v>-75.5</v>
      </c>
      <c r="F1512">
        <v>91.75</v>
      </c>
      <c r="G1512" s="1">
        <f>DATE(C1512, CHOOSE(MATCH(UPPER(B1512), {"ENERO","FEBRERO","MARZO","ABRIL","MAYO","JUNIO","JULIO","AGOSTO","SEPTIEMBRE","OCTUBRE","NOVIEMBRE","DICIEMBRE"}, 0), 1,2,3,4,5,6,7,8,9,10,11,12), A1512)</f>
        <v>45160</v>
      </c>
      <c r="H1512">
        <v>6.75</v>
      </c>
      <c r="I1512">
        <v>56000</v>
      </c>
      <c r="J1512" s="1">
        <f t="shared" si="47"/>
        <v>44977</v>
      </c>
      <c r="K1512">
        <f t="shared" si="46"/>
        <v>13.125</v>
      </c>
    </row>
    <row r="1513" spans="1:11" x14ac:dyDescent="0.25">
      <c r="A1513">
        <v>23</v>
      </c>
      <c r="B1513" t="s">
        <v>32</v>
      </c>
      <c r="C1513">
        <v>2023</v>
      </c>
      <c r="D1513">
        <v>91.75</v>
      </c>
      <c r="E1513" t="s">
        <v>9</v>
      </c>
      <c r="F1513">
        <v>62.375</v>
      </c>
      <c r="G1513" s="1">
        <f>DATE(C1513, CHOOSE(MATCH(UPPER(B1513), {"ENERO","FEBRERO","MARZO","ABRIL","MAYO","JUNIO","JULIO","AGOSTO","SEPTIEMBRE","OCTUBRE","NOVIEMBRE","DICIEMBRE"}, 0), 1,2,3,4,5,6,7,8,9,10,11,12), A1513)</f>
        <v>45161</v>
      </c>
      <c r="H1513">
        <v>29.375</v>
      </c>
      <c r="I1513">
        <v>56000</v>
      </c>
      <c r="J1513" s="1">
        <f t="shared" si="47"/>
        <v>44978</v>
      </c>
      <c r="K1513">
        <f t="shared" si="46"/>
        <v>12.5</v>
      </c>
    </row>
    <row r="1514" spans="1:11" x14ac:dyDescent="0.25">
      <c r="A1514">
        <v>24</v>
      </c>
      <c r="B1514" t="s">
        <v>32</v>
      </c>
      <c r="C1514">
        <v>2023</v>
      </c>
      <c r="D1514">
        <v>62.375</v>
      </c>
      <c r="E1514">
        <v>60</v>
      </c>
      <c r="F1514">
        <v>97</v>
      </c>
      <c r="G1514" s="1">
        <f>DATE(C1514, CHOOSE(MATCH(UPPER(B1514), {"ENERO","FEBRERO","MARZO","ABRIL","MAYO","JUNIO","JULIO","AGOSTO","SEPTIEMBRE","OCTUBRE","NOVIEMBRE","DICIEMBRE"}, 0), 1,2,3,4,5,6,7,8,9,10,11,12), A1514)</f>
        <v>45162</v>
      </c>
      <c r="H1514">
        <v>25.375</v>
      </c>
      <c r="I1514">
        <v>56000</v>
      </c>
      <c r="J1514" s="1">
        <f t="shared" si="47"/>
        <v>44979</v>
      </c>
      <c r="K1514">
        <f t="shared" si="46"/>
        <v>11.125</v>
      </c>
    </row>
    <row r="1515" spans="1:11" x14ac:dyDescent="0.25">
      <c r="A1515">
        <v>25</v>
      </c>
      <c r="B1515" t="s">
        <v>32</v>
      </c>
      <c r="C1515">
        <v>2023</v>
      </c>
      <c r="D1515">
        <v>97</v>
      </c>
      <c r="E1515" t="s">
        <v>9</v>
      </c>
      <c r="F1515">
        <v>61.25</v>
      </c>
      <c r="G1515" s="1">
        <f>DATE(C1515, CHOOSE(MATCH(UPPER(B1515), {"ENERO","FEBRERO","MARZO","ABRIL","MAYO","JUNIO","JULIO","AGOSTO","SEPTIEMBRE","OCTUBRE","NOVIEMBRE","DICIEMBRE"}, 0), 1,2,3,4,5,6,7,8,9,10,11,12), A1515)</f>
        <v>45163</v>
      </c>
      <c r="H1515">
        <v>35.75</v>
      </c>
      <c r="I1515">
        <v>56000</v>
      </c>
      <c r="J1515" s="1">
        <f t="shared" si="47"/>
        <v>44980</v>
      </c>
      <c r="K1515">
        <f t="shared" si="46"/>
        <v>18.375</v>
      </c>
    </row>
    <row r="1516" spans="1:11" x14ac:dyDescent="0.25">
      <c r="A1516">
        <v>26</v>
      </c>
      <c r="B1516" t="s">
        <v>32</v>
      </c>
      <c r="C1516">
        <v>2023</v>
      </c>
      <c r="D1516">
        <v>61.25</v>
      </c>
      <c r="E1516">
        <v>70</v>
      </c>
      <c r="F1516">
        <v>97.125</v>
      </c>
      <c r="G1516" s="1">
        <f>DATE(C1516, CHOOSE(MATCH(UPPER(B1516), {"ENERO","FEBRERO","MARZO","ABRIL","MAYO","JUNIO","JULIO","AGOSTO","SEPTIEMBRE","OCTUBRE","NOVIEMBRE","DICIEMBRE"}, 0), 1,2,3,4,5,6,7,8,9,10,11,12), A1516)</f>
        <v>45164</v>
      </c>
      <c r="H1516">
        <v>34.125</v>
      </c>
      <c r="I1516">
        <v>56000</v>
      </c>
      <c r="J1516" s="1">
        <f t="shared" si="47"/>
        <v>44981</v>
      </c>
      <c r="K1516">
        <f t="shared" si="46"/>
        <v>25.625</v>
      </c>
    </row>
    <row r="1517" spans="1:11" x14ac:dyDescent="0.25">
      <c r="A1517">
        <v>27</v>
      </c>
      <c r="B1517" t="s">
        <v>32</v>
      </c>
      <c r="C1517">
        <v>2023</v>
      </c>
      <c r="D1517">
        <v>97.125</v>
      </c>
      <c r="E1517" t="s">
        <v>9</v>
      </c>
      <c r="F1517">
        <v>57.625</v>
      </c>
      <c r="G1517" s="1">
        <f>DATE(C1517, CHOOSE(MATCH(UPPER(B1517), {"ENERO","FEBRERO","MARZO","ABRIL","MAYO","JUNIO","JULIO","AGOSTO","SEPTIEMBRE","OCTUBRE","NOVIEMBRE","DICIEMBRE"}, 0), 1,2,3,4,5,6,7,8,9,10,11,12), A1517)</f>
        <v>45165</v>
      </c>
      <c r="H1517">
        <v>39.5</v>
      </c>
      <c r="I1517">
        <v>56000</v>
      </c>
      <c r="J1517" s="1">
        <f t="shared" si="47"/>
        <v>44982</v>
      </c>
      <c r="K1517">
        <f t="shared" si="46"/>
        <v>35.25</v>
      </c>
    </row>
    <row r="1518" spans="1:11" x14ac:dyDescent="0.25">
      <c r="A1518">
        <v>28</v>
      </c>
      <c r="B1518" t="s">
        <v>32</v>
      </c>
      <c r="C1518">
        <v>2023</v>
      </c>
      <c r="D1518">
        <v>57.625</v>
      </c>
      <c r="E1518">
        <v>100</v>
      </c>
      <c r="F1518">
        <v>138.25</v>
      </c>
      <c r="G1518" s="1">
        <f>DATE(C1518, CHOOSE(MATCH(UPPER(B1518), {"ENERO","FEBRERO","MARZO","ABRIL","MAYO","JUNIO","JULIO","AGOSTO","SEPTIEMBRE","OCTUBRE","NOVIEMBRE","DICIEMBRE"}, 0), 1,2,3,4,5,6,7,8,9,10,11,12), A1518)</f>
        <v>45166</v>
      </c>
      <c r="H1518">
        <v>19.375</v>
      </c>
      <c r="I1518">
        <v>56000</v>
      </c>
      <c r="J1518" s="1">
        <f t="shared" si="47"/>
        <v>44983</v>
      </c>
      <c r="K1518">
        <f t="shared" si="46"/>
        <v>25.875</v>
      </c>
    </row>
    <row r="1519" spans="1:11" x14ac:dyDescent="0.25">
      <c r="A1519">
        <v>29</v>
      </c>
      <c r="B1519" t="s">
        <v>32</v>
      </c>
      <c r="C1519">
        <v>2023</v>
      </c>
      <c r="D1519">
        <v>138.25</v>
      </c>
      <c r="E1519">
        <v>-81.25</v>
      </c>
      <c r="F1519">
        <v>49.875</v>
      </c>
      <c r="G1519" s="1">
        <f>DATE(C1519, CHOOSE(MATCH(UPPER(B1519), {"ENERO","FEBRERO","MARZO","ABRIL","MAYO","JUNIO","JULIO","AGOSTO","SEPTIEMBRE","OCTUBRE","NOVIEMBRE","DICIEMBRE"}, 0), 1,2,3,4,5,6,7,8,9,10,11,12), A1519)</f>
        <v>45167</v>
      </c>
      <c r="H1519">
        <v>7.125</v>
      </c>
      <c r="I1519">
        <v>56000</v>
      </c>
      <c r="J1519" s="1">
        <f t="shared" si="47"/>
        <v>44984</v>
      </c>
      <c r="K1519">
        <f t="shared" si="46"/>
        <v>13.75</v>
      </c>
    </row>
    <row r="1520" spans="1:11" x14ac:dyDescent="0.25">
      <c r="A1520">
        <v>30</v>
      </c>
      <c r="B1520" t="s">
        <v>32</v>
      </c>
      <c r="C1520">
        <v>2023</v>
      </c>
      <c r="D1520">
        <v>49.875</v>
      </c>
      <c r="E1520" t="s">
        <v>9</v>
      </c>
      <c r="F1520">
        <v>28</v>
      </c>
      <c r="G1520" s="1">
        <f>DATE(C1520, CHOOSE(MATCH(UPPER(B1520), {"ENERO","FEBRERO","MARZO","ABRIL","MAYO","JUNIO","JULIO","AGOSTO","SEPTIEMBRE","OCTUBRE","NOVIEMBRE","DICIEMBRE"}, 0), 1,2,3,4,5,6,7,8,9,10,11,12), A1520)</f>
        <v>45168</v>
      </c>
      <c r="H1520">
        <v>21.875</v>
      </c>
      <c r="I1520">
        <v>56000</v>
      </c>
      <c r="J1520" s="1">
        <f t="shared" si="47"/>
        <v>44985</v>
      </c>
      <c r="K1520">
        <f t="shared" si="46"/>
        <v>22.625</v>
      </c>
    </row>
    <row r="1521" spans="1:11" x14ac:dyDescent="0.25">
      <c r="A1521">
        <v>31</v>
      </c>
      <c r="B1521" t="s">
        <v>32</v>
      </c>
      <c r="C1521">
        <v>2023</v>
      </c>
      <c r="D1521">
        <v>28</v>
      </c>
      <c r="E1521">
        <v>100</v>
      </c>
      <c r="F1521">
        <v>101.5</v>
      </c>
      <c r="G1521" s="1">
        <f>DATE(C1521, CHOOSE(MATCH(UPPER(B1521), {"ENERO","FEBRERO","MARZO","ABRIL","MAYO","JUNIO","JULIO","AGOSTO","SEPTIEMBRE","OCTUBRE","NOVIEMBRE","DICIEMBRE"}, 0), 1,2,3,4,5,6,7,8,9,10,11,12), A1521)</f>
        <v>45169</v>
      </c>
      <c r="H1521">
        <v>26.5</v>
      </c>
      <c r="I1521">
        <v>56000</v>
      </c>
      <c r="J1521" s="1">
        <f t="shared" si="47"/>
        <v>44986</v>
      </c>
      <c r="K1521">
        <f t="shared" si="46"/>
        <v>21.625</v>
      </c>
    </row>
    <row r="1522" spans="1:11" x14ac:dyDescent="0.25">
      <c r="J1522" s="1">
        <f t="shared" si="47"/>
        <v>44987</v>
      </c>
      <c r="K1522">
        <f t="shared" si="46"/>
        <v>17.875</v>
      </c>
    </row>
    <row r="1523" spans="1:11" x14ac:dyDescent="0.25">
      <c r="J1523" s="1">
        <f t="shared" si="47"/>
        <v>44988</v>
      </c>
      <c r="K1523">
        <f t="shared" si="46"/>
        <v>29.875</v>
      </c>
    </row>
    <row r="1524" spans="1:11" x14ac:dyDescent="0.25">
      <c r="J1524" s="1">
        <f t="shared" si="47"/>
        <v>44989</v>
      </c>
      <c r="K1524">
        <f t="shared" si="46"/>
        <v>33.625</v>
      </c>
    </row>
    <row r="1525" spans="1:11" x14ac:dyDescent="0.25">
      <c r="J1525" s="1">
        <f t="shared" si="47"/>
        <v>44990</v>
      </c>
      <c r="K1525">
        <f t="shared" si="46"/>
        <v>50.625</v>
      </c>
    </row>
    <row r="1526" spans="1:11" x14ac:dyDescent="0.25">
      <c r="J1526" s="1">
        <f t="shared" si="47"/>
        <v>44991</v>
      </c>
      <c r="K1526">
        <f t="shared" si="46"/>
        <v>11</v>
      </c>
    </row>
    <row r="1527" spans="1:11" x14ac:dyDescent="0.25">
      <c r="J1527" s="1">
        <f t="shared" si="47"/>
        <v>44992</v>
      </c>
      <c r="K1527">
        <f t="shared" si="46"/>
        <v>11.625</v>
      </c>
    </row>
    <row r="1528" spans="1:11" x14ac:dyDescent="0.25">
      <c r="J1528" s="1">
        <f t="shared" si="47"/>
        <v>44993</v>
      </c>
      <c r="K1528">
        <f t="shared" si="46"/>
        <v>23.5</v>
      </c>
    </row>
    <row r="1529" spans="1:11" x14ac:dyDescent="0.25">
      <c r="J1529" s="1">
        <f t="shared" si="47"/>
        <v>44994</v>
      </c>
      <c r="K1529">
        <f t="shared" si="46"/>
        <v>15.875</v>
      </c>
    </row>
    <row r="1530" spans="1:11" x14ac:dyDescent="0.25">
      <c r="J1530" s="1">
        <f t="shared" si="47"/>
        <v>44995</v>
      </c>
      <c r="K1530">
        <f t="shared" si="46"/>
        <v>25.875</v>
      </c>
    </row>
    <row r="1531" spans="1:11" x14ac:dyDescent="0.25">
      <c r="J1531" s="1">
        <f t="shared" si="47"/>
        <v>44996</v>
      </c>
      <c r="K1531">
        <f t="shared" si="46"/>
        <v>38.875</v>
      </c>
    </row>
    <row r="1532" spans="1:11" x14ac:dyDescent="0.25">
      <c r="J1532" s="1">
        <f t="shared" si="47"/>
        <v>44997</v>
      </c>
      <c r="K1532">
        <f t="shared" si="46"/>
        <v>34.75</v>
      </c>
    </row>
    <row r="1533" spans="1:11" x14ac:dyDescent="0.25">
      <c r="J1533" s="1">
        <f t="shared" si="47"/>
        <v>44998</v>
      </c>
      <c r="K1533">
        <f t="shared" si="46"/>
        <v>14.125</v>
      </c>
    </row>
    <row r="1534" spans="1:11" x14ac:dyDescent="0.25">
      <c r="J1534" s="1">
        <f t="shared" si="47"/>
        <v>44999</v>
      </c>
      <c r="K1534">
        <f t="shared" si="46"/>
        <v>15.375</v>
      </c>
    </row>
    <row r="1535" spans="1:11" x14ac:dyDescent="0.25">
      <c r="J1535" s="1">
        <f t="shared" si="47"/>
        <v>45000</v>
      </c>
      <c r="K1535">
        <f t="shared" si="46"/>
        <v>22.875</v>
      </c>
    </row>
    <row r="1536" spans="1:11" x14ac:dyDescent="0.25">
      <c r="J1536" s="1">
        <f t="shared" si="47"/>
        <v>45001</v>
      </c>
      <c r="K1536">
        <f t="shared" si="46"/>
        <v>11</v>
      </c>
    </row>
    <row r="1537" spans="10:11" x14ac:dyDescent="0.25">
      <c r="J1537" s="1">
        <f t="shared" si="47"/>
        <v>45002</v>
      </c>
      <c r="K1537">
        <f t="shared" si="46"/>
        <v>26.5</v>
      </c>
    </row>
    <row r="1538" spans="10:11" x14ac:dyDescent="0.25">
      <c r="J1538" s="1">
        <f t="shared" si="47"/>
        <v>45003</v>
      </c>
      <c r="K1538">
        <f t="shared" si="46"/>
        <v>37.125</v>
      </c>
    </row>
    <row r="1539" spans="10:11" x14ac:dyDescent="0.25">
      <c r="J1539" s="1">
        <f t="shared" si="47"/>
        <v>45004</v>
      </c>
      <c r="K1539">
        <f t="shared" ref="K1539:K1602" si="48">VLOOKUP(J1539, G:H, 2, FALSE)</f>
        <v>34</v>
      </c>
    </row>
    <row r="1540" spans="10:11" x14ac:dyDescent="0.25">
      <c r="J1540" s="1">
        <f t="shared" si="47"/>
        <v>45005</v>
      </c>
      <c r="K1540">
        <f t="shared" si="48"/>
        <v>26.5</v>
      </c>
    </row>
    <row r="1541" spans="10:11" x14ac:dyDescent="0.25">
      <c r="J1541" s="1">
        <f t="shared" ref="J1541:J1604" si="49">DATE(2019,1,1) + ROW()-1</f>
        <v>45006</v>
      </c>
      <c r="K1541">
        <f t="shared" si="48"/>
        <v>8.5</v>
      </c>
    </row>
    <row r="1542" spans="10:11" x14ac:dyDescent="0.25">
      <c r="J1542" s="1">
        <f t="shared" si="49"/>
        <v>45007</v>
      </c>
      <c r="K1542">
        <f t="shared" si="48"/>
        <v>9</v>
      </c>
    </row>
    <row r="1543" spans="10:11" x14ac:dyDescent="0.25">
      <c r="J1543" s="1">
        <f t="shared" si="49"/>
        <v>45008</v>
      </c>
      <c r="K1543">
        <f t="shared" si="48"/>
        <v>12.5</v>
      </c>
    </row>
    <row r="1544" spans="10:11" x14ac:dyDescent="0.25">
      <c r="J1544" s="1">
        <f t="shared" si="49"/>
        <v>45009</v>
      </c>
      <c r="K1544">
        <f t="shared" si="48"/>
        <v>25.625</v>
      </c>
    </row>
    <row r="1545" spans="10:11" x14ac:dyDescent="0.25">
      <c r="J1545" s="1">
        <f t="shared" si="49"/>
        <v>45010</v>
      </c>
      <c r="K1545">
        <f t="shared" si="48"/>
        <v>42.75</v>
      </c>
    </row>
    <row r="1546" spans="10:11" x14ac:dyDescent="0.25">
      <c r="J1546" s="1">
        <f t="shared" si="49"/>
        <v>45011</v>
      </c>
      <c r="K1546">
        <f t="shared" si="48"/>
        <v>30.25</v>
      </c>
    </row>
    <row r="1547" spans="10:11" x14ac:dyDescent="0.25">
      <c r="J1547" s="1">
        <f t="shared" si="49"/>
        <v>45012</v>
      </c>
      <c r="K1547">
        <f t="shared" si="48"/>
        <v>16.375</v>
      </c>
    </row>
    <row r="1548" spans="10:11" x14ac:dyDescent="0.25">
      <c r="J1548" s="1">
        <f t="shared" si="49"/>
        <v>45013</v>
      </c>
      <c r="K1548">
        <f t="shared" si="48"/>
        <v>14</v>
      </c>
    </row>
    <row r="1549" spans="10:11" x14ac:dyDescent="0.25">
      <c r="J1549" s="1">
        <f t="shared" si="49"/>
        <v>45014</v>
      </c>
      <c r="K1549">
        <f t="shared" si="48"/>
        <v>13</v>
      </c>
    </row>
    <row r="1550" spans="10:11" x14ac:dyDescent="0.25">
      <c r="J1550" s="1">
        <f t="shared" si="49"/>
        <v>45015</v>
      </c>
      <c r="K1550">
        <f t="shared" si="48"/>
        <v>21.375</v>
      </c>
    </row>
    <row r="1551" spans="10:11" x14ac:dyDescent="0.25">
      <c r="J1551" s="1">
        <f t="shared" si="49"/>
        <v>45016</v>
      </c>
      <c r="K1551">
        <f t="shared" si="48"/>
        <v>35</v>
      </c>
    </row>
    <row r="1552" spans="10:11" x14ac:dyDescent="0.25">
      <c r="J1552" s="1">
        <f t="shared" si="49"/>
        <v>45017</v>
      </c>
      <c r="K1552" t="e">
        <f t="shared" si="48"/>
        <v>#N/A</v>
      </c>
    </row>
    <row r="1553" spans="10:11" x14ac:dyDescent="0.25">
      <c r="J1553" s="1">
        <f t="shared" si="49"/>
        <v>45018</v>
      </c>
      <c r="K1553" t="e">
        <f t="shared" si="48"/>
        <v>#N/A</v>
      </c>
    </row>
    <row r="1554" spans="10:11" x14ac:dyDescent="0.25">
      <c r="J1554" s="1">
        <f t="shared" si="49"/>
        <v>45019</v>
      </c>
      <c r="K1554" t="e">
        <f t="shared" si="48"/>
        <v>#N/A</v>
      </c>
    </row>
    <row r="1555" spans="10:11" x14ac:dyDescent="0.25">
      <c r="J1555" s="1">
        <f t="shared" si="49"/>
        <v>45020</v>
      </c>
      <c r="K1555" t="e">
        <f t="shared" si="48"/>
        <v>#N/A</v>
      </c>
    </row>
    <row r="1556" spans="10:11" x14ac:dyDescent="0.25">
      <c r="J1556" s="1">
        <f t="shared" si="49"/>
        <v>45021</v>
      </c>
      <c r="K1556" t="e">
        <f t="shared" si="48"/>
        <v>#N/A</v>
      </c>
    </row>
    <row r="1557" spans="10:11" x14ac:dyDescent="0.25">
      <c r="J1557" s="1">
        <f t="shared" si="49"/>
        <v>45022</v>
      </c>
      <c r="K1557" t="e">
        <f t="shared" si="48"/>
        <v>#N/A</v>
      </c>
    </row>
    <row r="1558" spans="10:11" x14ac:dyDescent="0.25">
      <c r="J1558" s="1">
        <f t="shared" si="49"/>
        <v>45023</v>
      </c>
      <c r="K1558" t="e">
        <f t="shared" si="48"/>
        <v>#N/A</v>
      </c>
    </row>
    <row r="1559" spans="10:11" x14ac:dyDescent="0.25">
      <c r="J1559" s="1">
        <f t="shared" si="49"/>
        <v>45024</v>
      </c>
      <c r="K1559" t="e">
        <f t="shared" si="48"/>
        <v>#N/A</v>
      </c>
    </row>
    <row r="1560" spans="10:11" x14ac:dyDescent="0.25">
      <c r="J1560" s="1">
        <f t="shared" si="49"/>
        <v>45025</v>
      </c>
      <c r="K1560" t="e">
        <f t="shared" si="48"/>
        <v>#N/A</v>
      </c>
    </row>
    <row r="1561" spans="10:11" x14ac:dyDescent="0.25">
      <c r="J1561" s="1">
        <f t="shared" si="49"/>
        <v>45026</v>
      </c>
      <c r="K1561" t="e">
        <f t="shared" si="48"/>
        <v>#N/A</v>
      </c>
    </row>
    <row r="1562" spans="10:11" x14ac:dyDescent="0.25">
      <c r="J1562" s="1">
        <f t="shared" si="49"/>
        <v>45027</v>
      </c>
      <c r="K1562" t="e">
        <f t="shared" si="48"/>
        <v>#N/A</v>
      </c>
    </row>
    <row r="1563" spans="10:11" x14ac:dyDescent="0.25">
      <c r="J1563" s="1">
        <f t="shared" si="49"/>
        <v>45028</v>
      </c>
      <c r="K1563" t="e">
        <f t="shared" si="48"/>
        <v>#N/A</v>
      </c>
    </row>
    <row r="1564" spans="10:11" x14ac:dyDescent="0.25">
      <c r="J1564" s="1">
        <f t="shared" si="49"/>
        <v>45029</v>
      </c>
      <c r="K1564" t="e">
        <f t="shared" si="48"/>
        <v>#N/A</v>
      </c>
    </row>
    <row r="1565" spans="10:11" x14ac:dyDescent="0.25">
      <c r="J1565" s="1">
        <f t="shared" si="49"/>
        <v>45030</v>
      </c>
      <c r="K1565" t="e">
        <f t="shared" si="48"/>
        <v>#N/A</v>
      </c>
    </row>
    <row r="1566" spans="10:11" x14ac:dyDescent="0.25">
      <c r="J1566" s="1">
        <f t="shared" si="49"/>
        <v>45031</v>
      </c>
      <c r="K1566" t="e">
        <f t="shared" si="48"/>
        <v>#N/A</v>
      </c>
    </row>
    <row r="1567" spans="10:11" x14ac:dyDescent="0.25">
      <c r="J1567" s="1">
        <f t="shared" si="49"/>
        <v>45032</v>
      </c>
      <c r="K1567" t="e">
        <f t="shared" si="48"/>
        <v>#N/A</v>
      </c>
    </row>
    <row r="1568" spans="10:11" x14ac:dyDescent="0.25">
      <c r="J1568" s="1">
        <f t="shared" si="49"/>
        <v>45033</v>
      </c>
      <c r="K1568" t="e">
        <f t="shared" si="48"/>
        <v>#N/A</v>
      </c>
    </row>
    <row r="1569" spans="10:11" x14ac:dyDescent="0.25">
      <c r="J1569" s="1">
        <f t="shared" si="49"/>
        <v>45034</v>
      </c>
      <c r="K1569" t="e">
        <f t="shared" si="48"/>
        <v>#N/A</v>
      </c>
    </row>
    <row r="1570" spans="10:11" x14ac:dyDescent="0.25">
      <c r="J1570" s="1">
        <f t="shared" si="49"/>
        <v>45035</v>
      </c>
      <c r="K1570" t="e">
        <f t="shared" si="48"/>
        <v>#N/A</v>
      </c>
    </row>
    <row r="1571" spans="10:11" x14ac:dyDescent="0.25">
      <c r="J1571" s="1">
        <f t="shared" si="49"/>
        <v>45036</v>
      </c>
      <c r="K1571" t="e">
        <f t="shared" si="48"/>
        <v>#N/A</v>
      </c>
    </row>
    <row r="1572" spans="10:11" x14ac:dyDescent="0.25">
      <c r="J1572" s="1">
        <f t="shared" si="49"/>
        <v>45037</v>
      </c>
      <c r="K1572" t="e">
        <f t="shared" si="48"/>
        <v>#N/A</v>
      </c>
    </row>
    <row r="1573" spans="10:11" x14ac:dyDescent="0.25">
      <c r="J1573" s="1">
        <f t="shared" si="49"/>
        <v>45038</v>
      </c>
      <c r="K1573" t="e">
        <f t="shared" si="48"/>
        <v>#N/A</v>
      </c>
    </row>
    <row r="1574" spans="10:11" x14ac:dyDescent="0.25">
      <c r="J1574" s="1">
        <f t="shared" si="49"/>
        <v>45039</v>
      </c>
      <c r="K1574" t="e">
        <f t="shared" si="48"/>
        <v>#N/A</v>
      </c>
    </row>
    <row r="1575" spans="10:11" x14ac:dyDescent="0.25">
      <c r="J1575" s="1">
        <f t="shared" si="49"/>
        <v>45040</v>
      </c>
      <c r="K1575" t="e">
        <f t="shared" si="48"/>
        <v>#N/A</v>
      </c>
    </row>
    <row r="1576" spans="10:11" x14ac:dyDescent="0.25">
      <c r="J1576" s="1">
        <f t="shared" si="49"/>
        <v>45041</v>
      </c>
      <c r="K1576" t="e">
        <f t="shared" si="48"/>
        <v>#N/A</v>
      </c>
    </row>
    <row r="1577" spans="10:11" x14ac:dyDescent="0.25">
      <c r="J1577" s="1">
        <f t="shared" si="49"/>
        <v>45042</v>
      </c>
      <c r="K1577" t="e">
        <f t="shared" si="48"/>
        <v>#N/A</v>
      </c>
    </row>
    <row r="1578" spans="10:11" x14ac:dyDescent="0.25">
      <c r="J1578" s="1">
        <f t="shared" si="49"/>
        <v>45043</v>
      </c>
      <c r="K1578" t="e">
        <f t="shared" si="48"/>
        <v>#N/A</v>
      </c>
    </row>
    <row r="1579" spans="10:11" x14ac:dyDescent="0.25">
      <c r="J1579" s="1">
        <f t="shared" si="49"/>
        <v>45044</v>
      </c>
      <c r="K1579" t="e">
        <f t="shared" si="48"/>
        <v>#N/A</v>
      </c>
    </row>
    <row r="1580" spans="10:11" x14ac:dyDescent="0.25">
      <c r="J1580" s="1">
        <f t="shared" si="49"/>
        <v>45045</v>
      </c>
      <c r="K1580" t="e">
        <f t="shared" si="48"/>
        <v>#N/A</v>
      </c>
    </row>
    <row r="1581" spans="10:11" x14ac:dyDescent="0.25">
      <c r="J1581" s="1">
        <f t="shared" si="49"/>
        <v>45046</v>
      </c>
      <c r="K1581" t="e">
        <f t="shared" si="48"/>
        <v>#N/A</v>
      </c>
    </row>
    <row r="1582" spans="10:11" x14ac:dyDescent="0.25">
      <c r="J1582" s="1">
        <f t="shared" si="49"/>
        <v>45047</v>
      </c>
      <c r="K1582">
        <f t="shared" si="48"/>
        <v>39.625</v>
      </c>
    </row>
    <row r="1583" spans="10:11" x14ac:dyDescent="0.25">
      <c r="J1583" s="1">
        <f t="shared" si="49"/>
        <v>45048</v>
      </c>
      <c r="K1583">
        <f t="shared" si="48"/>
        <v>23</v>
      </c>
    </row>
    <row r="1584" spans="10:11" x14ac:dyDescent="0.25">
      <c r="J1584" s="1">
        <f t="shared" si="49"/>
        <v>45049</v>
      </c>
      <c r="K1584">
        <f t="shared" si="48"/>
        <v>19.5</v>
      </c>
    </row>
    <row r="1585" spans="10:11" x14ac:dyDescent="0.25">
      <c r="J1585" s="1">
        <f t="shared" si="49"/>
        <v>45050</v>
      </c>
      <c r="K1585">
        <f t="shared" si="48"/>
        <v>21.75</v>
      </c>
    </row>
    <row r="1586" spans="10:11" x14ac:dyDescent="0.25">
      <c r="J1586" s="1">
        <f t="shared" si="49"/>
        <v>45051</v>
      </c>
      <c r="K1586">
        <f t="shared" si="48"/>
        <v>28.5</v>
      </c>
    </row>
    <row r="1587" spans="10:11" x14ac:dyDescent="0.25">
      <c r="J1587" s="1">
        <f t="shared" si="49"/>
        <v>45052</v>
      </c>
      <c r="K1587">
        <f t="shared" si="48"/>
        <v>41.25</v>
      </c>
    </row>
    <row r="1588" spans="10:11" x14ac:dyDescent="0.25">
      <c r="J1588" s="1">
        <f t="shared" si="49"/>
        <v>45053</v>
      </c>
      <c r="K1588">
        <f t="shared" si="48"/>
        <v>32</v>
      </c>
    </row>
    <row r="1589" spans="10:11" x14ac:dyDescent="0.25">
      <c r="J1589" s="1">
        <f t="shared" si="49"/>
        <v>45054</v>
      </c>
      <c r="K1589">
        <f t="shared" si="48"/>
        <v>14.875</v>
      </c>
    </row>
    <row r="1590" spans="10:11" x14ac:dyDescent="0.25">
      <c r="J1590" s="1">
        <f t="shared" si="49"/>
        <v>45055</v>
      </c>
      <c r="K1590">
        <f t="shared" si="48"/>
        <v>4.375</v>
      </c>
    </row>
    <row r="1591" spans="10:11" x14ac:dyDescent="0.25">
      <c r="J1591" s="1">
        <f t="shared" si="49"/>
        <v>45056</v>
      </c>
      <c r="K1591">
        <f t="shared" si="48"/>
        <v>16</v>
      </c>
    </row>
    <row r="1592" spans="10:11" x14ac:dyDescent="0.25">
      <c r="J1592" s="1">
        <f t="shared" si="49"/>
        <v>45057</v>
      </c>
      <c r="K1592">
        <f t="shared" si="48"/>
        <v>14.5</v>
      </c>
    </row>
    <row r="1593" spans="10:11" x14ac:dyDescent="0.25">
      <c r="J1593" s="1">
        <f t="shared" si="49"/>
        <v>45058</v>
      </c>
      <c r="K1593">
        <f t="shared" si="48"/>
        <v>40.875</v>
      </c>
    </row>
    <row r="1594" spans="10:11" x14ac:dyDescent="0.25">
      <c r="J1594" s="1">
        <f t="shared" si="49"/>
        <v>45059</v>
      </c>
      <c r="K1594">
        <f t="shared" si="48"/>
        <v>42</v>
      </c>
    </row>
    <row r="1595" spans="10:11" x14ac:dyDescent="0.25">
      <c r="J1595" s="1">
        <f t="shared" si="49"/>
        <v>45060</v>
      </c>
      <c r="K1595">
        <f t="shared" si="48"/>
        <v>39.625</v>
      </c>
    </row>
    <row r="1596" spans="10:11" x14ac:dyDescent="0.25">
      <c r="J1596" s="1">
        <f t="shared" si="49"/>
        <v>45061</v>
      </c>
      <c r="K1596">
        <f t="shared" si="48"/>
        <v>21.875</v>
      </c>
    </row>
    <row r="1597" spans="10:11" x14ac:dyDescent="0.25">
      <c r="J1597" s="1">
        <f t="shared" si="49"/>
        <v>45062</v>
      </c>
      <c r="K1597">
        <f t="shared" si="48"/>
        <v>6.25</v>
      </c>
    </row>
    <row r="1598" spans="10:11" x14ac:dyDescent="0.25">
      <c r="J1598" s="1">
        <f t="shared" si="49"/>
        <v>45063</v>
      </c>
      <c r="K1598">
        <f t="shared" si="48"/>
        <v>20.875</v>
      </c>
    </row>
    <row r="1599" spans="10:11" x14ac:dyDescent="0.25">
      <c r="J1599" s="1">
        <f t="shared" si="49"/>
        <v>45064</v>
      </c>
      <c r="K1599">
        <f t="shared" si="48"/>
        <v>29.625</v>
      </c>
    </row>
    <row r="1600" spans="10:11" x14ac:dyDescent="0.25">
      <c r="J1600" s="1">
        <f t="shared" si="49"/>
        <v>45065</v>
      </c>
      <c r="K1600">
        <f t="shared" si="48"/>
        <v>21.125</v>
      </c>
    </row>
    <row r="1601" spans="10:11" x14ac:dyDescent="0.25">
      <c r="J1601" s="1">
        <f t="shared" si="49"/>
        <v>45066</v>
      </c>
      <c r="K1601">
        <f t="shared" si="48"/>
        <v>42.75</v>
      </c>
    </row>
    <row r="1602" spans="10:11" x14ac:dyDescent="0.25">
      <c r="J1602" s="1">
        <f t="shared" si="49"/>
        <v>45067</v>
      </c>
      <c r="K1602">
        <f t="shared" si="48"/>
        <v>47.75</v>
      </c>
    </row>
    <row r="1603" spans="10:11" x14ac:dyDescent="0.25">
      <c r="J1603" s="1">
        <f t="shared" si="49"/>
        <v>45068</v>
      </c>
      <c r="K1603">
        <f t="shared" ref="K1603:K1666" si="50">VLOOKUP(J1603, G:H, 2, FALSE)</f>
        <v>26</v>
      </c>
    </row>
    <row r="1604" spans="10:11" x14ac:dyDescent="0.25">
      <c r="J1604" s="1">
        <f t="shared" si="49"/>
        <v>45069</v>
      </c>
      <c r="K1604">
        <f t="shared" si="50"/>
        <v>6.25</v>
      </c>
    </row>
    <row r="1605" spans="10:11" x14ac:dyDescent="0.25">
      <c r="J1605" s="1">
        <f t="shared" ref="J1605:J1668" si="51">DATE(2019,1,1) + ROW()-1</f>
        <v>45070</v>
      </c>
      <c r="K1605">
        <f t="shared" si="50"/>
        <v>25.625</v>
      </c>
    </row>
    <row r="1606" spans="10:11" x14ac:dyDescent="0.25">
      <c r="J1606" s="1">
        <f t="shared" si="51"/>
        <v>45071</v>
      </c>
      <c r="K1606">
        <f t="shared" si="50"/>
        <v>26.75</v>
      </c>
    </row>
    <row r="1607" spans="10:11" x14ac:dyDescent="0.25">
      <c r="J1607" s="1">
        <f t="shared" si="51"/>
        <v>45072</v>
      </c>
      <c r="K1607">
        <f t="shared" si="50"/>
        <v>38.25</v>
      </c>
    </row>
    <row r="1608" spans="10:11" x14ac:dyDescent="0.25">
      <c r="J1608" s="1">
        <f t="shared" si="51"/>
        <v>45073</v>
      </c>
      <c r="K1608">
        <f t="shared" si="50"/>
        <v>41.25</v>
      </c>
    </row>
    <row r="1609" spans="10:11" x14ac:dyDescent="0.25">
      <c r="J1609" s="1">
        <f t="shared" si="51"/>
        <v>45074</v>
      </c>
      <c r="K1609">
        <f t="shared" si="50"/>
        <v>40.875</v>
      </c>
    </row>
    <row r="1610" spans="10:11" x14ac:dyDescent="0.25">
      <c r="J1610" s="1">
        <f t="shared" si="51"/>
        <v>45075</v>
      </c>
      <c r="K1610">
        <f t="shared" si="50"/>
        <v>20.75</v>
      </c>
    </row>
    <row r="1611" spans="10:11" x14ac:dyDescent="0.25">
      <c r="J1611" s="1">
        <f t="shared" si="51"/>
        <v>45076</v>
      </c>
      <c r="K1611">
        <f t="shared" si="50"/>
        <v>7</v>
      </c>
    </row>
    <row r="1612" spans="10:11" x14ac:dyDescent="0.25">
      <c r="J1612" s="1">
        <f t="shared" si="51"/>
        <v>45077</v>
      </c>
      <c r="K1612">
        <f t="shared" si="50"/>
        <v>21.125</v>
      </c>
    </row>
    <row r="1613" spans="10:11" x14ac:dyDescent="0.25">
      <c r="J1613" s="1">
        <f t="shared" si="51"/>
        <v>45078</v>
      </c>
      <c r="K1613">
        <f t="shared" si="50"/>
        <v>26.875</v>
      </c>
    </row>
    <row r="1614" spans="10:11" x14ac:dyDescent="0.25">
      <c r="J1614" s="1">
        <f t="shared" si="51"/>
        <v>45079</v>
      </c>
      <c r="K1614">
        <f t="shared" si="50"/>
        <v>32.625</v>
      </c>
    </row>
    <row r="1615" spans="10:11" x14ac:dyDescent="0.25">
      <c r="J1615" s="1">
        <f t="shared" si="51"/>
        <v>45080</v>
      </c>
      <c r="K1615">
        <f t="shared" si="50"/>
        <v>51.375</v>
      </c>
    </row>
    <row r="1616" spans="10:11" x14ac:dyDescent="0.25">
      <c r="J1616" s="1">
        <f t="shared" si="51"/>
        <v>45081</v>
      </c>
      <c r="K1616">
        <f t="shared" si="50"/>
        <v>42.375</v>
      </c>
    </row>
    <row r="1617" spans="10:11" x14ac:dyDescent="0.25">
      <c r="J1617" s="1">
        <f t="shared" si="51"/>
        <v>45082</v>
      </c>
      <c r="K1617">
        <f t="shared" si="50"/>
        <v>15.75</v>
      </c>
    </row>
    <row r="1618" spans="10:11" x14ac:dyDescent="0.25">
      <c r="J1618" s="1">
        <f t="shared" si="51"/>
        <v>45083</v>
      </c>
      <c r="K1618">
        <f t="shared" si="50"/>
        <v>22.875</v>
      </c>
    </row>
    <row r="1619" spans="10:11" x14ac:dyDescent="0.25">
      <c r="J1619" s="1">
        <f t="shared" si="51"/>
        <v>45084</v>
      </c>
      <c r="K1619">
        <f t="shared" si="50"/>
        <v>24.375</v>
      </c>
    </row>
    <row r="1620" spans="10:11" x14ac:dyDescent="0.25">
      <c r="J1620" s="1">
        <f t="shared" si="51"/>
        <v>45085</v>
      </c>
      <c r="K1620">
        <f t="shared" si="50"/>
        <v>28.25</v>
      </c>
    </row>
    <row r="1621" spans="10:11" x14ac:dyDescent="0.25">
      <c r="J1621" s="1">
        <f t="shared" si="51"/>
        <v>45086</v>
      </c>
      <c r="K1621">
        <f t="shared" si="50"/>
        <v>34.625</v>
      </c>
    </row>
    <row r="1622" spans="10:11" x14ac:dyDescent="0.25">
      <c r="J1622" s="1">
        <f t="shared" si="51"/>
        <v>45087</v>
      </c>
      <c r="K1622">
        <f t="shared" si="50"/>
        <v>40.375</v>
      </c>
    </row>
    <row r="1623" spans="10:11" x14ac:dyDescent="0.25">
      <c r="J1623" s="1">
        <f t="shared" si="51"/>
        <v>45088</v>
      </c>
      <c r="K1623">
        <f t="shared" si="50"/>
        <v>43.375</v>
      </c>
    </row>
    <row r="1624" spans="10:11" x14ac:dyDescent="0.25">
      <c r="J1624" s="1">
        <f t="shared" si="51"/>
        <v>45089</v>
      </c>
      <c r="K1624">
        <f t="shared" si="50"/>
        <v>28.875</v>
      </c>
    </row>
    <row r="1625" spans="10:11" x14ac:dyDescent="0.25">
      <c r="J1625" s="1">
        <f t="shared" si="51"/>
        <v>45090</v>
      </c>
      <c r="K1625">
        <f t="shared" si="50"/>
        <v>23.75</v>
      </c>
    </row>
    <row r="1626" spans="10:11" x14ac:dyDescent="0.25">
      <c r="J1626" s="1">
        <f t="shared" si="51"/>
        <v>45091</v>
      </c>
      <c r="K1626">
        <f t="shared" si="50"/>
        <v>24.375</v>
      </c>
    </row>
    <row r="1627" spans="10:11" x14ac:dyDescent="0.25">
      <c r="J1627" s="1">
        <f t="shared" si="51"/>
        <v>45092</v>
      </c>
      <c r="K1627">
        <f t="shared" si="50"/>
        <v>32.125</v>
      </c>
    </row>
    <row r="1628" spans="10:11" x14ac:dyDescent="0.25">
      <c r="J1628" s="1">
        <f t="shared" si="51"/>
        <v>45093</v>
      </c>
      <c r="K1628">
        <f t="shared" si="50"/>
        <v>34.875</v>
      </c>
    </row>
    <row r="1629" spans="10:11" x14ac:dyDescent="0.25">
      <c r="J1629" s="1">
        <f t="shared" si="51"/>
        <v>45094</v>
      </c>
      <c r="K1629">
        <f t="shared" si="50"/>
        <v>44</v>
      </c>
    </row>
    <row r="1630" spans="10:11" x14ac:dyDescent="0.25">
      <c r="J1630" s="1">
        <f t="shared" si="51"/>
        <v>45095</v>
      </c>
      <c r="K1630">
        <f t="shared" si="50"/>
        <v>33.875</v>
      </c>
    </row>
    <row r="1631" spans="10:11" x14ac:dyDescent="0.25">
      <c r="J1631" s="1">
        <f t="shared" si="51"/>
        <v>45096</v>
      </c>
      <c r="K1631">
        <f t="shared" si="50"/>
        <v>33.625</v>
      </c>
    </row>
    <row r="1632" spans="10:11" x14ac:dyDescent="0.25">
      <c r="J1632" s="1">
        <f t="shared" si="51"/>
        <v>45097</v>
      </c>
      <c r="K1632">
        <f t="shared" si="50"/>
        <v>19.125</v>
      </c>
    </row>
    <row r="1633" spans="10:11" x14ac:dyDescent="0.25">
      <c r="J1633" s="1">
        <f t="shared" si="51"/>
        <v>45098</v>
      </c>
      <c r="K1633">
        <f t="shared" si="50"/>
        <v>24.375</v>
      </c>
    </row>
    <row r="1634" spans="10:11" x14ac:dyDescent="0.25">
      <c r="J1634" s="1">
        <f t="shared" si="51"/>
        <v>45099</v>
      </c>
      <c r="K1634">
        <f t="shared" si="50"/>
        <v>24.5</v>
      </c>
    </row>
    <row r="1635" spans="10:11" x14ac:dyDescent="0.25">
      <c r="J1635" s="1">
        <f t="shared" si="51"/>
        <v>45100</v>
      </c>
      <c r="K1635">
        <f t="shared" si="50"/>
        <v>36</v>
      </c>
    </row>
    <row r="1636" spans="10:11" x14ac:dyDescent="0.25">
      <c r="J1636" s="1">
        <f t="shared" si="51"/>
        <v>45101</v>
      </c>
      <c r="K1636">
        <f t="shared" si="50"/>
        <v>44.5</v>
      </c>
    </row>
    <row r="1637" spans="10:11" x14ac:dyDescent="0.25">
      <c r="J1637" s="1">
        <f t="shared" si="51"/>
        <v>45102</v>
      </c>
      <c r="K1637">
        <f t="shared" si="50"/>
        <v>31.125</v>
      </c>
    </row>
    <row r="1638" spans="10:11" x14ac:dyDescent="0.25">
      <c r="J1638" s="1">
        <f t="shared" si="51"/>
        <v>45103</v>
      </c>
      <c r="K1638">
        <f t="shared" si="50"/>
        <v>16.625</v>
      </c>
    </row>
    <row r="1639" spans="10:11" x14ac:dyDescent="0.25">
      <c r="J1639" s="1">
        <f t="shared" si="51"/>
        <v>45104</v>
      </c>
      <c r="K1639">
        <f t="shared" si="50"/>
        <v>20.25</v>
      </c>
    </row>
    <row r="1640" spans="10:11" x14ac:dyDescent="0.25">
      <c r="J1640" s="1">
        <f t="shared" si="51"/>
        <v>45105</v>
      </c>
      <c r="K1640">
        <f t="shared" si="50"/>
        <v>26.375</v>
      </c>
    </row>
    <row r="1641" spans="10:11" x14ac:dyDescent="0.25">
      <c r="J1641" s="1">
        <f t="shared" si="51"/>
        <v>45106</v>
      </c>
      <c r="K1641">
        <f t="shared" si="50"/>
        <v>42</v>
      </c>
    </row>
    <row r="1642" spans="10:11" x14ac:dyDescent="0.25">
      <c r="J1642" s="1">
        <f t="shared" si="51"/>
        <v>45107</v>
      </c>
      <c r="K1642">
        <f t="shared" si="50"/>
        <v>47.625</v>
      </c>
    </row>
    <row r="1643" spans="10:11" x14ac:dyDescent="0.25">
      <c r="J1643" s="1">
        <f t="shared" si="51"/>
        <v>45108</v>
      </c>
      <c r="K1643">
        <f t="shared" si="50"/>
        <v>16.25</v>
      </c>
    </row>
    <row r="1644" spans="10:11" x14ac:dyDescent="0.25">
      <c r="J1644" s="1">
        <f t="shared" si="51"/>
        <v>45109</v>
      </c>
      <c r="K1644" t="e">
        <f t="shared" si="50"/>
        <v>#N/A</v>
      </c>
    </row>
    <row r="1645" spans="10:11" x14ac:dyDescent="0.25">
      <c r="J1645" s="1">
        <f t="shared" si="51"/>
        <v>45110</v>
      </c>
      <c r="K1645" t="e">
        <f t="shared" si="50"/>
        <v>#N/A</v>
      </c>
    </row>
    <row r="1646" spans="10:11" x14ac:dyDescent="0.25">
      <c r="J1646" s="1">
        <f t="shared" si="51"/>
        <v>45111</v>
      </c>
      <c r="K1646" t="e">
        <f t="shared" si="50"/>
        <v>#N/A</v>
      </c>
    </row>
    <row r="1647" spans="10:11" x14ac:dyDescent="0.25">
      <c r="J1647" s="1">
        <f t="shared" si="51"/>
        <v>45112</v>
      </c>
      <c r="K1647" t="e">
        <f t="shared" si="50"/>
        <v>#N/A</v>
      </c>
    </row>
    <row r="1648" spans="10:11" x14ac:dyDescent="0.25">
      <c r="J1648" s="1">
        <f t="shared" si="51"/>
        <v>45113</v>
      </c>
      <c r="K1648" t="e">
        <f t="shared" si="50"/>
        <v>#N/A</v>
      </c>
    </row>
    <row r="1649" spans="10:11" x14ac:dyDescent="0.25">
      <c r="J1649" s="1">
        <f t="shared" si="51"/>
        <v>45114</v>
      </c>
      <c r="K1649" t="e">
        <f t="shared" si="50"/>
        <v>#N/A</v>
      </c>
    </row>
    <row r="1650" spans="10:11" x14ac:dyDescent="0.25">
      <c r="J1650" s="1">
        <f t="shared" si="51"/>
        <v>45115</v>
      </c>
      <c r="K1650" t="e">
        <f t="shared" si="50"/>
        <v>#N/A</v>
      </c>
    </row>
    <row r="1651" spans="10:11" x14ac:dyDescent="0.25">
      <c r="J1651" s="1">
        <f t="shared" si="51"/>
        <v>45116</v>
      </c>
      <c r="K1651" t="e">
        <f t="shared" si="50"/>
        <v>#N/A</v>
      </c>
    </row>
    <row r="1652" spans="10:11" x14ac:dyDescent="0.25">
      <c r="J1652" s="1">
        <f t="shared" si="51"/>
        <v>45117</v>
      </c>
      <c r="K1652" t="e">
        <f t="shared" si="50"/>
        <v>#N/A</v>
      </c>
    </row>
    <row r="1653" spans="10:11" x14ac:dyDescent="0.25">
      <c r="J1653" s="1">
        <f t="shared" si="51"/>
        <v>45118</v>
      </c>
      <c r="K1653" t="e">
        <f t="shared" si="50"/>
        <v>#N/A</v>
      </c>
    </row>
    <row r="1654" spans="10:11" x14ac:dyDescent="0.25">
      <c r="J1654" s="1">
        <f t="shared" si="51"/>
        <v>45119</v>
      </c>
      <c r="K1654" t="e">
        <f t="shared" si="50"/>
        <v>#N/A</v>
      </c>
    </row>
    <row r="1655" spans="10:11" x14ac:dyDescent="0.25">
      <c r="J1655" s="1">
        <f t="shared" si="51"/>
        <v>45120</v>
      </c>
      <c r="K1655" t="e">
        <f t="shared" si="50"/>
        <v>#N/A</v>
      </c>
    </row>
    <row r="1656" spans="10:11" x14ac:dyDescent="0.25">
      <c r="J1656" s="1">
        <f t="shared" si="51"/>
        <v>45121</v>
      </c>
      <c r="K1656" t="e">
        <f t="shared" si="50"/>
        <v>#N/A</v>
      </c>
    </row>
    <row r="1657" spans="10:11" x14ac:dyDescent="0.25">
      <c r="J1657" s="1">
        <f t="shared" si="51"/>
        <v>45122</v>
      </c>
      <c r="K1657" t="e">
        <f t="shared" si="50"/>
        <v>#N/A</v>
      </c>
    </row>
    <row r="1658" spans="10:11" x14ac:dyDescent="0.25">
      <c r="J1658" s="1">
        <f t="shared" si="51"/>
        <v>45123</v>
      </c>
      <c r="K1658" t="e">
        <f t="shared" si="50"/>
        <v>#N/A</v>
      </c>
    </row>
    <row r="1659" spans="10:11" x14ac:dyDescent="0.25">
      <c r="J1659" s="1">
        <f t="shared" si="51"/>
        <v>45124</v>
      </c>
      <c r="K1659" t="e">
        <f t="shared" si="50"/>
        <v>#N/A</v>
      </c>
    </row>
    <row r="1660" spans="10:11" x14ac:dyDescent="0.25">
      <c r="J1660" s="1">
        <f t="shared" si="51"/>
        <v>45125</v>
      </c>
      <c r="K1660" t="e">
        <f t="shared" si="50"/>
        <v>#N/A</v>
      </c>
    </row>
    <row r="1661" spans="10:11" x14ac:dyDescent="0.25">
      <c r="J1661" s="1">
        <f t="shared" si="51"/>
        <v>45126</v>
      </c>
      <c r="K1661" t="e">
        <f t="shared" si="50"/>
        <v>#N/A</v>
      </c>
    </row>
    <row r="1662" spans="10:11" x14ac:dyDescent="0.25">
      <c r="J1662" s="1">
        <f t="shared" si="51"/>
        <v>45127</v>
      </c>
      <c r="K1662" t="e">
        <f t="shared" si="50"/>
        <v>#N/A</v>
      </c>
    </row>
    <row r="1663" spans="10:11" x14ac:dyDescent="0.25">
      <c r="J1663" s="1">
        <f t="shared" si="51"/>
        <v>45128</v>
      </c>
      <c r="K1663" t="e">
        <f t="shared" si="50"/>
        <v>#N/A</v>
      </c>
    </row>
    <row r="1664" spans="10:11" x14ac:dyDescent="0.25">
      <c r="J1664" s="1">
        <f t="shared" si="51"/>
        <v>45129</v>
      </c>
      <c r="K1664" t="e">
        <f t="shared" si="50"/>
        <v>#N/A</v>
      </c>
    </row>
    <row r="1665" spans="10:11" x14ac:dyDescent="0.25">
      <c r="J1665" s="1">
        <f t="shared" si="51"/>
        <v>45130</v>
      </c>
      <c r="K1665" t="e">
        <f t="shared" si="50"/>
        <v>#N/A</v>
      </c>
    </row>
    <row r="1666" spans="10:11" x14ac:dyDescent="0.25">
      <c r="J1666" s="1">
        <f t="shared" si="51"/>
        <v>45131</v>
      </c>
      <c r="K1666" t="e">
        <f t="shared" si="50"/>
        <v>#N/A</v>
      </c>
    </row>
    <row r="1667" spans="10:11" x14ac:dyDescent="0.25">
      <c r="J1667" s="1">
        <f t="shared" si="51"/>
        <v>45132</v>
      </c>
      <c r="K1667" t="e">
        <f t="shared" ref="K1667:K1730" si="52">VLOOKUP(J1667, G:H, 2, FALSE)</f>
        <v>#N/A</v>
      </c>
    </row>
    <row r="1668" spans="10:11" x14ac:dyDescent="0.25">
      <c r="J1668" s="1">
        <f t="shared" si="51"/>
        <v>45133</v>
      </c>
      <c r="K1668" t="e">
        <f t="shared" si="52"/>
        <v>#N/A</v>
      </c>
    </row>
    <row r="1669" spans="10:11" x14ac:dyDescent="0.25">
      <c r="J1669" s="1">
        <f t="shared" ref="J1669:J1732" si="53">DATE(2019,1,1) + ROW()-1</f>
        <v>45134</v>
      </c>
      <c r="K1669" t="e">
        <f t="shared" si="52"/>
        <v>#N/A</v>
      </c>
    </row>
    <row r="1670" spans="10:11" x14ac:dyDescent="0.25">
      <c r="J1670" s="1">
        <f t="shared" si="53"/>
        <v>45135</v>
      </c>
      <c r="K1670" t="e">
        <f t="shared" si="52"/>
        <v>#N/A</v>
      </c>
    </row>
    <row r="1671" spans="10:11" x14ac:dyDescent="0.25">
      <c r="J1671" s="1">
        <f t="shared" si="53"/>
        <v>45136</v>
      </c>
      <c r="K1671" t="e">
        <f t="shared" si="52"/>
        <v>#N/A</v>
      </c>
    </row>
    <row r="1672" spans="10:11" x14ac:dyDescent="0.25">
      <c r="J1672" s="1">
        <f t="shared" si="53"/>
        <v>45137</v>
      </c>
      <c r="K1672" t="e">
        <f t="shared" si="52"/>
        <v>#N/A</v>
      </c>
    </row>
    <row r="1673" spans="10:11" x14ac:dyDescent="0.25">
      <c r="J1673" s="1">
        <f t="shared" si="53"/>
        <v>45138</v>
      </c>
      <c r="K1673" t="e">
        <f t="shared" si="52"/>
        <v>#N/A</v>
      </c>
    </row>
    <row r="1674" spans="10:11" x14ac:dyDescent="0.25">
      <c r="J1674" s="1">
        <f t="shared" si="53"/>
        <v>45139</v>
      </c>
      <c r="K1674">
        <f t="shared" si="52"/>
        <v>24.375</v>
      </c>
    </row>
    <row r="1675" spans="10:11" x14ac:dyDescent="0.25">
      <c r="J1675" s="1">
        <f t="shared" si="53"/>
        <v>45140</v>
      </c>
      <c r="K1675">
        <f t="shared" si="52"/>
        <v>30.125</v>
      </c>
    </row>
    <row r="1676" spans="10:11" x14ac:dyDescent="0.25">
      <c r="J1676" s="1">
        <f t="shared" si="53"/>
        <v>45141</v>
      </c>
      <c r="K1676">
        <f t="shared" si="52"/>
        <v>16.75</v>
      </c>
    </row>
    <row r="1677" spans="10:11" x14ac:dyDescent="0.25">
      <c r="J1677" s="1">
        <f t="shared" si="53"/>
        <v>45142</v>
      </c>
      <c r="K1677">
        <f t="shared" si="52"/>
        <v>44</v>
      </c>
    </row>
    <row r="1678" spans="10:11" x14ac:dyDescent="0.25">
      <c r="J1678" s="1">
        <f t="shared" si="53"/>
        <v>45143</v>
      </c>
      <c r="K1678">
        <f t="shared" si="52"/>
        <v>46.125</v>
      </c>
    </row>
    <row r="1679" spans="10:11" x14ac:dyDescent="0.25">
      <c r="J1679" s="1">
        <f t="shared" si="53"/>
        <v>45144</v>
      </c>
      <c r="K1679">
        <f t="shared" si="52"/>
        <v>44.375</v>
      </c>
    </row>
    <row r="1680" spans="10:11" x14ac:dyDescent="0.25">
      <c r="J1680" s="1">
        <f t="shared" si="53"/>
        <v>45145</v>
      </c>
      <c r="K1680">
        <f t="shared" si="52"/>
        <v>42.375</v>
      </c>
    </row>
    <row r="1681" spans="10:11" x14ac:dyDescent="0.25">
      <c r="J1681" s="1">
        <f t="shared" si="53"/>
        <v>45146</v>
      </c>
      <c r="K1681">
        <f t="shared" si="52"/>
        <v>10</v>
      </c>
    </row>
    <row r="1682" spans="10:11" x14ac:dyDescent="0.25">
      <c r="J1682" s="1">
        <f t="shared" si="53"/>
        <v>45147</v>
      </c>
      <c r="K1682">
        <f t="shared" si="52"/>
        <v>21.375</v>
      </c>
    </row>
    <row r="1683" spans="10:11" x14ac:dyDescent="0.25">
      <c r="J1683" s="1">
        <f t="shared" si="53"/>
        <v>45148</v>
      </c>
      <c r="K1683">
        <f t="shared" si="52"/>
        <v>20.5</v>
      </c>
    </row>
    <row r="1684" spans="10:11" x14ac:dyDescent="0.25">
      <c r="J1684" s="1">
        <f t="shared" si="53"/>
        <v>45149</v>
      </c>
      <c r="K1684">
        <f t="shared" si="52"/>
        <v>34.625</v>
      </c>
    </row>
    <row r="1685" spans="10:11" x14ac:dyDescent="0.25">
      <c r="J1685" s="1">
        <f t="shared" si="53"/>
        <v>45150</v>
      </c>
      <c r="K1685">
        <f t="shared" si="52"/>
        <v>44.25</v>
      </c>
    </row>
    <row r="1686" spans="10:11" x14ac:dyDescent="0.25">
      <c r="J1686" s="1">
        <f t="shared" si="53"/>
        <v>45151</v>
      </c>
      <c r="K1686">
        <f t="shared" si="52"/>
        <v>36.375</v>
      </c>
    </row>
    <row r="1687" spans="10:11" x14ac:dyDescent="0.25">
      <c r="J1687" s="1">
        <f t="shared" si="53"/>
        <v>45152</v>
      </c>
      <c r="K1687">
        <f t="shared" si="52"/>
        <v>30.625</v>
      </c>
    </row>
    <row r="1688" spans="10:11" x14ac:dyDescent="0.25">
      <c r="J1688" s="1">
        <f t="shared" si="53"/>
        <v>45153</v>
      </c>
      <c r="K1688">
        <f t="shared" si="52"/>
        <v>5.5</v>
      </c>
    </row>
    <row r="1689" spans="10:11" x14ac:dyDescent="0.25">
      <c r="J1689" s="1">
        <f t="shared" si="53"/>
        <v>45154</v>
      </c>
      <c r="K1689">
        <f t="shared" si="52"/>
        <v>23.5</v>
      </c>
    </row>
    <row r="1690" spans="10:11" x14ac:dyDescent="0.25">
      <c r="J1690" s="1">
        <f t="shared" si="53"/>
        <v>45155</v>
      </c>
      <c r="K1690">
        <f t="shared" si="52"/>
        <v>24.75</v>
      </c>
    </row>
    <row r="1691" spans="10:11" x14ac:dyDescent="0.25">
      <c r="J1691" s="1">
        <f t="shared" si="53"/>
        <v>45156</v>
      </c>
      <c r="K1691">
        <f t="shared" si="52"/>
        <v>34.375</v>
      </c>
    </row>
    <row r="1692" spans="10:11" x14ac:dyDescent="0.25">
      <c r="J1692" s="1">
        <f t="shared" si="53"/>
        <v>45157</v>
      </c>
      <c r="K1692">
        <f t="shared" si="52"/>
        <v>25</v>
      </c>
    </row>
    <row r="1693" spans="10:11" x14ac:dyDescent="0.25">
      <c r="J1693" s="1">
        <f t="shared" si="53"/>
        <v>45158</v>
      </c>
      <c r="K1693">
        <f t="shared" si="52"/>
        <v>39.25</v>
      </c>
    </row>
    <row r="1694" spans="10:11" x14ac:dyDescent="0.25">
      <c r="J1694" s="1">
        <f t="shared" si="53"/>
        <v>45159</v>
      </c>
      <c r="K1694">
        <f t="shared" si="52"/>
        <v>23.75</v>
      </c>
    </row>
    <row r="1695" spans="10:11" x14ac:dyDescent="0.25">
      <c r="J1695" s="1">
        <f t="shared" si="53"/>
        <v>45160</v>
      </c>
      <c r="K1695">
        <f t="shared" si="52"/>
        <v>6.75</v>
      </c>
    </row>
    <row r="1696" spans="10:11" x14ac:dyDescent="0.25">
      <c r="J1696" s="1">
        <f t="shared" si="53"/>
        <v>45161</v>
      </c>
      <c r="K1696">
        <f t="shared" si="52"/>
        <v>29.375</v>
      </c>
    </row>
    <row r="1697" spans="10:11" x14ac:dyDescent="0.25">
      <c r="J1697" s="1">
        <f t="shared" si="53"/>
        <v>45162</v>
      </c>
      <c r="K1697">
        <f t="shared" si="52"/>
        <v>25.375</v>
      </c>
    </row>
    <row r="1698" spans="10:11" x14ac:dyDescent="0.25">
      <c r="J1698" s="1">
        <f t="shared" si="53"/>
        <v>45163</v>
      </c>
      <c r="K1698">
        <f t="shared" si="52"/>
        <v>35.75</v>
      </c>
    </row>
    <row r="1699" spans="10:11" x14ac:dyDescent="0.25">
      <c r="J1699" s="1">
        <f t="shared" si="53"/>
        <v>45164</v>
      </c>
      <c r="K1699">
        <f t="shared" si="52"/>
        <v>34.125</v>
      </c>
    </row>
    <row r="1700" spans="10:11" x14ac:dyDescent="0.25">
      <c r="J1700" s="1">
        <f t="shared" si="53"/>
        <v>45165</v>
      </c>
      <c r="K1700">
        <f t="shared" si="52"/>
        <v>39.5</v>
      </c>
    </row>
    <row r="1701" spans="10:11" x14ac:dyDescent="0.25">
      <c r="J1701" s="1">
        <f t="shared" si="53"/>
        <v>45166</v>
      </c>
      <c r="K1701">
        <f t="shared" si="52"/>
        <v>19.375</v>
      </c>
    </row>
    <row r="1702" spans="10:11" x14ac:dyDescent="0.25">
      <c r="J1702" s="1">
        <f t="shared" si="53"/>
        <v>45167</v>
      </c>
      <c r="K1702">
        <f t="shared" si="52"/>
        <v>7.125</v>
      </c>
    </row>
    <row r="1703" spans="10:11" x14ac:dyDescent="0.25">
      <c r="J1703" s="1">
        <f t="shared" si="53"/>
        <v>45168</v>
      </c>
      <c r="K1703">
        <f t="shared" si="52"/>
        <v>21.875</v>
      </c>
    </row>
    <row r="1704" spans="10:11" x14ac:dyDescent="0.25">
      <c r="J1704" s="1">
        <f t="shared" si="53"/>
        <v>45169</v>
      </c>
      <c r="K1704">
        <f t="shared" si="52"/>
        <v>26.5</v>
      </c>
    </row>
    <row r="1705" spans="10:11" x14ac:dyDescent="0.25">
      <c r="J1705" s="1">
        <f t="shared" si="53"/>
        <v>45170</v>
      </c>
      <c r="K1705" t="e">
        <f t="shared" si="52"/>
        <v>#N/A</v>
      </c>
    </row>
    <row r="1706" spans="10:11" x14ac:dyDescent="0.25">
      <c r="J1706" s="1">
        <f t="shared" si="53"/>
        <v>45171</v>
      </c>
      <c r="K1706" t="e">
        <f t="shared" si="52"/>
        <v>#N/A</v>
      </c>
    </row>
    <row r="1707" spans="10:11" x14ac:dyDescent="0.25">
      <c r="J1707" s="1">
        <f t="shared" si="53"/>
        <v>45172</v>
      </c>
      <c r="K1707" t="e">
        <f t="shared" si="52"/>
        <v>#N/A</v>
      </c>
    </row>
    <row r="1708" spans="10:11" x14ac:dyDescent="0.25">
      <c r="J1708" s="1">
        <f t="shared" si="53"/>
        <v>45173</v>
      </c>
      <c r="K1708" t="e">
        <f t="shared" si="52"/>
        <v>#N/A</v>
      </c>
    </row>
    <row r="1709" spans="10:11" x14ac:dyDescent="0.25">
      <c r="J1709" s="1">
        <f t="shared" si="53"/>
        <v>45174</v>
      </c>
      <c r="K1709" t="e">
        <f t="shared" si="52"/>
        <v>#N/A</v>
      </c>
    </row>
    <row r="1710" spans="10:11" x14ac:dyDescent="0.25">
      <c r="J1710" s="1">
        <f t="shared" si="53"/>
        <v>45175</v>
      </c>
      <c r="K1710" t="e">
        <f t="shared" si="52"/>
        <v>#N/A</v>
      </c>
    </row>
    <row r="1711" spans="10:11" x14ac:dyDescent="0.25">
      <c r="J1711" s="1">
        <f t="shared" si="53"/>
        <v>45176</v>
      </c>
      <c r="K1711" t="e">
        <f t="shared" si="52"/>
        <v>#N/A</v>
      </c>
    </row>
    <row r="1712" spans="10:11" x14ac:dyDescent="0.25">
      <c r="J1712" s="1">
        <f t="shared" si="53"/>
        <v>45177</v>
      </c>
      <c r="K1712" t="e">
        <f t="shared" si="52"/>
        <v>#N/A</v>
      </c>
    </row>
    <row r="1713" spans="10:11" x14ac:dyDescent="0.25">
      <c r="J1713" s="1">
        <f t="shared" si="53"/>
        <v>45178</v>
      </c>
      <c r="K1713" t="e">
        <f t="shared" si="52"/>
        <v>#N/A</v>
      </c>
    </row>
    <row r="1714" spans="10:11" x14ac:dyDescent="0.25">
      <c r="J1714" s="1">
        <f t="shared" si="53"/>
        <v>45179</v>
      </c>
      <c r="K1714" t="e">
        <f t="shared" si="52"/>
        <v>#N/A</v>
      </c>
    </row>
    <row r="1715" spans="10:11" x14ac:dyDescent="0.25">
      <c r="J1715" s="1">
        <f t="shared" si="53"/>
        <v>45180</v>
      </c>
      <c r="K1715" t="e">
        <f t="shared" si="52"/>
        <v>#N/A</v>
      </c>
    </row>
    <row r="1716" spans="10:11" x14ac:dyDescent="0.25">
      <c r="J1716" s="1">
        <f t="shared" si="53"/>
        <v>45181</v>
      </c>
      <c r="K1716" t="e">
        <f t="shared" si="52"/>
        <v>#N/A</v>
      </c>
    </row>
    <row r="1717" spans="10:11" x14ac:dyDescent="0.25">
      <c r="J1717" s="1">
        <f t="shared" si="53"/>
        <v>45182</v>
      </c>
      <c r="K1717" t="e">
        <f t="shared" si="52"/>
        <v>#N/A</v>
      </c>
    </row>
    <row r="1718" spans="10:11" x14ac:dyDescent="0.25">
      <c r="J1718" s="1">
        <f t="shared" si="53"/>
        <v>45183</v>
      </c>
      <c r="K1718" t="e">
        <f t="shared" si="52"/>
        <v>#N/A</v>
      </c>
    </row>
    <row r="1719" spans="10:11" x14ac:dyDescent="0.25">
      <c r="J1719" s="1">
        <f t="shared" si="53"/>
        <v>45184</v>
      </c>
      <c r="K1719" t="e">
        <f t="shared" si="52"/>
        <v>#N/A</v>
      </c>
    </row>
    <row r="1720" spans="10:11" x14ac:dyDescent="0.25">
      <c r="J1720" s="1">
        <f t="shared" si="53"/>
        <v>45185</v>
      </c>
      <c r="K1720" t="e">
        <f t="shared" si="52"/>
        <v>#N/A</v>
      </c>
    </row>
    <row r="1721" spans="10:11" x14ac:dyDescent="0.25">
      <c r="J1721" s="1">
        <f t="shared" si="53"/>
        <v>45186</v>
      </c>
      <c r="K1721" t="e">
        <f t="shared" si="52"/>
        <v>#N/A</v>
      </c>
    </row>
    <row r="1722" spans="10:11" x14ac:dyDescent="0.25">
      <c r="J1722" s="1">
        <f t="shared" si="53"/>
        <v>45187</v>
      </c>
      <c r="K1722" t="e">
        <f t="shared" si="52"/>
        <v>#N/A</v>
      </c>
    </row>
    <row r="1723" spans="10:11" x14ac:dyDescent="0.25">
      <c r="J1723" s="1">
        <f t="shared" si="53"/>
        <v>45188</v>
      </c>
      <c r="K1723" t="e">
        <f t="shared" si="52"/>
        <v>#N/A</v>
      </c>
    </row>
    <row r="1724" spans="10:11" x14ac:dyDescent="0.25">
      <c r="J1724" s="1">
        <f t="shared" si="53"/>
        <v>45189</v>
      </c>
      <c r="K1724" t="e">
        <f t="shared" si="52"/>
        <v>#N/A</v>
      </c>
    </row>
    <row r="1725" spans="10:11" x14ac:dyDescent="0.25">
      <c r="J1725" s="1">
        <f t="shared" si="53"/>
        <v>45190</v>
      </c>
      <c r="K1725" t="e">
        <f t="shared" si="52"/>
        <v>#N/A</v>
      </c>
    </row>
    <row r="1726" spans="10:11" x14ac:dyDescent="0.25">
      <c r="J1726" s="1">
        <f t="shared" si="53"/>
        <v>45191</v>
      </c>
      <c r="K1726" t="e">
        <f t="shared" si="52"/>
        <v>#N/A</v>
      </c>
    </row>
    <row r="1727" spans="10:11" x14ac:dyDescent="0.25">
      <c r="J1727" s="1">
        <f t="shared" si="53"/>
        <v>45192</v>
      </c>
      <c r="K1727" t="e">
        <f t="shared" si="52"/>
        <v>#N/A</v>
      </c>
    </row>
    <row r="1728" spans="10:11" x14ac:dyDescent="0.25">
      <c r="J1728" s="1">
        <f t="shared" si="53"/>
        <v>45193</v>
      </c>
      <c r="K1728" t="e">
        <f t="shared" si="52"/>
        <v>#N/A</v>
      </c>
    </row>
    <row r="1729" spans="10:11" x14ac:dyDescent="0.25">
      <c r="J1729" s="1">
        <f t="shared" si="53"/>
        <v>45194</v>
      </c>
      <c r="K1729" t="e">
        <f t="shared" si="52"/>
        <v>#N/A</v>
      </c>
    </row>
    <row r="1730" spans="10:11" x14ac:dyDescent="0.25">
      <c r="J1730" s="1">
        <f t="shared" si="53"/>
        <v>45195</v>
      </c>
      <c r="K1730" t="e">
        <f t="shared" si="52"/>
        <v>#N/A</v>
      </c>
    </row>
    <row r="1731" spans="10:11" x14ac:dyDescent="0.25">
      <c r="J1731" s="1">
        <f t="shared" si="53"/>
        <v>45196</v>
      </c>
      <c r="K1731" t="e">
        <f t="shared" ref="K1731:K1794" si="54">VLOOKUP(J1731, G:H, 2, FALSE)</f>
        <v>#N/A</v>
      </c>
    </row>
    <row r="1732" spans="10:11" x14ac:dyDescent="0.25">
      <c r="J1732" s="1">
        <f t="shared" si="53"/>
        <v>45197</v>
      </c>
      <c r="K1732" t="e">
        <f t="shared" si="54"/>
        <v>#N/A</v>
      </c>
    </row>
    <row r="1733" spans="10:11" x14ac:dyDescent="0.25">
      <c r="J1733" s="1">
        <f t="shared" ref="J1733:J1796" si="55">DATE(2019,1,1) + ROW()-1</f>
        <v>45198</v>
      </c>
      <c r="K1733" t="e">
        <f t="shared" si="54"/>
        <v>#N/A</v>
      </c>
    </row>
    <row r="1734" spans="10:11" x14ac:dyDescent="0.25">
      <c r="J1734" s="1">
        <f t="shared" si="55"/>
        <v>45199</v>
      </c>
      <c r="K1734" t="e">
        <f t="shared" si="54"/>
        <v>#N/A</v>
      </c>
    </row>
    <row r="1735" spans="10:11" x14ac:dyDescent="0.25">
      <c r="J1735" s="1">
        <f t="shared" si="55"/>
        <v>45200</v>
      </c>
      <c r="K1735" t="e">
        <f t="shared" si="54"/>
        <v>#N/A</v>
      </c>
    </row>
    <row r="1736" spans="10:11" x14ac:dyDescent="0.25">
      <c r="J1736" s="1">
        <f t="shared" si="55"/>
        <v>45201</v>
      </c>
      <c r="K1736" t="e">
        <f t="shared" si="54"/>
        <v>#N/A</v>
      </c>
    </row>
    <row r="1737" spans="10:11" x14ac:dyDescent="0.25">
      <c r="J1737" s="1">
        <f t="shared" si="55"/>
        <v>45202</v>
      </c>
      <c r="K1737" t="e">
        <f t="shared" si="54"/>
        <v>#N/A</v>
      </c>
    </row>
    <row r="1738" spans="10:11" x14ac:dyDescent="0.25">
      <c r="J1738" s="1">
        <f t="shared" si="55"/>
        <v>45203</v>
      </c>
      <c r="K1738" t="e">
        <f t="shared" si="54"/>
        <v>#N/A</v>
      </c>
    </row>
    <row r="1739" spans="10:11" x14ac:dyDescent="0.25">
      <c r="J1739" s="1">
        <f t="shared" si="55"/>
        <v>45204</v>
      </c>
      <c r="K1739" t="e">
        <f t="shared" si="54"/>
        <v>#N/A</v>
      </c>
    </row>
    <row r="1740" spans="10:11" x14ac:dyDescent="0.25">
      <c r="J1740" s="1">
        <f t="shared" si="55"/>
        <v>45205</v>
      </c>
      <c r="K1740" t="e">
        <f t="shared" si="54"/>
        <v>#N/A</v>
      </c>
    </row>
    <row r="1741" spans="10:11" x14ac:dyDescent="0.25">
      <c r="J1741" s="1">
        <f t="shared" si="55"/>
        <v>45206</v>
      </c>
      <c r="K1741" t="e">
        <f t="shared" si="54"/>
        <v>#N/A</v>
      </c>
    </row>
    <row r="1742" spans="10:11" x14ac:dyDescent="0.25">
      <c r="J1742" s="1">
        <f t="shared" si="55"/>
        <v>45207</v>
      </c>
      <c r="K1742" t="e">
        <f t="shared" si="54"/>
        <v>#N/A</v>
      </c>
    </row>
    <row r="1743" spans="10:11" x14ac:dyDescent="0.25">
      <c r="J1743" s="1">
        <f t="shared" si="55"/>
        <v>45208</v>
      </c>
      <c r="K1743" t="e">
        <f t="shared" si="54"/>
        <v>#N/A</v>
      </c>
    </row>
    <row r="1744" spans="10:11" x14ac:dyDescent="0.25">
      <c r="J1744" s="1">
        <f t="shared" si="55"/>
        <v>45209</v>
      </c>
      <c r="K1744" t="e">
        <f t="shared" si="54"/>
        <v>#N/A</v>
      </c>
    </row>
    <row r="1745" spans="10:11" x14ac:dyDescent="0.25">
      <c r="J1745" s="1">
        <f t="shared" si="55"/>
        <v>45210</v>
      </c>
      <c r="K1745" t="e">
        <f t="shared" si="54"/>
        <v>#N/A</v>
      </c>
    </row>
    <row r="1746" spans="10:11" x14ac:dyDescent="0.25">
      <c r="J1746" s="1">
        <f t="shared" si="55"/>
        <v>45211</v>
      </c>
      <c r="K1746" t="e">
        <f t="shared" si="54"/>
        <v>#N/A</v>
      </c>
    </row>
    <row r="1747" spans="10:11" x14ac:dyDescent="0.25">
      <c r="J1747" s="1">
        <f t="shared" si="55"/>
        <v>45212</v>
      </c>
      <c r="K1747" t="e">
        <f t="shared" si="54"/>
        <v>#N/A</v>
      </c>
    </row>
    <row r="1748" spans="10:11" x14ac:dyDescent="0.25">
      <c r="J1748" s="1">
        <f t="shared" si="55"/>
        <v>45213</v>
      </c>
      <c r="K1748" t="e">
        <f t="shared" si="54"/>
        <v>#N/A</v>
      </c>
    </row>
    <row r="1749" spans="10:11" x14ac:dyDescent="0.25">
      <c r="J1749" s="1">
        <f t="shared" si="55"/>
        <v>45214</v>
      </c>
      <c r="K1749" t="e">
        <f t="shared" si="54"/>
        <v>#N/A</v>
      </c>
    </row>
    <row r="1750" spans="10:11" x14ac:dyDescent="0.25">
      <c r="J1750" s="1">
        <f t="shared" si="55"/>
        <v>45215</v>
      </c>
      <c r="K1750" t="e">
        <f t="shared" si="54"/>
        <v>#N/A</v>
      </c>
    </row>
    <row r="1751" spans="10:11" x14ac:dyDescent="0.25">
      <c r="J1751" s="1">
        <f t="shared" si="55"/>
        <v>45216</v>
      </c>
      <c r="K1751" t="e">
        <f t="shared" si="54"/>
        <v>#N/A</v>
      </c>
    </row>
    <row r="1752" spans="10:11" x14ac:dyDescent="0.25">
      <c r="J1752" s="1">
        <f t="shared" si="55"/>
        <v>45217</v>
      </c>
      <c r="K1752" t="e">
        <f t="shared" si="54"/>
        <v>#N/A</v>
      </c>
    </row>
    <row r="1753" spans="10:11" x14ac:dyDescent="0.25">
      <c r="J1753" s="1">
        <f t="shared" si="55"/>
        <v>45218</v>
      </c>
      <c r="K1753" t="e">
        <f t="shared" si="54"/>
        <v>#N/A</v>
      </c>
    </row>
    <row r="1754" spans="10:11" x14ac:dyDescent="0.25">
      <c r="J1754" s="1">
        <f t="shared" si="55"/>
        <v>45219</v>
      </c>
      <c r="K1754" t="e">
        <f t="shared" si="54"/>
        <v>#N/A</v>
      </c>
    </row>
    <row r="1755" spans="10:11" x14ac:dyDescent="0.25">
      <c r="J1755" s="1">
        <f t="shared" si="55"/>
        <v>45220</v>
      </c>
      <c r="K1755" t="e">
        <f t="shared" si="54"/>
        <v>#N/A</v>
      </c>
    </row>
    <row r="1756" spans="10:11" x14ac:dyDescent="0.25">
      <c r="J1756" s="1">
        <f t="shared" si="55"/>
        <v>45221</v>
      </c>
      <c r="K1756" t="e">
        <f t="shared" si="54"/>
        <v>#N/A</v>
      </c>
    </row>
    <row r="1757" spans="10:11" x14ac:dyDescent="0.25">
      <c r="J1757" s="1">
        <f t="shared" si="55"/>
        <v>45222</v>
      </c>
      <c r="K1757" t="e">
        <f t="shared" si="54"/>
        <v>#N/A</v>
      </c>
    </row>
    <row r="1758" spans="10:11" x14ac:dyDescent="0.25">
      <c r="J1758" s="1">
        <f t="shared" si="55"/>
        <v>45223</v>
      </c>
      <c r="K1758" t="e">
        <f t="shared" si="54"/>
        <v>#N/A</v>
      </c>
    </row>
    <row r="1759" spans="10:11" x14ac:dyDescent="0.25">
      <c r="J1759" s="1">
        <f t="shared" si="55"/>
        <v>45224</v>
      </c>
      <c r="K1759" t="e">
        <f t="shared" si="54"/>
        <v>#N/A</v>
      </c>
    </row>
    <row r="1760" spans="10:11" x14ac:dyDescent="0.25">
      <c r="J1760" s="1">
        <f t="shared" si="55"/>
        <v>45225</v>
      </c>
      <c r="K1760" t="e">
        <f t="shared" si="54"/>
        <v>#N/A</v>
      </c>
    </row>
    <row r="1761" spans="10:11" x14ac:dyDescent="0.25">
      <c r="J1761" s="1">
        <f t="shared" si="55"/>
        <v>45226</v>
      </c>
      <c r="K1761" t="e">
        <f t="shared" si="54"/>
        <v>#N/A</v>
      </c>
    </row>
    <row r="1762" spans="10:11" x14ac:dyDescent="0.25">
      <c r="J1762" s="1">
        <f t="shared" si="55"/>
        <v>45227</v>
      </c>
      <c r="K1762" t="e">
        <f t="shared" si="54"/>
        <v>#N/A</v>
      </c>
    </row>
    <row r="1763" spans="10:11" x14ac:dyDescent="0.25">
      <c r="J1763" s="1">
        <f t="shared" si="55"/>
        <v>45228</v>
      </c>
      <c r="K1763" t="e">
        <f t="shared" si="54"/>
        <v>#N/A</v>
      </c>
    </row>
    <row r="1764" spans="10:11" x14ac:dyDescent="0.25">
      <c r="J1764" s="1">
        <f t="shared" si="55"/>
        <v>45229</v>
      </c>
      <c r="K1764" t="e">
        <f t="shared" si="54"/>
        <v>#N/A</v>
      </c>
    </row>
    <row r="1765" spans="10:11" x14ac:dyDescent="0.25">
      <c r="J1765" s="1">
        <f t="shared" si="55"/>
        <v>45230</v>
      </c>
      <c r="K1765" t="e">
        <f t="shared" si="54"/>
        <v>#N/A</v>
      </c>
    </row>
    <row r="1766" spans="10:11" x14ac:dyDescent="0.25">
      <c r="J1766" s="1">
        <f t="shared" si="55"/>
        <v>45231</v>
      </c>
      <c r="K1766" t="e">
        <f t="shared" si="54"/>
        <v>#N/A</v>
      </c>
    </row>
    <row r="1767" spans="10:11" x14ac:dyDescent="0.25">
      <c r="J1767" s="1">
        <f t="shared" si="55"/>
        <v>45232</v>
      </c>
      <c r="K1767" t="e">
        <f t="shared" si="54"/>
        <v>#N/A</v>
      </c>
    </row>
    <row r="1768" spans="10:11" x14ac:dyDescent="0.25">
      <c r="J1768" s="1">
        <f t="shared" si="55"/>
        <v>45233</v>
      </c>
      <c r="K1768" t="e">
        <f t="shared" si="54"/>
        <v>#N/A</v>
      </c>
    </row>
    <row r="1769" spans="10:11" x14ac:dyDescent="0.25">
      <c r="J1769" s="1">
        <f t="shared" si="55"/>
        <v>45234</v>
      </c>
      <c r="K1769" t="e">
        <f t="shared" si="54"/>
        <v>#N/A</v>
      </c>
    </row>
    <row r="1770" spans="10:11" x14ac:dyDescent="0.25">
      <c r="J1770" s="1">
        <f t="shared" si="55"/>
        <v>45235</v>
      </c>
      <c r="K1770" t="e">
        <f t="shared" si="54"/>
        <v>#N/A</v>
      </c>
    </row>
    <row r="1771" spans="10:11" x14ac:dyDescent="0.25">
      <c r="J1771" s="1">
        <f t="shared" si="55"/>
        <v>45236</v>
      </c>
      <c r="K1771" t="e">
        <f t="shared" si="54"/>
        <v>#N/A</v>
      </c>
    </row>
    <row r="1772" spans="10:11" x14ac:dyDescent="0.25">
      <c r="J1772" s="1">
        <f t="shared" si="55"/>
        <v>45237</v>
      </c>
      <c r="K1772" t="e">
        <f t="shared" si="54"/>
        <v>#N/A</v>
      </c>
    </row>
    <row r="1773" spans="10:11" x14ac:dyDescent="0.25">
      <c r="J1773" s="1">
        <f t="shared" si="55"/>
        <v>45238</v>
      </c>
      <c r="K1773" t="e">
        <f t="shared" si="54"/>
        <v>#N/A</v>
      </c>
    </row>
    <row r="1774" spans="10:11" x14ac:dyDescent="0.25">
      <c r="J1774" s="1">
        <f t="shared" si="55"/>
        <v>45239</v>
      </c>
      <c r="K1774" t="e">
        <f t="shared" si="54"/>
        <v>#N/A</v>
      </c>
    </row>
    <row r="1775" spans="10:11" x14ac:dyDescent="0.25">
      <c r="J1775" s="1">
        <f t="shared" si="55"/>
        <v>45240</v>
      </c>
      <c r="K1775" t="e">
        <f t="shared" si="54"/>
        <v>#N/A</v>
      </c>
    </row>
    <row r="1776" spans="10:11" x14ac:dyDescent="0.25">
      <c r="J1776" s="1">
        <f t="shared" si="55"/>
        <v>45241</v>
      </c>
      <c r="K1776" t="e">
        <f t="shared" si="54"/>
        <v>#N/A</v>
      </c>
    </row>
    <row r="1777" spans="10:11" x14ac:dyDescent="0.25">
      <c r="J1777" s="1">
        <f t="shared" si="55"/>
        <v>45242</v>
      </c>
      <c r="K1777" t="e">
        <f t="shared" si="54"/>
        <v>#N/A</v>
      </c>
    </row>
    <row r="1778" spans="10:11" x14ac:dyDescent="0.25">
      <c r="J1778" s="1">
        <f t="shared" si="55"/>
        <v>45243</v>
      </c>
      <c r="K1778" t="e">
        <f t="shared" si="54"/>
        <v>#N/A</v>
      </c>
    </row>
    <row r="1779" spans="10:11" x14ac:dyDescent="0.25">
      <c r="J1779" s="1">
        <f t="shared" si="55"/>
        <v>45244</v>
      </c>
      <c r="K1779" t="e">
        <f t="shared" si="54"/>
        <v>#N/A</v>
      </c>
    </row>
    <row r="1780" spans="10:11" x14ac:dyDescent="0.25">
      <c r="J1780" s="1">
        <f t="shared" si="55"/>
        <v>45245</v>
      </c>
      <c r="K1780" t="e">
        <f t="shared" si="54"/>
        <v>#N/A</v>
      </c>
    </row>
    <row r="1781" spans="10:11" x14ac:dyDescent="0.25">
      <c r="J1781" s="1">
        <f t="shared" si="55"/>
        <v>45246</v>
      </c>
      <c r="K1781" t="e">
        <f t="shared" si="54"/>
        <v>#N/A</v>
      </c>
    </row>
    <row r="1782" spans="10:11" x14ac:dyDescent="0.25">
      <c r="J1782" s="1">
        <f t="shared" si="55"/>
        <v>45247</v>
      </c>
      <c r="K1782" t="e">
        <f t="shared" si="54"/>
        <v>#N/A</v>
      </c>
    </row>
    <row r="1783" spans="10:11" x14ac:dyDescent="0.25">
      <c r="J1783" s="1">
        <f t="shared" si="55"/>
        <v>45248</v>
      </c>
      <c r="K1783" t="e">
        <f t="shared" si="54"/>
        <v>#N/A</v>
      </c>
    </row>
    <row r="1784" spans="10:11" x14ac:dyDescent="0.25">
      <c r="J1784" s="1">
        <f t="shared" si="55"/>
        <v>45249</v>
      </c>
      <c r="K1784" t="e">
        <f t="shared" si="54"/>
        <v>#N/A</v>
      </c>
    </row>
    <row r="1785" spans="10:11" x14ac:dyDescent="0.25">
      <c r="J1785" s="1">
        <f t="shared" si="55"/>
        <v>45250</v>
      </c>
      <c r="K1785" t="e">
        <f t="shared" si="54"/>
        <v>#N/A</v>
      </c>
    </row>
    <row r="1786" spans="10:11" x14ac:dyDescent="0.25">
      <c r="J1786" s="1">
        <f t="shared" si="55"/>
        <v>45251</v>
      </c>
      <c r="K1786" t="e">
        <f t="shared" si="54"/>
        <v>#N/A</v>
      </c>
    </row>
    <row r="1787" spans="10:11" x14ac:dyDescent="0.25">
      <c r="J1787" s="1">
        <f t="shared" si="55"/>
        <v>45252</v>
      </c>
      <c r="K1787" t="e">
        <f t="shared" si="54"/>
        <v>#N/A</v>
      </c>
    </row>
    <row r="1788" spans="10:11" x14ac:dyDescent="0.25">
      <c r="J1788" s="1">
        <f t="shared" si="55"/>
        <v>45253</v>
      </c>
      <c r="K1788" t="e">
        <f t="shared" si="54"/>
        <v>#N/A</v>
      </c>
    </row>
    <row r="1789" spans="10:11" x14ac:dyDescent="0.25">
      <c r="J1789" s="1">
        <f t="shared" si="55"/>
        <v>45254</v>
      </c>
      <c r="K1789" t="e">
        <f t="shared" si="54"/>
        <v>#N/A</v>
      </c>
    </row>
    <row r="1790" spans="10:11" x14ac:dyDescent="0.25">
      <c r="J1790" s="1">
        <f t="shared" si="55"/>
        <v>45255</v>
      </c>
      <c r="K1790" t="e">
        <f t="shared" si="54"/>
        <v>#N/A</v>
      </c>
    </row>
    <row r="1791" spans="10:11" x14ac:dyDescent="0.25">
      <c r="J1791" s="1">
        <f t="shared" si="55"/>
        <v>45256</v>
      </c>
      <c r="K1791" t="e">
        <f t="shared" si="54"/>
        <v>#N/A</v>
      </c>
    </row>
    <row r="1792" spans="10:11" x14ac:dyDescent="0.25">
      <c r="J1792" s="1">
        <f t="shared" si="55"/>
        <v>45257</v>
      </c>
      <c r="K1792" t="e">
        <f t="shared" si="54"/>
        <v>#N/A</v>
      </c>
    </row>
    <row r="1793" spans="10:11" x14ac:dyDescent="0.25">
      <c r="J1793" s="1">
        <f t="shared" si="55"/>
        <v>45258</v>
      </c>
      <c r="K1793" t="e">
        <f t="shared" si="54"/>
        <v>#N/A</v>
      </c>
    </row>
    <row r="1794" spans="10:11" x14ac:dyDescent="0.25">
      <c r="J1794" s="1">
        <f t="shared" si="55"/>
        <v>45259</v>
      </c>
      <c r="K1794" t="e">
        <f t="shared" si="54"/>
        <v>#N/A</v>
      </c>
    </row>
    <row r="1795" spans="10:11" x14ac:dyDescent="0.25">
      <c r="J1795" s="1">
        <f t="shared" si="55"/>
        <v>45260</v>
      </c>
      <c r="K1795" t="e">
        <f t="shared" ref="K1795:K1826" si="56">VLOOKUP(J1795, G:H, 2, FALSE)</f>
        <v>#N/A</v>
      </c>
    </row>
    <row r="1796" spans="10:11" x14ac:dyDescent="0.25">
      <c r="J1796" s="1">
        <f t="shared" si="55"/>
        <v>45261</v>
      </c>
      <c r="K1796" t="e">
        <f t="shared" si="56"/>
        <v>#N/A</v>
      </c>
    </row>
    <row r="1797" spans="10:11" x14ac:dyDescent="0.25">
      <c r="J1797" s="1">
        <f t="shared" ref="J1797:J1826" si="57">DATE(2019,1,1) + ROW()-1</f>
        <v>45262</v>
      </c>
      <c r="K1797" t="e">
        <f t="shared" si="56"/>
        <v>#N/A</v>
      </c>
    </row>
    <row r="1798" spans="10:11" x14ac:dyDescent="0.25">
      <c r="J1798" s="1">
        <f t="shared" si="57"/>
        <v>45263</v>
      </c>
      <c r="K1798" t="e">
        <f t="shared" si="56"/>
        <v>#N/A</v>
      </c>
    </row>
    <row r="1799" spans="10:11" x14ac:dyDescent="0.25">
      <c r="J1799" s="1">
        <f t="shared" si="57"/>
        <v>45264</v>
      </c>
      <c r="K1799" t="e">
        <f t="shared" si="56"/>
        <v>#N/A</v>
      </c>
    </row>
    <row r="1800" spans="10:11" x14ac:dyDescent="0.25">
      <c r="J1800" s="1">
        <f t="shared" si="57"/>
        <v>45265</v>
      </c>
      <c r="K1800" t="e">
        <f t="shared" si="56"/>
        <v>#N/A</v>
      </c>
    </row>
    <row r="1801" spans="10:11" x14ac:dyDescent="0.25">
      <c r="J1801" s="1">
        <f t="shared" si="57"/>
        <v>45266</v>
      </c>
      <c r="K1801" t="e">
        <f t="shared" si="56"/>
        <v>#N/A</v>
      </c>
    </row>
    <row r="1802" spans="10:11" x14ac:dyDescent="0.25">
      <c r="J1802" s="1">
        <f t="shared" si="57"/>
        <v>45267</v>
      </c>
      <c r="K1802" t="e">
        <f t="shared" si="56"/>
        <v>#N/A</v>
      </c>
    </row>
    <row r="1803" spans="10:11" x14ac:dyDescent="0.25">
      <c r="J1803" s="1">
        <f t="shared" si="57"/>
        <v>45268</v>
      </c>
      <c r="K1803" t="e">
        <f t="shared" si="56"/>
        <v>#N/A</v>
      </c>
    </row>
    <row r="1804" spans="10:11" x14ac:dyDescent="0.25">
      <c r="J1804" s="1">
        <f t="shared" si="57"/>
        <v>45269</v>
      </c>
      <c r="K1804" t="e">
        <f t="shared" si="56"/>
        <v>#N/A</v>
      </c>
    </row>
    <row r="1805" spans="10:11" x14ac:dyDescent="0.25">
      <c r="J1805" s="1">
        <f t="shared" si="57"/>
        <v>45270</v>
      </c>
      <c r="K1805" t="e">
        <f t="shared" si="56"/>
        <v>#N/A</v>
      </c>
    </row>
    <row r="1806" spans="10:11" x14ac:dyDescent="0.25">
      <c r="J1806" s="1">
        <f t="shared" si="57"/>
        <v>45271</v>
      </c>
      <c r="K1806" t="e">
        <f t="shared" si="56"/>
        <v>#N/A</v>
      </c>
    </row>
    <row r="1807" spans="10:11" x14ac:dyDescent="0.25">
      <c r="J1807" s="1">
        <f t="shared" si="57"/>
        <v>45272</v>
      </c>
      <c r="K1807" t="e">
        <f t="shared" si="56"/>
        <v>#N/A</v>
      </c>
    </row>
    <row r="1808" spans="10:11" x14ac:dyDescent="0.25">
      <c r="J1808" s="1">
        <f t="shared" si="57"/>
        <v>45273</v>
      </c>
      <c r="K1808" t="e">
        <f t="shared" si="56"/>
        <v>#N/A</v>
      </c>
    </row>
    <row r="1809" spans="10:11" x14ac:dyDescent="0.25">
      <c r="J1809" s="1">
        <f t="shared" si="57"/>
        <v>45274</v>
      </c>
      <c r="K1809" t="e">
        <f t="shared" si="56"/>
        <v>#N/A</v>
      </c>
    </row>
    <row r="1810" spans="10:11" x14ac:dyDescent="0.25">
      <c r="J1810" s="1">
        <f t="shared" si="57"/>
        <v>45275</v>
      </c>
      <c r="K1810" t="e">
        <f t="shared" si="56"/>
        <v>#N/A</v>
      </c>
    </row>
    <row r="1811" spans="10:11" x14ac:dyDescent="0.25">
      <c r="J1811" s="1">
        <f t="shared" si="57"/>
        <v>45276</v>
      </c>
      <c r="K1811" t="e">
        <f t="shared" si="56"/>
        <v>#N/A</v>
      </c>
    </row>
    <row r="1812" spans="10:11" x14ac:dyDescent="0.25">
      <c r="J1812" s="1">
        <f t="shared" si="57"/>
        <v>45277</v>
      </c>
      <c r="K1812" t="e">
        <f t="shared" si="56"/>
        <v>#N/A</v>
      </c>
    </row>
    <row r="1813" spans="10:11" x14ac:dyDescent="0.25">
      <c r="J1813" s="1">
        <f t="shared" si="57"/>
        <v>45278</v>
      </c>
      <c r="K1813" t="e">
        <f t="shared" si="56"/>
        <v>#N/A</v>
      </c>
    </row>
    <row r="1814" spans="10:11" x14ac:dyDescent="0.25">
      <c r="J1814" s="1">
        <f t="shared" si="57"/>
        <v>45279</v>
      </c>
      <c r="K1814" t="e">
        <f t="shared" si="56"/>
        <v>#N/A</v>
      </c>
    </row>
    <row r="1815" spans="10:11" x14ac:dyDescent="0.25">
      <c r="J1815" s="1">
        <f t="shared" si="57"/>
        <v>45280</v>
      </c>
      <c r="K1815" t="e">
        <f t="shared" si="56"/>
        <v>#N/A</v>
      </c>
    </row>
    <row r="1816" spans="10:11" x14ac:dyDescent="0.25">
      <c r="J1816" s="1">
        <f t="shared" si="57"/>
        <v>45281</v>
      </c>
      <c r="K1816" t="e">
        <f t="shared" si="56"/>
        <v>#N/A</v>
      </c>
    </row>
    <row r="1817" spans="10:11" x14ac:dyDescent="0.25">
      <c r="J1817" s="1">
        <f t="shared" si="57"/>
        <v>45282</v>
      </c>
      <c r="K1817" t="e">
        <f t="shared" si="56"/>
        <v>#N/A</v>
      </c>
    </row>
    <row r="1818" spans="10:11" x14ac:dyDescent="0.25">
      <c r="J1818" s="1">
        <f t="shared" si="57"/>
        <v>45283</v>
      </c>
      <c r="K1818" t="e">
        <f t="shared" si="56"/>
        <v>#N/A</v>
      </c>
    </row>
    <row r="1819" spans="10:11" x14ac:dyDescent="0.25">
      <c r="J1819" s="1">
        <f t="shared" si="57"/>
        <v>45284</v>
      </c>
      <c r="K1819" t="e">
        <f t="shared" si="56"/>
        <v>#N/A</v>
      </c>
    </row>
    <row r="1820" spans="10:11" x14ac:dyDescent="0.25">
      <c r="J1820" s="1">
        <f t="shared" si="57"/>
        <v>45285</v>
      </c>
      <c r="K1820" t="e">
        <f t="shared" si="56"/>
        <v>#N/A</v>
      </c>
    </row>
    <row r="1821" spans="10:11" x14ac:dyDescent="0.25">
      <c r="J1821" s="1">
        <f t="shared" si="57"/>
        <v>45286</v>
      </c>
      <c r="K1821" t="e">
        <f t="shared" si="56"/>
        <v>#N/A</v>
      </c>
    </row>
    <row r="1822" spans="10:11" x14ac:dyDescent="0.25">
      <c r="J1822" s="1">
        <f t="shared" si="57"/>
        <v>45287</v>
      </c>
      <c r="K1822" t="e">
        <f t="shared" si="56"/>
        <v>#N/A</v>
      </c>
    </row>
    <row r="1823" spans="10:11" x14ac:dyDescent="0.25">
      <c r="J1823" s="1">
        <f t="shared" si="57"/>
        <v>45288</v>
      </c>
      <c r="K1823" t="e">
        <f t="shared" si="56"/>
        <v>#N/A</v>
      </c>
    </row>
    <row r="1824" spans="10:11" x14ac:dyDescent="0.25">
      <c r="J1824" s="1">
        <f t="shared" si="57"/>
        <v>45289</v>
      </c>
      <c r="K1824" t="e">
        <f t="shared" si="56"/>
        <v>#N/A</v>
      </c>
    </row>
    <row r="1825" spans="10:11" x14ac:dyDescent="0.25">
      <c r="J1825" s="1">
        <f t="shared" si="57"/>
        <v>45290</v>
      </c>
      <c r="K1825" t="e">
        <f t="shared" si="56"/>
        <v>#N/A</v>
      </c>
    </row>
    <row r="1826" spans="10:11" x14ac:dyDescent="0.25">
      <c r="J1826" s="1">
        <f t="shared" si="57"/>
        <v>45291</v>
      </c>
      <c r="K1826" t="e">
        <f t="shared" si="56"/>
        <v>#N/A</v>
      </c>
    </row>
    <row r="1827" spans="10:11" x14ac:dyDescent="0.25">
      <c r="J1827" s="1"/>
      <c r="K18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CB42-2129-4BB0-8CE8-2C3010D89AF6}">
  <dimension ref="A1:K1827"/>
  <sheetViews>
    <sheetView workbookViewId="0">
      <selection activeCell="K1252" sqref="K1252"/>
    </sheetView>
  </sheetViews>
  <sheetFormatPr baseColWidth="10" defaultRowHeight="15" x14ac:dyDescent="0.25"/>
  <cols>
    <col min="11" max="11" width="11.42578125" style="2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6</v>
      </c>
      <c r="I1" t="s">
        <v>7</v>
      </c>
      <c r="J1" s="1">
        <f>DATE(2019,1,1) + ROW()-1</f>
        <v>43466</v>
      </c>
      <c r="K1" s="2" t="e">
        <f>VLOOKUP(J1, G:H, 2, FALSE)</f>
        <v>#N/A</v>
      </c>
    </row>
    <row r="2" spans="1:11" x14ac:dyDescent="0.25">
      <c r="A2">
        <v>1</v>
      </c>
      <c r="B2" t="s">
        <v>13</v>
      </c>
      <c r="C2">
        <v>2021</v>
      </c>
      <c r="D2" t="s">
        <v>9</v>
      </c>
      <c r="E2">
        <v>90</v>
      </c>
      <c r="F2">
        <v>44</v>
      </c>
      <c r="G2" s="1">
        <f>DATE(C2, CHOOSE(MATCH(UPPER(B2), {"ENERO","FEBRERO","MARZO","ABRIL","MAYO","JUNIO","JULIO","AGOSTO","SEPTIEMBRE","OCTUBRE","NOVIEMBRE","DICIEMBRE"}, 0), 1,2,3,4,5,6,7,8,9,10,11,12), A2)</f>
        <v>44287</v>
      </c>
      <c r="H2">
        <v>46</v>
      </c>
      <c r="I2">
        <v>40000</v>
      </c>
      <c r="J2" s="1">
        <f>DATE(2019,1,1) + ROW()-1</f>
        <v>43467</v>
      </c>
      <c r="K2" s="2" t="e">
        <f>VLOOKUP(J2, G:H, 2, FALSE)</f>
        <v>#N/A</v>
      </c>
    </row>
    <row r="3" spans="1:11" x14ac:dyDescent="0.25">
      <c r="A3">
        <v>2</v>
      </c>
      <c r="B3" t="s">
        <v>13</v>
      </c>
      <c r="C3">
        <v>2021</v>
      </c>
      <c r="D3">
        <v>44</v>
      </c>
      <c r="E3">
        <v>40</v>
      </c>
      <c r="F3">
        <v>34</v>
      </c>
      <c r="G3" s="1">
        <f>DATE(C3, CHOOSE(MATCH(UPPER(B3), {"ENERO","FEBRERO","MARZO","ABRIL","MAYO","JUNIO","JULIO","AGOSTO","SEPTIEMBRE","OCTUBRE","NOVIEMBRE","DICIEMBRE"}, 0), 1,2,3,4,5,6,7,8,9,10,11,12), A3)</f>
        <v>44288</v>
      </c>
      <c r="H3">
        <v>50</v>
      </c>
      <c r="I3">
        <v>40000</v>
      </c>
      <c r="J3" s="1">
        <f>DATE(2019,1,1) + ROW()-1</f>
        <v>43468</v>
      </c>
      <c r="K3" s="2" t="e">
        <f t="shared" ref="K3:K66" si="0">VLOOKUP(J3, G:H, 2, FALSE)</f>
        <v>#N/A</v>
      </c>
    </row>
    <row r="4" spans="1:11" x14ac:dyDescent="0.25">
      <c r="A4">
        <v>3</v>
      </c>
      <c r="B4" t="s">
        <v>13</v>
      </c>
      <c r="C4">
        <v>2021</v>
      </c>
      <c r="D4">
        <v>34</v>
      </c>
      <c r="E4">
        <v>66</v>
      </c>
      <c r="F4">
        <v>49</v>
      </c>
      <c r="G4" s="1">
        <f>DATE(C4, CHOOSE(MATCH(UPPER(B4), {"ENERO","FEBRERO","MARZO","ABRIL","MAYO","JUNIO","JULIO","AGOSTO","SEPTIEMBRE","OCTUBRE","NOVIEMBRE","DICIEMBRE"}, 0), 1,2,3,4,5,6,7,8,9,10,11,12), A4)</f>
        <v>44289</v>
      </c>
      <c r="H4">
        <v>51</v>
      </c>
      <c r="I4">
        <v>40000</v>
      </c>
      <c r="J4" s="1">
        <f>DATE(2019,1,1) + ROW()-1</f>
        <v>43469</v>
      </c>
      <c r="K4" s="2" t="e">
        <f t="shared" si="0"/>
        <v>#N/A</v>
      </c>
    </row>
    <row r="5" spans="1:11" x14ac:dyDescent="0.25">
      <c r="A5">
        <v>4</v>
      </c>
      <c r="B5" t="s">
        <v>13</v>
      </c>
      <c r="C5">
        <v>2021</v>
      </c>
      <c r="D5">
        <v>49</v>
      </c>
      <c r="E5" t="s">
        <v>9</v>
      </c>
      <c r="F5">
        <v>1</v>
      </c>
      <c r="G5" s="1">
        <f>DATE(C5, CHOOSE(MATCH(UPPER(B5), {"ENERO","FEBRERO","MARZO","ABRIL","MAYO","JUNIO","JULIO","AGOSTO","SEPTIEMBRE","OCTUBRE","NOVIEMBRE","DICIEMBRE"}, 0), 1,2,3,4,5,6,7,8,9,10,11,12), A5)</f>
        <v>44290</v>
      </c>
      <c r="H5">
        <v>48</v>
      </c>
      <c r="I5">
        <v>40000</v>
      </c>
      <c r="J5" s="1">
        <f t="shared" ref="J5:J68" si="1">DATE(2019,1,1) + ROW()-1</f>
        <v>43470</v>
      </c>
      <c r="K5" s="2" t="e">
        <f t="shared" si="0"/>
        <v>#N/A</v>
      </c>
    </row>
    <row r="6" spans="1:11" x14ac:dyDescent="0.25">
      <c r="A6">
        <v>5</v>
      </c>
      <c r="B6" t="s">
        <v>13</v>
      </c>
      <c r="C6">
        <v>2021</v>
      </c>
      <c r="D6">
        <v>1</v>
      </c>
      <c r="E6">
        <v>30</v>
      </c>
      <c r="F6">
        <v>13.5</v>
      </c>
      <c r="G6" s="1">
        <f>DATE(C6, CHOOSE(MATCH(UPPER(B6), {"ENERO","FEBRERO","MARZO","ABRIL","MAYO","JUNIO","JULIO","AGOSTO","SEPTIEMBRE","OCTUBRE","NOVIEMBRE","DICIEMBRE"}, 0), 1,2,3,4,5,6,7,8,9,10,11,12), A6)</f>
        <v>44291</v>
      </c>
      <c r="H6">
        <v>17.5</v>
      </c>
      <c r="I6">
        <v>40000</v>
      </c>
      <c r="J6" s="1">
        <f t="shared" si="1"/>
        <v>43471</v>
      </c>
      <c r="K6" s="2" t="e">
        <f t="shared" si="0"/>
        <v>#N/A</v>
      </c>
    </row>
    <row r="7" spans="1:11" x14ac:dyDescent="0.25">
      <c r="A7">
        <v>6</v>
      </c>
      <c r="B7" t="s">
        <v>13</v>
      </c>
      <c r="C7">
        <v>2021</v>
      </c>
      <c r="D7">
        <v>13.5</v>
      </c>
      <c r="E7">
        <v>40</v>
      </c>
      <c r="F7">
        <v>29.5</v>
      </c>
      <c r="G7" s="1">
        <f>DATE(C7, CHOOSE(MATCH(UPPER(B7), {"ENERO","FEBRERO","MARZO","ABRIL","MAYO","JUNIO","JULIO","AGOSTO","SEPTIEMBRE","OCTUBRE","NOVIEMBRE","DICIEMBRE"}, 0), 1,2,3,4,5,6,7,8,9,10,11,12), A7)</f>
        <v>44292</v>
      </c>
      <c r="H7">
        <v>24</v>
      </c>
      <c r="I7">
        <v>40000</v>
      </c>
      <c r="J7" s="1">
        <f t="shared" si="1"/>
        <v>43472</v>
      </c>
      <c r="K7" s="2" t="e">
        <f t="shared" si="0"/>
        <v>#N/A</v>
      </c>
    </row>
    <row r="8" spans="1:11" x14ac:dyDescent="0.25">
      <c r="A8">
        <v>7</v>
      </c>
      <c r="B8" t="s">
        <v>13</v>
      </c>
      <c r="C8">
        <v>2021</v>
      </c>
      <c r="D8">
        <v>29.5</v>
      </c>
      <c r="E8" t="s">
        <v>9</v>
      </c>
      <c r="F8">
        <v>12</v>
      </c>
      <c r="G8" s="1">
        <f>DATE(C8, CHOOSE(MATCH(UPPER(B8), {"ENERO","FEBRERO","MARZO","ABRIL","MAYO","JUNIO","JULIO","AGOSTO","SEPTIEMBRE","OCTUBRE","NOVIEMBRE","DICIEMBRE"}, 0), 1,2,3,4,5,6,7,8,9,10,11,12), A8)</f>
        <v>44293</v>
      </c>
      <c r="H8">
        <v>17.5</v>
      </c>
      <c r="I8">
        <v>40000</v>
      </c>
      <c r="J8" s="1">
        <f t="shared" si="1"/>
        <v>43473</v>
      </c>
      <c r="K8" s="2" t="e">
        <f t="shared" si="0"/>
        <v>#N/A</v>
      </c>
    </row>
    <row r="9" spans="1:11" x14ac:dyDescent="0.25">
      <c r="A9">
        <v>8</v>
      </c>
      <c r="B9" t="s">
        <v>13</v>
      </c>
      <c r="C9">
        <v>2021</v>
      </c>
      <c r="D9">
        <v>12</v>
      </c>
      <c r="E9">
        <v>50</v>
      </c>
      <c r="F9">
        <v>48.125</v>
      </c>
      <c r="G9" s="1">
        <f>DATE(C9, CHOOSE(MATCH(UPPER(B9), {"ENERO","FEBRERO","MARZO","ABRIL","MAYO","JUNIO","JULIO","AGOSTO","SEPTIEMBRE","OCTUBRE","NOVIEMBRE","DICIEMBRE"}, 0), 1,2,3,4,5,6,7,8,9,10,11,12), A9)</f>
        <v>44294</v>
      </c>
      <c r="H9">
        <v>13.875</v>
      </c>
      <c r="I9">
        <v>40000</v>
      </c>
      <c r="J9" s="1">
        <f t="shared" si="1"/>
        <v>43474</v>
      </c>
      <c r="K9" s="2" t="e">
        <f t="shared" si="0"/>
        <v>#N/A</v>
      </c>
    </row>
    <row r="10" spans="1:11" x14ac:dyDescent="0.25">
      <c r="A10">
        <v>9</v>
      </c>
      <c r="B10" t="s">
        <v>13</v>
      </c>
      <c r="C10">
        <v>2021</v>
      </c>
      <c r="D10">
        <v>48.125</v>
      </c>
      <c r="E10">
        <v>70</v>
      </c>
      <c r="F10">
        <v>93</v>
      </c>
      <c r="G10" s="1">
        <f>DATE(C10, CHOOSE(MATCH(UPPER(B10), {"ENERO","FEBRERO","MARZO","ABRIL","MAYO","JUNIO","JULIO","AGOSTO","SEPTIEMBRE","OCTUBRE","NOVIEMBRE","DICIEMBRE"}, 0), 1,2,3,4,5,6,7,8,9,10,11,12), A10)</f>
        <v>44295</v>
      </c>
      <c r="H10">
        <v>25.125</v>
      </c>
      <c r="I10">
        <v>40000</v>
      </c>
      <c r="J10" s="1">
        <f t="shared" si="1"/>
        <v>43475</v>
      </c>
      <c r="K10" s="2" t="e">
        <f t="shared" si="0"/>
        <v>#N/A</v>
      </c>
    </row>
    <row r="11" spans="1:11" x14ac:dyDescent="0.25">
      <c r="A11">
        <v>10</v>
      </c>
      <c r="B11" t="s">
        <v>13</v>
      </c>
      <c r="C11">
        <v>2021</v>
      </c>
      <c r="D11">
        <v>93</v>
      </c>
      <c r="E11" t="s">
        <v>9</v>
      </c>
      <c r="F11">
        <v>49</v>
      </c>
      <c r="G11" s="1">
        <f>DATE(C11, CHOOSE(MATCH(UPPER(B11), {"ENERO","FEBRERO","MARZO","ABRIL","MAYO","JUNIO","JULIO","AGOSTO","SEPTIEMBRE","OCTUBRE","NOVIEMBRE","DICIEMBRE"}, 0), 1,2,3,4,5,6,7,8,9,10,11,12), A11)</f>
        <v>44296</v>
      </c>
      <c r="H11">
        <v>44</v>
      </c>
      <c r="I11">
        <v>40000</v>
      </c>
      <c r="J11" s="1">
        <f t="shared" si="1"/>
        <v>43476</v>
      </c>
      <c r="K11" s="2" t="e">
        <f t="shared" si="0"/>
        <v>#N/A</v>
      </c>
    </row>
    <row r="12" spans="1:11" x14ac:dyDescent="0.25">
      <c r="A12">
        <v>11</v>
      </c>
      <c r="B12" t="s">
        <v>13</v>
      </c>
      <c r="C12">
        <v>2021</v>
      </c>
      <c r="D12">
        <v>49</v>
      </c>
      <c r="E12" t="s">
        <v>9</v>
      </c>
      <c r="F12">
        <v>16.5</v>
      </c>
      <c r="G12" s="1">
        <f>DATE(C12, CHOOSE(MATCH(UPPER(B12), {"ENERO","FEBRERO","MARZO","ABRIL","MAYO","JUNIO","JULIO","AGOSTO","SEPTIEMBRE","OCTUBRE","NOVIEMBRE","DICIEMBRE"}, 0), 1,2,3,4,5,6,7,8,9,10,11,12), A12)</f>
        <v>44297</v>
      </c>
      <c r="H12">
        <v>32.5</v>
      </c>
      <c r="I12">
        <v>40000</v>
      </c>
      <c r="J12" s="1">
        <f t="shared" si="1"/>
        <v>43477</v>
      </c>
      <c r="K12" s="2" t="e">
        <f t="shared" si="0"/>
        <v>#N/A</v>
      </c>
    </row>
    <row r="13" spans="1:11" x14ac:dyDescent="0.25">
      <c r="A13">
        <v>12</v>
      </c>
      <c r="B13" t="s">
        <v>13</v>
      </c>
      <c r="C13">
        <v>2021</v>
      </c>
      <c r="D13">
        <v>16.5</v>
      </c>
      <c r="E13" t="s">
        <v>9</v>
      </c>
      <c r="F13">
        <v>3.25</v>
      </c>
      <c r="G13" s="1">
        <f>DATE(C13, CHOOSE(MATCH(UPPER(B13), {"ENERO","FEBRERO","MARZO","ABRIL","MAYO","JUNIO","JULIO","AGOSTO","SEPTIEMBRE","OCTUBRE","NOVIEMBRE","DICIEMBRE"}, 0), 1,2,3,4,5,6,7,8,9,10,11,12), A13)</f>
        <v>44298</v>
      </c>
      <c r="H13">
        <v>13.25</v>
      </c>
      <c r="I13">
        <v>40000</v>
      </c>
      <c r="J13" s="1">
        <f t="shared" si="1"/>
        <v>43478</v>
      </c>
      <c r="K13" s="2" t="e">
        <f t="shared" si="0"/>
        <v>#N/A</v>
      </c>
    </row>
    <row r="14" spans="1:11" x14ac:dyDescent="0.25">
      <c r="A14">
        <v>13</v>
      </c>
      <c r="B14" t="s">
        <v>13</v>
      </c>
      <c r="C14">
        <v>2021</v>
      </c>
      <c r="D14">
        <v>3.25</v>
      </c>
      <c r="E14">
        <v>20</v>
      </c>
      <c r="F14">
        <v>6</v>
      </c>
      <c r="G14" s="1">
        <f>DATE(C14, CHOOSE(MATCH(UPPER(B14), {"ENERO","FEBRERO","MARZO","ABRIL","MAYO","JUNIO","JULIO","AGOSTO","SEPTIEMBRE","OCTUBRE","NOVIEMBRE","DICIEMBRE"}, 0), 1,2,3,4,5,6,7,8,9,10,11,12), A14)</f>
        <v>44299</v>
      </c>
      <c r="H14">
        <v>17.25</v>
      </c>
      <c r="I14">
        <v>40000</v>
      </c>
      <c r="J14" s="1">
        <f t="shared" si="1"/>
        <v>43479</v>
      </c>
      <c r="K14" s="2" t="e">
        <f t="shared" si="0"/>
        <v>#N/A</v>
      </c>
    </row>
    <row r="15" spans="1:11" x14ac:dyDescent="0.25">
      <c r="A15">
        <v>14</v>
      </c>
      <c r="B15" t="s">
        <v>13</v>
      </c>
      <c r="C15">
        <v>2021</v>
      </c>
      <c r="D15">
        <v>6</v>
      </c>
      <c r="E15">
        <v>71</v>
      </c>
      <c r="F15">
        <v>60.5</v>
      </c>
      <c r="G15" s="1">
        <f>DATE(C15, CHOOSE(MATCH(UPPER(B15), {"ENERO","FEBRERO","MARZO","ABRIL","MAYO","JUNIO","JULIO","AGOSTO","SEPTIEMBRE","OCTUBRE","NOVIEMBRE","DICIEMBRE"}, 0), 1,2,3,4,5,6,7,8,9,10,11,12), A15)</f>
        <v>44300</v>
      </c>
      <c r="H15">
        <v>16.5</v>
      </c>
      <c r="I15">
        <v>40000</v>
      </c>
      <c r="J15" s="1">
        <f t="shared" si="1"/>
        <v>43480</v>
      </c>
      <c r="K15" s="2" t="e">
        <f t="shared" si="0"/>
        <v>#N/A</v>
      </c>
    </row>
    <row r="16" spans="1:11" x14ac:dyDescent="0.25">
      <c r="A16">
        <v>15</v>
      </c>
      <c r="B16" t="s">
        <v>13</v>
      </c>
      <c r="C16">
        <v>2021</v>
      </c>
      <c r="D16">
        <v>60.5</v>
      </c>
      <c r="E16" t="s">
        <v>9</v>
      </c>
      <c r="F16">
        <v>40.5</v>
      </c>
      <c r="G16" s="1">
        <f>DATE(C16, CHOOSE(MATCH(UPPER(B16), {"ENERO","FEBRERO","MARZO","ABRIL","MAYO","JUNIO","JULIO","AGOSTO","SEPTIEMBRE","OCTUBRE","NOVIEMBRE","DICIEMBRE"}, 0), 1,2,3,4,5,6,7,8,9,10,11,12), A16)</f>
        <v>44301</v>
      </c>
      <c r="H16">
        <v>20</v>
      </c>
      <c r="I16">
        <v>40000</v>
      </c>
      <c r="J16" s="1">
        <f t="shared" si="1"/>
        <v>43481</v>
      </c>
      <c r="K16" s="2" t="e">
        <f t="shared" si="0"/>
        <v>#N/A</v>
      </c>
    </row>
    <row r="17" spans="1:11" x14ac:dyDescent="0.25">
      <c r="A17">
        <v>16</v>
      </c>
      <c r="B17" t="s">
        <v>13</v>
      </c>
      <c r="C17">
        <v>2021</v>
      </c>
      <c r="D17">
        <v>40.5</v>
      </c>
      <c r="E17" t="s">
        <v>9</v>
      </c>
      <c r="F17">
        <v>21</v>
      </c>
      <c r="G17" s="1">
        <f>DATE(C17, CHOOSE(MATCH(UPPER(B17), {"ENERO","FEBRERO","MARZO","ABRIL","MAYO","JUNIO","JULIO","AGOSTO","SEPTIEMBRE","OCTUBRE","NOVIEMBRE","DICIEMBRE"}, 0), 1,2,3,4,5,6,7,8,9,10,11,12), A17)</f>
        <v>44302</v>
      </c>
      <c r="H17">
        <v>19.5</v>
      </c>
      <c r="I17">
        <v>40000</v>
      </c>
      <c r="J17" s="1">
        <f t="shared" si="1"/>
        <v>43482</v>
      </c>
      <c r="K17" s="2" t="e">
        <f t="shared" si="0"/>
        <v>#N/A</v>
      </c>
    </row>
    <row r="18" spans="1:11" x14ac:dyDescent="0.25">
      <c r="A18">
        <v>17</v>
      </c>
      <c r="B18" t="s">
        <v>13</v>
      </c>
      <c r="C18">
        <v>2021</v>
      </c>
      <c r="D18">
        <v>21</v>
      </c>
      <c r="E18">
        <v>68</v>
      </c>
      <c r="F18">
        <v>50</v>
      </c>
      <c r="G18" s="1">
        <f>DATE(C18, CHOOSE(MATCH(UPPER(B18), {"ENERO","FEBRERO","MARZO","ABRIL","MAYO","JUNIO","JULIO","AGOSTO","SEPTIEMBRE","OCTUBRE","NOVIEMBRE","DICIEMBRE"}, 0), 1,2,3,4,5,6,7,8,9,10,11,12), A18)</f>
        <v>44303</v>
      </c>
      <c r="H18">
        <v>39</v>
      </c>
      <c r="I18">
        <v>40000</v>
      </c>
      <c r="J18" s="1">
        <f t="shared" si="1"/>
        <v>43483</v>
      </c>
      <c r="K18" s="2" t="e">
        <f t="shared" si="0"/>
        <v>#N/A</v>
      </c>
    </row>
    <row r="19" spans="1:11" x14ac:dyDescent="0.25">
      <c r="A19">
        <v>18</v>
      </c>
      <c r="B19" t="s">
        <v>13</v>
      </c>
      <c r="C19">
        <v>2021</v>
      </c>
      <c r="D19">
        <v>50</v>
      </c>
      <c r="E19" t="s">
        <v>9</v>
      </c>
      <c r="F19">
        <v>13.5</v>
      </c>
      <c r="G19" s="1">
        <f>DATE(C19, CHOOSE(MATCH(UPPER(B19), {"ENERO","FEBRERO","MARZO","ABRIL","MAYO","JUNIO","JULIO","AGOSTO","SEPTIEMBRE","OCTUBRE","NOVIEMBRE","DICIEMBRE"}, 0), 1,2,3,4,5,6,7,8,9,10,11,12), A19)</f>
        <v>44304</v>
      </c>
      <c r="H19">
        <v>36.5</v>
      </c>
      <c r="I19">
        <v>40000</v>
      </c>
      <c r="J19" s="1">
        <f t="shared" si="1"/>
        <v>43484</v>
      </c>
      <c r="K19" s="2" t="e">
        <f t="shared" si="0"/>
        <v>#N/A</v>
      </c>
    </row>
    <row r="20" spans="1:11" x14ac:dyDescent="0.25">
      <c r="A20">
        <v>19</v>
      </c>
      <c r="B20" t="s">
        <v>13</v>
      </c>
      <c r="C20">
        <v>2021</v>
      </c>
      <c r="D20">
        <v>13.5</v>
      </c>
      <c r="E20">
        <v>70</v>
      </c>
      <c r="F20">
        <v>74</v>
      </c>
      <c r="G20" s="1">
        <f>DATE(C20, CHOOSE(MATCH(UPPER(B20), {"ENERO","FEBRERO","MARZO","ABRIL","MAYO","JUNIO","JULIO","AGOSTO","SEPTIEMBRE","OCTUBRE","NOVIEMBRE","DICIEMBRE"}, 0), 1,2,3,4,5,6,7,8,9,10,11,12), A20)</f>
        <v>44305</v>
      </c>
      <c r="H20">
        <v>9.5</v>
      </c>
      <c r="I20">
        <v>40000</v>
      </c>
      <c r="J20" s="1">
        <f t="shared" si="1"/>
        <v>43485</v>
      </c>
      <c r="K20" s="2" t="e">
        <f t="shared" si="0"/>
        <v>#N/A</v>
      </c>
    </row>
    <row r="21" spans="1:11" x14ac:dyDescent="0.25">
      <c r="A21">
        <v>20</v>
      </c>
      <c r="B21" t="s">
        <v>13</v>
      </c>
      <c r="C21">
        <v>2021</v>
      </c>
      <c r="D21">
        <v>74</v>
      </c>
      <c r="E21" t="s">
        <v>9</v>
      </c>
      <c r="F21">
        <v>56.4</v>
      </c>
      <c r="G21" s="1">
        <f>DATE(C21, CHOOSE(MATCH(UPPER(B21), {"ENERO","FEBRERO","MARZO","ABRIL","MAYO","JUNIO","JULIO","AGOSTO","SEPTIEMBRE","OCTUBRE","NOVIEMBRE","DICIEMBRE"}, 0), 1,2,3,4,5,6,7,8,9,10,11,12), A21)</f>
        <v>44306</v>
      </c>
      <c r="H21">
        <v>17.600000000000001</v>
      </c>
      <c r="I21">
        <v>40000</v>
      </c>
      <c r="J21" s="1">
        <f t="shared" si="1"/>
        <v>43486</v>
      </c>
      <c r="K21" s="2" t="e">
        <f t="shared" si="0"/>
        <v>#N/A</v>
      </c>
    </row>
    <row r="22" spans="1:11" x14ac:dyDescent="0.25">
      <c r="A22">
        <v>21</v>
      </c>
      <c r="B22" t="s">
        <v>13</v>
      </c>
      <c r="C22">
        <v>2021</v>
      </c>
      <c r="D22">
        <v>56.4</v>
      </c>
      <c r="E22" t="s">
        <v>9</v>
      </c>
      <c r="F22">
        <v>45.5</v>
      </c>
      <c r="G22" s="1">
        <f>DATE(C22, CHOOSE(MATCH(UPPER(B22), {"ENERO","FEBRERO","MARZO","ABRIL","MAYO","JUNIO","JULIO","AGOSTO","SEPTIEMBRE","OCTUBRE","NOVIEMBRE","DICIEMBRE"}, 0), 1,2,3,4,5,6,7,8,9,10,11,12), A22)</f>
        <v>44307</v>
      </c>
      <c r="H22">
        <v>10.9</v>
      </c>
      <c r="I22">
        <v>40000</v>
      </c>
      <c r="J22" s="1">
        <f t="shared" si="1"/>
        <v>43487</v>
      </c>
      <c r="K22" s="2" t="e">
        <f t="shared" si="0"/>
        <v>#N/A</v>
      </c>
    </row>
    <row r="23" spans="1:11" x14ac:dyDescent="0.25">
      <c r="A23">
        <v>22</v>
      </c>
      <c r="B23" t="s">
        <v>13</v>
      </c>
      <c r="C23">
        <v>2021</v>
      </c>
      <c r="D23">
        <v>45.5</v>
      </c>
      <c r="E23" t="s">
        <v>9</v>
      </c>
      <c r="F23">
        <v>21</v>
      </c>
      <c r="G23" s="1">
        <f>DATE(C23, CHOOSE(MATCH(UPPER(B23), {"ENERO","FEBRERO","MARZO","ABRIL","MAYO","JUNIO","JULIO","AGOSTO","SEPTIEMBRE","OCTUBRE","NOVIEMBRE","DICIEMBRE"}, 0), 1,2,3,4,5,6,7,8,9,10,11,12), A23)</f>
        <v>44308</v>
      </c>
      <c r="H23">
        <v>24.5</v>
      </c>
      <c r="I23">
        <v>40000</v>
      </c>
      <c r="J23" s="1">
        <f t="shared" si="1"/>
        <v>43488</v>
      </c>
      <c r="K23" s="2" t="e">
        <f t="shared" si="0"/>
        <v>#N/A</v>
      </c>
    </row>
    <row r="24" spans="1:11" x14ac:dyDescent="0.25">
      <c r="A24">
        <v>23</v>
      </c>
      <c r="B24" t="s">
        <v>13</v>
      </c>
      <c r="C24">
        <v>2021</v>
      </c>
      <c r="D24">
        <v>21</v>
      </c>
      <c r="E24" t="s">
        <v>9</v>
      </c>
      <c r="F24">
        <v>2</v>
      </c>
      <c r="G24" s="1">
        <f>DATE(C24, CHOOSE(MATCH(UPPER(B24), {"ENERO","FEBRERO","MARZO","ABRIL","MAYO","JUNIO","JULIO","AGOSTO","SEPTIEMBRE","OCTUBRE","NOVIEMBRE","DICIEMBRE"}, 0), 1,2,3,4,5,6,7,8,9,10,11,12), A24)</f>
        <v>44309</v>
      </c>
      <c r="H24">
        <v>19</v>
      </c>
      <c r="I24">
        <v>40000</v>
      </c>
      <c r="J24" s="1">
        <f t="shared" si="1"/>
        <v>43489</v>
      </c>
      <c r="K24" s="2" t="e">
        <f t="shared" si="0"/>
        <v>#N/A</v>
      </c>
    </row>
    <row r="25" spans="1:11" x14ac:dyDescent="0.25">
      <c r="A25">
        <v>24</v>
      </c>
      <c r="B25" t="s">
        <v>13</v>
      </c>
      <c r="C25">
        <v>2021</v>
      </c>
      <c r="D25">
        <v>2</v>
      </c>
      <c r="E25">
        <v>55</v>
      </c>
      <c r="F25">
        <v>23</v>
      </c>
      <c r="G25" s="1">
        <f>DATE(C25, CHOOSE(MATCH(UPPER(B25), {"ENERO","FEBRERO","MARZO","ABRIL","MAYO","JUNIO","JULIO","AGOSTO","SEPTIEMBRE","OCTUBRE","NOVIEMBRE","DICIEMBRE"}, 0), 1,2,3,4,5,6,7,8,9,10,11,12), A25)</f>
        <v>44310</v>
      </c>
      <c r="H25">
        <v>34</v>
      </c>
      <c r="I25">
        <v>40000</v>
      </c>
      <c r="J25" s="1">
        <f t="shared" si="1"/>
        <v>43490</v>
      </c>
      <c r="K25" s="2" t="e">
        <f t="shared" si="0"/>
        <v>#N/A</v>
      </c>
    </row>
    <row r="26" spans="1:11" x14ac:dyDescent="0.25">
      <c r="A26">
        <v>25</v>
      </c>
      <c r="B26" t="s">
        <v>13</v>
      </c>
      <c r="C26">
        <v>2021</v>
      </c>
      <c r="D26">
        <v>23</v>
      </c>
      <c r="E26">
        <v>30</v>
      </c>
      <c r="F26">
        <v>19</v>
      </c>
      <c r="G26" s="1">
        <f>DATE(C26, CHOOSE(MATCH(UPPER(B26), {"ENERO","FEBRERO","MARZO","ABRIL","MAYO","JUNIO","JULIO","AGOSTO","SEPTIEMBRE","OCTUBRE","NOVIEMBRE","DICIEMBRE"}, 0), 1,2,3,4,5,6,7,8,9,10,11,12), A26)</f>
        <v>44311</v>
      </c>
      <c r="H26">
        <v>34</v>
      </c>
      <c r="I26">
        <v>40000</v>
      </c>
      <c r="J26" s="1">
        <f t="shared" si="1"/>
        <v>43491</v>
      </c>
      <c r="K26" s="2" t="e">
        <f t="shared" si="0"/>
        <v>#N/A</v>
      </c>
    </row>
    <row r="27" spans="1:11" x14ac:dyDescent="0.25">
      <c r="A27">
        <v>26</v>
      </c>
      <c r="B27" t="s">
        <v>13</v>
      </c>
      <c r="C27">
        <v>2021</v>
      </c>
      <c r="D27">
        <v>19</v>
      </c>
      <c r="E27" t="s">
        <v>9</v>
      </c>
      <c r="F27">
        <v>11</v>
      </c>
      <c r="G27" s="1">
        <f>DATE(C27, CHOOSE(MATCH(UPPER(B27), {"ENERO","FEBRERO","MARZO","ABRIL","MAYO","JUNIO","JULIO","AGOSTO","SEPTIEMBRE","OCTUBRE","NOVIEMBRE","DICIEMBRE"}, 0), 1,2,3,4,5,6,7,8,9,10,11,12), A27)</f>
        <v>44312</v>
      </c>
      <c r="H27">
        <v>8</v>
      </c>
      <c r="I27">
        <v>40000</v>
      </c>
      <c r="J27" s="1">
        <f t="shared" si="1"/>
        <v>43492</v>
      </c>
      <c r="K27" s="2" t="e">
        <f t="shared" si="0"/>
        <v>#N/A</v>
      </c>
    </row>
    <row r="28" spans="1:11" x14ac:dyDescent="0.25">
      <c r="A28">
        <v>27</v>
      </c>
      <c r="B28" t="s">
        <v>13</v>
      </c>
      <c r="C28">
        <v>2021</v>
      </c>
      <c r="D28">
        <v>11</v>
      </c>
      <c r="E28">
        <v>10</v>
      </c>
      <c r="F28">
        <v>4.5</v>
      </c>
      <c r="G28" s="1">
        <f>DATE(C28, CHOOSE(MATCH(UPPER(B28), {"ENERO","FEBRERO","MARZO","ABRIL","MAYO","JUNIO","JULIO","AGOSTO","SEPTIEMBRE","OCTUBRE","NOVIEMBRE","DICIEMBRE"}, 0), 1,2,3,4,5,6,7,8,9,10,11,12), A28)</f>
        <v>44313</v>
      </c>
      <c r="H28">
        <v>16.5</v>
      </c>
      <c r="I28">
        <v>40000</v>
      </c>
      <c r="J28" s="1">
        <f t="shared" si="1"/>
        <v>43493</v>
      </c>
      <c r="K28" s="2" t="e">
        <f t="shared" si="0"/>
        <v>#N/A</v>
      </c>
    </row>
    <row r="29" spans="1:11" x14ac:dyDescent="0.25">
      <c r="A29">
        <v>28</v>
      </c>
      <c r="B29" t="s">
        <v>13</v>
      </c>
      <c r="C29">
        <v>2021</v>
      </c>
      <c r="D29">
        <v>4.5</v>
      </c>
      <c r="E29">
        <v>20</v>
      </c>
      <c r="F29">
        <v>23</v>
      </c>
      <c r="G29" s="1">
        <f>DATE(C29, CHOOSE(MATCH(UPPER(B29), {"ENERO","FEBRERO","MARZO","ABRIL","MAYO","JUNIO","JULIO","AGOSTO","SEPTIEMBRE","OCTUBRE","NOVIEMBRE","DICIEMBRE"}, 0), 1,2,3,4,5,6,7,8,9,10,11,12), A29)</f>
        <v>44314</v>
      </c>
      <c r="H29">
        <v>1.5</v>
      </c>
      <c r="I29">
        <v>40000</v>
      </c>
      <c r="J29" s="1">
        <f t="shared" si="1"/>
        <v>43494</v>
      </c>
      <c r="K29" s="2" t="e">
        <f t="shared" si="0"/>
        <v>#N/A</v>
      </c>
    </row>
    <row r="30" spans="1:11" x14ac:dyDescent="0.25">
      <c r="A30">
        <v>29</v>
      </c>
      <c r="B30" t="s">
        <v>13</v>
      </c>
      <c r="C30">
        <v>2021</v>
      </c>
      <c r="D30">
        <v>23</v>
      </c>
      <c r="E30">
        <v>50</v>
      </c>
      <c r="F30">
        <v>66.75</v>
      </c>
      <c r="G30" s="1">
        <f>DATE(C30, CHOOSE(MATCH(UPPER(B30), {"ENERO","FEBRERO","MARZO","ABRIL","MAYO","JUNIO","JULIO","AGOSTO","SEPTIEMBRE","OCTUBRE","NOVIEMBRE","DICIEMBRE"}, 0), 1,2,3,4,5,6,7,8,9,10,11,12), A30)</f>
        <v>44315</v>
      </c>
      <c r="H30">
        <v>6.25</v>
      </c>
      <c r="I30">
        <v>40000</v>
      </c>
      <c r="J30" s="1">
        <f t="shared" si="1"/>
        <v>43495</v>
      </c>
      <c r="K30" s="2" t="e">
        <f t="shared" si="0"/>
        <v>#N/A</v>
      </c>
    </row>
    <row r="31" spans="1:11" x14ac:dyDescent="0.25">
      <c r="A31">
        <v>30</v>
      </c>
      <c r="B31" t="s">
        <v>13</v>
      </c>
      <c r="C31">
        <v>2021</v>
      </c>
      <c r="D31">
        <v>66.75</v>
      </c>
      <c r="E31" t="s">
        <v>9</v>
      </c>
      <c r="F31">
        <v>51.5</v>
      </c>
      <c r="G31" s="1">
        <f>DATE(C31, CHOOSE(MATCH(UPPER(B31), {"ENERO","FEBRERO","MARZO","ABRIL","MAYO","JUNIO","JULIO","AGOSTO","SEPTIEMBRE","OCTUBRE","NOVIEMBRE","DICIEMBRE"}, 0), 1,2,3,4,5,6,7,8,9,10,11,12), A31)</f>
        <v>44316</v>
      </c>
      <c r="H31">
        <v>15.25</v>
      </c>
      <c r="I31">
        <v>40000</v>
      </c>
      <c r="J31" s="1">
        <f t="shared" si="1"/>
        <v>43496</v>
      </c>
      <c r="K31" s="2" t="e">
        <f t="shared" si="0"/>
        <v>#N/A</v>
      </c>
    </row>
    <row r="32" spans="1:11" x14ac:dyDescent="0.25">
      <c r="A32">
        <v>1</v>
      </c>
      <c r="B32" t="s">
        <v>14</v>
      </c>
      <c r="C32">
        <v>2021</v>
      </c>
      <c r="D32">
        <v>51.5</v>
      </c>
      <c r="E32" t="s">
        <v>9</v>
      </c>
      <c r="F32">
        <v>28.625</v>
      </c>
      <c r="G32" s="1">
        <f>DATE(C32, CHOOSE(MATCH(UPPER(B32), {"ENERO","FEBRERO","MARZO","ABRIL","MAYO","JUNIO","JULIO","AGOSTO","SEPTIEMBRE","OCTUBRE","NOVIEMBRE","DICIEMBRE"}, 0), 1,2,3,4,5,6,7,8,9,10,11,12), A32)</f>
        <v>44317</v>
      </c>
      <c r="H32">
        <v>22.875</v>
      </c>
      <c r="I32">
        <v>40000</v>
      </c>
      <c r="J32" s="1">
        <f t="shared" si="1"/>
        <v>43497</v>
      </c>
      <c r="K32" s="2" t="e">
        <f t="shared" si="0"/>
        <v>#N/A</v>
      </c>
    </row>
    <row r="33" spans="1:11" x14ac:dyDescent="0.25">
      <c r="A33">
        <v>2</v>
      </c>
      <c r="B33" t="s">
        <v>14</v>
      </c>
      <c r="C33">
        <v>2021</v>
      </c>
      <c r="D33">
        <v>28.625</v>
      </c>
      <c r="E33">
        <v>40</v>
      </c>
      <c r="F33">
        <v>36.875</v>
      </c>
      <c r="G33" s="1">
        <f>DATE(C33, CHOOSE(MATCH(UPPER(B33), {"ENERO","FEBRERO","MARZO","ABRIL","MAYO","JUNIO","JULIO","AGOSTO","SEPTIEMBRE","OCTUBRE","NOVIEMBRE","DICIEMBRE"}, 0), 1,2,3,4,5,6,7,8,9,10,11,12), A33)</f>
        <v>44318</v>
      </c>
      <c r="H33">
        <v>31.75</v>
      </c>
      <c r="I33">
        <v>40000</v>
      </c>
      <c r="J33" s="1">
        <f t="shared" si="1"/>
        <v>43498</v>
      </c>
      <c r="K33" s="2" t="e">
        <f t="shared" si="0"/>
        <v>#N/A</v>
      </c>
    </row>
    <row r="34" spans="1:11" x14ac:dyDescent="0.25">
      <c r="A34">
        <v>3</v>
      </c>
      <c r="B34" t="s">
        <v>14</v>
      </c>
      <c r="C34">
        <v>2021</v>
      </c>
      <c r="D34">
        <v>36.875</v>
      </c>
      <c r="E34" t="s">
        <v>9</v>
      </c>
      <c r="F34">
        <v>36.875</v>
      </c>
      <c r="G34" s="1">
        <f>DATE(C34, CHOOSE(MATCH(UPPER(B34), {"ENERO","FEBRERO","MARZO","ABRIL","MAYO","JUNIO","JULIO","AGOSTO","SEPTIEMBRE","OCTUBRE","NOVIEMBRE","DICIEMBRE"}, 0), 1,2,3,4,5,6,7,8,9,10,11,12), A34)</f>
        <v>44319</v>
      </c>
      <c r="H34">
        <v>0</v>
      </c>
      <c r="I34">
        <v>40000</v>
      </c>
      <c r="J34" s="1">
        <f t="shared" si="1"/>
        <v>43499</v>
      </c>
      <c r="K34" s="2" t="e">
        <f t="shared" si="0"/>
        <v>#N/A</v>
      </c>
    </row>
    <row r="35" spans="1:11" x14ac:dyDescent="0.25">
      <c r="A35">
        <v>4</v>
      </c>
      <c r="B35" t="s">
        <v>14</v>
      </c>
      <c r="C35">
        <v>2021</v>
      </c>
      <c r="D35">
        <v>36.875</v>
      </c>
      <c r="E35">
        <v>1</v>
      </c>
      <c r="F35">
        <v>16.5</v>
      </c>
      <c r="G35" s="1">
        <f>DATE(C35, CHOOSE(MATCH(UPPER(B35), {"ENERO","FEBRERO","MARZO","ABRIL","MAYO","JUNIO","JULIO","AGOSTO","SEPTIEMBRE","OCTUBRE","NOVIEMBRE","DICIEMBRE"}, 0), 1,2,3,4,5,6,7,8,9,10,11,12), A35)</f>
        <v>44320</v>
      </c>
      <c r="H35">
        <v>21.375</v>
      </c>
      <c r="I35">
        <v>40000</v>
      </c>
      <c r="J35" s="1">
        <f t="shared" si="1"/>
        <v>43500</v>
      </c>
      <c r="K35" s="2" t="e">
        <f t="shared" si="0"/>
        <v>#N/A</v>
      </c>
    </row>
    <row r="36" spans="1:11" x14ac:dyDescent="0.25">
      <c r="A36">
        <v>5</v>
      </c>
      <c r="B36" t="s">
        <v>14</v>
      </c>
      <c r="C36">
        <v>2021</v>
      </c>
      <c r="D36">
        <v>16.5</v>
      </c>
      <c r="E36" t="s">
        <v>9</v>
      </c>
      <c r="F36">
        <v>1.875</v>
      </c>
      <c r="G36" s="1">
        <f>DATE(C36, CHOOSE(MATCH(UPPER(B36), {"ENERO","FEBRERO","MARZO","ABRIL","MAYO","JUNIO","JULIO","AGOSTO","SEPTIEMBRE","OCTUBRE","NOVIEMBRE","DICIEMBRE"}, 0), 1,2,3,4,5,6,7,8,9,10,11,12), A36)</f>
        <v>44321</v>
      </c>
      <c r="H36">
        <v>14.625</v>
      </c>
      <c r="I36">
        <v>40000</v>
      </c>
      <c r="J36" s="1">
        <f t="shared" si="1"/>
        <v>43501</v>
      </c>
      <c r="K36" s="2" t="e">
        <f t="shared" si="0"/>
        <v>#N/A</v>
      </c>
    </row>
    <row r="37" spans="1:11" x14ac:dyDescent="0.25">
      <c r="A37">
        <v>6</v>
      </c>
      <c r="B37" t="s">
        <v>14</v>
      </c>
      <c r="C37">
        <v>2021</v>
      </c>
      <c r="D37">
        <v>1.875</v>
      </c>
      <c r="E37">
        <v>40</v>
      </c>
      <c r="F37">
        <v>22</v>
      </c>
      <c r="G37" s="1">
        <f>DATE(C37, CHOOSE(MATCH(UPPER(B37), {"ENERO","FEBRERO","MARZO","ABRIL","MAYO","JUNIO","JULIO","AGOSTO","SEPTIEMBRE","OCTUBRE","NOVIEMBRE","DICIEMBRE"}, 0), 1,2,3,4,5,6,7,8,9,10,11,12), A37)</f>
        <v>44322</v>
      </c>
      <c r="H37">
        <v>19.875</v>
      </c>
      <c r="I37">
        <v>40000</v>
      </c>
      <c r="J37" s="1">
        <f t="shared" si="1"/>
        <v>43502</v>
      </c>
      <c r="K37" s="2" t="e">
        <f t="shared" si="0"/>
        <v>#N/A</v>
      </c>
    </row>
    <row r="38" spans="1:11" x14ac:dyDescent="0.25">
      <c r="A38">
        <v>7</v>
      </c>
      <c r="B38" t="s">
        <v>14</v>
      </c>
      <c r="C38">
        <v>2021</v>
      </c>
      <c r="D38">
        <v>22</v>
      </c>
      <c r="E38" t="s">
        <v>9</v>
      </c>
      <c r="F38">
        <v>7.5</v>
      </c>
      <c r="G38" s="1">
        <f>DATE(C38, CHOOSE(MATCH(UPPER(B38), {"ENERO","FEBRERO","MARZO","ABRIL","MAYO","JUNIO","JULIO","AGOSTO","SEPTIEMBRE","OCTUBRE","NOVIEMBRE","DICIEMBRE"}, 0), 1,2,3,4,5,6,7,8,9,10,11,12), A38)</f>
        <v>44323</v>
      </c>
      <c r="H38">
        <v>14.5</v>
      </c>
      <c r="I38">
        <v>40000</v>
      </c>
      <c r="J38" s="1">
        <f t="shared" si="1"/>
        <v>43503</v>
      </c>
      <c r="K38" s="2" t="e">
        <f t="shared" si="0"/>
        <v>#N/A</v>
      </c>
    </row>
    <row r="39" spans="1:11" x14ac:dyDescent="0.25">
      <c r="A39">
        <v>8</v>
      </c>
      <c r="B39" t="s">
        <v>14</v>
      </c>
      <c r="C39">
        <v>2021</v>
      </c>
      <c r="D39">
        <v>7.5</v>
      </c>
      <c r="E39">
        <v>50</v>
      </c>
      <c r="F39">
        <v>25</v>
      </c>
      <c r="G39" s="1">
        <f>DATE(C39, CHOOSE(MATCH(UPPER(B39), {"ENERO","FEBRERO","MARZO","ABRIL","MAYO","JUNIO","JULIO","AGOSTO","SEPTIEMBRE","OCTUBRE","NOVIEMBRE","DICIEMBRE"}, 0), 1,2,3,4,5,6,7,8,9,10,11,12), A39)</f>
        <v>44324</v>
      </c>
      <c r="H39">
        <v>32.5</v>
      </c>
      <c r="I39">
        <v>40000</v>
      </c>
      <c r="J39" s="1">
        <f t="shared" si="1"/>
        <v>43504</v>
      </c>
      <c r="K39" s="2" t="e">
        <f t="shared" si="0"/>
        <v>#N/A</v>
      </c>
    </row>
    <row r="40" spans="1:11" x14ac:dyDescent="0.25">
      <c r="A40">
        <v>9</v>
      </c>
      <c r="B40" t="s">
        <v>14</v>
      </c>
      <c r="C40">
        <v>2021</v>
      </c>
      <c r="D40">
        <v>25</v>
      </c>
      <c r="E40">
        <v>79</v>
      </c>
      <c r="F40">
        <v>41.5</v>
      </c>
      <c r="G40" s="1">
        <f>DATE(C40, CHOOSE(MATCH(UPPER(B40), {"ENERO","FEBRERO","MARZO","ABRIL","MAYO","JUNIO","JULIO","AGOSTO","SEPTIEMBRE","OCTUBRE","NOVIEMBRE","DICIEMBRE"}, 0), 1,2,3,4,5,6,7,8,9,10,11,12), A40)</f>
        <v>44325</v>
      </c>
      <c r="H40">
        <v>62.5</v>
      </c>
      <c r="I40">
        <v>40000</v>
      </c>
      <c r="J40" s="1">
        <f t="shared" si="1"/>
        <v>43505</v>
      </c>
      <c r="K40" s="2" t="e">
        <f t="shared" si="0"/>
        <v>#N/A</v>
      </c>
    </row>
    <row r="41" spans="1:11" x14ac:dyDescent="0.25">
      <c r="A41">
        <v>10</v>
      </c>
      <c r="B41" t="s">
        <v>14</v>
      </c>
      <c r="C41">
        <v>2021</v>
      </c>
      <c r="D41">
        <v>41.5</v>
      </c>
      <c r="E41" t="s">
        <v>9</v>
      </c>
      <c r="F41">
        <v>17</v>
      </c>
      <c r="G41" s="1">
        <f>DATE(C41, CHOOSE(MATCH(UPPER(B41), {"ENERO","FEBRERO","MARZO","ABRIL","MAYO","JUNIO","JULIO","AGOSTO","SEPTIEMBRE","OCTUBRE","NOVIEMBRE","DICIEMBRE"}, 0), 1,2,3,4,5,6,7,8,9,10,11,12), A41)</f>
        <v>44326</v>
      </c>
      <c r="H41">
        <v>24.5</v>
      </c>
      <c r="I41">
        <v>40000</v>
      </c>
      <c r="J41" s="1">
        <f t="shared" si="1"/>
        <v>43506</v>
      </c>
      <c r="K41" s="2" t="e">
        <f t="shared" si="0"/>
        <v>#N/A</v>
      </c>
    </row>
    <row r="42" spans="1:11" x14ac:dyDescent="0.25">
      <c r="A42">
        <v>11</v>
      </c>
      <c r="B42" t="s">
        <v>14</v>
      </c>
      <c r="C42">
        <v>2021</v>
      </c>
      <c r="D42">
        <v>17</v>
      </c>
      <c r="E42">
        <v>30</v>
      </c>
      <c r="F42">
        <v>24</v>
      </c>
      <c r="G42" s="1">
        <f>DATE(C42, CHOOSE(MATCH(UPPER(B42), {"ENERO","FEBRERO","MARZO","ABRIL","MAYO","JUNIO","JULIO","AGOSTO","SEPTIEMBRE","OCTUBRE","NOVIEMBRE","DICIEMBRE"}, 0), 1,2,3,4,5,6,7,8,9,10,11,12), A42)</f>
        <v>44327</v>
      </c>
      <c r="H42">
        <v>23</v>
      </c>
      <c r="I42">
        <v>40000</v>
      </c>
      <c r="J42" s="1">
        <f t="shared" si="1"/>
        <v>43507</v>
      </c>
      <c r="K42" s="2" t="e">
        <f t="shared" si="0"/>
        <v>#N/A</v>
      </c>
    </row>
    <row r="43" spans="1:11" x14ac:dyDescent="0.25">
      <c r="A43">
        <v>12</v>
      </c>
      <c r="B43" t="s">
        <v>14</v>
      </c>
      <c r="C43">
        <v>2021</v>
      </c>
      <c r="D43">
        <v>24</v>
      </c>
      <c r="E43" t="s">
        <v>9</v>
      </c>
      <c r="F43">
        <v>4.625</v>
      </c>
      <c r="G43" s="1">
        <f>DATE(C43, CHOOSE(MATCH(UPPER(B43), {"ENERO","FEBRERO","MARZO","ABRIL","MAYO","JUNIO","JULIO","AGOSTO","SEPTIEMBRE","OCTUBRE","NOVIEMBRE","DICIEMBRE"}, 0), 1,2,3,4,5,6,7,8,9,10,11,12), A43)</f>
        <v>44328</v>
      </c>
      <c r="H43">
        <v>19.375</v>
      </c>
      <c r="I43">
        <v>40000</v>
      </c>
      <c r="J43" s="1">
        <f t="shared" si="1"/>
        <v>43508</v>
      </c>
      <c r="K43" s="2" t="e">
        <f t="shared" si="0"/>
        <v>#N/A</v>
      </c>
    </row>
    <row r="44" spans="1:11" x14ac:dyDescent="0.25">
      <c r="A44">
        <v>13</v>
      </c>
      <c r="B44" t="s">
        <v>14</v>
      </c>
      <c r="C44">
        <v>2021</v>
      </c>
      <c r="D44">
        <v>4.625</v>
      </c>
      <c r="E44">
        <v>18</v>
      </c>
      <c r="F44">
        <v>0</v>
      </c>
      <c r="G44" s="1">
        <f>DATE(C44, CHOOSE(MATCH(UPPER(B44), {"ENERO","FEBRERO","MARZO","ABRIL","MAYO","JUNIO","JULIO","AGOSTO","SEPTIEMBRE","OCTUBRE","NOVIEMBRE","DICIEMBRE"}, 0), 1,2,3,4,5,6,7,8,9,10,11,12), A44)</f>
        <v>44329</v>
      </c>
      <c r="H44">
        <v>22.625</v>
      </c>
      <c r="I44">
        <v>40000</v>
      </c>
      <c r="J44" s="1">
        <f t="shared" si="1"/>
        <v>43509</v>
      </c>
      <c r="K44" s="2" t="e">
        <f t="shared" si="0"/>
        <v>#N/A</v>
      </c>
    </row>
    <row r="45" spans="1:11" x14ac:dyDescent="0.25">
      <c r="A45">
        <v>14</v>
      </c>
      <c r="B45" t="s">
        <v>14</v>
      </c>
      <c r="C45">
        <v>2021</v>
      </c>
      <c r="D45">
        <v>0</v>
      </c>
      <c r="E45">
        <v>50</v>
      </c>
      <c r="F45">
        <v>21.5</v>
      </c>
      <c r="G45" s="1">
        <f>DATE(C45, CHOOSE(MATCH(UPPER(B45), {"ENERO","FEBRERO","MARZO","ABRIL","MAYO","JUNIO","JULIO","AGOSTO","SEPTIEMBRE","OCTUBRE","NOVIEMBRE","DICIEMBRE"}, 0), 1,2,3,4,5,6,7,8,9,10,11,12), A45)</f>
        <v>44330</v>
      </c>
      <c r="H45">
        <v>28.5</v>
      </c>
      <c r="I45">
        <v>40000</v>
      </c>
      <c r="J45" s="1">
        <f t="shared" si="1"/>
        <v>43510</v>
      </c>
      <c r="K45" s="2" t="e">
        <f t="shared" si="0"/>
        <v>#N/A</v>
      </c>
    </row>
    <row r="46" spans="1:11" x14ac:dyDescent="0.25">
      <c r="A46">
        <v>15</v>
      </c>
      <c r="B46" t="s">
        <v>14</v>
      </c>
      <c r="C46">
        <v>2021</v>
      </c>
      <c r="D46">
        <v>21.5</v>
      </c>
      <c r="E46">
        <v>47</v>
      </c>
      <c r="F46">
        <v>31.5</v>
      </c>
      <c r="G46" s="1">
        <f>DATE(C46, CHOOSE(MATCH(UPPER(B46), {"ENERO","FEBRERO","MARZO","ABRIL","MAYO","JUNIO","JULIO","AGOSTO","SEPTIEMBRE","OCTUBRE","NOVIEMBRE","DICIEMBRE"}, 0), 1,2,3,4,5,6,7,8,9,10,11,12), A46)</f>
        <v>44331</v>
      </c>
      <c r="H46">
        <v>37</v>
      </c>
      <c r="I46">
        <v>40000</v>
      </c>
      <c r="J46" s="1">
        <f t="shared" si="1"/>
        <v>43511</v>
      </c>
      <c r="K46" s="2" t="e">
        <f t="shared" si="0"/>
        <v>#N/A</v>
      </c>
    </row>
    <row r="47" spans="1:11" x14ac:dyDescent="0.25">
      <c r="A47">
        <v>16</v>
      </c>
      <c r="B47" t="s">
        <v>14</v>
      </c>
      <c r="C47">
        <v>2021</v>
      </c>
      <c r="D47">
        <v>31.5</v>
      </c>
      <c r="E47">
        <v>20</v>
      </c>
      <c r="F47">
        <v>9.5</v>
      </c>
      <c r="G47" s="1">
        <f>DATE(C47, CHOOSE(MATCH(UPPER(B47), {"ENERO","FEBRERO","MARZO","ABRIL","MAYO","JUNIO","JULIO","AGOSTO","SEPTIEMBRE","OCTUBRE","NOVIEMBRE","DICIEMBRE"}, 0), 1,2,3,4,5,6,7,8,9,10,11,12), A47)</f>
        <v>44332</v>
      </c>
      <c r="H47">
        <v>42</v>
      </c>
      <c r="I47">
        <v>40000</v>
      </c>
      <c r="J47" s="1">
        <f t="shared" si="1"/>
        <v>43512</v>
      </c>
      <c r="K47" s="2" t="e">
        <f t="shared" si="0"/>
        <v>#N/A</v>
      </c>
    </row>
    <row r="48" spans="1:11" x14ac:dyDescent="0.25">
      <c r="A48">
        <v>17</v>
      </c>
      <c r="B48" t="s">
        <v>14</v>
      </c>
      <c r="C48">
        <v>2021</v>
      </c>
      <c r="D48">
        <v>9.5</v>
      </c>
      <c r="E48">
        <v>50</v>
      </c>
      <c r="F48">
        <v>31</v>
      </c>
      <c r="G48" s="1">
        <f>DATE(C48, CHOOSE(MATCH(UPPER(B48), {"ENERO","FEBRERO","MARZO","ABRIL","MAYO","JUNIO","JULIO","AGOSTO","SEPTIEMBRE","OCTUBRE","NOVIEMBRE","DICIEMBRE"}, 0), 1,2,3,4,5,6,7,8,9,10,11,12), A48)</f>
        <v>44333</v>
      </c>
      <c r="H48">
        <v>28.5</v>
      </c>
      <c r="I48">
        <v>40000</v>
      </c>
      <c r="J48" s="1">
        <f t="shared" si="1"/>
        <v>43513</v>
      </c>
      <c r="K48" s="2" t="e">
        <f t="shared" si="0"/>
        <v>#N/A</v>
      </c>
    </row>
    <row r="49" spans="1:11" x14ac:dyDescent="0.25">
      <c r="A49">
        <v>18</v>
      </c>
      <c r="B49" t="s">
        <v>14</v>
      </c>
      <c r="C49">
        <v>2021</v>
      </c>
      <c r="D49">
        <v>31</v>
      </c>
      <c r="E49" t="s">
        <v>9</v>
      </c>
      <c r="F49">
        <v>10</v>
      </c>
      <c r="G49" s="1">
        <f>DATE(C49, CHOOSE(MATCH(UPPER(B49), {"ENERO","FEBRERO","MARZO","ABRIL","MAYO","JUNIO","JULIO","AGOSTO","SEPTIEMBRE","OCTUBRE","NOVIEMBRE","DICIEMBRE"}, 0), 1,2,3,4,5,6,7,8,9,10,11,12), A49)</f>
        <v>44334</v>
      </c>
      <c r="H49">
        <v>21</v>
      </c>
      <c r="I49">
        <v>40000</v>
      </c>
      <c r="J49" s="1">
        <f t="shared" si="1"/>
        <v>43514</v>
      </c>
      <c r="K49" s="2" t="e">
        <f t="shared" si="0"/>
        <v>#N/A</v>
      </c>
    </row>
    <row r="50" spans="1:11" x14ac:dyDescent="0.25">
      <c r="A50">
        <v>19</v>
      </c>
      <c r="B50" t="s">
        <v>14</v>
      </c>
      <c r="C50">
        <v>2021</v>
      </c>
      <c r="D50">
        <v>10</v>
      </c>
      <c r="E50" t="s">
        <v>9</v>
      </c>
      <c r="F50">
        <v>10</v>
      </c>
      <c r="G50" s="1">
        <f>DATE(C50, CHOOSE(MATCH(UPPER(B50), {"ENERO","FEBRERO","MARZO","ABRIL","MAYO","JUNIO","JULIO","AGOSTO","SEPTIEMBRE","OCTUBRE","NOVIEMBRE","DICIEMBRE"}, 0), 1,2,3,4,5,6,7,8,9,10,11,12), A50)</f>
        <v>44335</v>
      </c>
      <c r="H50">
        <v>0</v>
      </c>
      <c r="I50">
        <v>40000</v>
      </c>
      <c r="J50" s="1">
        <f t="shared" si="1"/>
        <v>43515</v>
      </c>
      <c r="K50" s="2" t="e">
        <f t="shared" si="0"/>
        <v>#N/A</v>
      </c>
    </row>
    <row r="51" spans="1:11" x14ac:dyDescent="0.25">
      <c r="A51">
        <v>20</v>
      </c>
      <c r="B51" t="s">
        <v>14</v>
      </c>
      <c r="C51">
        <v>2021</v>
      </c>
      <c r="D51">
        <v>10</v>
      </c>
      <c r="E51">
        <v>50</v>
      </c>
      <c r="F51">
        <v>43.375</v>
      </c>
      <c r="G51" s="1">
        <f>DATE(C51, CHOOSE(MATCH(UPPER(B51), {"ENERO","FEBRERO","MARZO","ABRIL","MAYO","JUNIO","JULIO","AGOSTO","SEPTIEMBRE","OCTUBRE","NOVIEMBRE","DICIEMBRE"}, 0), 1,2,3,4,5,6,7,8,9,10,11,12), A51)</f>
        <v>44336</v>
      </c>
      <c r="H51">
        <v>16.625</v>
      </c>
      <c r="I51">
        <v>40000</v>
      </c>
      <c r="J51" s="1">
        <f t="shared" si="1"/>
        <v>43516</v>
      </c>
      <c r="K51" s="2" t="e">
        <f t="shared" si="0"/>
        <v>#N/A</v>
      </c>
    </row>
    <row r="52" spans="1:11" x14ac:dyDescent="0.25">
      <c r="A52">
        <v>21</v>
      </c>
      <c r="B52" t="s">
        <v>14</v>
      </c>
      <c r="C52">
        <v>2021</v>
      </c>
      <c r="D52">
        <v>43.375</v>
      </c>
      <c r="E52" t="s">
        <v>9</v>
      </c>
      <c r="F52">
        <v>22.75</v>
      </c>
      <c r="G52" s="1">
        <f>DATE(C52, CHOOSE(MATCH(UPPER(B52), {"ENERO","FEBRERO","MARZO","ABRIL","MAYO","JUNIO","JULIO","AGOSTO","SEPTIEMBRE","OCTUBRE","NOVIEMBRE","DICIEMBRE"}, 0), 1,2,3,4,5,6,7,8,9,10,11,12), A52)</f>
        <v>44337</v>
      </c>
      <c r="H52">
        <v>20.625</v>
      </c>
      <c r="I52">
        <v>40000</v>
      </c>
      <c r="J52" s="1">
        <f t="shared" si="1"/>
        <v>43517</v>
      </c>
      <c r="K52" s="2" t="e">
        <f t="shared" si="0"/>
        <v>#N/A</v>
      </c>
    </row>
    <row r="53" spans="1:11" x14ac:dyDescent="0.25">
      <c r="A53">
        <v>22</v>
      </c>
      <c r="B53" t="s">
        <v>14</v>
      </c>
      <c r="C53">
        <v>2021</v>
      </c>
      <c r="D53">
        <v>22.75</v>
      </c>
      <c r="E53">
        <v>30</v>
      </c>
      <c r="F53">
        <v>27</v>
      </c>
      <c r="G53" s="1">
        <f>DATE(C53, CHOOSE(MATCH(UPPER(B53), {"ENERO","FEBRERO","MARZO","ABRIL","MAYO","JUNIO","JULIO","AGOSTO","SEPTIEMBRE","OCTUBRE","NOVIEMBRE","DICIEMBRE"}, 0), 1,2,3,4,5,6,7,8,9,10,11,12), A53)</f>
        <v>44338</v>
      </c>
      <c r="H53">
        <v>25.75</v>
      </c>
      <c r="I53">
        <v>40000</v>
      </c>
      <c r="J53" s="1">
        <f t="shared" si="1"/>
        <v>43518</v>
      </c>
      <c r="K53" s="2" t="e">
        <f t="shared" si="0"/>
        <v>#N/A</v>
      </c>
    </row>
    <row r="54" spans="1:11" x14ac:dyDescent="0.25">
      <c r="A54">
        <v>23</v>
      </c>
      <c r="B54" t="s">
        <v>14</v>
      </c>
      <c r="C54">
        <v>2021</v>
      </c>
      <c r="D54">
        <v>27</v>
      </c>
      <c r="E54">
        <v>56</v>
      </c>
      <c r="F54">
        <v>59</v>
      </c>
      <c r="G54" s="1">
        <f>DATE(C54, CHOOSE(MATCH(UPPER(B54), {"ENERO","FEBRERO","MARZO","ABRIL","MAYO","JUNIO","JULIO","AGOSTO","SEPTIEMBRE","OCTUBRE","NOVIEMBRE","DICIEMBRE"}, 0), 1,2,3,4,5,6,7,8,9,10,11,12), A54)</f>
        <v>44339</v>
      </c>
      <c r="H54">
        <v>24</v>
      </c>
      <c r="I54">
        <v>40000</v>
      </c>
      <c r="J54" s="1">
        <f t="shared" si="1"/>
        <v>43519</v>
      </c>
      <c r="K54" s="2" t="e">
        <f t="shared" si="0"/>
        <v>#N/A</v>
      </c>
    </row>
    <row r="55" spans="1:11" x14ac:dyDescent="0.25">
      <c r="A55">
        <v>24</v>
      </c>
      <c r="B55" t="s">
        <v>14</v>
      </c>
      <c r="C55">
        <v>2021</v>
      </c>
      <c r="D55">
        <v>59</v>
      </c>
      <c r="E55" t="s">
        <v>9</v>
      </c>
      <c r="F55">
        <v>43.25</v>
      </c>
      <c r="G55" s="1">
        <f>DATE(C55, CHOOSE(MATCH(UPPER(B55), {"ENERO","FEBRERO","MARZO","ABRIL","MAYO","JUNIO","JULIO","AGOSTO","SEPTIEMBRE","OCTUBRE","NOVIEMBRE","DICIEMBRE"}, 0), 1,2,3,4,5,6,7,8,9,10,11,12), A55)</f>
        <v>44340</v>
      </c>
      <c r="H55">
        <v>15.75</v>
      </c>
      <c r="I55">
        <v>40000</v>
      </c>
      <c r="J55" s="1">
        <f t="shared" si="1"/>
        <v>43520</v>
      </c>
      <c r="K55" s="2" t="e">
        <f t="shared" si="0"/>
        <v>#N/A</v>
      </c>
    </row>
    <row r="56" spans="1:11" x14ac:dyDescent="0.25">
      <c r="A56">
        <v>25</v>
      </c>
      <c r="B56" t="s">
        <v>14</v>
      </c>
      <c r="C56">
        <v>2021</v>
      </c>
      <c r="D56">
        <v>43.25</v>
      </c>
      <c r="E56" t="s">
        <v>9</v>
      </c>
      <c r="F56">
        <v>29</v>
      </c>
      <c r="G56" s="1">
        <f>DATE(C56, CHOOSE(MATCH(UPPER(B56), {"ENERO","FEBRERO","MARZO","ABRIL","MAYO","JUNIO","JULIO","AGOSTO","SEPTIEMBRE","OCTUBRE","NOVIEMBRE","DICIEMBRE"}, 0), 1,2,3,4,5,6,7,8,9,10,11,12), A56)</f>
        <v>44341</v>
      </c>
      <c r="H56">
        <v>14.25</v>
      </c>
      <c r="I56">
        <v>40000</v>
      </c>
      <c r="J56" s="1">
        <f t="shared" si="1"/>
        <v>43521</v>
      </c>
      <c r="K56" s="2" t="e">
        <f t="shared" si="0"/>
        <v>#N/A</v>
      </c>
    </row>
    <row r="57" spans="1:11" x14ac:dyDescent="0.25">
      <c r="A57">
        <v>26</v>
      </c>
      <c r="B57" t="s">
        <v>14</v>
      </c>
      <c r="C57">
        <v>2021</v>
      </c>
      <c r="D57">
        <v>29</v>
      </c>
      <c r="E57" t="s">
        <v>9</v>
      </c>
      <c r="F57">
        <v>17.75</v>
      </c>
      <c r="G57" s="1">
        <f>DATE(C57, CHOOSE(MATCH(UPPER(B57), {"ENERO","FEBRERO","MARZO","ABRIL","MAYO","JUNIO","JULIO","AGOSTO","SEPTIEMBRE","OCTUBRE","NOVIEMBRE","DICIEMBRE"}, 0), 1,2,3,4,5,6,7,8,9,10,11,12), A57)</f>
        <v>44342</v>
      </c>
      <c r="H57">
        <v>11.25</v>
      </c>
      <c r="I57">
        <v>40000</v>
      </c>
      <c r="J57" s="1">
        <f t="shared" si="1"/>
        <v>43522</v>
      </c>
      <c r="K57" s="2" t="e">
        <f t="shared" si="0"/>
        <v>#N/A</v>
      </c>
    </row>
    <row r="58" spans="1:11" x14ac:dyDescent="0.25">
      <c r="A58">
        <v>27</v>
      </c>
      <c r="B58" t="s">
        <v>14</v>
      </c>
      <c r="C58">
        <v>2021</v>
      </c>
      <c r="D58">
        <v>17.75</v>
      </c>
      <c r="E58" t="s">
        <v>9</v>
      </c>
      <c r="F58">
        <v>1.25</v>
      </c>
      <c r="G58" s="1">
        <f>DATE(C58, CHOOSE(MATCH(UPPER(B58), {"ENERO","FEBRERO","MARZO","ABRIL","MAYO","JUNIO","JULIO","AGOSTO","SEPTIEMBRE","OCTUBRE","NOVIEMBRE","DICIEMBRE"}, 0), 1,2,3,4,5,6,7,8,9,10,11,12), A58)</f>
        <v>44343</v>
      </c>
      <c r="H58">
        <v>16.5</v>
      </c>
      <c r="I58">
        <v>40000</v>
      </c>
      <c r="J58" s="1">
        <f t="shared" si="1"/>
        <v>43523</v>
      </c>
      <c r="K58" s="2" t="e">
        <f t="shared" si="0"/>
        <v>#N/A</v>
      </c>
    </row>
    <row r="59" spans="1:11" x14ac:dyDescent="0.25">
      <c r="A59">
        <v>28</v>
      </c>
      <c r="B59" t="s">
        <v>14</v>
      </c>
      <c r="C59">
        <v>2021</v>
      </c>
      <c r="D59">
        <v>1.25</v>
      </c>
      <c r="E59">
        <v>67</v>
      </c>
      <c r="F59">
        <v>52</v>
      </c>
      <c r="G59" s="1">
        <f>DATE(C59, CHOOSE(MATCH(UPPER(B59), {"ENERO","FEBRERO","MARZO","ABRIL","MAYO","JUNIO","JULIO","AGOSTO","SEPTIEMBRE","OCTUBRE","NOVIEMBRE","DICIEMBRE"}, 0), 1,2,3,4,5,6,7,8,9,10,11,12), A59)</f>
        <v>44344</v>
      </c>
      <c r="H59">
        <v>16.25</v>
      </c>
      <c r="I59">
        <v>40000</v>
      </c>
      <c r="J59" s="1">
        <f t="shared" si="1"/>
        <v>43524</v>
      </c>
      <c r="K59" s="2" t="e">
        <f t="shared" si="0"/>
        <v>#N/A</v>
      </c>
    </row>
    <row r="60" spans="1:11" x14ac:dyDescent="0.25">
      <c r="A60">
        <v>29</v>
      </c>
      <c r="B60" t="s">
        <v>14</v>
      </c>
      <c r="C60">
        <v>2021</v>
      </c>
      <c r="D60">
        <v>52</v>
      </c>
      <c r="E60">
        <v>3</v>
      </c>
      <c r="F60">
        <v>24</v>
      </c>
      <c r="G60" s="1">
        <f>DATE(C60, CHOOSE(MATCH(UPPER(B60), {"ENERO","FEBRERO","MARZO","ABRIL","MAYO","JUNIO","JULIO","AGOSTO","SEPTIEMBRE","OCTUBRE","NOVIEMBRE","DICIEMBRE"}, 0), 1,2,3,4,5,6,7,8,9,10,11,12), A60)</f>
        <v>44345</v>
      </c>
      <c r="H60">
        <v>31</v>
      </c>
      <c r="I60">
        <v>40000</v>
      </c>
      <c r="J60" s="1">
        <f t="shared" si="1"/>
        <v>43525</v>
      </c>
      <c r="K60" s="2" t="e">
        <f t="shared" si="0"/>
        <v>#N/A</v>
      </c>
    </row>
    <row r="61" spans="1:11" x14ac:dyDescent="0.25">
      <c r="A61">
        <v>30</v>
      </c>
      <c r="B61" t="s">
        <v>14</v>
      </c>
      <c r="C61">
        <v>2021</v>
      </c>
      <c r="D61">
        <v>24</v>
      </c>
      <c r="E61">
        <v>34</v>
      </c>
      <c r="F61">
        <v>23.125</v>
      </c>
      <c r="G61" s="1">
        <f>DATE(C61, CHOOSE(MATCH(UPPER(B61), {"ENERO","FEBRERO","MARZO","ABRIL","MAYO","JUNIO","JULIO","AGOSTO","SEPTIEMBRE","OCTUBRE","NOVIEMBRE","DICIEMBRE"}, 0), 1,2,3,4,5,6,7,8,9,10,11,12), A61)</f>
        <v>44346</v>
      </c>
      <c r="H61">
        <v>34.875</v>
      </c>
      <c r="I61">
        <v>40000</v>
      </c>
      <c r="J61" s="1">
        <f t="shared" si="1"/>
        <v>43526</v>
      </c>
      <c r="K61" s="2" t="e">
        <f t="shared" si="0"/>
        <v>#N/A</v>
      </c>
    </row>
    <row r="62" spans="1:11" x14ac:dyDescent="0.25">
      <c r="A62">
        <v>31</v>
      </c>
      <c r="B62" t="s">
        <v>14</v>
      </c>
      <c r="C62">
        <v>2021</v>
      </c>
      <c r="D62">
        <v>23.125</v>
      </c>
      <c r="E62">
        <v>30</v>
      </c>
      <c r="F62">
        <v>41</v>
      </c>
      <c r="G62" s="1">
        <f>DATE(C62, CHOOSE(MATCH(UPPER(B62), {"ENERO","FEBRERO","MARZO","ABRIL","MAYO","JUNIO","JULIO","AGOSTO","SEPTIEMBRE","OCTUBRE","NOVIEMBRE","DICIEMBRE"}, 0), 1,2,3,4,5,6,7,8,9,10,11,12), A62)</f>
        <v>44347</v>
      </c>
      <c r="H62">
        <v>12.125</v>
      </c>
      <c r="I62">
        <v>40000</v>
      </c>
      <c r="J62" s="1">
        <f t="shared" si="1"/>
        <v>43527</v>
      </c>
      <c r="K62" s="2" t="e">
        <f t="shared" si="0"/>
        <v>#N/A</v>
      </c>
    </row>
    <row r="63" spans="1:11" x14ac:dyDescent="0.25">
      <c r="A63">
        <v>1</v>
      </c>
      <c r="B63" t="s">
        <v>15</v>
      </c>
      <c r="C63">
        <v>2021</v>
      </c>
      <c r="D63">
        <v>41</v>
      </c>
      <c r="E63" t="s">
        <v>9</v>
      </c>
      <c r="F63">
        <v>21</v>
      </c>
      <c r="G63" s="1">
        <f>DATE(C63, CHOOSE(MATCH(UPPER(B63), {"ENERO","FEBRERO","MARZO","ABRIL","MAYO","JUNIO","JULIO","AGOSTO","SEPTIEMBRE","OCTUBRE","NOVIEMBRE","DICIEMBRE"}, 0), 1,2,3,4,5,6,7,8,9,10,11,12), A63)</f>
        <v>44348</v>
      </c>
      <c r="H63">
        <v>20</v>
      </c>
      <c r="I63">
        <v>40000</v>
      </c>
      <c r="J63" s="1">
        <f t="shared" si="1"/>
        <v>43528</v>
      </c>
      <c r="K63" s="2" t="e">
        <f t="shared" si="0"/>
        <v>#N/A</v>
      </c>
    </row>
    <row r="64" spans="1:11" x14ac:dyDescent="0.25">
      <c r="A64">
        <v>2</v>
      </c>
      <c r="B64" t="s">
        <v>15</v>
      </c>
      <c r="C64">
        <v>2021</v>
      </c>
      <c r="D64">
        <v>21</v>
      </c>
      <c r="E64">
        <v>20</v>
      </c>
      <c r="F64">
        <v>20</v>
      </c>
      <c r="G64" s="1">
        <f>DATE(C64, CHOOSE(MATCH(UPPER(B64), {"ENERO","FEBRERO","MARZO","ABRIL","MAYO","JUNIO","JULIO","AGOSTO","SEPTIEMBRE","OCTUBRE","NOVIEMBRE","DICIEMBRE"}, 0), 1,2,3,4,5,6,7,8,9,10,11,12), A64)</f>
        <v>44349</v>
      </c>
      <c r="H64">
        <v>21</v>
      </c>
      <c r="I64">
        <v>40000</v>
      </c>
      <c r="J64" s="1">
        <f t="shared" si="1"/>
        <v>43529</v>
      </c>
      <c r="K64" s="2" t="e">
        <f t="shared" si="0"/>
        <v>#N/A</v>
      </c>
    </row>
    <row r="65" spans="1:11" x14ac:dyDescent="0.25">
      <c r="A65">
        <v>3</v>
      </c>
      <c r="B65" t="s">
        <v>15</v>
      </c>
      <c r="C65">
        <v>2021</v>
      </c>
      <c r="D65">
        <v>20</v>
      </c>
      <c r="E65" t="s">
        <v>9</v>
      </c>
      <c r="F65">
        <v>2.5</v>
      </c>
      <c r="G65" s="1">
        <f>DATE(C65, CHOOSE(MATCH(UPPER(B65), {"ENERO","FEBRERO","MARZO","ABRIL","MAYO","JUNIO","JULIO","AGOSTO","SEPTIEMBRE","OCTUBRE","NOVIEMBRE","DICIEMBRE"}, 0), 1,2,3,4,5,6,7,8,9,10,11,12), A65)</f>
        <v>44350</v>
      </c>
      <c r="H65">
        <v>17.5</v>
      </c>
      <c r="I65">
        <v>40000</v>
      </c>
      <c r="J65" s="1">
        <f t="shared" si="1"/>
        <v>43530</v>
      </c>
      <c r="K65" s="2" t="e">
        <f t="shared" si="0"/>
        <v>#N/A</v>
      </c>
    </row>
    <row r="66" spans="1:11" x14ac:dyDescent="0.25">
      <c r="A66">
        <v>4</v>
      </c>
      <c r="B66" t="s">
        <v>15</v>
      </c>
      <c r="C66">
        <v>2021</v>
      </c>
      <c r="D66">
        <v>2.5</v>
      </c>
      <c r="E66">
        <v>33</v>
      </c>
      <c r="F66">
        <v>13.875</v>
      </c>
      <c r="G66" s="1">
        <f>DATE(C66, CHOOSE(MATCH(UPPER(B66), {"ENERO","FEBRERO","MARZO","ABRIL","MAYO","JUNIO","JULIO","AGOSTO","SEPTIEMBRE","OCTUBRE","NOVIEMBRE","DICIEMBRE"}, 0), 1,2,3,4,5,6,7,8,9,10,11,12), A66)</f>
        <v>44351</v>
      </c>
      <c r="H66">
        <v>21.625</v>
      </c>
      <c r="I66">
        <v>40000</v>
      </c>
      <c r="J66" s="1">
        <f t="shared" si="1"/>
        <v>43531</v>
      </c>
      <c r="K66" s="2" t="e">
        <f t="shared" si="0"/>
        <v>#N/A</v>
      </c>
    </row>
    <row r="67" spans="1:11" x14ac:dyDescent="0.25">
      <c r="A67">
        <v>5</v>
      </c>
      <c r="B67" t="s">
        <v>15</v>
      </c>
      <c r="C67">
        <v>2021</v>
      </c>
      <c r="D67">
        <v>13.875</v>
      </c>
      <c r="E67">
        <v>50</v>
      </c>
      <c r="F67">
        <v>34</v>
      </c>
      <c r="G67" s="1">
        <f>DATE(C67, CHOOSE(MATCH(UPPER(B67), {"ENERO","FEBRERO","MARZO","ABRIL","MAYO","JUNIO","JULIO","AGOSTO","SEPTIEMBRE","OCTUBRE","NOVIEMBRE","DICIEMBRE"}, 0), 1,2,3,4,5,6,7,8,9,10,11,12), A67)</f>
        <v>44352</v>
      </c>
      <c r="H67">
        <v>29.875</v>
      </c>
      <c r="I67">
        <v>40000</v>
      </c>
      <c r="J67" s="1">
        <f t="shared" si="1"/>
        <v>43532</v>
      </c>
      <c r="K67" s="2" t="e">
        <f t="shared" ref="K67:K130" si="2">VLOOKUP(J67, G:H, 2, FALSE)</f>
        <v>#N/A</v>
      </c>
    </row>
    <row r="68" spans="1:11" x14ac:dyDescent="0.25">
      <c r="A68">
        <v>6</v>
      </c>
      <c r="B68" t="s">
        <v>15</v>
      </c>
      <c r="C68">
        <v>2021</v>
      </c>
      <c r="D68">
        <v>34</v>
      </c>
      <c r="E68">
        <v>50</v>
      </c>
      <c r="F68">
        <v>54</v>
      </c>
      <c r="G68" s="1">
        <f>DATE(C68, CHOOSE(MATCH(UPPER(B68), {"ENERO","FEBRERO","MARZO","ABRIL","MAYO","JUNIO","JULIO","AGOSTO","SEPTIEMBRE","OCTUBRE","NOVIEMBRE","DICIEMBRE"}, 0), 1,2,3,4,5,6,7,8,9,10,11,12), A68)</f>
        <v>44353</v>
      </c>
      <c r="H68">
        <v>30</v>
      </c>
      <c r="I68">
        <v>40000</v>
      </c>
      <c r="J68" s="1">
        <f t="shared" si="1"/>
        <v>43533</v>
      </c>
      <c r="K68" s="2" t="e">
        <f t="shared" si="2"/>
        <v>#N/A</v>
      </c>
    </row>
    <row r="69" spans="1:11" x14ac:dyDescent="0.25">
      <c r="A69">
        <v>7</v>
      </c>
      <c r="B69" t="s">
        <v>15</v>
      </c>
      <c r="C69">
        <v>2021</v>
      </c>
      <c r="D69">
        <v>54</v>
      </c>
      <c r="E69" t="s">
        <v>9</v>
      </c>
      <c r="F69">
        <v>30.5</v>
      </c>
      <c r="G69" s="1">
        <f>DATE(C69, CHOOSE(MATCH(UPPER(B69), {"ENERO","FEBRERO","MARZO","ABRIL","MAYO","JUNIO","JULIO","AGOSTO","SEPTIEMBRE","OCTUBRE","NOVIEMBRE","DICIEMBRE"}, 0), 1,2,3,4,5,6,7,8,9,10,11,12), A69)</f>
        <v>44354</v>
      </c>
      <c r="H69">
        <v>23.5</v>
      </c>
      <c r="I69">
        <v>40000</v>
      </c>
      <c r="J69" s="1">
        <f t="shared" ref="J69:J132" si="3">DATE(2019,1,1) + ROW()-1</f>
        <v>43534</v>
      </c>
      <c r="K69" s="2" t="e">
        <f t="shared" si="2"/>
        <v>#N/A</v>
      </c>
    </row>
    <row r="70" spans="1:11" x14ac:dyDescent="0.25">
      <c r="A70">
        <v>8</v>
      </c>
      <c r="B70" t="s">
        <v>15</v>
      </c>
      <c r="C70">
        <v>2021</v>
      </c>
      <c r="D70">
        <v>30.5</v>
      </c>
      <c r="E70" t="s">
        <v>9</v>
      </c>
      <c r="F70">
        <v>10.75</v>
      </c>
      <c r="G70" s="1">
        <f>DATE(C70, CHOOSE(MATCH(UPPER(B70), {"ENERO","FEBRERO","MARZO","ABRIL","MAYO","JUNIO","JULIO","AGOSTO","SEPTIEMBRE","OCTUBRE","NOVIEMBRE","DICIEMBRE"}, 0), 1,2,3,4,5,6,7,8,9,10,11,12), A70)</f>
        <v>44355</v>
      </c>
      <c r="H70">
        <v>19.75</v>
      </c>
      <c r="I70">
        <v>40000</v>
      </c>
      <c r="J70" s="1">
        <f t="shared" si="3"/>
        <v>43535</v>
      </c>
      <c r="K70" s="2" t="e">
        <f t="shared" si="2"/>
        <v>#N/A</v>
      </c>
    </row>
    <row r="71" spans="1:11" x14ac:dyDescent="0.25">
      <c r="A71">
        <v>9</v>
      </c>
      <c r="B71" t="s">
        <v>15</v>
      </c>
      <c r="C71">
        <v>2021</v>
      </c>
      <c r="D71">
        <v>10.75</v>
      </c>
      <c r="E71">
        <v>28</v>
      </c>
      <c r="F71">
        <v>26.875</v>
      </c>
      <c r="G71" s="1">
        <f>DATE(C71, CHOOSE(MATCH(UPPER(B71), {"ENERO","FEBRERO","MARZO","ABRIL","MAYO","JUNIO","JULIO","AGOSTO","SEPTIEMBRE","OCTUBRE","NOVIEMBRE","DICIEMBRE"}, 0), 1,2,3,4,5,6,7,8,9,10,11,12), A71)</f>
        <v>44356</v>
      </c>
      <c r="H71">
        <v>11.875</v>
      </c>
      <c r="I71">
        <v>40000</v>
      </c>
      <c r="J71" s="1">
        <f t="shared" si="3"/>
        <v>43536</v>
      </c>
      <c r="K71" s="2" t="e">
        <f t="shared" si="2"/>
        <v>#N/A</v>
      </c>
    </row>
    <row r="72" spans="1:11" x14ac:dyDescent="0.25">
      <c r="A72">
        <v>10</v>
      </c>
      <c r="B72" t="s">
        <v>15</v>
      </c>
      <c r="C72">
        <v>2021</v>
      </c>
      <c r="D72">
        <v>26.875</v>
      </c>
      <c r="E72" t="s">
        <v>9</v>
      </c>
      <c r="F72">
        <v>6.75</v>
      </c>
      <c r="G72" s="1">
        <f>DATE(C72, CHOOSE(MATCH(UPPER(B72), {"ENERO","FEBRERO","MARZO","ABRIL","MAYO","JUNIO","JULIO","AGOSTO","SEPTIEMBRE","OCTUBRE","NOVIEMBRE","DICIEMBRE"}, 0), 1,2,3,4,5,6,7,8,9,10,11,12), A72)</f>
        <v>44357</v>
      </c>
      <c r="H72">
        <v>20.125</v>
      </c>
      <c r="I72">
        <v>40000</v>
      </c>
      <c r="J72" s="1">
        <f t="shared" si="3"/>
        <v>43537</v>
      </c>
      <c r="K72" s="2" t="e">
        <f t="shared" si="2"/>
        <v>#N/A</v>
      </c>
    </row>
    <row r="73" spans="1:11" x14ac:dyDescent="0.25">
      <c r="A73">
        <v>11</v>
      </c>
      <c r="B73" t="s">
        <v>15</v>
      </c>
      <c r="C73">
        <v>2021</v>
      </c>
      <c r="D73">
        <v>6.75</v>
      </c>
      <c r="E73">
        <v>40</v>
      </c>
      <c r="F73">
        <v>31</v>
      </c>
      <c r="G73" s="1">
        <f>DATE(C73, CHOOSE(MATCH(UPPER(B73), {"ENERO","FEBRERO","MARZO","ABRIL","MAYO","JUNIO","JULIO","AGOSTO","SEPTIEMBRE","OCTUBRE","NOVIEMBRE","DICIEMBRE"}, 0), 1,2,3,4,5,6,7,8,9,10,11,12), A73)</f>
        <v>44358</v>
      </c>
      <c r="H73">
        <v>15.75</v>
      </c>
      <c r="I73">
        <v>40000</v>
      </c>
      <c r="J73" s="1">
        <f t="shared" si="3"/>
        <v>43538</v>
      </c>
      <c r="K73" s="2" t="e">
        <f t="shared" si="2"/>
        <v>#N/A</v>
      </c>
    </row>
    <row r="74" spans="1:11" x14ac:dyDescent="0.25">
      <c r="A74">
        <v>12</v>
      </c>
      <c r="B74" t="s">
        <v>15</v>
      </c>
      <c r="C74">
        <v>2021</v>
      </c>
      <c r="D74">
        <v>31</v>
      </c>
      <c r="E74">
        <v>40</v>
      </c>
      <c r="F74">
        <v>46.625</v>
      </c>
      <c r="G74" s="1">
        <f>DATE(C74, CHOOSE(MATCH(UPPER(B74), {"ENERO","FEBRERO","MARZO","ABRIL","MAYO","JUNIO","JULIO","AGOSTO","SEPTIEMBRE","OCTUBRE","NOVIEMBRE","DICIEMBRE"}, 0), 1,2,3,4,5,6,7,8,9,10,11,12), A74)</f>
        <v>44359</v>
      </c>
      <c r="H74">
        <v>24.375</v>
      </c>
      <c r="I74">
        <v>40000</v>
      </c>
      <c r="J74" s="1">
        <f t="shared" si="3"/>
        <v>43539</v>
      </c>
      <c r="K74" s="2" t="e">
        <f t="shared" si="2"/>
        <v>#N/A</v>
      </c>
    </row>
    <row r="75" spans="1:11" x14ac:dyDescent="0.25">
      <c r="A75">
        <v>13</v>
      </c>
      <c r="B75" t="s">
        <v>15</v>
      </c>
      <c r="C75">
        <v>2021</v>
      </c>
      <c r="D75">
        <v>46.625</v>
      </c>
      <c r="E75" t="s">
        <v>9</v>
      </c>
      <c r="F75">
        <v>17.75</v>
      </c>
      <c r="G75" s="1">
        <f>DATE(C75, CHOOSE(MATCH(UPPER(B75), {"ENERO","FEBRERO","MARZO","ABRIL","MAYO","JUNIO","JULIO","AGOSTO","SEPTIEMBRE","OCTUBRE","NOVIEMBRE","DICIEMBRE"}, 0), 1,2,3,4,5,6,7,8,9,10,11,12), A75)</f>
        <v>44360</v>
      </c>
      <c r="H75">
        <v>28.875</v>
      </c>
      <c r="I75">
        <v>40000</v>
      </c>
      <c r="J75" s="1">
        <f t="shared" si="3"/>
        <v>43540</v>
      </c>
      <c r="K75" s="2" t="e">
        <f t="shared" si="2"/>
        <v>#N/A</v>
      </c>
    </row>
    <row r="76" spans="1:11" x14ac:dyDescent="0.25">
      <c r="A76">
        <v>14</v>
      </c>
      <c r="B76" t="s">
        <v>15</v>
      </c>
      <c r="C76">
        <v>2021</v>
      </c>
      <c r="D76">
        <v>17.75</v>
      </c>
      <c r="E76">
        <v>58</v>
      </c>
      <c r="F76">
        <v>60.25</v>
      </c>
      <c r="G76" s="1">
        <f>DATE(C76, CHOOSE(MATCH(UPPER(B76), {"ENERO","FEBRERO","MARZO","ABRIL","MAYO","JUNIO","JULIO","AGOSTO","SEPTIEMBRE","OCTUBRE","NOVIEMBRE","DICIEMBRE"}, 0), 1,2,3,4,5,6,7,8,9,10,11,12), A76)</f>
        <v>44361</v>
      </c>
      <c r="H76">
        <v>15.5</v>
      </c>
      <c r="I76">
        <v>40000</v>
      </c>
      <c r="J76" s="1">
        <f t="shared" si="3"/>
        <v>43541</v>
      </c>
      <c r="K76" s="2" t="e">
        <f t="shared" si="2"/>
        <v>#N/A</v>
      </c>
    </row>
    <row r="77" spans="1:11" x14ac:dyDescent="0.25">
      <c r="A77">
        <v>15</v>
      </c>
      <c r="B77" t="s">
        <v>15</v>
      </c>
      <c r="C77">
        <v>2021</v>
      </c>
      <c r="D77">
        <v>60.25</v>
      </c>
      <c r="E77" t="s">
        <v>9</v>
      </c>
      <c r="F77">
        <v>42.625</v>
      </c>
      <c r="G77" s="1">
        <f>DATE(C77, CHOOSE(MATCH(UPPER(B77), {"ENERO","FEBRERO","MARZO","ABRIL","MAYO","JUNIO","JULIO","AGOSTO","SEPTIEMBRE","OCTUBRE","NOVIEMBRE","DICIEMBRE"}, 0), 1,2,3,4,5,6,7,8,9,10,11,12), A77)</f>
        <v>44362</v>
      </c>
      <c r="H77">
        <v>17.625</v>
      </c>
      <c r="I77">
        <v>40000</v>
      </c>
      <c r="J77" s="1">
        <f t="shared" si="3"/>
        <v>43542</v>
      </c>
      <c r="K77" s="2" t="e">
        <f t="shared" si="2"/>
        <v>#N/A</v>
      </c>
    </row>
    <row r="78" spans="1:11" x14ac:dyDescent="0.25">
      <c r="A78">
        <v>16</v>
      </c>
      <c r="B78" t="s">
        <v>15</v>
      </c>
      <c r="C78">
        <v>2021</v>
      </c>
      <c r="D78">
        <v>42.625</v>
      </c>
      <c r="E78" t="s">
        <v>9</v>
      </c>
      <c r="F78">
        <v>26.875</v>
      </c>
      <c r="G78" s="1">
        <f>DATE(C78, CHOOSE(MATCH(UPPER(B78), {"ENERO","FEBRERO","MARZO","ABRIL","MAYO","JUNIO","JULIO","AGOSTO","SEPTIEMBRE","OCTUBRE","NOVIEMBRE","DICIEMBRE"}, 0), 1,2,3,4,5,6,7,8,9,10,11,12), A78)</f>
        <v>44363</v>
      </c>
      <c r="H78">
        <v>15.75</v>
      </c>
      <c r="I78">
        <v>40000</v>
      </c>
      <c r="J78" s="1">
        <f t="shared" si="3"/>
        <v>43543</v>
      </c>
      <c r="K78" s="2" t="e">
        <f t="shared" si="2"/>
        <v>#N/A</v>
      </c>
    </row>
    <row r="79" spans="1:11" x14ac:dyDescent="0.25">
      <c r="A79">
        <v>17</v>
      </c>
      <c r="B79" t="s">
        <v>15</v>
      </c>
      <c r="C79">
        <v>2021</v>
      </c>
      <c r="D79">
        <v>26.875</v>
      </c>
      <c r="E79">
        <v>30</v>
      </c>
      <c r="F79">
        <v>41.875</v>
      </c>
      <c r="G79" s="1">
        <f>DATE(C79, CHOOSE(MATCH(UPPER(B79), {"ENERO","FEBRERO","MARZO","ABRIL","MAYO","JUNIO","JULIO","AGOSTO","SEPTIEMBRE","OCTUBRE","NOVIEMBRE","DICIEMBRE"}, 0), 1,2,3,4,5,6,7,8,9,10,11,12), A79)</f>
        <v>44364</v>
      </c>
      <c r="H79">
        <v>15</v>
      </c>
      <c r="I79">
        <v>40000</v>
      </c>
      <c r="J79" s="1">
        <f t="shared" si="3"/>
        <v>43544</v>
      </c>
      <c r="K79" s="2" t="e">
        <f t="shared" si="2"/>
        <v>#N/A</v>
      </c>
    </row>
    <row r="80" spans="1:11" x14ac:dyDescent="0.25">
      <c r="A80">
        <v>18</v>
      </c>
      <c r="B80" t="s">
        <v>15</v>
      </c>
      <c r="C80">
        <v>2021</v>
      </c>
      <c r="D80">
        <v>41.875</v>
      </c>
      <c r="E80" t="s">
        <v>9</v>
      </c>
      <c r="F80">
        <v>26.375</v>
      </c>
      <c r="G80" s="1">
        <f>DATE(C80, CHOOSE(MATCH(UPPER(B80), {"ENERO","FEBRERO","MARZO","ABRIL","MAYO","JUNIO","JULIO","AGOSTO","SEPTIEMBRE","OCTUBRE","NOVIEMBRE","DICIEMBRE"}, 0), 1,2,3,4,5,6,7,8,9,10,11,12), A80)</f>
        <v>44365</v>
      </c>
      <c r="H80">
        <v>15.5</v>
      </c>
      <c r="I80">
        <v>40000</v>
      </c>
      <c r="J80" s="1">
        <f t="shared" si="3"/>
        <v>43545</v>
      </c>
      <c r="K80" s="2" t="e">
        <f t="shared" si="2"/>
        <v>#N/A</v>
      </c>
    </row>
    <row r="81" spans="1:11" x14ac:dyDescent="0.25">
      <c r="A81">
        <v>19</v>
      </c>
      <c r="B81" t="s">
        <v>15</v>
      </c>
      <c r="C81">
        <v>2021</v>
      </c>
      <c r="D81">
        <v>26.375</v>
      </c>
      <c r="E81">
        <v>50</v>
      </c>
      <c r="F81">
        <v>45.75</v>
      </c>
      <c r="G81" s="1">
        <f>DATE(C81, CHOOSE(MATCH(UPPER(B81), {"ENERO","FEBRERO","MARZO","ABRIL","MAYO","JUNIO","JULIO","AGOSTO","SEPTIEMBRE","OCTUBRE","NOVIEMBRE","DICIEMBRE"}, 0), 1,2,3,4,5,6,7,8,9,10,11,12), A81)</f>
        <v>44366</v>
      </c>
      <c r="H81">
        <v>30.625</v>
      </c>
      <c r="I81">
        <v>40000</v>
      </c>
      <c r="J81" s="1">
        <f t="shared" si="3"/>
        <v>43546</v>
      </c>
      <c r="K81" s="2" t="e">
        <f t="shared" si="2"/>
        <v>#N/A</v>
      </c>
    </row>
    <row r="82" spans="1:11" x14ac:dyDescent="0.25">
      <c r="A82">
        <v>20</v>
      </c>
      <c r="B82" t="s">
        <v>15</v>
      </c>
      <c r="C82">
        <v>2021</v>
      </c>
      <c r="D82">
        <v>45.75</v>
      </c>
      <c r="E82" t="s">
        <v>9</v>
      </c>
      <c r="F82">
        <v>16.5</v>
      </c>
      <c r="G82" s="1">
        <f>DATE(C82, CHOOSE(MATCH(UPPER(B82), {"ENERO","FEBRERO","MARZO","ABRIL","MAYO","JUNIO","JULIO","AGOSTO","SEPTIEMBRE","OCTUBRE","NOVIEMBRE","DICIEMBRE"}, 0), 1,2,3,4,5,6,7,8,9,10,11,12), A82)</f>
        <v>44367</v>
      </c>
      <c r="H82">
        <v>29.25</v>
      </c>
      <c r="I82">
        <v>40000</v>
      </c>
      <c r="J82" s="1">
        <f t="shared" si="3"/>
        <v>43547</v>
      </c>
      <c r="K82" s="2" t="e">
        <f t="shared" si="2"/>
        <v>#N/A</v>
      </c>
    </row>
    <row r="83" spans="1:11" x14ac:dyDescent="0.25">
      <c r="A83">
        <v>21</v>
      </c>
      <c r="B83" t="s">
        <v>15</v>
      </c>
      <c r="C83">
        <v>2021</v>
      </c>
      <c r="D83">
        <v>16.5</v>
      </c>
      <c r="E83" t="s">
        <v>9</v>
      </c>
      <c r="F83">
        <v>0.75</v>
      </c>
      <c r="G83" s="1">
        <f>DATE(C83, CHOOSE(MATCH(UPPER(B83), {"ENERO","FEBRERO","MARZO","ABRIL","MAYO","JUNIO","JULIO","AGOSTO","SEPTIEMBRE","OCTUBRE","NOVIEMBRE","DICIEMBRE"}, 0), 1,2,3,4,5,6,7,8,9,10,11,12), A83)</f>
        <v>44368</v>
      </c>
      <c r="H83">
        <v>15.75</v>
      </c>
      <c r="I83">
        <v>40000</v>
      </c>
      <c r="J83" s="1">
        <f t="shared" si="3"/>
        <v>43548</v>
      </c>
      <c r="K83" s="2" t="e">
        <f t="shared" si="2"/>
        <v>#N/A</v>
      </c>
    </row>
    <row r="84" spans="1:11" x14ac:dyDescent="0.25">
      <c r="A84">
        <v>22</v>
      </c>
      <c r="B84" t="s">
        <v>15</v>
      </c>
      <c r="C84">
        <v>2021</v>
      </c>
      <c r="D84">
        <v>0.75</v>
      </c>
      <c r="E84">
        <v>20</v>
      </c>
      <c r="F84">
        <v>10.375</v>
      </c>
      <c r="G84" s="1">
        <f>DATE(C84, CHOOSE(MATCH(UPPER(B84), {"ENERO","FEBRERO","MARZO","ABRIL","MAYO","JUNIO","JULIO","AGOSTO","SEPTIEMBRE","OCTUBRE","NOVIEMBRE","DICIEMBRE"}, 0), 1,2,3,4,5,6,7,8,9,10,11,12), A84)</f>
        <v>44369</v>
      </c>
      <c r="H84">
        <v>10.375</v>
      </c>
      <c r="I84">
        <v>40000</v>
      </c>
      <c r="J84" s="1">
        <f t="shared" si="3"/>
        <v>43549</v>
      </c>
      <c r="K84" s="2" t="e">
        <f t="shared" si="2"/>
        <v>#N/A</v>
      </c>
    </row>
    <row r="85" spans="1:11" x14ac:dyDescent="0.25">
      <c r="A85">
        <v>23</v>
      </c>
      <c r="B85" t="s">
        <v>15</v>
      </c>
      <c r="C85">
        <v>2021</v>
      </c>
      <c r="D85">
        <v>10.375</v>
      </c>
      <c r="E85">
        <v>104</v>
      </c>
      <c r="F85">
        <v>100.375</v>
      </c>
      <c r="G85" s="1">
        <f>DATE(C85, CHOOSE(MATCH(UPPER(B85), {"ENERO","FEBRERO","MARZO","ABRIL","MAYO","JUNIO","JULIO","AGOSTO","SEPTIEMBRE","OCTUBRE","NOVIEMBRE","DICIEMBRE"}, 0), 1,2,3,4,5,6,7,8,9,10,11,12), A85)</f>
        <v>44370</v>
      </c>
      <c r="H85">
        <v>14</v>
      </c>
      <c r="I85">
        <v>40000</v>
      </c>
      <c r="J85" s="1">
        <f t="shared" si="3"/>
        <v>43550</v>
      </c>
      <c r="K85" s="2" t="e">
        <f t="shared" si="2"/>
        <v>#N/A</v>
      </c>
    </row>
    <row r="86" spans="1:11" x14ac:dyDescent="0.25">
      <c r="A86">
        <v>24</v>
      </c>
      <c r="B86" t="s">
        <v>15</v>
      </c>
      <c r="C86">
        <v>2021</v>
      </c>
      <c r="D86">
        <v>100.375</v>
      </c>
      <c r="E86" t="s">
        <v>9</v>
      </c>
      <c r="F86">
        <v>79</v>
      </c>
      <c r="G86" s="1">
        <f>DATE(C86, CHOOSE(MATCH(UPPER(B86), {"ENERO","FEBRERO","MARZO","ABRIL","MAYO","JUNIO","JULIO","AGOSTO","SEPTIEMBRE","OCTUBRE","NOVIEMBRE","DICIEMBRE"}, 0), 1,2,3,4,5,6,7,8,9,10,11,12), A86)</f>
        <v>44371</v>
      </c>
      <c r="H86">
        <v>21.375</v>
      </c>
      <c r="I86">
        <v>40000</v>
      </c>
      <c r="J86" s="1">
        <f t="shared" si="3"/>
        <v>43551</v>
      </c>
      <c r="K86" s="2" t="e">
        <f t="shared" si="2"/>
        <v>#N/A</v>
      </c>
    </row>
    <row r="87" spans="1:11" x14ac:dyDescent="0.25">
      <c r="A87">
        <v>25</v>
      </c>
      <c r="B87" t="s">
        <v>15</v>
      </c>
      <c r="C87">
        <v>2021</v>
      </c>
      <c r="D87">
        <v>79</v>
      </c>
      <c r="E87" t="s">
        <v>9</v>
      </c>
      <c r="F87">
        <v>53.375</v>
      </c>
      <c r="G87" s="1">
        <f>DATE(C87, CHOOSE(MATCH(UPPER(B87), {"ENERO","FEBRERO","MARZO","ABRIL","MAYO","JUNIO","JULIO","AGOSTO","SEPTIEMBRE","OCTUBRE","NOVIEMBRE","DICIEMBRE"}, 0), 1,2,3,4,5,6,7,8,9,10,11,12), A87)</f>
        <v>44372</v>
      </c>
      <c r="H87">
        <v>25.625</v>
      </c>
      <c r="I87">
        <v>40000</v>
      </c>
      <c r="J87" s="1">
        <f t="shared" si="3"/>
        <v>43552</v>
      </c>
      <c r="K87" s="2" t="e">
        <f t="shared" si="2"/>
        <v>#N/A</v>
      </c>
    </row>
    <row r="88" spans="1:11" x14ac:dyDescent="0.25">
      <c r="A88">
        <v>26</v>
      </c>
      <c r="B88" t="s">
        <v>15</v>
      </c>
      <c r="C88">
        <v>2021</v>
      </c>
      <c r="D88">
        <v>53.375</v>
      </c>
      <c r="E88" t="s">
        <v>9</v>
      </c>
      <c r="F88">
        <v>27.75</v>
      </c>
      <c r="G88" s="1">
        <f>DATE(C88, CHOOSE(MATCH(UPPER(B88), {"ENERO","FEBRERO","MARZO","ABRIL","MAYO","JUNIO","JULIO","AGOSTO","SEPTIEMBRE","OCTUBRE","NOVIEMBRE","DICIEMBRE"}, 0), 1,2,3,4,5,6,7,8,9,10,11,12), A88)</f>
        <v>44373</v>
      </c>
      <c r="H88">
        <v>25.625</v>
      </c>
      <c r="I88">
        <v>40000</v>
      </c>
      <c r="J88" s="1">
        <f t="shared" si="3"/>
        <v>43553</v>
      </c>
      <c r="K88" s="2" t="e">
        <f t="shared" si="2"/>
        <v>#N/A</v>
      </c>
    </row>
    <row r="89" spans="1:11" x14ac:dyDescent="0.25">
      <c r="A89">
        <v>27</v>
      </c>
      <c r="B89" t="s">
        <v>15</v>
      </c>
      <c r="C89">
        <v>2021</v>
      </c>
      <c r="D89">
        <v>27.75</v>
      </c>
      <c r="E89" t="s">
        <v>9</v>
      </c>
      <c r="F89">
        <v>1.75</v>
      </c>
      <c r="G89" s="1">
        <f>DATE(C89, CHOOSE(MATCH(UPPER(B89), {"ENERO","FEBRERO","MARZO","ABRIL","MAYO","JUNIO","JULIO","AGOSTO","SEPTIEMBRE","OCTUBRE","NOVIEMBRE","DICIEMBRE"}, 0), 1,2,3,4,5,6,7,8,9,10,11,12), A89)</f>
        <v>44374</v>
      </c>
      <c r="H89">
        <v>26</v>
      </c>
      <c r="I89">
        <v>40000</v>
      </c>
      <c r="J89" s="1">
        <f t="shared" si="3"/>
        <v>43554</v>
      </c>
      <c r="K89" s="2" t="e">
        <f t="shared" si="2"/>
        <v>#N/A</v>
      </c>
    </row>
    <row r="90" spans="1:11" x14ac:dyDescent="0.25">
      <c r="A90">
        <v>28</v>
      </c>
      <c r="B90" t="s">
        <v>15</v>
      </c>
      <c r="C90">
        <v>2021</v>
      </c>
      <c r="D90">
        <v>1.75</v>
      </c>
      <c r="E90">
        <v>34</v>
      </c>
      <c r="F90">
        <v>16.5</v>
      </c>
      <c r="G90" s="1">
        <f>DATE(C90, CHOOSE(MATCH(UPPER(B90), {"ENERO","FEBRERO","MARZO","ABRIL","MAYO","JUNIO","JULIO","AGOSTO","SEPTIEMBRE","OCTUBRE","NOVIEMBRE","DICIEMBRE"}, 0), 1,2,3,4,5,6,7,8,9,10,11,12), A90)</f>
        <v>44375</v>
      </c>
      <c r="H90">
        <v>19.25</v>
      </c>
      <c r="I90">
        <v>40000</v>
      </c>
      <c r="J90" s="1">
        <f t="shared" si="3"/>
        <v>43555</v>
      </c>
      <c r="K90" s="2" t="e">
        <f t="shared" si="2"/>
        <v>#N/A</v>
      </c>
    </row>
    <row r="91" spans="1:11" x14ac:dyDescent="0.25">
      <c r="A91">
        <v>29</v>
      </c>
      <c r="B91" t="s">
        <v>15</v>
      </c>
      <c r="C91">
        <v>2021</v>
      </c>
      <c r="D91">
        <v>16.5</v>
      </c>
      <c r="E91">
        <v>30</v>
      </c>
      <c r="F91">
        <v>27.125</v>
      </c>
      <c r="G91" s="1">
        <f>DATE(C91, CHOOSE(MATCH(UPPER(B91), {"ENERO","FEBRERO","MARZO","ABRIL","MAYO","JUNIO","JULIO","AGOSTO","SEPTIEMBRE","OCTUBRE","NOVIEMBRE","DICIEMBRE"}, 0), 1,2,3,4,5,6,7,8,9,10,11,12), A91)</f>
        <v>44376</v>
      </c>
      <c r="H91">
        <v>19.375</v>
      </c>
      <c r="I91">
        <v>40000</v>
      </c>
      <c r="J91" s="1">
        <f t="shared" si="3"/>
        <v>43556</v>
      </c>
      <c r="K91" s="2" t="e">
        <f t="shared" si="2"/>
        <v>#N/A</v>
      </c>
    </row>
    <row r="92" spans="1:11" x14ac:dyDescent="0.25">
      <c r="A92">
        <v>30</v>
      </c>
      <c r="B92" t="s">
        <v>15</v>
      </c>
      <c r="C92">
        <v>2021</v>
      </c>
      <c r="D92">
        <v>27.125</v>
      </c>
      <c r="E92">
        <v>11</v>
      </c>
      <c r="F92">
        <v>20</v>
      </c>
      <c r="G92" s="1">
        <f>DATE(C92, CHOOSE(MATCH(UPPER(B92), {"ENERO","FEBRERO","MARZO","ABRIL","MAYO","JUNIO","JULIO","AGOSTO","SEPTIEMBRE","OCTUBRE","NOVIEMBRE","DICIEMBRE"}, 0), 1,2,3,4,5,6,7,8,9,10,11,12), A92)</f>
        <v>44377</v>
      </c>
      <c r="H92">
        <v>18.125</v>
      </c>
      <c r="I92">
        <v>40000</v>
      </c>
      <c r="J92" s="1">
        <f t="shared" si="3"/>
        <v>43557</v>
      </c>
      <c r="K92" s="2" t="e">
        <f t="shared" si="2"/>
        <v>#N/A</v>
      </c>
    </row>
    <row r="93" spans="1:11" x14ac:dyDescent="0.25">
      <c r="A93">
        <v>1</v>
      </c>
      <c r="B93" t="s">
        <v>16</v>
      </c>
      <c r="C93">
        <v>2021</v>
      </c>
      <c r="D93">
        <v>20</v>
      </c>
      <c r="E93" t="s">
        <v>9</v>
      </c>
      <c r="F93">
        <v>5.125</v>
      </c>
      <c r="G93" s="1">
        <f>DATE(C93, CHOOSE(MATCH(UPPER(B93), {"ENERO","FEBRERO","MARZO","ABRIL","MAYO","JUNIO","JULIO","AGOSTO","SEPTIEMBRE","OCTUBRE","NOVIEMBRE","DICIEMBRE"}, 0), 1,2,3,4,5,6,7,8,9,10,11,12), A93)</f>
        <v>44378</v>
      </c>
      <c r="H93">
        <v>14.875</v>
      </c>
      <c r="I93">
        <v>40000</v>
      </c>
      <c r="J93" s="1">
        <f t="shared" si="3"/>
        <v>43558</v>
      </c>
      <c r="K93" s="2" t="e">
        <f t="shared" si="2"/>
        <v>#N/A</v>
      </c>
    </row>
    <row r="94" spans="1:11" x14ac:dyDescent="0.25">
      <c r="A94">
        <v>2</v>
      </c>
      <c r="B94" t="s">
        <v>16</v>
      </c>
      <c r="C94">
        <v>2021</v>
      </c>
      <c r="D94">
        <v>5.125</v>
      </c>
      <c r="E94">
        <v>50</v>
      </c>
      <c r="F94">
        <v>36.5</v>
      </c>
      <c r="G94" s="1">
        <f>DATE(C94, CHOOSE(MATCH(UPPER(B94), {"ENERO","FEBRERO","MARZO","ABRIL","MAYO","JUNIO","JULIO","AGOSTO","SEPTIEMBRE","OCTUBRE","NOVIEMBRE","DICIEMBRE"}, 0), 1,2,3,4,5,6,7,8,9,10,11,12), A94)</f>
        <v>44379</v>
      </c>
      <c r="H94">
        <v>18.625</v>
      </c>
      <c r="I94">
        <v>40000</v>
      </c>
      <c r="J94" s="1">
        <f t="shared" si="3"/>
        <v>43559</v>
      </c>
      <c r="K94" s="2" t="e">
        <f t="shared" si="2"/>
        <v>#N/A</v>
      </c>
    </row>
    <row r="95" spans="1:11" x14ac:dyDescent="0.25">
      <c r="A95">
        <v>3</v>
      </c>
      <c r="B95" t="s">
        <v>16</v>
      </c>
      <c r="C95">
        <v>2021</v>
      </c>
      <c r="D95">
        <v>36.5</v>
      </c>
      <c r="E95" t="s">
        <v>9</v>
      </c>
      <c r="F95">
        <v>11.5</v>
      </c>
      <c r="G95" s="1">
        <f>DATE(C95, CHOOSE(MATCH(UPPER(B95), {"ENERO","FEBRERO","MARZO","ABRIL","MAYO","JUNIO","JULIO","AGOSTO","SEPTIEMBRE","OCTUBRE","NOVIEMBRE","DICIEMBRE"}, 0), 1,2,3,4,5,6,7,8,9,10,11,12), A95)</f>
        <v>44380</v>
      </c>
      <c r="H95">
        <v>25</v>
      </c>
      <c r="I95">
        <v>40000</v>
      </c>
      <c r="J95" s="1">
        <f t="shared" si="3"/>
        <v>43560</v>
      </c>
      <c r="K95" s="2" t="e">
        <f t="shared" si="2"/>
        <v>#N/A</v>
      </c>
    </row>
    <row r="96" spans="1:11" x14ac:dyDescent="0.25">
      <c r="A96">
        <v>4</v>
      </c>
      <c r="B96" t="s">
        <v>16</v>
      </c>
      <c r="C96">
        <v>2021</v>
      </c>
      <c r="D96">
        <v>11.5</v>
      </c>
      <c r="E96">
        <v>15</v>
      </c>
      <c r="F96">
        <v>1</v>
      </c>
      <c r="G96" s="1">
        <f>DATE(C96, CHOOSE(MATCH(UPPER(B96), {"ENERO","FEBRERO","MARZO","ABRIL","MAYO","JUNIO","JULIO","AGOSTO","SEPTIEMBRE","OCTUBRE","NOVIEMBRE","DICIEMBRE"}, 0), 1,2,3,4,5,6,7,8,9,10,11,12), A96)</f>
        <v>44381</v>
      </c>
      <c r="H96">
        <v>25.5</v>
      </c>
      <c r="I96">
        <v>40000</v>
      </c>
      <c r="J96" s="1">
        <f t="shared" si="3"/>
        <v>43561</v>
      </c>
      <c r="K96" s="2" t="e">
        <f t="shared" si="2"/>
        <v>#N/A</v>
      </c>
    </row>
    <row r="97" spans="1:11" x14ac:dyDescent="0.25">
      <c r="A97">
        <v>5</v>
      </c>
      <c r="B97" t="s">
        <v>16</v>
      </c>
      <c r="C97">
        <v>2021</v>
      </c>
      <c r="D97">
        <v>1</v>
      </c>
      <c r="E97">
        <v>30</v>
      </c>
      <c r="F97">
        <v>11</v>
      </c>
      <c r="G97" s="1">
        <f>DATE(C97, CHOOSE(MATCH(UPPER(B97), {"ENERO","FEBRERO","MARZO","ABRIL","MAYO","JUNIO","JULIO","AGOSTO","SEPTIEMBRE","OCTUBRE","NOVIEMBRE","DICIEMBRE"}, 0), 1,2,3,4,5,6,7,8,9,10,11,12), A97)</f>
        <v>44382</v>
      </c>
      <c r="H97">
        <v>20</v>
      </c>
      <c r="I97">
        <v>40000</v>
      </c>
      <c r="J97" s="1">
        <f t="shared" si="3"/>
        <v>43562</v>
      </c>
      <c r="K97" s="2" t="e">
        <f t="shared" si="2"/>
        <v>#N/A</v>
      </c>
    </row>
    <row r="98" spans="1:11" x14ac:dyDescent="0.25">
      <c r="A98">
        <v>6</v>
      </c>
      <c r="B98" t="s">
        <v>16</v>
      </c>
      <c r="C98">
        <v>2021</v>
      </c>
      <c r="D98">
        <v>11</v>
      </c>
      <c r="E98">
        <v>23</v>
      </c>
      <c r="F98">
        <v>18.5</v>
      </c>
      <c r="G98" s="1">
        <f>DATE(C98, CHOOSE(MATCH(UPPER(B98), {"ENERO","FEBRERO","MARZO","ABRIL","MAYO","JUNIO","JULIO","AGOSTO","SEPTIEMBRE","OCTUBRE","NOVIEMBRE","DICIEMBRE"}, 0), 1,2,3,4,5,6,7,8,9,10,11,12), A98)</f>
        <v>44383</v>
      </c>
      <c r="H98">
        <v>15.5</v>
      </c>
      <c r="I98">
        <v>40000</v>
      </c>
      <c r="J98" s="1">
        <f t="shared" si="3"/>
        <v>43563</v>
      </c>
      <c r="K98" s="2" t="e">
        <f t="shared" si="2"/>
        <v>#N/A</v>
      </c>
    </row>
    <row r="99" spans="1:11" x14ac:dyDescent="0.25">
      <c r="A99">
        <v>7</v>
      </c>
      <c r="B99" t="s">
        <v>16</v>
      </c>
      <c r="C99">
        <v>2021</v>
      </c>
      <c r="D99">
        <v>18.5</v>
      </c>
      <c r="E99">
        <v>50</v>
      </c>
      <c r="F99">
        <v>56.125</v>
      </c>
      <c r="G99" s="1">
        <f>DATE(C99, CHOOSE(MATCH(UPPER(B99), {"ENERO","FEBRERO","MARZO","ABRIL","MAYO","JUNIO","JULIO","AGOSTO","SEPTIEMBRE","OCTUBRE","NOVIEMBRE","DICIEMBRE"}, 0), 1,2,3,4,5,6,7,8,9,10,11,12), A99)</f>
        <v>44384</v>
      </c>
      <c r="H99">
        <v>12.375</v>
      </c>
      <c r="I99">
        <v>40000</v>
      </c>
      <c r="J99" s="1">
        <f t="shared" si="3"/>
        <v>43564</v>
      </c>
      <c r="K99" s="2" t="e">
        <f t="shared" si="2"/>
        <v>#N/A</v>
      </c>
    </row>
    <row r="100" spans="1:11" x14ac:dyDescent="0.25">
      <c r="A100">
        <v>8</v>
      </c>
      <c r="B100" t="s">
        <v>16</v>
      </c>
      <c r="C100">
        <v>2021</v>
      </c>
      <c r="D100">
        <v>56.125</v>
      </c>
      <c r="E100" t="s">
        <v>9</v>
      </c>
      <c r="F100">
        <v>47.875</v>
      </c>
      <c r="G100" s="1">
        <f>DATE(C100, CHOOSE(MATCH(UPPER(B100), {"ENERO","FEBRERO","MARZO","ABRIL","MAYO","JUNIO","JULIO","AGOSTO","SEPTIEMBRE","OCTUBRE","NOVIEMBRE","DICIEMBRE"}, 0), 1,2,3,4,5,6,7,8,9,10,11,12), A100)</f>
        <v>44385</v>
      </c>
      <c r="H100">
        <v>8.25</v>
      </c>
      <c r="I100">
        <v>40000</v>
      </c>
      <c r="J100" s="1">
        <f t="shared" si="3"/>
        <v>43565</v>
      </c>
      <c r="K100" s="2" t="e">
        <f t="shared" si="2"/>
        <v>#N/A</v>
      </c>
    </row>
    <row r="101" spans="1:11" x14ac:dyDescent="0.25">
      <c r="A101">
        <v>9</v>
      </c>
      <c r="B101" t="s">
        <v>16</v>
      </c>
      <c r="C101">
        <v>2021</v>
      </c>
      <c r="D101">
        <v>47.875</v>
      </c>
      <c r="E101" t="s">
        <v>9</v>
      </c>
      <c r="F101">
        <v>30</v>
      </c>
      <c r="G101" s="1">
        <f>DATE(C101, CHOOSE(MATCH(UPPER(B101), {"ENERO","FEBRERO","MARZO","ABRIL","MAYO","JUNIO","JULIO","AGOSTO","SEPTIEMBRE","OCTUBRE","NOVIEMBRE","DICIEMBRE"}, 0), 1,2,3,4,5,6,7,8,9,10,11,12), A101)</f>
        <v>44386</v>
      </c>
      <c r="H101">
        <v>17.875</v>
      </c>
      <c r="I101">
        <v>40000</v>
      </c>
      <c r="J101" s="1">
        <f t="shared" si="3"/>
        <v>43566</v>
      </c>
      <c r="K101" s="2" t="e">
        <f t="shared" si="2"/>
        <v>#N/A</v>
      </c>
    </row>
    <row r="102" spans="1:11" x14ac:dyDescent="0.25">
      <c r="A102">
        <v>10</v>
      </c>
      <c r="B102" t="s">
        <v>16</v>
      </c>
      <c r="C102">
        <v>2021</v>
      </c>
      <c r="D102">
        <v>30</v>
      </c>
      <c r="E102" t="s">
        <v>9</v>
      </c>
      <c r="F102">
        <v>5.5</v>
      </c>
      <c r="G102" s="1">
        <f>DATE(C102, CHOOSE(MATCH(UPPER(B102), {"ENERO","FEBRERO","MARZO","ABRIL","MAYO","JUNIO","JULIO","AGOSTO","SEPTIEMBRE","OCTUBRE","NOVIEMBRE","DICIEMBRE"}, 0), 1,2,3,4,5,6,7,8,9,10,11,12), A102)</f>
        <v>44387</v>
      </c>
      <c r="H102">
        <v>24.5</v>
      </c>
      <c r="I102">
        <v>40000</v>
      </c>
      <c r="J102" s="1">
        <f t="shared" si="3"/>
        <v>43567</v>
      </c>
      <c r="K102" s="2" t="e">
        <f t="shared" si="2"/>
        <v>#N/A</v>
      </c>
    </row>
    <row r="103" spans="1:11" x14ac:dyDescent="0.25">
      <c r="A103">
        <v>11</v>
      </c>
      <c r="B103" t="s">
        <v>16</v>
      </c>
      <c r="C103">
        <v>2021</v>
      </c>
      <c r="D103">
        <v>5.5</v>
      </c>
      <c r="E103">
        <v>54</v>
      </c>
      <c r="F103">
        <v>34</v>
      </c>
      <c r="G103" s="1">
        <f>DATE(C103, CHOOSE(MATCH(UPPER(B103), {"ENERO","FEBRERO","MARZO","ABRIL","MAYO","JUNIO","JULIO","AGOSTO","SEPTIEMBRE","OCTUBRE","NOVIEMBRE","DICIEMBRE"}, 0), 1,2,3,4,5,6,7,8,9,10,11,12), A103)</f>
        <v>44388</v>
      </c>
      <c r="H103">
        <v>25.5</v>
      </c>
      <c r="I103">
        <v>40000</v>
      </c>
      <c r="J103" s="1">
        <f t="shared" si="3"/>
        <v>43568</v>
      </c>
      <c r="K103" s="2" t="e">
        <f t="shared" si="2"/>
        <v>#N/A</v>
      </c>
    </row>
    <row r="104" spans="1:11" x14ac:dyDescent="0.25">
      <c r="A104">
        <v>12</v>
      </c>
      <c r="B104" t="s">
        <v>16</v>
      </c>
      <c r="C104">
        <v>2021</v>
      </c>
      <c r="D104">
        <v>34</v>
      </c>
      <c r="E104" t="s">
        <v>9</v>
      </c>
      <c r="F104">
        <v>22</v>
      </c>
      <c r="G104" s="1">
        <f>DATE(C104, CHOOSE(MATCH(UPPER(B104), {"ENERO","FEBRERO","MARZO","ABRIL","MAYO","JUNIO","JULIO","AGOSTO","SEPTIEMBRE","OCTUBRE","NOVIEMBRE","DICIEMBRE"}, 0), 1,2,3,4,5,6,7,8,9,10,11,12), A104)</f>
        <v>44389</v>
      </c>
      <c r="H104">
        <v>12</v>
      </c>
      <c r="I104">
        <v>40000</v>
      </c>
      <c r="J104" s="1">
        <f t="shared" si="3"/>
        <v>43569</v>
      </c>
      <c r="K104" s="2" t="e">
        <f t="shared" si="2"/>
        <v>#N/A</v>
      </c>
    </row>
    <row r="105" spans="1:11" x14ac:dyDescent="0.25">
      <c r="A105">
        <v>13</v>
      </c>
      <c r="B105" t="s">
        <v>16</v>
      </c>
      <c r="C105">
        <v>2021</v>
      </c>
      <c r="D105">
        <v>22</v>
      </c>
      <c r="E105">
        <v>60</v>
      </c>
      <c r="F105">
        <v>67.5</v>
      </c>
      <c r="G105" s="1">
        <f>DATE(C105, CHOOSE(MATCH(UPPER(B105), {"ENERO","FEBRERO","MARZO","ABRIL","MAYO","JUNIO","JULIO","AGOSTO","SEPTIEMBRE","OCTUBRE","NOVIEMBRE","DICIEMBRE"}, 0), 1,2,3,4,5,6,7,8,9,10,11,12), A105)</f>
        <v>44390</v>
      </c>
      <c r="H105">
        <v>14.5</v>
      </c>
      <c r="I105">
        <v>40000</v>
      </c>
      <c r="J105" s="1">
        <f t="shared" si="3"/>
        <v>43570</v>
      </c>
      <c r="K105" s="2" t="e">
        <f t="shared" si="2"/>
        <v>#N/A</v>
      </c>
    </row>
    <row r="106" spans="1:11" x14ac:dyDescent="0.25">
      <c r="A106">
        <v>14</v>
      </c>
      <c r="B106" t="s">
        <v>16</v>
      </c>
      <c r="C106">
        <v>2021</v>
      </c>
      <c r="D106">
        <v>67.5</v>
      </c>
      <c r="E106" t="s">
        <v>9</v>
      </c>
      <c r="F106">
        <v>51</v>
      </c>
      <c r="G106" s="1">
        <f>DATE(C106, CHOOSE(MATCH(UPPER(B106), {"ENERO","FEBRERO","MARZO","ABRIL","MAYO","JUNIO","JULIO","AGOSTO","SEPTIEMBRE","OCTUBRE","NOVIEMBRE","DICIEMBRE"}, 0), 1,2,3,4,5,6,7,8,9,10,11,12), A106)</f>
        <v>44391</v>
      </c>
      <c r="H106">
        <v>16.5</v>
      </c>
      <c r="I106">
        <v>40000</v>
      </c>
      <c r="J106" s="1">
        <f t="shared" si="3"/>
        <v>43571</v>
      </c>
      <c r="K106" s="2" t="e">
        <f t="shared" si="2"/>
        <v>#N/A</v>
      </c>
    </row>
    <row r="107" spans="1:11" x14ac:dyDescent="0.25">
      <c r="A107">
        <v>15</v>
      </c>
      <c r="B107" t="s">
        <v>16</v>
      </c>
      <c r="C107">
        <v>2021</v>
      </c>
      <c r="D107">
        <v>51</v>
      </c>
      <c r="E107" t="s">
        <v>9</v>
      </c>
      <c r="F107">
        <v>37.5</v>
      </c>
      <c r="G107" s="1">
        <f>DATE(C107, CHOOSE(MATCH(UPPER(B107), {"ENERO","FEBRERO","MARZO","ABRIL","MAYO","JUNIO","JULIO","AGOSTO","SEPTIEMBRE","OCTUBRE","NOVIEMBRE","DICIEMBRE"}, 0), 1,2,3,4,5,6,7,8,9,10,11,12), A107)</f>
        <v>44392</v>
      </c>
      <c r="H107">
        <v>13.5</v>
      </c>
      <c r="I107">
        <v>40000</v>
      </c>
      <c r="J107" s="1">
        <f t="shared" si="3"/>
        <v>43572</v>
      </c>
      <c r="K107" s="2" t="e">
        <f t="shared" si="2"/>
        <v>#N/A</v>
      </c>
    </row>
    <row r="108" spans="1:11" x14ac:dyDescent="0.25">
      <c r="A108">
        <v>16</v>
      </c>
      <c r="B108" t="s">
        <v>16</v>
      </c>
      <c r="C108">
        <v>2021</v>
      </c>
      <c r="D108">
        <v>37.5</v>
      </c>
      <c r="E108" t="s">
        <v>9</v>
      </c>
      <c r="F108">
        <v>21.25</v>
      </c>
      <c r="G108" s="1">
        <f>DATE(C108, CHOOSE(MATCH(UPPER(B108), {"ENERO","FEBRERO","MARZO","ABRIL","MAYO","JUNIO","JULIO","AGOSTO","SEPTIEMBRE","OCTUBRE","NOVIEMBRE","DICIEMBRE"}, 0), 1,2,3,4,5,6,7,8,9,10,11,12), A108)</f>
        <v>44393</v>
      </c>
      <c r="H108">
        <v>16.25</v>
      </c>
      <c r="I108">
        <v>40000</v>
      </c>
      <c r="J108" s="1">
        <f t="shared" si="3"/>
        <v>43573</v>
      </c>
      <c r="K108" s="2" t="e">
        <f t="shared" si="2"/>
        <v>#N/A</v>
      </c>
    </row>
    <row r="109" spans="1:11" x14ac:dyDescent="0.25">
      <c r="A109">
        <v>17</v>
      </c>
      <c r="B109" t="s">
        <v>16</v>
      </c>
      <c r="C109">
        <v>2021</v>
      </c>
      <c r="D109">
        <v>21.25</v>
      </c>
      <c r="E109">
        <v>50</v>
      </c>
      <c r="F109">
        <v>54.5</v>
      </c>
      <c r="G109" s="1">
        <f>DATE(C109, CHOOSE(MATCH(UPPER(B109), {"ENERO","FEBRERO","MARZO","ABRIL","MAYO","JUNIO","JULIO","AGOSTO","SEPTIEMBRE","OCTUBRE","NOVIEMBRE","DICIEMBRE"}, 0), 1,2,3,4,5,6,7,8,9,10,11,12), A109)</f>
        <v>44394</v>
      </c>
      <c r="H109">
        <v>16.75</v>
      </c>
      <c r="I109">
        <v>40000</v>
      </c>
      <c r="J109" s="1">
        <f t="shared" si="3"/>
        <v>43574</v>
      </c>
      <c r="K109" s="2" t="e">
        <f t="shared" si="2"/>
        <v>#N/A</v>
      </c>
    </row>
    <row r="110" spans="1:11" x14ac:dyDescent="0.25">
      <c r="A110">
        <v>18</v>
      </c>
      <c r="B110" t="s">
        <v>16</v>
      </c>
      <c r="C110">
        <v>2021</v>
      </c>
      <c r="D110">
        <v>54.5</v>
      </c>
      <c r="E110" t="s">
        <v>9</v>
      </c>
      <c r="F110">
        <v>30.5</v>
      </c>
      <c r="G110" s="1">
        <f>DATE(C110, CHOOSE(MATCH(UPPER(B110), {"ENERO","FEBRERO","MARZO","ABRIL","MAYO","JUNIO","JULIO","AGOSTO","SEPTIEMBRE","OCTUBRE","NOVIEMBRE","DICIEMBRE"}, 0), 1,2,3,4,5,6,7,8,9,10,11,12), A110)</f>
        <v>44395</v>
      </c>
      <c r="H110">
        <v>24</v>
      </c>
      <c r="I110">
        <v>40000</v>
      </c>
      <c r="J110" s="1">
        <f t="shared" si="3"/>
        <v>43575</v>
      </c>
      <c r="K110" s="2" t="e">
        <f t="shared" si="2"/>
        <v>#N/A</v>
      </c>
    </row>
    <row r="111" spans="1:11" x14ac:dyDescent="0.25">
      <c r="A111">
        <v>19</v>
      </c>
      <c r="B111" t="s">
        <v>16</v>
      </c>
      <c r="C111">
        <v>2021</v>
      </c>
      <c r="D111">
        <v>30.5</v>
      </c>
      <c r="E111" t="s">
        <v>9</v>
      </c>
      <c r="F111">
        <v>18.5</v>
      </c>
      <c r="G111" s="1">
        <f>DATE(C111, CHOOSE(MATCH(UPPER(B111), {"ENERO","FEBRERO","MARZO","ABRIL","MAYO","JUNIO","JULIO","AGOSTO","SEPTIEMBRE","OCTUBRE","NOVIEMBRE","DICIEMBRE"}, 0), 1,2,3,4,5,6,7,8,9,10,11,12), A111)</f>
        <v>44396</v>
      </c>
      <c r="H111">
        <v>12</v>
      </c>
      <c r="I111">
        <v>40000</v>
      </c>
      <c r="J111" s="1">
        <f t="shared" si="3"/>
        <v>43576</v>
      </c>
      <c r="K111" s="2" t="e">
        <f t="shared" si="2"/>
        <v>#N/A</v>
      </c>
    </row>
    <row r="112" spans="1:11" x14ac:dyDescent="0.25">
      <c r="A112">
        <v>20</v>
      </c>
      <c r="B112" t="s">
        <v>16</v>
      </c>
      <c r="C112">
        <v>2021</v>
      </c>
      <c r="D112">
        <v>18.5</v>
      </c>
      <c r="E112" t="s">
        <v>9</v>
      </c>
      <c r="F112">
        <v>3.5</v>
      </c>
      <c r="G112" s="1">
        <f>DATE(C112, CHOOSE(MATCH(UPPER(B112), {"ENERO","FEBRERO","MARZO","ABRIL","MAYO","JUNIO","JULIO","AGOSTO","SEPTIEMBRE","OCTUBRE","NOVIEMBRE","DICIEMBRE"}, 0), 1,2,3,4,5,6,7,8,9,10,11,12), A112)</f>
        <v>44397</v>
      </c>
      <c r="H112">
        <v>15</v>
      </c>
      <c r="I112">
        <v>40000</v>
      </c>
      <c r="J112" s="1">
        <f t="shared" si="3"/>
        <v>43577</v>
      </c>
      <c r="K112" s="2" t="e">
        <f t="shared" si="2"/>
        <v>#N/A</v>
      </c>
    </row>
    <row r="113" spans="1:11" x14ac:dyDescent="0.25">
      <c r="A113">
        <v>21</v>
      </c>
      <c r="B113" t="s">
        <v>16</v>
      </c>
      <c r="C113">
        <v>2021</v>
      </c>
      <c r="D113">
        <v>3.5</v>
      </c>
      <c r="E113">
        <v>60</v>
      </c>
      <c r="F113">
        <v>46.75</v>
      </c>
      <c r="G113" s="1">
        <f>DATE(C113, CHOOSE(MATCH(UPPER(B113), {"ENERO","FEBRERO","MARZO","ABRIL","MAYO","JUNIO","JULIO","AGOSTO","SEPTIEMBRE","OCTUBRE","NOVIEMBRE","DICIEMBRE"}, 0), 1,2,3,4,5,6,7,8,9,10,11,12), A113)</f>
        <v>44398</v>
      </c>
      <c r="H113">
        <v>16.75</v>
      </c>
      <c r="I113">
        <v>40000</v>
      </c>
      <c r="J113" s="1">
        <f t="shared" si="3"/>
        <v>43578</v>
      </c>
      <c r="K113" s="2" t="e">
        <f t="shared" si="2"/>
        <v>#N/A</v>
      </c>
    </row>
    <row r="114" spans="1:11" x14ac:dyDescent="0.25">
      <c r="A114">
        <v>22</v>
      </c>
      <c r="B114" t="s">
        <v>16</v>
      </c>
      <c r="C114">
        <v>2021</v>
      </c>
      <c r="D114">
        <v>46.75</v>
      </c>
      <c r="E114" t="s">
        <v>9</v>
      </c>
      <c r="F114">
        <v>36.25</v>
      </c>
      <c r="G114" s="1">
        <f>DATE(C114, CHOOSE(MATCH(UPPER(B114), {"ENERO","FEBRERO","MARZO","ABRIL","MAYO","JUNIO","JULIO","AGOSTO","SEPTIEMBRE","OCTUBRE","NOVIEMBRE","DICIEMBRE"}, 0), 1,2,3,4,5,6,7,8,9,10,11,12), A114)</f>
        <v>44399</v>
      </c>
      <c r="H114">
        <v>10.5</v>
      </c>
      <c r="I114">
        <v>40000</v>
      </c>
      <c r="J114" s="1">
        <f t="shared" si="3"/>
        <v>43579</v>
      </c>
      <c r="K114" s="2" t="e">
        <f t="shared" si="2"/>
        <v>#N/A</v>
      </c>
    </row>
    <row r="115" spans="1:11" x14ac:dyDescent="0.25">
      <c r="A115">
        <v>23</v>
      </c>
      <c r="B115" t="s">
        <v>16</v>
      </c>
      <c r="C115">
        <v>2021</v>
      </c>
      <c r="D115">
        <v>36.25</v>
      </c>
      <c r="E115" t="s">
        <v>9</v>
      </c>
      <c r="F115">
        <v>19.5</v>
      </c>
      <c r="G115" s="1">
        <f>DATE(C115, CHOOSE(MATCH(UPPER(B115), {"ENERO","FEBRERO","MARZO","ABRIL","MAYO","JUNIO","JULIO","AGOSTO","SEPTIEMBRE","OCTUBRE","NOVIEMBRE","DICIEMBRE"}, 0), 1,2,3,4,5,6,7,8,9,10,11,12), A115)</f>
        <v>44400</v>
      </c>
      <c r="H115">
        <v>16.75</v>
      </c>
      <c r="I115">
        <v>40000</v>
      </c>
      <c r="J115" s="1">
        <f t="shared" si="3"/>
        <v>43580</v>
      </c>
      <c r="K115" s="2" t="e">
        <f t="shared" si="2"/>
        <v>#N/A</v>
      </c>
    </row>
    <row r="116" spans="1:11" x14ac:dyDescent="0.25">
      <c r="A116">
        <v>24</v>
      </c>
      <c r="B116" t="s">
        <v>16</v>
      </c>
      <c r="C116">
        <v>2021</v>
      </c>
      <c r="D116">
        <v>19.5</v>
      </c>
      <c r="E116">
        <v>23</v>
      </c>
      <c r="F116">
        <v>16.5</v>
      </c>
      <c r="G116" s="1">
        <f>DATE(C116, CHOOSE(MATCH(UPPER(B116), {"ENERO","FEBRERO","MARZO","ABRIL","MAYO","JUNIO","JULIO","AGOSTO","SEPTIEMBRE","OCTUBRE","NOVIEMBRE","DICIEMBRE"}, 0), 1,2,3,4,5,6,7,8,9,10,11,12), A116)</f>
        <v>44401</v>
      </c>
      <c r="H116">
        <v>26</v>
      </c>
      <c r="I116">
        <v>40000</v>
      </c>
      <c r="J116" s="1">
        <f t="shared" si="3"/>
        <v>43581</v>
      </c>
      <c r="K116" s="2" t="e">
        <f t="shared" si="2"/>
        <v>#N/A</v>
      </c>
    </row>
    <row r="117" spans="1:11" x14ac:dyDescent="0.25">
      <c r="A117">
        <v>25</v>
      </c>
      <c r="B117" t="s">
        <v>16</v>
      </c>
      <c r="C117">
        <v>2021</v>
      </c>
      <c r="D117">
        <v>16.5</v>
      </c>
      <c r="E117">
        <v>68</v>
      </c>
      <c r="F117">
        <v>61</v>
      </c>
      <c r="G117" s="1">
        <f>DATE(C117, CHOOSE(MATCH(UPPER(B117), {"ENERO","FEBRERO","MARZO","ABRIL","MAYO","JUNIO","JULIO","AGOSTO","SEPTIEMBRE","OCTUBRE","NOVIEMBRE","DICIEMBRE"}, 0), 1,2,3,4,5,6,7,8,9,10,11,12), A117)</f>
        <v>44402</v>
      </c>
      <c r="H117">
        <v>23.5</v>
      </c>
      <c r="I117">
        <v>40000</v>
      </c>
      <c r="J117" s="1">
        <f t="shared" si="3"/>
        <v>43582</v>
      </c>
      <c r="K117" s="2" t="e">
        <f t="shared" si="2"/>
        <v>#N/A</v>
      </c>
    </row>
    <row r="118" spans="1:11" x14ac:dyDescent="0.25">
      <c r="A118">
        <v>26</v>
      </c>
      <c r="B118" t="s">
        <v>16</v>
      </c>
      <c r="C118">
        <v>2021</v>
      </c>
      <c r="D118">
        <v>61</v>
      </c>
      <c r="E118" t="s">
        <v>9</v>
      </c>
      <c r="F118">
        <v>48.25</v>
      </c>
      <c r="G118" s="1">
        <f>DATE(C118, CHOOSE(MATCH(UPPER(B118), {"ENERO","FEBRERO","MARZO","ABRIL","MAYO","JUNIO","JULIO","AGOSTO","SEPTIEMBRE","OCTUBRE","NOVIEMBRE","DICIEMBRE"}, 0), 1,2,3,4,5,6,7,8,9,10,11,12), A118)</f>
        <v>44403</v>
      </c>
      <c r="H118">
        <v>12.75</v>
      </c>
      <c r="I118">
        <v>40000</v>
      </c>
      <c r="J118" s="1">
        <f t="shared" si="3"/>
        <v>43583</v>
      </c>
      <c r="K118" s="2" t="e">
        <f t="shared" si="2"/>
        <v>#N/A</v>
      </c>
    </row>
    <row r="119" spans="1:11" x14ac:dyDescent="0.25">
      <c r="A119">
        <v>27</v>
      </c>
      <c r="B119" t="s">
        <v>16</v>
      </c>
      <c r="C119">
        <v>2021</v>
      </c>
      <c r="D119">
        <v>48.25</v>
      </c>
      <c r="E119" t="s">
        <v>9</v>
      </c>
      <c r="F119">
        <v>39</v>
      </c>
      <c r="G119" s="1">
        <f>DATE(C119, CHOOSE(MATCH(UPPER(B119), {"ENERO","FEBRERO","MARZO","ABRIL","MAYO","JUNIO","JULIO","AGOSTO","SEPTIEMBRE","OCTUBRE","NOVIEMBRE","DICIEMBRE"}, 0), 1,2,3,4,5,6,7,8,9,10,11,12), A119)</f>
        <v>44404</v>
      </c>
      <c r="H119">
        <v>9.25</v>
      </c>
      <c r="I119">
        <v>40000</v>
      </c>
      <c r="J119" s="1">
        <f t="shared" si="3"/>
        <v>43584</v>
      </c>
      <c r="K119" s="2" t="e">
        <f t="shared" si="2"/>
        <v>#N/A</v>
      </c>
    </row>
    <row r="120" spans="1:11" x14ac:dyDescent="0.25">
      <c r="A120">
        <v>28</v>
      </c>
      <c r="B120" t="s">
        <v>16</v>
      </c>
      <c r="C120">
        <v>2021</v>
      </c>
      <c r="D120">
        <v>39</v>
      </c>
      <c r="E120" t="s">
        <v>9</v>
      </c>
      <c r="F120">
        <v>27</v>
      </c>
      <c r="G120" s="1">
        <f>DATE(C120, CHOOSE(MATCH(UPPER(B120), {"ENERO","FEBRERO","MARZO","ABRIL","MAYO","JUNIO","JULIO","AGOSTO","SEPTIEMBRE","OCTUBRE","NOVIEMBRE","DICIEMBRE"}, 0), 1,2,3,4,5,6,7,8,9,10,11,12), A120)</f>
        <v>44405</v>
      </c>
      <c r="H120">
        <v>12</v>
      </c>
      <c r="I120">
        <v>40000</v>
      </c>
      <c r="J120" s="1">
        <f t="shared" si="3"/>
        <v>43585</v>
      </c>
      <c r="K120" s="2" t="e">
        <f t="shared" si="2"/>
        <v>#N/A</v>
      </c>
    </row>
    <row r="121" spans="1:11" x14ac:dyDescent="0.25">
      <c r="A121">
        <v>29</v>
      </c>
      <c r="B121" t="s">
        <v>16</v>
      </c>
      <c r="C121">
        <v>2021</v>
      </c>
      <c r="D121">
        <v>27</v>
      </c>
      <c r="E121" t="s">
        <v>9</v>
      </c>
      <c r="F121">
        <v>12</v>
      </c>
      <c r="G121" s="1">
        <f>DATE(C121, CHOOSE(MATCH(UPPER(B121), {"ENERO","FEBRERO","MARZO","ABRIL","MAYO","JUNIO","JULIO","AGOSTO","SEPTIEMBRE","OCTUBRE","NOVIEMBRE","DICIEMBRE"}, 0), 1,2,3,4,5,6,7,8,9,10,11,12), A121)</f>
        <v>44406</v>
      </c>
      <c r="H121">
        <v>15</v>
      </c>
      <c r="I121">
        <v>40000</v>
      </c>
      <c r="J121" s="1">
        <f t="shared" si="3"/>
        <v>43586</v>
      </c>
      <c r="K121" s="2" t="e">
        <f t="shared" si="2"/>
        <v>#N/A</v>
      </c>
    </row>
    <row r="122" spans="1:11" x14ac:dyDescent="0.25">
      <c r="A122">
        <v>30</v>
      </c>
      <c r="B122" t="s">
        <v>16</v>
      </c>
      <c r="C122">
        <v>2021</v>
      </c>
      <c r="D122">
        <v>12</v>
      </c>
      <c r="E122">
        <v>60</v>
      </c>
      <c r="F122">
        <v>54.5</v>
      </c>
      <c r="G122" s="1">
        <f>DATE(C122, CHOOSE(MATCH(UPPER(B122), {"ENERO","FEBRERO","MARZO","ABRIL","MAYO","JUNIO","JULIO","AGOSTO","SEPTIEMBRE","OCTUBRE","NOVIEMBRE","DICIEMBRE"}, 0), 1,2,3,4,5,6,7,8,9,10,11,12), A122)</f>
        <v>44407</v>
      </c>
      <c r="H122">
        <v>17.5</v>
      </c>
      <c r="I122">
        <v>40000</v>
      </c>
      <c r="J122" s="1">
        <f t="shared" si="3"/>
        <v>43587</v>
      </c>
      <c r="K122" s="2" t="e">
        <f t="shared" si="2"/>
        <v>#N/A</v>
      </c>
    </row>
    <row r="123" spans="1:11" x14ac:dyDescent="0.25">
      <c r="A123">
        <v>31</v>
      </c>
      <c r="B123" t="s">
        <v>16</v>
      </c>
      <c r="C123">
        <v>2021</v>
      </c>
      <c r="D123">
        <v>54.5</v>
      </c>
      <c r="E123" t="s">
        <v>9</v>
      </c>
      <c r="F123">
        <v>25</v>
      </c>
      <c r="G123" s="1">
        <f>DATE(C123, CHOOSE(MATCH(UPPER(B123), {"ENERO","FEBRERO","MARZO","ABRIL","MAYO","JUNIO","JULIO","AGOSTO","SEPTIEMBRE","OCTUBRE","NOVIEMBRE","DICIEMBRE"}, 0), 1,2,3,4,5,6,7,8,9,10,11,12), A123)</f>
        <v>44408</v>
      </c>
      <c r="H123">
        <v>29.5</v>
      </c>
      <c r="I123">
        <v>40000</v>
      </c>
      <c r="J123" s="1">
        <f t="shared" si="3"/>
        <v>43588</v>
      </c>
      <c r="K123" s="2" t="e">
        <f t="shared" si="2"/>
        <v>#N/A</v>
      </c>
    </row>
    <row r="124" spans="1:11" x14ac:dyDescent="0.25">
      <c r="A124">
        <v>1</v>
      </c>
      <c r="B124" t="s">
        <v>17</v>
      </c>
      <c r="C124">
        <v>2021</v>
      </c>
      <c r="D124">
        <v>25</v>
      </c>
      <c r="E124">
        <v>56</v>
      </c>
      <c r="F124">
        <v>64.25</v>
      </c>
      <c r="G124" s="1">
        <f>DATE(C124, CHOOSE(MATCH(UPPER(B124), {"ENERO","FEBRERO","MARZO","ABRIL","MAYO","JUNIO","JULIO","AGOSTO","SEPTIEMBRE","OCTUBRE","NOVIEMBRE","DICIEMBRE"}, 0), 1,2,3,4,5,6,7,8,9,10,11,12), A124)</f>
        <v>44409</v>
      </c>
      <c r="H124">
        <v>16.75</v>
      </c>
      <c r="I124">
        <v>40000</v>
      </c>
      <c r="J124" s="1">
        <f t="shared" si="3"/>
        <v>43589</v>
      </c>
      <c r="K124" s="2" t="e">
        <f t="shared" si="2"/>
        <v>#N/A</v>
      </c>
    </row>
    <row r="125" spans="1:11" x14ac:dyDescent="0.25">
      <c r="A125">
        <v>2</v>
      </c>
      <c r="B125" t="s">
        <v>17</v>
      </c>
      <c r="C125">
        <v>2021</v>
      </c>
      <c r="D125">
        <v>64.25</v>
      </c>
      <c r="E125" t="s">
        <v>9</v>
      </c>
      <c r="F125">
        <v>51.25</v>
      </c>
      <c r="G125" s="1">
        <f>DATE(C125, CHOOSE(MATCH(UPPER(B125), {"ENERO","FEBRERO","MARZO","ABRIL","MAYO","JUNIO","JULIO","AGOSTO","SEPTIEMBRE","OCTUBRE","NOVIEMBRE","DICIEMBRE"}, 0), 1,2,3,4,5,6,7,8,9,10,11,12), A125)</f>
        <v>44410</v>
      </c>
      <c r="H125">
        <v>13</v>
      </c>
      <c r="I125">
        <v>40000</v>
      </c>
      <c r="J125" s="1">
        <f t="shared" si="3"/>
        <v>43590</v>
      </c>
      <c r="K125" s="2" t="e">
        <f t="shared" si="2"/>
        <v>#N/A</v>
      </c>
    </row>
    <row r="126" spans="1:11" x14ac:dyDescent="0.25">
      <c r="A126">
        <v>3</v>
      </c>
      <c r="B126" t="s">
        <v>17</v>
      </c>
      <c r="C126">
        <v>2021</v>
      </c>
      <c r="D126">
        <v>51.25</v>
      </c>
      <c r="E126" t="s">
        <v>9</v>
      </c>
      <c r="F126">
        <v>30.625</v>
      </c>
      <c r="G126" s="1">
        <f>DATE(C126, CHOOSE(MATCH(UPPER(B126), {"ENERO","FEBRERO","MARZO","ABRIL","MAYO","JUNIO","JULIO","AGOSTO","SEPTIEMBRE","OCTUBRE","NOVIEMBRE","DICIEMBRE"}, 0), 1,2,3,4,5,6,7,8,9,10,11,12), A126)</f>
        <v>44411</v>
      </c>
      <c r="H126">
        <v>20.625</v>
      </c>
      <c r="I126">
        <v>40000</v>
      </c>
      <c r="J126" s="1">
        <f t="shared" si="3"/>
        <v>43591</v>
      </c>
      <c r="K126" s="2" t="e">
        <f t="shared" si="2"/>
        <v>#N/A</v>
      </c>
    </row>
    <row r="127" spans="1:11" x14ac:dyDescent="0.25">
      <c r="A127">
        <v>4</v>
      </c>
      <c r="B127" t="s">
        <v>17</v>
      </c>
      <c r="C127">
        <v>2021</v>
      </c>
      <c r="D127">
        <v>30.625</v>
      </c>
      <c r="E127" t="s">
        <v>9</v>
      </c>
      <c r="F127">
        <v>18.375</v>
      </c>
      <c r="G127" s="1">
        <f>DATE(C127, CHOOSE(MATCH(UPPER(B127), {"ENERO","FEBRERO","MARZO","ABRIL","MAYO","JUNIO","JULIO","AGOSTO","SEPTIEMBRE","OCTUBRE","NOVIEMBRE","DICIEMBRE"}, 0), 1,2,3,4,5,6,7,8,9,10,11,12), A127)</f>
        <v>44412</v>
      </c>
      <c r="H127">
        <v>12.25</v>
      </c>
      <c r="I127">
        <v>40000</v>
      </c>
      <c r="J127" s="1">
        <f t="shared" si="3"/>
        <v>43592</v>
      </c>
      <c r="K127" s="2" t="e">
        <f t="shared" si="2"/>
        <v>#N/A</v>
      </c>
    </row>
    <row r="128" spans="1:11" x14ac:dyDescent="0.25">
      <c r="A128">
        <v>5</v>
      </c>
      <c r="B128" t="s">
        <v>17</v>
      </c>
      <c r="C128">
        <v>2021</v>
      </c>
      <c r="D128">
        <v>18.375</v>
      </c>
      <c r="E128">
        <v>50</v>
      </c>
      <c r="F128">
        <v>54.375</v>
      </c>
      <c r="G128" s="1">
        <f>DATE(C128, CHOOSE(MATCH(UPPER(B128), {"ENERO","FEBRERO","MARZO","ABRIL","MAYO","JUNIO","JULIO","AGOSTO","SEPTIEMBRE","OCTUBRE","NOVIEMBRE","DICIEMBRE"}, 0), 1,2,3,4,5,6,7,8,9,10,11,12), A128)</f>
        <v>44413</v>
      </c>
      <c r="H128">
        <v>14</v>
      </c>
      <c r="I128">
        <v>40000</v>
      </c>
      <c r="J128" s="1">
        <f t="shared" si="3"/>
        <v>43593</v>
      </c>
      <c r="K128" s="2" t="e">
        <f t="shared" si="2"/>
        <v>#N/A</v>
      </c>
    </row>
    <row r="129" spans="1:11" x14ac:dyDescent="0.25">
      <c r="A129">
        <v>6</v>
      </c>
      <c r="B129" t="s">
        <v>17</v>
      </c>
      <c r="C129">
        <v>2021</v>
      </c>
      <c r="D129">
        <v>54.375</v>
      </c>
      <c r="E129" t="s">
        <v>9</v>
      </c>
      <c r="F129">
        <v>43</v>
      </c>
      <c r="G129" s="1">
        <f>DATE(C129, CHOOSE(MATCH(UPPER(B129), {"ENERO","FEBRERO","MARZO","ABRIL","MAYO","JUNIO","JULIO","AGOSTO","SEPTIEMBRE","OCTUBRE","NOVIEMBRE","DICIEMBRE"}, 0), 1,2,3,4,5,6,7,8,9,10,11,12), A129)</f>
        <v>44414</v>
      </c>
      <c r="H129">
        <v>11.375</v>
      </c>
      <c r="I129">
        <v>40000</v>
      </c>
      <c r="J129" s="1">
        <f t="shared" si="3"/>
        <v>43594</v>
      </c>
      <c r="K129" s="2" t="e">
        <f t="shared" si="2"/>
        <v>#N/A</v>
      </c>
    </row>
    <row r="130" spans="1:11" x14ac:dyDescent="0.25">
      <c r="A130">
        <v>7</v>
      </c>
      <c r="B130" t="s">
        <v>17</v>
      </c>
      <c r="C130">
        <v>2021</v>
      </c>
      <c r="D130">
        <v>43</v>
      </c>
      <c r="E130" t="s">
        <v>9</v>
      </c>
      <c r="F130">
        <v>21</v>
      </c>
      <c r="G130" s="1">
        <f>DATE(C130, CHOOSE(MATCH(UPPER(B130), {"ENERO","FEBRERO","MARZO","ABRIL","MAYO","JUNIO","JULIO","AGOSTO","SEPTIEMBRE","OCTUBRE","NOVIEMBRE","DICIEMBRE"}, 0), 1,2,3,4,5,6,7,8,9,10,11,12), A130)</f>
        <v>44415</v>
      </c>
      <c r="H130">
        <v>22</v>
      </c>
      <c r="I130">
        <v>40000</v>
      </c>
      <c r="J130" s="1">
        <f t="shared" si="3"/>
        <v>43595</v>
      </c>
      <c r="K130" s="2" t="e">
        <f t="shared" si="2"/>
        <v>#N/A</v>
      </c>
    </row>
    <row r="131" spans="1:11" x14ac:dyDescent="0.25">
      <c r="A131">
        <v>8</v>
      </c>
      <c r="B131" t="s">
        <v>17</v>
      </c>
      <c r="C131">
        <v>2021</v>
      </c>
      <c r="D131">
        <v>21</v>
      </c>
      <c r="E131">
        <v>50</v>
      </c>
      <c r="F131">
        <v>47.75</v>
      </c>
      <c r="G131" s="1">
        <f>DATE(C131, CHOOSE(MATCH(UPPER(B131), {"ENERO","FEBRERO","MARZO","ABRIL","MAYO","JUNIO","JULIO","AGOSTO","SEPTIEMBRE","OCTUBRE","NOVIEMBRE","DICIEMBRE"}, 0), 1,2,3,4,5,6,7,8,9,10,11,12), A131)</f>
        <v>44416</v>
      </c>
      <c r="H131">
        <v>23.25</v>
      </c>
      <c r="I131">
        <v>40000</v>
      </c>
      <c r="J131" s="1">
        <f t="shared" si="3"/>
        <v>43596</v>
      </c>
      <c r="K131" s="2" t="e">
        <f t="shared" ref="K131:K194" si="4">VLOOKUP(J131, G:H, 2, FALSE)</f>
        <v>#N/A</v>
      </c>
    </row>
    <row r="132" spans="1:11" x14ac:dyDescent="0.25">
      <c r="A132">
        <v>9</v>
      </c>
      <c r="B132" t="s">
        <v>17</v>
      </c>
      <c r="C132">
        <v>2021</v>
      </c>
      <c r="D132">
        <v>47.75</v>
      </c>
      <c r="E132" t="s">
        <v>9</v>
      </c>
      <c r="F132">
        <v>33</v>
      </c>
      <c r="G132" s="1">
        <f>DATE(C132, CHOOSE(MATCH(UPPER(B132), {"ENERO","FEBRERO","MARZO","ABRIL","MAYO","JUNIO","JULIO","AGOSTO","SEPTIEMBRE","OCTUBRE","NOVIEMBRE","DICIEMBRE"}, 0), 1,2,3,4,5,6,7,8,9,10,11,12), A132)</f>
        <v>44417</v>
      </c>
      <c r="H132">
        <v>14.75</v>
      </c>
      <c r="I132">
        <v>40000</v>
      </c>
      <c r="J132" s="1">
        <f t="shared" si="3"/>
        <v>43597</v>
      </c>
      <c r="K132" s="2" t="e">
        <f t="shared" si="4"/>
        <v>#N/A</v>
      </c>
    </row>
    <row r="133" spans="1:11" x14ac:dyDescent="0.25">
      <c r="A133">
        <v>10</v>
      </c>
      <c r="B133" t="s">
        <v>17</v>
      </c>
      <c r="C133">
        <v>2021</v>
      </c>
      <c r="D133">
        <v>33</v>
      </c>
      <c r="E133" t="s">
        <v>9</v>
      </c>
      <c r="F133">
        <v>20.024999999999999</v>
      </c>
      <c r="G133" s="1">
        <f>DATE(C133, CHOOSE(MATCH(UPPER(B133), {"ENERO","FEBRERO","MARZO","ABRIL","MAYO","JUNIO","JULIO","AGOSTO","SEPTIEMBRE","OCTUBRE","NOVIEMBRE","DICIEMBRE"}, 0), 1,2,3,4,5,6,7,8,9,10,11,12), A133)</f>
        <v>44418</v>
      </c>
      <c r="H133">
        <v>12.975</v>
      </c>
      <c r="I133">
        <v>40000</v>
      </c>
      <c r="J133" s="1">
        <f t="shared" ref="J133:J196" si="5">DATE(2019,1,1) + ROW()-1</f>
        <v>43598</v>
      </c>
      <c r="K133" s="2" t="e">
        <f t="shared" si="4"/>
        <v>#N/A</v>
      </c>
    </row>
    <row r="134" spans="1:11" x14ac:dyDescent="0.25">
      <c r="A134">
        <v>11</v>
      </c>
      <c r="B134" t="s">
        <v>17</v>
      </c>
      <c r="C134">
        <v>2021</v>
      </c>
      <c r="D134">
        <v>20.024999999999999</v>
      </c>
      <c r="E134">
        <v>100</v>
      </c>
      <c r="F134">
        <v>108.75</v>
      </c>
      <c r="G134" s="1">
        <f>DATE(C134, CHOOSE(MATCH(UPPER(B134), {"ENERO","FEBRERO","MARZO","ABRIL","MAYO","JUNIO","JULIO","AGOSTO","SEPTIEMBRE","OCTUBRE","NOVIEMBRE","DICIEMBRE"}, 0), 1,2,3,4,5,6,7,8,9,10,11,12), A134)</f>
        <v>44419</v>
      </c>
      <c r="H134">
        <v>11.275</v>
      </c>
      <c r="I134">
        <v>40000</v>
      </c>
      <c r="J134" s="1">
        <f t="shared" si="5"/>
        <v>43599</v>
      </c>
      <c r="K134" s="2" t="e">
        <f t="shared" si="4"/>
        <v>#N/A</v>
      </c>
    </row>
    <row r="135" spans="1:11" x14ac:dyDescent="0.25">
      <c r="A135">
        <v>12</v>
      </c>
      <c r="B135" t="s">
        <v>17</v>
      </c>
      <c r="C135">
        <v>2021</v>
      </c>
      <c r="D135">
        <v>108.75</v>
      </c>
      <c r="E135" t="s">
        <v>9</v>
      </c>
      <c r="F135">
        <v>97.75</v>
      </c>
      <c r="G135" s="1">
        <f>DATE(C135, CHOOSE(MATCH(UPPER(B135), {"ENERO","FEBRERO","MARZO","ABRIL","MAYO","JUNIO","JULIO","AGOSTO","SEPTIEMBRE","OCTUBRE","NOVIEMBRE","DICIEMBRE"}, 0), 1,2,3,4,5,6,7,8,9,10,11,12), A135)</f>
        <v>44420</v>
      </c>
      <c r="H135">
        <v>11</v>
      </c>
      <c r="I135">
        <v>40000</v>
      </c>
      <c r="J135" s="1">
        <f t="shared" si="5"/>
        <v>43600</v>
      </c>
      <c r="K135" s="2" t="e">
        <f t="shared" si="4"/>
        <v>#N/A</v>
      </c>
    </row>
    <row r="136" spans="1:11" x14ac:dyDescent="0.25">
      <c r="A136">
        <v>13</v>
      </c>
      <c r="B136" t="s">
        <v>17</v>
      </c>
      <c r="C136">
        <v>2021</v>
      </c>
      <c r="D136">
        <v>97.75</v>
      </c>
      <c r="E136" t="s">
        <v>9</v>
      </c>
      <c r="F136">
        <v>82.5</v>
      </c>
      <c r="G136" s="1">
        <f>DATE(C136, CHOOSE(MATCH(UPPER(B136), {"ENERO","FEBRERO","MARZO","ABRIL","MAYO","JUNIO","JULIO","AGOSTO","SEPTIEMBRE","OCTUBRE","NOVIEMBRE","DICIEMBRE"}, 0), 1,2,3,4,5,6,7,8,9,10,11,12), A136)</f>
        <v>44421</v>
      </c>
      <c r="H136">
        <v>15.25</v>
      </c>
      <c r="I136">
        <v>40000</v>
      </c>
      <c r="J136" s="1">
        <f t="shared" si="5"/>
        <v>43601</v>
      </c>
      <c r="K136" s="2" t="e">
        <f t="shared" si="4"/>
        <v>#N/A</v>
      </c>
    </row>
    <row r="137" spans="1:11" x14ac:dyDescent="0.25">
      <c r="A137">
        <v>14</v>
      </c>
      <c r="B137" t="s">
        <v>17</v>
      </c>
      <c r="C137">
        <v>2021</v>
      </c>
      <c r="D137">
        <v>82.5</v>
      </c>
      <c r="E137" t="s">
        <v>9</v>
      </c>
      <c r="F137">
        <v>59.75</v>
      </c>
      <c r="G137" s="1">
        <f>DATE(C137, CHOOSE(MATCH(UPPER(B137), {"ENERO","FEBRERO","MARZO","ABRIL","MAYO","JUNIO","JULIO","AGOSTO","SEPTIEMBRE","OCTUBRE","NOVIEMBRE","DICIEMBRE"}, 0), 1,2,3,4,5,6,7,8,9,10,11,12), A137)</f>
        <v>44422</v>
      </c>
      <c r="H137">
        <v>22.75</v>
      </c>
      <c r="I137">
        <v>40000</v>
      </c>
      <c r="J137" s="1">
        <f t="shared" si="5"/>
        <v>43602</v>
      </c>
      <c r="K137" s="2" t="e">
        <f t="shared" si="4"/>
        <v>#N/A</v>
      </c>
    </row>
    <row r="138" spans="1:11" x14ac:dyDescent="0.25">
      <c r="A138">
        <v>15</v>
      </c>
      <c r="B138" t="s">
        <v>17</v>
      </c>
      <c r="C138">
        <v>2021</v>
      </c>
      <c r="D138">
        <v>59.75</v>
      </c>
      <c r="E138" t="s">
        <v>9</v>
      </c>
      <c r="F138">
        <v>41.5</v>
      </c>
      <c r="G138" s="1">
        <f>DATE(C138, CHOOSE(MATCH(UPPER(B138), {"ENERO","FEBRERO","MARZO","ABRIL","MAYO","JUNIO","JULIO","AGOSTO","SEPTIEMBRE","OCTUBRE","NOVIEMBRE","DICIEMBRE"}, 0), 1,2,3,4,5,6,7,8,9,10,11,12), A138)</f>
        <v>44423</v>
      </c>
      <c r="H138">
        <v>18.25</v>
      </c>
      <c r="I138">
        <v>40000</v>
      </c>
      <c r="J138" s="1">
        <f t="shared" si="5"/>
        <v>43603</v>
      </c>
      <c r="K138" s="2" t="e">
        <f t="shared" si="4"/>
        <v>#N/A</v>
      </c>
    </row>
    <row r="139" spans="1:11" x14ac:dyDescent="0.25">
      <c r="A139">
        <v>16</v>
      </c>
      <c r="B139" t="s">
        <v>17</v>
      </c>
      <c r="C139">
        <v>2021</v>
      </c>
      <c r="D139">
        <v>41.5</v>
      </c>
      <c r="E139" t="s">
        <v>9</v>
      </c>
      <c r="F139">
        <v>19.75</v>
      </c>
      <c r="G139" s="1">
        <f>DATE(C139, CHOOSE(MATCH(UPPER(B139), {"ENERO","FEBRERO","MARZO","ABRIL","MAYO","JUNIO","JULIO","AGOSTO","SEPTIEMBRE","OCTUBRE","NOVIEMBRE","DICIEMBRE"}, 0), 1,2,3,4,5,6,7,8,9,10,11,12), A139)</f>
        <v>44424</v>
      </c>
      <c r="H139">
        <v>21.75</v>
      </c>
      <c r="I139">
        <v>40000</v>
      </c>
      <c r="J139" s="1">
        <f t="shared" si="5"/>
        <v>43604</v>
      </c>
      <c r="K139" s="2" t="e">
        <f t="shared" si="4"/>
        <v>#N/A</v>
      </c>
    </row>
    <row r="140" spans="1:11" x14ac:dyDescent="0.25">
      <c r="A140">
        <v>17</v>
      </c>
      <c r="B140" t="s">
        <v>17</v>
      </c>
      <c r="C140">
        <v>2021</v>
      </c>
      <c r="D140">
        <v>19.75</v>
      </c>
      <c r="E140" t="s">
        <v>9</v>
      </c>
      <c r="F140">
        <v>9.125</v>
      </c>
      <c r="G140" s="1">
        <f>DATE(C140, CHOOSE(MATCH(UPPER(B140), {"ENERO","FEBRERO","MARZO","ABRIL","MAYO","JUNIO","JULIO","AGOSTO","SEPTIEMBRE","OCTUBRE","NOVIEMBRE","DICIEMBRE"}, 0), 1,2,3,4,5,6,7,8,9,10,11,12), A140)</f>
        <v>44425</v>
      </c>
      <c r="H140">
        <v>10.625</v>
      </c>
      <c r="I140">
        <v>40000</v>
      </c>
      <c r="J140" s="1">
        <f t="shared" si="5"/>
        <v>43605</v>
      </c>
      <c r="K140" s="2" t="e">
        <f t="shared" si="4"/>
        <v>#N/A</v>
      </c>
    </row>
    <row r="141" spans="1:11" x14ac:dyDescent="0.25">
      <c r="A141">
        <v>18</v>
      </c>
      <c r="B141" t="s">
        <v>17</v>
      </c>
      <c r="C141">
        <v>2021</v>
      </c>
      <c r="D141">
        <v>9.125</v>
      </c>
      <c r="E141">
        <v>50</v>
      </c>
      <c r="F141">
        <v>49.625</v>
      </c>
      <c r="G141" s="1">
        <f>DATE(C141, CHOOSE(MATCH(UPPER(B141), {"ENERO","FEBRERO","MARZO","ABRIL","MAYO","JUNIO","JULIO","AGOSTO","SEPTIEMBRE","OCTUBRE","NOVIEMBRE","DICIEMBRE"}, 0), 1,2,3,4,5,6,7,8,9,10,11,12), A141)</f>
        <v>44426</v>
      </c>
      <c r="H141">
        <v>9.5</v>
      </c>
      <c r="I141">
        <v>40000</v>
      </c>
      <c r="J141" s="1">
        <f t="shared" si="5"/>
        <v>43606</v>
      </c>
      <c r="K141" s="2" t="e">
        <f t="shared" si="4"/>
        <v>#N/A</v>
      </c>
    </row>
    <row r="142" spans="1:11" x14ac:dyDescent="0.25">
      <c r="A142">
        <v>19</v>
      </c>
      <c r="B142" t="s">
        <v>17</v>
      </c>
      <c r="C142">
        <v>2021</v>
      </c>
      <c r="D142">
        <v>49.625</v>
      </c>
      <c r="E142" t="s">
        <v>9</v>
      </c>
      <c r="F142">
        <v>36.5</v>
      </c>
      <c r="G142" s="1">
        <f>DATE(C142, CHOOSE(MATCH(UPPER(B142), {"ENERO","FEBRERO","MARZO","ABRIL","MAYO","JUNIO","JULIO","AGOSTO","SEPTIEMBRE","OCTUBRE","NOVIEMBRE","DICIEMBRE"}, 0), 1,2,3,4,5,6,7,8,9,10,11,12), A142)</f>
        <v>44427</v>
      </c>
      <c r="H142">
        <v>13.125</v>
      </c>
      <c r="I142">
        <v>40000</v>
      </c>
      <c r="J142" s="1">
        <f t="shared" si="5"/>
        <v>43607</v>
      </c>
      <c r="K142" s="2" t="e">
        <f t="shared" si="4"/>
        <v>#N/A</v>
      </c>
    </row>
    <row r="143" spans="1:11" x14ac:dyDescent="0.25">
      <c r="A143">
        <v>20</v>
      </c>
      <c r="B143" t="s">
        <v>17</v>
      </c>
      <c r="C143">
        <v>2021</v>
      </c>
      <c r="D143">
        <v>36.5</v>
      </c>
      <c r="E143" t="s">
        <v>9</v>
      </c>
      <c r="F143">
        <v>18.375</v>
      </c>
      <c r="G143" s="1">
        <f>DATE(C143, CHOOSE(MATCH(UPPER(B143), {"ENERO","FEBRERO","MARZO","ABRIL","MAYO","JUNIO","JULIO","AGOSTO","SEPTIEMBRE","OCTUBRE","NOVIEMBRE","DICIEMBRE"}, 0), 1,2,3,4,5,6,7,8,9,10,11,12), A143)</f>
        <v>44428</v>
      </c>
      <c r="H143">
        <v>18.125</v>
      </c>
      <c r="I143">
        <v>40000</v>
      </c>
      <c r="J143" s="1">
        <f t="shared" si="5"/>
        <v>43608</v>
      </c>
      <c r="K143" s="2" t="e">
        <f t="shared" si="4"/>
        <v>#N/A</v>
      </c>
    </row>
    <row r="144" spans="1:11" x14ac:dyDescent="0.25">
      <c r="A144">
        <v>21</v>
      </c>
      <c r="B144" t="s">
        <v>17</v>
      </c>
      <c r="C144">
        <v>2021</v>
      </c>
      <c r="D144">
        <v>18.375</v>
      </c>
      <c r="E144">
        <v>30</v>
      </c>
      <c r="F144">
        <v>24.25</v>
      </c>
      <c r="G144" s="1">
        <f>DATE(C144, CHOOSE(MATCH(UPPER(B144), {"ENERO","FEBRERO","MARZO","ABRIL","MAYO","JUNIO","JULIO","AGOSTO","SEPTIEMBRE","OCTUBRE","NOVIEMBRE","DICIEMBRE"}, 0), 1,2,3,4,5,6,7,8,9,10,11,12), A144)</f>
        <v>44429</v>
      </c>
      <c r="H144">
        <v>24.125</v>
      </c>
      <c r="I144">
        <v>40000</v>
      </c>
      <c r="J144" s="1">
        <f t="shared" si="5"/>
        <v>43609</v>
      </c>
      <c r="K144" s="2" t="e">
        <f t="shared" si="4"/>
        <v>#N/A</v>
      </c>
    </row>
    <row r="145" spans="1:11" x14ac:dyDescent="0.25">
      <c r="A145">
        <v>22</v>
      </c>
      <c r="B145" t="s">
        <v>17</v>
      </c>
      <c r="C145">
        <v>2021</v>
      </c>
      <c r="D145">
        <v>24.25</v>
      </c>
      <c r="E145">
        <v>30</v>
      </c>
      <c r="F145">
        <v>30</v>
      </c>
      <c r="G145" s="1">
        <f>DATE(C145, CHOOSE(MATCH(UPPER(B145), {"ENERO","FEBRERO","MARZO","ABRIL","MAYO","JUNIO","JULIO","AGOSTO","SEPTIEMBRE","OCTUBRE","NOVIEMBRE","DICIEMBRE"}, 0), 1,2,3,4,5,6,7,8,9,10,11,12), A145)</f>
        <v>44430</v>
      </c>
      <c r="H145">
        <v>24.25</v>
      </c>
      <c r="I145">
        <v>40000</v>
      </c>
      <c r="J145" s="1">
        <f t="shared" si="5"/>
        <v>43610</v>
      </c>
      <c r="K145" s="2" t="e">
        <f t="shared" si="4"/>
        <v>#N/A</v>
      </c>
    </row>
    <row r="146" spans="1:11" x14ac:dyDescent="0.25">
      <c r="A146">
        <v>23</v>
      </c>
      <c r="B146" t="s">
        <v>17</v>
      </c>
      <c r="C146">
        <v>2021</v>
      </c>
      <c r="D146">
        <v>30</v>
      </c>
      <c r="E146">
        <v>1</v>
      </c>
      <c r="F146">
        <v>19.75</v>
      </c>
      <c r="G146" s="1">
        <f>DATE(C146, CHOOSE(MATCH(UPPER(B146), {"ENERO","FEBRERO","MARZO","ABRIL","MAYO","JUNIO","JULIO","AGOSTO","SEPTIEMBRE","OCTUBRE","NOVIEMBRE","DICIEMBRE"}, 0), 1,2,3,4,5,6,7,8,9,10,11,12), A146)</f>
        <v>44431</v>
      </c>
      <c r="H146">
        <v>11.25</v>
      </c>
      <c r="I146">
        <v>40000</v>
      </c>
      <c r="J146" s="1">
        <f t="shared" si="5"/>
        <v>43611</v>
      </c>
      <c r="K146" s="2" t="e">
        <f t="shared" si="4"/>
        <v>#N/A</v>
      </c>
    </row>
    <row r="147" spans="1:11" x14ac:dyDescent="0.25">
      <c r="A147">
        <v>24</v>
      </c>
      <c r="B147" t="s">
        <v>17</v>
      </c>
      <c r="C147">
        <v>2021</v>
      </c>
      <c r="D147">
        <v>19.75</v>
      </c>
      <c r="E147" t="s">
        <v>9</v>
      </c>
      <c r="F147">
        <v>12</v>
      </c>
      <c r="G147" s="1">
        <f>DATE(C147, CHOOSE(MATCH(UPPER(B147), {"ENERO","FEBRERO","MARZO","ABRIL","MAYO","JUNIO","JULIO","AGOSTO","SEPTIEMBRE","OCTUBRE","NOVIEMBRE","DICIEMBRE"}, 0), 1,2,3,4,5,6,7,8,9,10,11,12), A147)</f>
        <v>44432</v>
      </c>
      <c r="H147">
        <v>7.75</v>
      </c>
      <c r="I147">
        <v>40000</v>
      </c>
      <c r="J147" s="1">
        <f t="shared" si="5"/>
        <v>43612</v>
      </c>
      <c r="K147" s="2" t="e">
        <f t="shared" si="4"/>
        <v>#N/A</v>
      </c>
    </row>
    <row r="148" spans="1:11" x14ac:dyDescent="0.25">
      <c r="A148">
        <v>25</v>
      </c>
      <c r="B148" t="s">
        <v>17</v>
      </c>
      <c r="C148">
        <v>2021</v>
      </c>
      <c r="D148">
        <v>12</v>
      </c>
      <c r="E148">
        <v>52</v>
      </c>
      <c r="F148">
        <v>52.5</v>
      </c>
      <c r="G148" s="1">
        <f>DATE(C148, CHOOSE(MATCH(UPPER(B148), {"ENERO","FEBRERO","MARZO","ABRIL","MAYO","JUNIO","JULIO","AGOSTO","SEPTIEMBRE","OCTUBRE","NOVIEMBRE","DICIEMBRE"}, 0), 1,2,3,4,5,6,7,8,9,10,11,12), A148)</f>
        <v>44433</v>
      </c>
      <c r="H148">
        <v>11.5</v>
      </c>
      <c r="I148">
        <v>40000</v>
      </c>
      <c r="J148" s="1">
        <f t="shared" si="5"/>
        <v>43613</v>
      </c>
      <c r="K148" s="2" t="e">
        <f t="shared" si="4"/>
        <v>#N/A</v>
      </c>
    </row>
    <row r="149" spans="1:11" x14ac:dyDescent="0.25">
      <c r="A149">
        <v>26</v>
      </c>
      <c r="B149" t="s">
        <v>17</v>
      </c>
      <c r="C149">
        <v>2021</v>
      </c>
      <c r="D149">
        <v>52.5</v>
      </c>
      <c r="E149" t="s">
        <v>9</v>
      </c>
      <c r="F149">
        <v>43.5</v>
      </c>
      <c r="G149" s="1">
        <f>DATE(C149, CHOOSE(MATCH(UPPER(B149), {"ENERO","FEBRERO","MARZO","ABRIL","MAYO","JUNIO","JULIO","AGOSTO","SEPTIEMBRE","OCTUBRE","NOVIEMBRE","DICIEMBRE"}, 0), 1,2,3,4,5,6,7,8,9,10,11,12), A149)</f>
        <v>44434</v>
      </c>
      <c r="H149">
        <v>9</v>
      </c>
      <c r="I149">
        <v>40000</v>
      </c>
      <c r="J149" s="1">
        <f t="shared" si="5"/>
        <v>43614</v>
      </c>
      <c r="K149" s="2" t="e">
        <f t="shared" si="4"/>
        <v>#N/A</v>
      </c>
    </row>
    <row r="150" spans="1:11" x14ac:dyDescent="0.25">
      <c r="A150">
        <v>27</v>
      </c>
      <c r="B150" t="s">
        <v>17</v>
      </c>
      <c r="C150">
        <v>2021</v>
      </c>
      <c r="D150">
        <v>43.5</v>
      </c>
      <c r="E150" t="s">
        <v>9</v>
      </c>
      <c r="F150">
        <v>27</v>
      </c>
      <c r="G150" s="1">
        <f>DATE(C150, CHOOSE(MATCH(UPPER(B150), {"ENERO","FEBRERO","MARZO","ABRIL","MAYO","JUNIO","JULIO","AGOSTO","SEPTIEMBRE","OCTUBRE","NOVIEMBRE","DICIEMBRE"}, 0), 1,2,3,4,5,6,7,8,9,10,11,12), A150)</f>
        <v>44435</v>
      </c>
      <c r="H150">
        <v>16.5</v>
      </c>
      <c r="I150">
        <v>40000</v>
      </c>
      <c r="J150" s="1">
        <f t="shared" si="5"/>
        <v>43615</v>
      </c>
      <c r="K150" s="2" t="e">
        <f t="shared" si="4"/>
        <v>#N/A</v>
      </c>
    </row>
    <row r="151" spans="1:11" x14ac:dyDescent="0.25">
      <c r="A151">
        <v>28</v>
      </c>
      <c r="B151" t="s">
        <v>17</v>
      </c>
      <c r="C151">
        <v>2021</v>
      </c>
      <c r="D151">
        <v>27</v>
      </c>
      <c r="E151" t="s">
        <v>9</v>
      </c>
      <c r="F151">
        <v>5.875</v>
      </c>
      <c r="G151" s="1">
        <f>DATE(C151, CHOOSE(MATCH(UPPER(B151), {"ENERO","FEBRERO","MARZO","ABRIL","MAYO","JUNIO","JULIO","AGOSTO","SEPTIEMBRE","OCTUBRE","NOVIEMBRE","DICIEMBRE"}, 0), 1,2,3,4,5,6,7,8,9,10,11,12), A151)</f>
        <v>44436</v>
      </c>
      <c r="H151">
        <v>21.125</v>
      </c>
      <c r="I151">
        <v>40000</v>
      </c>
      <c r="J151" s="1">
        <f t="shared" si="5"/>
        <v>43616</v>
      </c>
      <c r="K151" s="2" t="e">
        <f t="shared" si="4"/>
        <v>#N/A</v>
      </c>
    </row>
    <row r="152" spans="1:11" x14ac:dyDescent="0.25">
      <c r="A152">
        <v>29</v>
      </c>
      <c r="B152" t="s">
        <v>17</v>
      </c>
      <c r="C152">
        <v>2021</v>
      </c>
      <c r="D152">
        <v>5.875</v>
      </c>
      <c r="E152">
        <v>50</v>
      </c>
      <c r="F152">
        <v>33.75</v>
      </c>
      <c r="G152" s="1">
        <f>DATE(C152, CHOOSE(MATCH(UPPER(B152), {"ENERO","FEBRERO","MARZO","ABRIL","MAYO","JUNIO","JULIO","AGOSTO","SEPTIEMBRE","OCTUBRE","NOVIEMBRE","DICIEMBRE"}, 0), 1,2,3,4,5,6,7,8,9,10,11,12), A152)</f>
        <v>44437</v>
      </c>
      <c r="H152">
        <v>22.125</v>
      </c>
      <c r="I152">
        <v>40000</v>
      </c>
      <c r="J152" s="1">
        <f t="shared" si="5"/>
        <v>43617</v>
      </c>
      <c r="K152" s="2" t="e">
        <f t="shared" si="4"/>
        <v>#N/A</v>
      </c>
    </row>
    <row r="153" spans="1:11" x14ac:dyDescent="0.25">
      <c r="A153">
        <v>30</v>
      </c>
      <c r="B153" t="s">
        <v>17</v>
      </c>
      <c r="C153">
        <v>2021</v>
      </c>
      <c r="D153">
        <v>33.75</v>
      </c>
      <c r="E153" t="s">
        <v>9</v>
      </c>
      <c r="F153">
        <v>22.5</v>
      </c>
      <c r="G153" s="1">
        <f>DATE(C153, CHOOSE(MATCH(UPPER(B153), {"ENERO","FEBRERO","MARZO","ABRIL","MAYO","JUNIO","JULIO","AGOSTO","SEPTIEMBRE","OCTUBRE","NOVIEMBRE","DICIEMBRE"}, 0), 1,2,3,4,5,6,7,8,9,10,11,12), A153)</f>
        <v>44438</v>
      </c>
      <c r="H153">
        <v>11.25</v>
      </c>
      <c r="I153">
        <v>40000</v>
      </c>
      <c r="J153" s="1">
        <f t="shared" si="5"/>
        <v>43618</v>
      </c>
      <c r="K153" s="2" t="e">
        <f t="shared" si="4"/>
        <v>#N/A</v>
      </c>
    </row>
    <row r="154" spans="1:11" x14ac:dyDescent="0.25">
      <c r="A154">
        <v>31</v>
      </c>
      <c r="B154" t="s">
        <v>17</v>
      </c>
      <c r="C154">
        <v>2021</v>
      </c>
      <c r="D154">
        <v>22.5</v>
      </c>
      <c r="E154" t="s">
        <v>9</v>
      </c>
      <c r="F154">
        <v>16</v>
      </c>
      <c r="G154" s="1">
        <f>DATE(C154, CHOOSE(MATCH(UPPER(B154), {"ENERO","FEBRERO","MARZO","ABRIL","MAYO","JUNIO","JULIO","AGOSTO","SEPTIEMBRE","OCTUBRE","NOVIEMBRE","DICIEMBRE"}, 0), 1,2,3,4,5,6,7,8,9,10,11,12), A154)</f>
        <v>44439</v>
      </c>
      <c r="H154">
        <v>6.5</v>
      </c>
      <c r="I154">
        <v>40000</v>
      </c>
      <c r="J154" s="1">
        <f t="shared" si="5"/>
        <v>43619</v>
      </c>
      <c r="K154" s="2" t="e">
        <f t="shared" si="4"/>
        <v>#N/A</v>
      </c>
    </row>
    <row r="155" spans="1:11" x14ac:dyDescent="0.25">
      <c r="A155">
        <v>1</v>
      </c>
      <c r="B155" t="s">
        <v>10</v>
      </c>
      <c r="C155">
        <v>2021</v>
      </c>
      <c r="D155">
        <v>16</v>
      </c>
      <c r="E155">
        <v>38</v>
      </c>
      <c r="F155">
        <v>43</v>
      </c>
      <c r="G155" s="1">
        <f>DATE(C155, CHOOSE(MATCH(UPPER(B155), {"ENERO","FEBRERO","MARZO","ABRIL","MAYO","JUNIO","JULIO","AGOSTO","SEPTIEMBRE","OCTUBRE","NOVIEMBRE","DICIEMBRE"}, 0), 1,2,3,4,5,6,7,8,9,10,11,12), A155)</f>
        <v>44440</v>
      </c>
      <c r="H155">
        <v>11</v>
      </c>
      <c r="I155">
        <v>40000</v>
      </c>
      <c r="J155" s="1">
        <f t="shared" si="5"/>
        <v>43620</v>
      </c>
      <c r="K155" s="2" t="e">
        <f t="shared" si="4"/>
        <v>#N/A</v>
      </c>
    </row>
    <row r="156" spans="1:11" x14ac:dyDescent="0.25">
      <c r="A156">
        <v>2</v>
      </c>
      <c r="B156" t="s">
        <v>10</v>
      </c>
      <c r="C156">
        <v>2021</v>
      </c>
      <c r="D156">
        <v>43</v>
      </c>
      <c r="E156" t="s">
        <v>9</v>
      </c>
      <c r="F156">
        <v>26</v>
      </c>
      <c r="G156" s="1">
        <f>DATE(C156, CHOOSE(MATCH(UPPER(B156), {"ENERO","FEBRERO","MARZO","ABRIL","MAYO","JUNIO","JULIO","AGOSTO","SEPTIEMBRE","OCTUBRE","NOVIEMBRE","DICIEMBRE"}, 0), 1,2,3,4,5,6,7,8,9,10,11,12), A156)</f>
        <v>44441</v>
      </c>
      <c r="H156">
        <v>17</v>
      </c>
      <c r="I156">
        <v>40000</v>
      </c>
      <c r="J156" s="1">
        <f t="shared" si="5"/>
        <v>43621</v>
      </c>
      <c r="K156" s="2" t="e">
        <f t="shared" si="4"/>
        <v>#N/A</v>
      </c>
    </row>
    <row r="157" spans="1:11" x14ac:dyDescent="0.25">
      <c r="A157">
        <v>3</v>
      </c>
      <c r="B157" t="s">
        <v>10</v>
      </c>
      <c r="C157">
        <v>2021</v>
      </c>
      <c r="D157">
        <v>26</v>
      </c>
      <c r="E157" t="s">
        <v>9</v>
      </c>
      <c r="F157">
        <v>0.5</v>
      </c>
      <c r="G157" s="1">
        <f>DATE(C157, CHOOSE(MATCH(UPPER(B157), {"ENERO","FEBRERO","MARZO","ABRIL","MAYO","JUNIO","JULIO","AGOSTO","SEPTIEMBRE","OCTUBRE","NOVIEMBRE","DICIEMBRE"}, 0), 1,2,3,4,5,6,7,8,9,10,11,12), A157)</f>
        <v>44442</v>
      </c>
      <c r="H157">
        <v>25.5</v>
      </c>
      <c r="I157">
        <v>40000</v>
      </c>
      <c r="J157" s="1">
        <f t="shared" si="5"/>
        <v>43622</v>
      </c>
      <c r="K157" s="2" t="e">
        <f t="shared" si="4"/>
        <v>#N/A</v>
      </c>
    </row>
    <row r="158" spans="1:11" x14ac:dyDescent="0.25">
      <c r="A158">
        <v>4</v>
      </c>
      <c r="B158" t="s">
        <v>10</v>
      </c>
      <c r="C158">
        <v>2021</v>
      </c>
      <c r="D158">
        <v>0.5</v>
      </c>
      <c r="E158">
        <v>43</v>
      </c>
      <c r="F158">
        <v>17.875</v>
      </c>
      <c r="G158" s="1">
        <f>DATE(C158, CHOOSE(MATCH(UPPER(B158), {"ENERO","FEBRERO","MARZO","ABRIL","MAYO","JUNIO","JULIO","AGOSTO","SEPTIEMBRE","OCTUBRE","NOVIEMBRE","DICIEMBRE"}, 0), 1,2,3,4,5,6,7,8,9,10,11,12), A158)</f>
        <v>44443</v>
      </c>
      <c r="H158">
        <v>25.625</v>
      </c>
      <c r="I158">
        <v>40000</v>
      </c>
      <c r="J158" s="1">
        <f t="shared" si="5"/>
        <v>43623</v>
      </c>
      <c r="K158" s="2" t="e">
        <f t="shared" si="4"/>
        <v>#N/A</v>
      </c>
    </row>
    <row r="159" spans="1:11" x14ac:dyDescent="0.25">
      <c r="A159">
        <v>5</v>
      </c>
      <c r="B159" t="s">
        <v>10</v>
      </c>
      <c r="C159">
        <v>2021</v>
      </c>
      <c r="D159">
        <v>17.875</v>
      </c>
      <c r="E159">
        <v>40</v>
      </c>
      <c r="F159">
        <v>28</v>
      </c>
      <c r="G159" s="1">
        <f>DATE(C159, CHOOSE(MATCH(UPPER(B159), {"ENERO","FEBRERO","MARZO","ABRIL","MAYO","JUNIO","JULIO","AGOSTO","SEPTIEMBRE","OCTUBRE","NOVIEMBRE","DICIEMBRE"}, 0), 1,2,3,4,5,6,7,8,9,10,11,12), A159)</f>
        <v>44444</v>
      </c>
      <c r="H159">
        <v>29.875</v>
      </c>
      <c r="I159">
        <v>40000</v>
      </c>
      <c r="J159" s="1">
        <f t="shared" si="5"/>
        <v>43624</v>
      </c>
      <c r="K159" s="2" t="e">
        <f t="shared" si="4"/>
        <v>#N/A</v>
      </c>
    </row>
    <row r="160" spans="1:11" x14ac:dyDescent="0.25">
      <c r="A160">
        <v>6</v>
      </c>
      <c r="B160" t="s">
        <v>10</v>
      </c>
      <c r="C160">
        <v>2021</v>
      </c>
      <c r="D160">
        <v>28</v>
      </c>
      <c r="E160" t="s">
        <v>9</v>
      </c>
      <c r="F160">
        <v>19.5</v>
      </c>
      <c r="G160" s="1">
        <f>DATE(C160, CHOOSE(MATCH(UPPER(B160), {"ENERO","FEBRERO","MARZO","ABRIL","MAYO","JUNIO","JULIO","AGOSTO","SEPTIEMBRE","OCTUBRE","NOVIEMBRE","DICIEMBRE"}, 0), 1,2,3,4,5,6,7,8,9,10,11,12), A160)</f>
        <v>44445</v>
      </c>
      <c r="H160">
        <v>8.5</v>
      </c>
      <c r="I160">
        <v>40000</v>
      </c>
      <c r="J160" s="1">
        <f t="shared" si="5"/>
        <v>43625</v>
      </c>
      <c r="K160" s="2" t="e">
        <f t="shared" si="4"/>
        <v>#N/A</v>
      </c>
    </row>
    <row r="161" spans="1:11" x14ac:dyDescent="0.25">
      <c r="A161">
        <v>7</v>
      </c>
      <c r="B161" t="s">
        <v>10</v>
      </c>
      <c r="C161">
        <v>2021</v>
      </c>
      <c r="D161">
        <v>19.5</v>
      </c>
      <c r="E161" t="s">
        <v>9</v>
      </c>
      <c r="F161">
        <v>8.75</v>
      </c>
      <c r="G161" s="1">
        <f>DATE(C161, CHOOSE(MATCH(UPPER(B161), {"ENERO","FEBRERO","MARZO","ABRIL","MAYO","JUNIO","JULIO","AGOSTO","SEPTIEMBRE","OCTUBRE","NOVIEMBRE","DICIEMBRE"}, 0), 1,2,3,4,5,6,7,8,9,10,11,12), A161)</f>
        <v>44446</v>
      </c>
      <c r="H161">
        <v>10.75</v>
      </c>
      <c r="I161">
        <v>40000</v>
      </c>
      <c r="J161" s="1">
        <f t="shared" si="5"/>
        <v>43626</v>
      </c>
      <c r="K161" s="2" t="e">
        <f t="shared" si="4"/>
        <v>#N/A</v>
      </c>
    </row>
    <row r="162" spans="1:11" x14ac:dyDescent="0.25">
      <c r="A162">
        <v>8</v>
      </c>
      <c r="B162" t="s">
        <v>10</v>
      </c>
      <c r="C162">
        <v>2021</v>
      </c>
      <c r="D162">
        <v>8.75</v>
      </c>
      <c r="E162" t="s">
        <v>9</v>
      </c>
      <c r="F162">
        <v>0.5</v>
      </c>
      <c r="G162" s="1">
        <f>DATE(C162, CHOOSE(MATCH(UPPER(B162), {"ENERO","FEBRERO","MARZO","ABRIL","MAYO","JUNIO","JULIO","AGOSTO","SEPTIEMBRE","OCTUBRE","NOVIEMBRE","DICIEMBRE"}, 0), 1,2,3,4,5,6,7,8,9,10,11,12), A162)</f>
        <v>44447</v>
      </c>
      <c r="H162">
        <v>8.25</v>
      </c>
      <c r="I162">
        <v>40000</v>
      </c>
      <c r="J162" s="1">
        <f t="shared" si="5"/>
        <v>43627</v>
      </c>
      <c r="K162" s="2" t="e">
        <f t="shared" si="4"/>
        <v>#N/A</v>
      </c>
    </row>
    <row r="163" spans="1:11" x14ac:dyDescent="0.25">
      <c r="A163">
        <v>9</v>
      </c>
      <c r="B163" t="s">
        <v>10</v>
      </c>
      <c r="C163">
        <v>2021</v>
      </c>
      <c r="D163">
        <v>0.5</v>
      </c>
      <c r="E163">
        <v>30</v>
      </c>
      <c r="F163">
        <v>24.125</v>
      </c>
      <c r="G163" s="1">
        <f>DATE(C163, CHOOSE(MATCH(UPPER(B163), {"ENERO","FEBRERO","MARZO","ABRIL","MAYO","JUNIO","JULIO","AGOSTO","SEPTIEMBRE","OCTUBRE","NOVIEMBRE","DICIEMBRE"}, 0), 1,2,3,4,5,6,7,8,9,10,11,12), A163)</f>
        <v>44448</v>
      </c>
      <c r="H163">
        <v>6.375</v>
      </c>
      <c r="I163">
        <v>40000</v>
      </c>
      <c r="J163" s="1">
        <f t="shared" si="5"/>
        <v>43628</v>
      </c>
      <c r="K163" s="2" t="e">
        <f t="shared" si="4"/>
        <v>#N/A</v>
      </c>
    </row>
    <row r="164" spans="1:11" x14ac:dyDescent="0.25">
      <c r="A164">
        <v>10</v>
      </c>
      <c r="B164" t="s">
        <v>10</v>
      </c>
      <c r="C164">
        <v>2021</v>
      </c>
      <c r="D164">
        <v>24.125</v>
      </c>
      <c r="E164" t="s">
        <v>9</v>
      </c>
      <c r="F164">
        <v>10.625</v>
      </c>
      <c r="G164" s="1">
        <f>DATE(C164, CHOOSE(MATCH(UPPER(B164), {"ENERO","FEBRERO","MARZO","ABRIL","MAYO","JUNIO","JULIO","AGOSTO","SEPTIEMBRE","OCTUBRE","NOVIEMBRE","DICIEMBRE"}, 0), 1,2,3,4,5,6,7,8,9,10,11,12), A164)</f>
        <v>44449</v>
      </c>
      <c r="H164">
        <v>13.5</v>
      </c>
      <c r="I164">
        <v>40000</v>
      </c>
      <c r="J164" s="1">
        <f t="shared" si="5"/>
        <v>43629</v>
      </c>
      <c r="K164" s="2" t="e">
        <f t="shared" si="4"/>
        <v>#N/A</v>
      </c>
    </row>
    <row r="165" spans="1:11" x14ac:dyDescent="0.25">
      <c r="A165">
        <v>11</v>
      </c>
      <c r="B165" t="s">
        <v>10</v>
      </c>
      <c r="C165">
        <v>2021</v>
      </c>
      <c r="D165">
        <v>10.625</v>
      </c>
      <c r="E165">
        <v>34</v>
      </c>
      <c r="F165">
        <v>18.75</v>
      </c>
      <c r="G165" s="1">
        <f>DATE(C165, CHOOSE(MATCH(UPPER(B165), {"ENERO","FEBRERO","MARZO","ABRIL","MAYO","JUNIO","JULIO","AGOSTO","SEPTIEMBRE","OCTUBRE","NOVIEMBRE","DICIEMBRE"}, 0), 1,2,3,4,5,6,7,8,9,10,11,12), A165)</f>
        <v>44450</v>
      </c>
      <c r="H165">
        <v>25.875</v>
      </c>
      <c r="I165">
        <v>40000</v>
      </c>
      <c r="J165" s="1">
        <f t="shared" si="5"/>
        <v>43630</v>
      </c>
      <c r="K165" s="2" t="e">
        <f t="shared" si="4"/>
        <v>#N/A</v>
      </c>
    </row>
    <row r="166" spans="1:11" x14ac:dyDescent="0.25">
      <c r="A166">
        <v>12</v>
      </c>
      <c r="B166" t="s">
        <v>10</v>
      </c>
      <c r="C166">
        <v>2021</v>
      </c>
      <c r="D166">
        <v>18.75</v>
      </c>
      <c r="E166">
        <v>30</v>
      </c>
      <c r="F166">
        <v>26</v>
      </c>
      <c r="G166" s="1">
        <f>DATE(C166, CHOOSE(MATCH(UPPER(B166), {"ENERO","FEBRERO","MARZO","ABRIL","MAYO","JUNIO","JULIO","AGOSTO","SEPTIEMBRE","OCTUBRE","NOVIEMBRE","DICIEMBRE"}, 0), 1,2,3,4,5,6,7,8,9,10,11,12), A166)</f>
        <v>44451</v>
      </c>
      <c r="H166">
        <v>22.75</v>
      </c>
      <c r="I166">
        <v>40000</v>
      </c>
      <c r="J166" s="1">
        <f t="shared" si="5"/>
        <v>43631</v>
      </c>
      <c r="K166" s="2" t="e">
        <f t="shared" si="4"/>
        <v>#N/A</v>
      </c>
    </row>
    <row r="167" spans="1:11" x14ac:dyDescent="0.25">
      <c r="A167">
        <v>13</v>
      </c>
      <c r="B167" t="s">
        <v>10</v>
      </c>
      <c r="C167">
        <v>2021</v>
      </c>
      <c r="D167">
        <v>26</v>
      </c>
      <c r="E167">
        <v>20</v>
      </c>
      <c r="F167">
        <v>35.625</v>
      </c>
      <c r="G167" s="1">
        <f>DATE(C167, CHOOSE(MATCH(UPPER(B167), {"ENERO","FEBRERO","MARZO","ABRIL","MAYO","JUNIO","JULIO","AGOSTO","SEPTIEMBRE","OCTUBRE","NOVIEMBRE","DICIEMBRE"}, 0), 1,2,3,4,5,6,7,8,9,10,11,12), A167)</f>
        <v>44452</v>
      </c>
      <c r="H167">
        <v>10.375</v>
      </c>
      <c r="I167">
        <v>40000</v>
      </c>
      <c r="J167" s="1">
        <f t="shared" si="5"/>
        <v>43632</v>
      </c>
      <c r="K167" s="2" t="e">
        <f t="shared" si="4"/>
        <v>#N/A</v>
      </c>
    </row>
    <row r="168" spans="1:11" x14ac:dyDescent="0.25">
      <c r="A168">
        <v>14</v>
      </c>
      <c r="B168" t="s">
        <v>10</v>
      </c>
      <c r="C168">
        <v>2021</v>
      </c>
      <c r="D168">
        <v>35.625</v>
      </c>
      <c r="E168" t="s">
        <v>9</v>
      </c>
      <c r="F168">
        <v>22</v>
      </c>
      <c r="G168" s="1">
        <f>DATE(C168, CHOOSE(MATCH(UPPER(B168), {"ENERO","FEBRERO","MARZO","ABRIL","MAYO","JUNIO","JULIO","AGOSTO","SEPTIEMBRE","OCTUBRE","NOVIEMBRE","DICIEMBRE"}, 0), 1,2,3,4,5,6,7,8,9,10,11,12), A168)</f>
        <v>44453</v>
      </c>
      <c r="H168">
        <v>13.625</v>
      </c>
      <c r="I168">
        <v>40000</v>
      </c>
      <c r="J168" s="1">
        <f t="shared" si="5"/>
        <v>43633</v>
      </c>
      <c r="K168" s="2" t="e">
        <f t="shared" si="4"/>
        <v>#N/A</v>
      </c>
    </row>
    <row r="169" spans="1:11" x14ac:dyDescent="0.25">
      <c r="A169">
        <v>15</v>
      </c>
      <c r="B169" t="s">
        <v>10</v>
      </c>
      <c r="C169">
        <v>2021</v>
      </c>
      <c r="D169">
        <v>22</v>
      </c>
      <c r="E169" t="s">
        <v>9</v>
      </c>
      <c r="F169">
        <v>10.25</v>
      </c>
      <c r="G169" s="1">
        <f>DATE(C169, CHOOSE(MATCH(UPPER(B169), {"ENERO","FEBRERO","MARZO","ABRIL","MAYO","JUNIO","JULIO","AGOSTO","SEPTIEMBRE","OCTUBRE","NOVIEMBRE","DICIEMBRE"}, 0), 1,2,3,4,5,6,7,8,9,10,11,12), A169)</f>
        <v>44454</v>
      </c>
      <c r="H169">
        <v>11.75</v>
      </c>
      <c r="I169">
        <v>40000</v>
      </c>
      <c r="J169" s="1">
        <f t="shared" si="5"/>
        <v>43634</v>
      </c>
      <c r="K169" s="2" t="e">
        <f t="shared" si="4"/>
        <v>#N/A</v>
      </c>
    </row>
    <row r="170" spans="1:11" x14ac:dyDescent="0.25">
      <c r="A170">
        <v>16</v>
      </c>
      <c r="B170" t="s">
        <v>10</v>
      </c>
      <c r="C170">
        <v>2021</v>
      </c>
      <c r="D170">
        <v>10.25</v>
      </c>
      <c r="E170">
        <v>50</v>
      </c>
      <c r="F170">
        <v>51.25</v>
      </c>
      <c r="G170" s="1">
        <f>DATE(C170, CHOOSE(MATCH(UPPER(B170), {"ENERO","FEBRERO","MARZO","ABRIL","MAYO","JUNIO","JULIO","AGOSTO","SEPTIEMBRE","OCTUBRE","NOVIEMBRE","DICIEMBRE"}, 0), 1,2,3,4,5,6,7,8,9,10,11,12), A170)</f>
        <v>44455</v>
      </c>
      <c r="H170">
        <v>9</v>
      </c>
      <c r="I170">
        <v>40000</v>
      </c>
      <c r="J170" s="1">
        <f t="shared" si="5"/>
        <v>43635</v>
      </c>
      <c r="K170" s="2" t="e">
        <f t="shared" si="4"/>
        <v>#N/A</v>
      </c>
    </row>
    <row r="171" spans="1:11" x14ac:dyDescent="0.25">
      <c r="A171">
        <v>17</v>
      </c>
      <c r="B171" t="s">
        <v>10</v>
      </c>
      <c r="C171">
        <v>2021</v>
      </c>
      <c r="D171">
        <v>51.25</v>
      </c>
      <c r="E171" t="s">
        <v>9</v>
      </c>
      <c r="F171">
        <v>35</v>
      </c>
      <c r="G171" s="1">
        <f>DATE(C171, CHOOSE(MATCH(UPPER(B171), {"ENERO","FEBRERO","MARZO","ABRIL","MAYO","JUNIO","JULIO","AGOSTO","SEPTIEMBRE","OCTUBRE","NOVIEMBRE","DICIEMBRE"}, 0), 1,2,3,4,5,6,7,8,9,10,11,12), A171)</f>
        <v>44456</v>
      </c>
      <c r="H171">
        <v>16.25</v>
      </c>
      <c r="I171">
        <v>40000</v>
      </c>
      <c r="J171" s="1">
        <f t="shared" si="5"/>
        <v>43636</v>
      </c>
      <c r="K171" s="2" t="e">
        <f t="shared" si="4"/>
        <v>#N/A</v>
      </c>
    </row>
    <row r="172" spans="1:11" x14ac:dyDescent="0.25">
      <c r="A172">
        <v>18</v>
      </c>
      <c r="B172" t="s">
        <v>10</v>
      </c>
      <c r="C172">
        <v>2021</v>
      </c>
      <c r="D172">
        <v>35</v>
      </c>
      <c r="E172" t="s">
        <v>9</v>
      </c>
      <c r="F172">
        <v>4.5</v>
      </c>
      <c r="G172" s="1">
        <f>DATE(C172, CHOOSE(MATCH(UPPER(B172), {"ENERO","FEBRERO","MARZO","ABRIL","MAYO","JUNIO","JULIO","AGOSTO","SEPTIEMBRE","OCTUBRE","NOVIEMBRE","DICIEMBRE"}, 0), 1,2,3,4,5,6,7,8,9,10,11,12), A172)</f>
        <v>44457</v>
      </c>
      <c r="H172">
        <v>30.5</v>
      </c>
      <c r="I172">
        <v>40000</v>
      </c>
      <c r="J172" s="1">
        <f t="shared" si="5"/>
        <v>43637</v>
      </c>
      <c r="K172" s="2" t="e">
        <f t="shared" si="4"/>
        <v>#N/A</v>
      </c>
    </row>
    <row r="173" spans="1:11" x14ac:dyDescent="0.25">
      <c r="A173">
        <v>19</v>
      </c>
      <c r="B173" t="s">
        <v>10</v>
      </c>
      <c r="C173">
        <v>2021</v>
      </c>
      <c r="D173">
        <v>4.5</v>
      </c>
      <c r="E173">
        <v>54</v>
      </c>
      <c r="F173">
        <v>33</v>
      </c>
      <c r="G173" s="1">
        <f>DATE(C173, CHOOSE(MATCH(UPPER(B173), {"ENERO","FEBRERO","MARZO","ABRIL","MAYO","JUNIO","JULIO","AGOSTO","SEPTIEMBRE","OCTUBRE","NOVIEMBRE","DICIEMBRE"}, 0), 1,2,3,4,5,6,7,8,9,10,11,12), A173)</f>
        <v>44458</v>
      </c>
      <c r="H173">
        <v>25.5</v>
      </c>
      <c r="I173">
        <v>40000</v>
      </c>
      <c r="J173" s="1">
        <f t="shared" si="5"/>
        <v>43638</v>
      </c>
      <c r="K173" s="2" t="e">
        <f t="shared" si="4"/>
        <v>#N/A</v>
      </c>
    </row>
    <row r="174" spans="1:11" x14ac:dyDescent="0.25">
      <c r="A174">
        <v>20</v>
      </c>
      <c r="B174" t="s">
        <v>10</v>
      </c>
      <c r="C174">
        <v>2021</v>
      </c>
      <c r="D174">
        <v>33</v>
      </c>
      <c r="E174" t="s">
        <v>9</v>
      </c>
      <c r="F174">
        <v>24.375</v>
      </c>
      <c r="G174" s="1">
        <f>DATE(C174, CHOOSE(MATCH(UPPER(B174), {"ENERO","FEBRERO","MARZO","ABRIL","MAYO","JUNIO","JULIO","AGOSTO","SEPTIEMBRE","OCTUBRE","NOVIEMBRE","DICIEMBRE"}, 0), 1,2,3,4,5,6,7,8,9,10,11,12), A174)</f>
        <v>44459</v>
      </c>
      <c r="H174">
        <v>8.625</v>
      </c>
      <c r="I174">
        <v>40000</v>
      </c>
      <c r="J174" s="1">
        <f t="shared" si="5"/>
        <v>43639</v>
      </c>
      <c r="K174" s="2" t="e">
        <f t="shared" si="4"/>
        <v>#N/A</v>
      </c>
    </row>
    <row r="175" spans="1:11" x14ac:dyDescent="0.25">
      <c r="A175">
        <v>21</v>
      </c>
      <c r="B175" t="s">
        <v>10</v>
      </c>
      <c r="C175">
        <v>2021</v>
      </c>
      <c r="D175">
        <v>24.375</v>
      </c>
      <c r="E175" t="s">
        <v>9</v>
      </c>
      <c r="F175">
        <v>14</v>
      </c>
      <c r="G175" s="1">
        <f>DATE(C175, CHOOSE(MATCH(UPPER(B175), {"ENERO","FEBRERO","MARZO","ABRIL","MAYO","JUNIO","JULIO","AGOSTO","SEPTIEMBRE","OCTUBRE","NOVIEMBRE","DICIEMBRE"}, 0), 1,2,3,4,5,6,7,8,9,10,11,12), A175)</f>
        <v>44460</v>
      </c>
      <c r="H175">
        <v>10.375</v>
      </c>
      <c r="I175">
        <v>40000</v>
      </c>
      <c r="J175" s="1">
        <f t="shared" si="5"/>
        <v>43640</v>
      </c>
      <c r="K175" s="2" t="e">
        <f t="shared" si="4"/>
        <v>#N/A</v>
      </c>
    </row>
    <row r="176" spans="1:11" x14ac:dyDescent="0.25">
      <c r="A176">
        <v>22</v>
      </c>
      <c r="B176" t="s">
        <v>10</v>
      </c>
      <c r="C176">
        <v>2021</v>
      </c>
      <c r="D176">
        <v>14</v>
      </c>
      <c r="E176" t="s">
        <v>9</v>
      </c>
      <c r="F176">
        <v>7.75</v>
      </c>
      <c r="G176" s="1">
        <f>DATE(C176, CHOOSE(MATCH(UPPER(B176), {"ENERO","FEBRERO","MARZO","ABRIL","MAYO","JUNIO","JULIO","AGOSTO","SEPTIEMBRE","OCTUBRE","NOVIEMBRE","DICIEMBRE"}, 0), 1,2,3,4,5,6,7,8,9,10,11,12), A176)</f>
        <v>44461</v>
      </c>
      <c r="H176">
        <v>6.25</v>
      </c>
      <c r="I176">
        <v>40000</v>
      </c>
      <c r="J176" s="1">
        <f t="shared" si="5"/>
        <v>43641</v>
      </c>
      <c r="K176" s="2" t="e">
        <f t="shared" si="4"/>
        <v>#N/A</v>
      </c>
    </row>
    <row r="177" spans="1:11" x14ac:dyDescent="0.25">
      <c r="A177">
        <v>23</v>
      </c>
      <c r="B177" t="s">
        <v>10</v>
      </c>
      <c r="C177">
        <v>2021</v>
      </c>
      <c r="D177">
        <v>7.75</v>
      </c>
      <c r="E177">
        <v>30</v>
      </c>
      <c r="F177">
        <v>31</v>
      </c>
      <c r="G177" s="1">
        <f>DATE(C177, CHOOSE(MATCH(UPPER(B177), {"ENERO","FEBRERO","MARZO","ABRIL","MAYO","JUNIO","JULIO","AGOSTO","SEPTIEMBRE","OCTUBRE","NOVIEMBRE","DICIEMBRE"}, 0), 1,2,3,4,5,6,7,8,9,10,11,12), A177)</f>
        <v>44462</v>
      </c>
      <c r="H177">
        <v>6.75</v>
      </c>
      <c r="I177">
        <v>40000</v>
      </c>
      <c r="J177" s="1">
        <f t="shared" si="5"/>
        <v>43642</v>
      </c>
      <c r="K177" s="2" t="e">
        <f t="shared" si="4"/>
        <v>#N/A</v>
      </c>
    </row>
    <row r="178" spans="1:11" x14ac:dyDescent="0.25">
      <c r="A178">
        <v>24</v>
      </c>
      <c r="B178" t="s">
        <v>10</v>
      </c>
      <c r="C178">
        <v>2021</v>
      </c>
      <c r="D178">
        <v>31</v>
      </c>
      <c r="E178" t="s">
        <v>9</v>
      </c>
      <c r="F178">
        <v>18</v>
      </c>
      <c r="G178" s="1">
        <f>DATE(C178, CHOOSE(MATCH(UPPER(B178), {"ENERO","FEBRERO","MARZO","ABRIL","MAYO","JUNIO","JULIO","AGOSTO","SEPTIEMBRE","OCTUBRE","NOVIEMBRE","DICIEMBRE"}, 0), 1,2,3,4,5,6,7,8,9,10,11,12), A178)</f>
        <v>44463</v>
      </c>
      <c r="H178">
        <v>13</v>
      </c>
      <c r="I178">
        <v>40000</v>
      </c>
      <c r="J178" s="1">
        <f t="shared" si="5"/>
        <v>43643</v>
      </c>
      <c r="K178" s="2" t="e">
        <f t="shared" si="4"/>
        <v>#N/A</v>
      </c>
    </row>
    <row r="179" spans="1:11" x14ac:dyDescent="0.25">
      <c r="A179">
        <v>25</v>
      </c>
      <c r="B179" t="s">
        <v>10</v>
      </c>
      <c r="C179">
        <v>2021</v>
      </c>
      <c r="D179">
        <v>18</v>
      </c>
      <c r="E179">
        <v>50</v>
      </c>
      <c r="F179">
        <v>44.5</v>
      </c>
      <c r="G179" s="1">
        <f>DATE(C179, CHOOSE(MATCH(UPPER(B179), {"ENERO","FEBRERO","MARZO","ABRIL","MAYO","JUNIO","JULIO","AGOSTO","SEPTIEMBRE","OCTUBRE","NOVIEMBRE","DICIEMBRE"}, 0), 1,2,3,4,5,6,7,8,9,10,11,12), A179)</f>
        <v>44464</v>
      </c>
      <c r="H179">
        <v>23.5</v>
      </c>
      <c r="I179">
        <v>40000</v>
      </c>
      <c r="J179" s="1">
        <f t="shared" si="5"/>
        <v>43644</v>
      </c>
      <c r="K179" s="2" t="e">
        <f t="shared" si="4"/>
        <v>#N/A</v>
      </c>
    </row>
    <row r="180" spans="1:11" x14ac:dyDescent="0.25">
      <c r="A180">
        <v>26</v>
      </c>
      <c r="B180" t="s">
        <v>10</v>
      </c>
      <c r="C180">
        <v>2021</v>
      </c>
      <c r="D180">
        <v>44.5</v>
      </c>
      <c r="E180" t="s">
        <v>9</v>
      </c>
      <c r="F180">
        <v>26.25</v>
      </c>
      <c r="G180" s="1">
        <f>DATE(C180, CHOOSE(MATCH(UPPER(B180), {"ENERO","FEBRERO","MARZO","ABRIL","MAYO","JUNIO","JULIO","AGOSTO","SEPTIEMBRE","OCTUBRE","NOVIEMBRE","DICIEMBRE"}, 0), 1,2,3,4,5,6,7,8,9,10,11,12), A180)</f>
        <v>44465</v>
      </c>
      <c r="H180">
        <v>18.25</v>
      </c>
      <c r="I180">
        <v>40000</v>
      </c>
      <c r="J180" s="1">
        <f t="shared" si="5"/>
        <v>43645</v>
      </c>
      <c r="K180" s="2" t="e">
        <f t="shared" si="4"/>
        <v>#N/A</v>
      </c>
    </row>
    <row r="181" spans="1:11" x14ac:dyDescent="0.25">
      <c r="A181">
        <v>27</v>
      </c>
      <c r="B181" t="s">
        <v>10</v>
      </c>
      <c r="C181">
        <v>2021</v>
      </c>
      <c r="D181">
        <v>26.25</v>
      </c>
      <c r="E181">
        <v>44</v>
      </c>
      <c r="F181">
        <v>62.25</v>
      </c>
      <c r="G181" s="1">
        <f>DATE(C181, CHOOSE(MATCH(UPPER(B181), {"ENERO","FEBRERO","MARZO","ABRIL","MAYO","JUNIO","JULIO","AGOSTO","SEPTIEMBRE","OCTUBRE","NOVIEMBRE","DICIEMBRE"}, 0), 1,2,3,4,5,6,7,8,9,10,11,12), A181)</f>
        <v>44466</v>
      </c>
      <c r="H181">
        <v>8</v>
      </c>
      <c r="I181">
        <v>40000</v>
      </c>
      <c r="J181" s="1">
        <f t="shared" si="5"/>
        <v>43646</v>
      </c>
      <c r="K181" s="2" t="e">
        <f t="shared" si="4"/>
        <v>#N/A</v>
      </c>
    </row>
    <row r="182" spans="1:11" x14ac:dyDescent="0.25">
      <c r="A182">
        <v>28</v>
      </c>
      <c r="B182" t="s">
        <v>10</v>
      </c>
      <c r="C182">
        <v>2021</v>
      </c>
      <c r="D182">
        <v>62.25</v>
      </c>
      <c r="E182" t="s">
        <v>9</v>
      </c>
      <c r="F182">
        <v>52.75</v>
      </c>
      <c r="G182" s="1">
        <f>DATE(C182, CHOOSE(MATCH(UPPER(B182), {"ENERO","FEBRERO","MARZO","ABRIL","MAYO","JUNIO","JULIO","AGOSTO","SEPTIEMBRE","OCTUBRE","NOVIEMBRE","DICIEMBRE"}, 0), 1,2,3,4,5,6,7,8,9,10,11,12), A182)</f>
        <v>44467</v>
      </c>
      <c r="H182">
        <v>9.5</v>
      </c>
      <c r="I182">
        <v>40000</v>
      </c>
      <c r="J182" s="1">
        <f t="shared" si="5"/>
        <v>43647</v>
      </c>
      <c r="K182" s="2" t="e">
        <f t="shared" si="4"/>
        <v>#N/A</v>
      </c>
    </row>
    <row r="183" spans="1:11" x14ac:dyDescent="0.25">
      <c r="A183">
        <v>29</v>
      </c>
      <c r="B183" t="s">
        <v>10</v>
      </c>
      <c r="C183">
        <v>2021</v>
      </c>
      <c r="D183">
        <v>52.75</v>
      </c>
      <c r="E183" t="s">
        <v>9</v>
      </c>
      <c r="F183">
        <v>41.75</v>
      </c>
      <c r="G183" s="1">
        <f>DATE(C183, CHOOSE(MATCH(UPPER(B183), {"ENERO","FEBRERO","MARZO","ABRIL","MAYO","JUNIO","JULIO","AGOSTO","SEPTIEMBRE","OCTUBRE","NOVIEMBRE","DICIEMBRE"}, 0), 1,2,3,4,5,6,7,8,9,10,11,12), A183)</f>
        <v>44468</v>
      </c>
      <c r="H183">
        <v>11</v>
      </c>
      <c r="I183">
        <v>40000</v>
      </c>
      <c r="J183" s="1">
        <f t="shared" si="5"/>
        <v>43648</v>
      </c>
      <c r="K183" s="2" t="e">
        <f t="shared" si="4"/>
        <v>#N/A</v>
      </c>
    </row>
    <row r="184" spans="1:11" x14ac:dyDescent="0.25">
      <c r="A184">
        <v>30</v>
      </c>
      <c r="B184" t="s">
        <v>10</v>
      </c>
      <c r="C184">
        <v>2021</v>
      </c>
      <c r="D184">
        <v>41.75</v>
      </c>
      <c r="E184">
        <v>50</v>
      </c>
      <c r="F184">
        <v>83.375</v>
      </c>
      <c r="G184" s="1">
        <f>DATE(C184, CHOOSE(MATCH(UPPER(B184), {"ENERO","FEBRERO","MARZO","ABRIL","MAYO","JUNIO","JULIO","AGOSTO","SEPTIEMBRE","OCTUBRE","NOVIEMBRE","DICIEMBRE"}, 0), 1,2,3,4,5,6,7,8,9,10,11,12), A184)</f>
        <v>44469</v>
      </c>
      <c r="H184">
        <v>8.375</v>
      </c>
      <c r="I184">
        <v>40000</v>
      </c>
      <c r="J184" s="1">
        <f t="shared" si="5"/>
        <v>43649</v>
      </c>
      <c r="K184" s="2" t="e">
        <f t="shared" si="4"/>
        <v>#N/A</v>
      </c>
    </row>
    <row r="185" spans="1:11" x14ac:dyDescent="0.25">
      <c r="A185">
        <v>1</v>
      </c>
      <c r="B185" t="s">
        <v>18</v>
      </c>
      <c r="C185">
        <v>2021</v>
      </c>
      <c r="D185">
        <v>83.375</v>
      </c>
      <c r="E185" t="s">
        <v>9</v>
      </c>
      <c r="F185">
        <v>65</v>
      </c>
      <c r="G185" s="1">
        <f>DATE(C185, CHOOSE(MATCH(UPPER(B185), {"ENERO","FEBRERO","MARZO","ABRIL","MAYO","JUNIO","JULIO","AGOSTO","SEPTIEMBRE","OCTUBRE","NOVIEMBRE","DICIEMBRE"}, 0), 1,2,3,4,5,6,7,8,9,10,11,12), A185)</f>
        <v>44470</v>
      </c>
      <c r="H185">
        <v>18.375</v>
      </c>
      <c r="I185">
        <v>40000</v>
      </c>
      <c r="J185" s="1">
        <f t="shared" si="5"/>
        <v>43650</v>
      </c>
      <c r="K185" s="2" t="e">
        <f t="shared" si="4"/>
        <v>#N/A</v>
      </c>
    </row>
    <row r="186" spans="1:11" x14ac:dyDescent="0.25">
      <c r="A186">
        <v>2</v>
      </c>
      <c r="B186" t="s">
        <v>18</v>
      </c>
      <c r="C186">
        <v>2021</v>
      </c>
      <c r="D186">
        <v>65</v>
      </c>
      <c r="E186" t="s">
        <v>9</v>
      </c>
      <c r="F186">
        <v>40</v>
      </c>
      <c r="G186" s="1">
        <f>DATE(C186, CHOOSE(MATCH(UPPER(B186), {"ENERO","FEBRERO","MARZO","ABRIL","MAYO","JUNIO","JULIO","AGOSTO","SEPTIEMBRE","OCTUBRE","NOVIEMBRE","DICIEMBRE"}, 0), 1,2,3,4,5,6,7,8,9,10,11,12), A186)</f>
        <v>44471</v>
      </c>
      <c r="H186">
        <v>25</v>
      </c>
      <c r="I186">
        <v>40000</v>
      </c>
      <c r="J186" s="1">
        <f t="shared" si="5"/>
        <v>43651</v>
      </c>
      <c r="K186" s="2" t="e">
        <f t="shared" si="4"/>
        <v>#N/A</v>
      </c>
    </row>
    <row r="187" spans="1:11" x14ac:dyDescent="0.25">
      <c r="A187">
        <v>3</v>
      </c>
      <c r="B187" t="s">
        <v>18</v>
      </c>
      <c r="C187">
        <v>2021</v>
      </c>
      <c r="D187">
        <v>40</v>
      </c>
      <c r="E187" t="s">
        <v>9</v>
      </c>
      <c r="F187">
        <v>13.75</v>
      </c>
      <c r="G187" s="1">
        <f>DATE(C187, CHOOSE(MATCH(UPPER(B187), {"ENERO","FEBRERO","MARZO","ABRIL","MAYO","JUNIO","JULIO","AGOSTO","SEPTIEMBRE","OCTUBRE","NOVIEMBRE","DICIEMBRE"}, 0), 1,2,3,4,5,6,7,8,9,10,11,12), A187)</f>
        <v>44472</v>
      </c>
      <c r="H187">
        <v>26.25</v>
      </c>
      <c r="I187">
        <v>40000</v>
      </c>
      <c r="J187" s="1">
        <f t="shared" si="5"/>
        <v>43652</v>
      </c>
      <c r="K187" s="2" t="e">
        <f t="shared" si="4"/>
        <v>#N/A</v>
      </c>
    </row>
    <row r="188" spans="1:11" x14ac:dyDescent="0.25">
      <c r="A188">
        <v>4</v>
      </c>
      <c r="B188" t="s">
        <v>18</v>
      </c>
      <c r="C188">
        <v>2021</v>
      </c>
      <c r="D188">
        <v>13.75</v>
      </c>
      <c r="E188">
        <v>50</v>
      </c>
      <c r="F188">
        <v>54</v>
      </c>
      <c r="G188" s="1">
        <f>DATE(C188, CHOOSE(MATCH(UPPER(B188), {"ENERO","FEBRERO","MARZO","ABRIL","MAYO","JUNIO","JULIO","AGOSTO","SEPTIEMBRE","OCTUBRE","NOVIEMBRE","DICIEMBRE"}, 0), 1,2,3,4,5,6,7,8,9,10,11,12), A188)</f>
        <v>44473</v>
      </c>
      <c r="H188">
        <v>9.75</v>
      </c>
      <c r="I188">
        <v>40000</v>
      </c>
      <c r="J188" s="1">
        <f t="shared" si="5"/>
        <v>43653</v>
      </c>
      <c r="K188" s="2" t="e">
        <f t="shared" si="4"/>
        <v>#N/A</v>
      </c>
    </row>
    <row r="189" spans="1:11" x14ac:dyDescent="0.25">
      <c r="A189">
        <v>5</v>
      </c>
      <c r="B189" t="s">
        <v>18</v>
      </c>
      <c r="C189">
        <v>2021</v>
      </c>
      <c r="D189">
        <v>54</v>
      </c>
      <c r="E189" t="s">
        <v>9</v>
      </c>
      <c r="F189">
        <v>44</v>
      </c>
      <c r="G189" s="1">
        <f>DATE(C189, CHOOSE(MATCH(UPPER(B189), {"ENERO","FEBRERO","MARZO","ABRIL","MAYO","JUNIO","JULIO","AGOSTO","SEPTIEMBRE","OCTUBRE","NOVIEMBRE","DICIEMBRE"}, 0), 1,2,3,4,5,6,7,8,9,10,11,12), A189)</f>
        <v>44474</v>
      </c>
      <c r="H189">
        <v>10</v>
      </c>
      <c r="I189">
        <v>40000</v>
      </c>
      <c r="J189" s="1">
        <f t="shared" si="5"/>
        <v>43654</v>
      </c>
      <c r="K189" s="2" t="e">
        <f t="shared" si="4"/>
        <v>#N/A</v>
      </c>
    </row>
    <row r="190" spans="1:11" x14ac:dyDescent="0.25">
      <c r="A190">
        <v>6</v>
      </c>
      <c r="B190" t="s">
        <v>18</v>
      </c>
      <c r="C190">
        <v>2021</v>
      </c>
      <c r="D190">
        <v>44</v>
      </c>
      <c r="E190" t="s">
        <v>9</v>
      </c>
      <c r="F190">
        <v>33</v>
      </c>
      <c r="G190" s="1">
        <f>DATE(C190, CHOOSE(MATCH(UPPER(B190), {"ENERO","FEBRERO","MARZO","ABRIL","MAYO","JUNIO","JULIO","AGOSTO","SEPTIEMBRE","OCTUBRE","NOVIEMBRE","DICIEMBRE"}, 0), 1,2,3,4,5,6,7,8,9,10,11,12), A190)</f>
        <v>44475</v>
      </c>
      <c r="H190">
        <v>11</v>
      </c>
      <c r="I190">
        <v>40000</v>
      </c>
      <c r="J190" s="1">
        <f t="shared" si="5"/>
        <v>43655</v>
      </c>
      <c r="K190" s="2" t="e">
        <f t="shared" si="4"/>
        <v>#N/A</v>
      </c>
    </row>
    <row r="191" spans="1:11" x14ac:dyDescent="0.25">
      <c r="A191">
        <v>7</v>
      </c>
      <c r="B191" t="s">
        <v>18</v>
      </c>
      <c r="C191">
        <v>2021</v>
      </c>
      <c r="D191">
        <v>33</v>
      </c>
      <c r="E191">
        <v>34</v>
      </c>
      <c r="F191">
        <v>59</v>
      </c>
      <c r="G191" s="1">
        <f>DATE(C191, CHOOSE(MATCH(UPPER(B191), {"ENERO","FEBRERO","MARZO","ABRIL","MAYO","JUNIO","JULIO","AGOSTO","SEPTIEMBRE","OCTUBRE","NOVIEMBRE","DICIEMBRE"}, 0), 1,2,3,4,5,6,7,8,9,10,11,12), A191)</f>
        <v>44476</v>
      </c>
      <c r="H191">
        <v>8</v>
      </c>
      <c r="I191">
        <v>40000</v>
      </c>
      <c r="J191" s="1">
        <f t="shared" si="5"/>
        <v>43656</v>
      </c>
      <c r="K191" s="2" t="e">
        <f t="shared" si="4"/>
        <v>#N/A</v>
      </c>
    </row>
    <row r="192" spans="1:11" x14ac:dyDescent="0.25">
      <c r="A192">
        <v>8</v>
      </c>
      <c r="B192" t="s">
        <v>18</v>
      </c>
      <c r="C192">
        <v>2021</v>
      </c>
      <c r="D192">
        <v>59</v>
      </c>
      <c r="E192" t="s">
        <v>9</v>
      </c>
      <c r="F192">
        <v>46.875</v>
      </c>
      <c r="G192" s="1">
        <f>DATE(C192, CHOOSE(MATCH(UPPER(B192), {"ENERO","FEBRERO","MARZO","ABRIL","MAYO","JUNIO","JULIO","AGOSTO","SEPTIEMBRE","OCTUBRE","NOVIEMBRE","DICIEMBRE"}, 0), 1,2,3,4,5,6,7,8,9,10,11,12), A192)</f>
        <v>44477</v>
      </c>
      <c r="H192">
        <v>12.125</v>
      </c>
      <c r="I192">
        <v>40000</v>
      </c>
      <c r="J192" s="1">
        <f t="shared" si="5"/>
        <v>43657</v>
      </c>
      <c r="K192" s="2" t="e">
        <f t="shared" si="4"/>
        <v>#N/A</v>
      </c>
    </row>
    <row r="193" spans="1:11" x14ac:dyDescent="0.25">
      <c r="A193">
        <v>9</v>
      </c>
      <c r="B193" t="s">
        <v>18</v>
      </c>
      <c r="C193">
        <v>2021</v>
      </c>
      <c r="D193">
        <v>46.875</v>
      </c>
      <c r="E193" t="s">
        <v>9</v>
      </c>
      <c r="F193">
        <v>20.5</v>
      </c>
      <c r="G193" s="1">
        <f>DATE(C193, CHOOSE(MATCH(UPPER(B193), {"ENERO","FEBRERO","MARZO","ABRIL","MAYO","JUNIO","JULIO","AGOSTO","SEPTIEMBRE","OCTUBRE","NOVIEMBRE","DICIEMBRE"}, 0), 1,2,3,4,5,6,7,8,9,10,11,12), A193)</f>
        <v>44478</v>
      </c>
      <c r="H193">
        <v>26.375</v>
      </c>
      <c r="I193">
        <v>40000</v>
      </c>
      <c r="J193" s="1">
        <f t="shared" si="5"/>
        <v>43658</v>
      </c>
      <c r="K193" s="2" t="e">
        <f t="shared" si="4"/>
        <v>#N/A</v>
      </c>
    </row>
    <row r="194" spans="1:11" x14ac:dyDescent="0.25">
      <c r="A194">
        <v>10</v>
      </c>
      <c r="B194" t="s">
        <v>18</v>
      </c>
      <c r="C194">
        <v>2021</v>
      </c>
      <c r="D194">
        <v>20.5</v>
      </c>
      <c r="E194">
        <v>30</v>
      </c>
      <c r="F194">
        <v>25</v>
      </c>
      <c r="G194" s="1">
        <f>DATE(C194, CHOOSE(MATCH(UPPER(B194), {"ENERO","FEBRERO","MARZO","ABRIL","MAYO","JUNIO","JULIO","AGOSTO","SEPTIEMBRE","OCTUBRE","NOVIEMBRE","DICIEMBRE"}, 0), 1,2,3,4,5,6,7,8,9,10,11,12), A194)</f>
        <v>44479</v>
      </c>
      <c r="H194">
        <v>25.5</v>
      </c>
      <c r="I194">
        <v>40000</v>
      </c>
      <c r="J194" s="1">
        <f t="shared" si="5"/>
        <v>43659</v>
      </c>
      <c r="K194" s="2" t="e">
        <f t="shared" si="4"/>
        <v>#N/A</v>
      </c>
    </row>
    <row r="195" spans="1:11" x14ac:dyDescent="0.25">
      <c r="A195">
        <v>11</v>
      </c>
      <c r="B195" t="s">
        <v>18</v>
      </c>
      <c r="C195">
        <v>2021</v>
      </c>
      <c r="D195">
        <v>25</v>
      </c>
      <c r="E195" t="s">
        <v>9</v>
      </c>
      <c r="F195">
        <v>8.75</v>
      </c>
      <c r="G195" s="1">
        <f>DATE(C195, CHOOSE(MATCH(UPPER(B195), {"ENERO","FEBRERO","MARZO","ABRIL","MAYO","JUNIO","JULIO","AGOSTO","SEPTIEMBRE","OCTUBRE","NOVIEMBRE","DICIEMBRE"}, 0), 1,2,3,4,5,6,7,8,9,10,11,12), A195)</f>
        <v>44480</v>
      </c>
      <c r="H195">
        <v>16.25</v>
      </c>
      <c r="I195">
        <v>40000</v>
      </c>
      <c r="J195" s="1">
        <f t="shared" si="5"/>
        <v>43660</v>
      </c>
      <c r="K195" s="2" t="e">
        <f t="shared" ref="K195:K258" si="6">VLOOKUP(J195, G:H, 2, FALSE)</f>
        <v>#N/A</v>
      </c>
    </row>
    <row r="196" spans="1:11" x14ac:dyDescent="0.25">
      <c r="A196">
        <v>12</v>
      </c>
      <c r="B196" t="s">
        <v>18</v>
      </c>
      <c r="C196">
        <v>2021</v>
      </c>
      <c r="D196">
        <v>8.75</v>
      </c>
      <c r="E196">
        <v>46</v>
      </c>
      <c r="F196">
        <v>45.875</v>
      </c>
      <c r="G196" s="1">
        <f>DATE(C196, CHOOSE(MATCH(UPPER(B196), {"ENERO","FEBRERO","MARZO","ABRIL","MAYO","JUNIO","JULIO","AGOSTO","SEPTIEMBRE","OCTUBRE","NOVIEMBRE","DICIEMBRE"}, 0), 1,2,3,4,5,6,7,8,9,10,11,12), A196)</f>
        <v>44481</v>
      </c>
      <c r="H196">
        <v>8.875</v>
      </c>
      <c r="I196">
        <v>40000</v>
      </c>
      <c r="J196" s="1">
        <f t="shared" si="5"/>
        <v>43661</v>
      </c>
      <c r="K196" s="2" t="e">
        <f t="shared" si="6"/>
        <v>#N/A</v>
      </c>
    </row>
    <row r="197" spans="1:11" x14ac:dyDescent="0.25">
      <c r="A197">
        <v>13</v>
      </c>
      <c r="B197" t="s">
        <v>18</v>
      </c>
      <c r="C197">
        <v>2021</v>
      </c>
      <c r="D197">
        <v>45.875</v>
      </c>
      <c r="E197" t="s">
        <v>9</v>
      </c>
      <c r="F197">
        <v>35.75</v>
      </c>
      <c r="G197" s="1">
        <f>DATE(C197, CHOOSE(MATCH(UPPER(B197), {"ENERO","FEBRERO","MARZO","ABRIL","MAYO","JUNIO","JULIO","AGOSTO","SEPTIEMBRE","OCTUBRE","NOVIEMBRE","DICIEMBRE"}, 0), 1,2,3,4,5,6,7,8,9,10,11,12), A197)</f>
        <v>44482</v>
      </c>
      <c r="H197">
        <v>10.125</v>
      </c>
      <c r="I197">
        <v>48000</v>
      </c>
      <c r="J197" s="1">
        <f t="shared" ref="J197:J260" si="7">DATE(2019,1,1) + ROW()-1</f>
        <v>43662</v>
      </c>
      <c r="K197" s="2" t="e">
        <f t="shared" si="6"/>
        <v>#N/A</v>
      </c>
    </row>
    <row r="198" spans="1:11" x14ac:dyDescent="0.25">
      <c r="A198">
        <v>14</v>
      </c>
      <c r="B198" t="s">
        <v>18</v>
      </c>
      <c r="C198">
        <v>2021</v>
      </c>
      <c r="D198">
        <v>35.75</v>
      </c>
      <c r="E198">
        <v>60</v>
      </c>
      <c r="F198">
        <v>87.5</v>
      </c>
      <c r="G198" s="1">
        <f>DATE(C198, CHOOSE(MATCH(UPPER(B198), {"ENERO","FEBRERO","MARZO","ABRIL","MAYO","JUNIO","JULIO","AGOSTO","SEPTIEMBRE","OCTUBRE","NOVIEMBRE","DICIEMBRE"}, 0), 1,2,3,4,5,6,7,8,9,10,11,12), A198)</f>
        <v>44483</v>
      </c>
      <c r="H198">
        <v>8.25</v>
      </c>
      <c r="I198">
        <v>48000</v>
      </c>
      <c r="J198" s="1">
        <f t="shared" si="7"/>
        <v>43663</v>
      </c>
      <c r="K198" s="2" t="e">
        <f t="shared" si="6"/>
        <v>#N/A</v>
      </c>
    </row>
    <row r="199" spans="1:11" x14ac:dyDescent="0.25">
      <c r="A199">
        <v>15</v>
      </c>
      <c r="B199" t="s">
        <v>18</v>
      </c>
      <c r="C199">
        <v>2021</v>
      </c>
      <c r="D199">
        <v>87.5</v>
      </c>
      <c r="E199" t="s">
        <v>9</v>
      </c>
      <c r="F199">
        <v>73.75</v>
      </c>
      <c r="G199" s="1">
        <f>DATE(C199, CHOOSE(MATCH(UPPER(B199), {"ENERO","FEBRERO","MARZO","ABRIL","MAYO","JUNIO","JULIO","AGOSTO","SEPTIEMBRE","OCTUBRE","NOVIEMBRE","DICIEMBRE"}, 0), 1,2,3,4,5,6,7,8,9,10,11,12), A199)</f>
        <v>44484</v>
      </c>
      <c r="H199">
        <v>13.75</v>
      </c>
      <c r="I199">
        <v>48000</v>
      </c>
      <c r="J199" s="1">
        <f t="shared" si="7"/>
        <v>43664</v>
      </c>
      <c r="K199" s="2" t="e">
        <f t="shared" si="6"/>
        <v>#N/A</v>
      </c>
    </row>
    <row r="200" spans="1:11" x14ac:dyDescent="0.25">
      <c r="A200">
        <v>16</v>
      </c>
      <c r="B200" t="s">
        <v>18</v>
      </c>
      <c r="C200">
        <v>2021</v>
      </c>
      <c r="D200">
        <v>73.75</v>
      </c>
      <c r="E200" t="s">
        <v>9</v>
      </c>
      <c r="F200">
        <v>48.5</v>
      </c>
      <c r="G200" s="1">
        <f>DATE(C200, CHOOSE(MATCH(UPPER(B200), {"ENERO","FEBRERO","MARZO","ABRIL","MAYO","JUNIO","JULIO","AGOSTO","SEPTIEMBRE","OCTUBRE","NOVIEMBRE","DICIEMBRE"}, 0), 1,2,3,4,5,6,7,8,9,10,11,12), A200)</f>
        <v>44485</v>
      </c>
      <c r="H200">
        <v>25.25</v>
      </c>
      <c r="I200">
        <v>48000</v>
      </c>
      <c r="J200" s="1">
        <f t="shared" si="7"/>
        <v>43665</v>
      </c>
      <c r="K200" s="2" t="e">
        <f t="shared" si="6"/>
        <v>#N/A</v>
      </c>
    </row>
    <row r="201" spans="1:11" x14ac:dyDescent="0.25">
      <c r="A201">
        <v>17</v>
      </c>
      <c r="B201" t="s">
        <v>18</v>
      </c>
      <c r="C201">
        <v>2021</v>
      </c>
      <c r="D201">
        <v>48.5</v>
      </c>
      <c r="E201" t="s">
        <v>9</v>
      </c>
      <c r="F201">
        <v>21</v>
      </c>
      <c r="G201" s="1">
        <f>DATE(C201, CHOOSE(MATCH(UPPER(B201), {"ENERO","FEBRERO","MARZO","ABRIL","MAYO","JUNIO","JULIO","AGOSTO","SEPTIEMBRE","OCTUBRE","NOVIEMBRE","DICIEMBRE"}, 0), 1,2,3,4,5,6,7,8,9,10,11,12), A201)</f>
        <v>44486</v>
      </c>
      <c r="H201">
        <v>27.5</v>
      </c>
      <c r="I201">
        <v>48000</v>
      </c>
      <c r="J201" s="1">
        <f t="shared" si="7"/>
        <v>43666</v>
      </c>
      <c r="K201" s="2" t="e">
        <f t="shared" si="6"/>
        <v>#N/A</v>
      </c>
    </row>
    <row r="202" spans="1:11" x14ac:dyDescent="0.25">
      <c r="A202">
        <v>18</v>
      </c>
      <c r="B202" t="s">
        <v>18</v>
      </c>
      <c r="C202">
        <v>2021</v>
      </c>
      <c r="D202">
        <v>21</v>
      </c>
      <c r="E202">
        <v>50</v>
      </c>
      <c r="F202">
        <v>49.625</v>
      </c>
      <c r="G202" s="1">
        <f>DATE(C202, CHOOSE(MATCH(UPPER(B202), {"ENERO","FEBRERO","MARZO","ABRIL","MAYO","JUNIO","JULIO","AGOSTO","SEPTIEMBRE","OCTUBRE","NOVIEMBRE","DICIEMBRE"}, 0), 1,2,3,4,5,6,7,8,9,10,11,12), A202)</f>
        <v>44487</v>
      </c>
      <c r="H202">
        <v>21.375</v>
      </c>
      <c r="I202">
        <v>48000</v>
      </c>
      <c r="J202" s="1">
        <f t="shared" si="7"/>
        <v>43667</v>
      </c>
      <c r="K202" s="2" t="e">
        <f t="shared" si="6"/>
        <v>#N/A</v>
      </c>
    </row>
    <row r="203" spans="1:11" x14ac:dyDescent="0.25">
      <c r="A203">
        <v>19</v>
      </c>
      <c r="B203" t="s">
        <v>18</v>
      </c>
      <c r="C203">
        <v>2021</v>
      </c>
      <c r="D203">
        <v>49.625</v>
      </c>
      <c r="E203" t="s">
        <v>9</v>
      </c>
      <c r="F203">
        <v>41.5</v>
      </c>
      <c r="G203" s="1">
        <f>DATE(C203, CHOOSE(MATCH(UPPER(B203), {"ENERO","FEBRERO","MARZO","ABRIL","MAYO","JUNIO","JULIO","AGOSTO","SEPTIEMBRE","OCTUBRE","NOVIEMBRE","DICIEMBRE"}, 0), 1,2,3,4,5,6,7,8,9,10,11,12), A203)</f>
        <v>44488</v>
      </c>
      <c r="H203">
        <v>8.125</v>
      </c>
      <c r="I203">
        <v>48000</v>
      </c>
      <c r="J203" s="1">
        <f t="shared" si="7"/>
        <v>43668</v>
      </c>
      <c r="K203" s="2" t="e">
        <f t="shared" si="6"/>
        <v>#N/A</v>
      </c>
    </row>
    <row r="204" spans="1:11" x14ac:dyDescent="0.25">
      <c r="A204">
        <v>20</v>
      </c>
      <c r="B204" t="s">
        <v>18</v>
      </c>
      <c r="C204">
        <v>2021</v>
      </c>
      <c r="D204">
        <v>41.5</v>
      </c>
      <c r="E204" t="s">
        <v>9</v>
      </c>
      <c r="F204">
        <v>30.5</v>
      </c>
      <c r="G204" s="1">
        <f>DATE(C204, CHOOSE(MATCH(UPPER(B204), {"ENERO","FEBRERO","MARZO","ABRIL","MAYO","JUNIO","JULIO","AGOSTO","SEPTIEMBRE","OCTUBRE","NOVIEMBRE","DICIEMBRE"}, 0), 1,2,3,4,5,6,7,8,9,10,11,12), A204)</f>
        <v>44489</v>
      </c>
      <c r="H204">
        <v>11</v>
      </c>
      <c r="I204">
        <v>48000</v>
      </c>
      <c r="J204" s="1">
        <f t="shared" si="7"/>
        <v>43669</v>
      </c>
      <c r="K204" s="2" t="e">
        <f t="shared" si="6"/>
        <v>#N/A</v>
      </c>
    </row>
    <row r="205" spans="1:11" x14ac:dyDescent="0.25">
      <c r="A205">
        <v>21</v>
      </c>
      <c r="B205" t="s">
        <v>18</v>
      </c>
      <c r="C205">
        <v>2021</v>
      </c>
      <c r="D205">
        <v>30.5</v>
      </c>
      <c r="E205" t="s">
        <v>9</v>
      </c>
      <c r="F205">
        <v>17</v>
      </c>
      <c r="G205" s="1">
        <f>DATE(C205, CHOOSE(MATCH(UPPER(B205), {"ENERO","FEBRERO","MARZO","ABRIL","MAYO","JUNIO","JULIO","AGOSTO","SEPTIEMBRE","OCTUBRE","NOVIEMBRE","DICIEMBRE"}, 0), 1,2,3,4,5,6,7,8,9,10,11,12), A205)</f>
        <v>44490</v>
      </c>
      <c r="H205">
        <v>13.5</v>
      </c>
      <c r="I205">
        <v>48000</v>
      </c>
      <c r="J205" s="1">
        <f t="shared" si="7"/>
        <v>43670</v>
      </c>
      <c r="K205" s="2" t="e">
        <f t="shared" si="6"/>
        <v>#N/A</v>
      </c>
    </row>
    <row r="206" spans="1:11" x14ac:dyDescent="0.25">
      <c r="A206">
        <v>22</v>
      </c>
      <c r="B206" t="s">
        <v>18</v>
      </c>
      <c r="C206">
        <v>2021</v>
      </c>
      <c r="D206">
        <v>17</v>
      </c>
      <c r="E206">
        <v>50</v>
      </c>
      <c r="F206">
        <v>54.5</v>
      </c>
      <c r="G206" s="1">
        <f>DATE(C206, CHOOSE(MATCH(UPPER(B206), {"ENERO","FEBRERO","MARZO","ABRIL","MAYO","JUNIO","JULIO","AGOSTO","SEPTIEMBRE","OCTUBRE","NOVIEMBRE","DICIEMBRE"}, 0), 1,2,3,4,5,6,7,8,9,10,11,12), A206)</f>
        <v>44491</v>
      </c>
      <c r="H206">
        <v>12.5</v>
      </c>
      <c r="I206">
        <v>48000</v>
      </c>
      <c r="J206" s="1">
        <f t="shared" si="7"/>
        <v>43671</v>
      </c>
      <c r="K206" s="2" t="e">
        <f t="shared" si="6"/>
        <v>#N/A</v>
      </c>
    </row>
    <row r="207" spans="1:11" x14ac:dyDescent="0.25">
      <c r="A207">
        <v>23</v>
      </c>
      <c r="B207" t="s">
        <v>18</v>
      </c>
      <c r="C207">
        <v>2021</v>
      </c>
      <c r="D207">
        <v>54.5</v>
      </c>
      <c r="E207" t="s">
        <v>9</v>
      </c>
      <c r="F207">
        <v>27</v>
      </c>
      <c r="G207" s="1">
        <f>DATE(C207, CHOOSE(MATCH(UPPER(B207), {"ENERO","FEBRERO","MARZO","ABRIL","MAYO","JUNIO","JULIO","AGOSTO","SEPTIEMBRE","OCTUBRE","NOVIEMBRE","DICIEMBRE"}, 0), 1,2,3,4,5,6,7,8,9,10,11,12), A207)</f>
        <v>44492</v>
      </c>
      <c r="H207">
        <v>27.5</v>
      </c>
      <c r="I207">
        <v>48000</v>
      </c>
      <c r="J207" s="1">
        <f t="shared" si="7"/>
        <v>43672</v>
      </c>
      <c r="K207" s="2" t="e">
        <f t="shared" si="6"/>
        <v>#N/A</v>
      </c>
    </row>
    <row r="208" spans="1:11" x14ac:dyDescent="0.25">
      <c r="A208">
        <v>24</v>
      </c>
      <c r="B208" t="s">
        <v>18</v>
      </c>
      <c r="C208">
        <v>2021</v>
      </c>
      <c r="D208">
        <v>27</v>
      </c>
      <c r="E208">
        <v>5</v>
      </c>
      <c r="F208">
        <v>1.5</v>
      </c>
      <c r="G208" s="1">
        <f>DATE(C208, CHOOSE(MATCH(UPPER(B208), {"ENERO","FEBRERO","MARZO","ABRIL","MAYO","JUNIO","JULIO","AGOSTO","SEPTIEMBRE","OCTUBRE","NOVIEMBRE","DICIEMBRE"}, 0), 1,2,3,4,5,6,7,8,9,10,11,12), A208)</f>
        <v>44493</v>
      </c>
      <c r="H208">
        <v>30.5</v>
      </c>
      <c r="I208">
        <v>48000</v>
      </c>
      <c r="J208" s="1">
        <f t="shared" si="7"/>
        <v>43673</v>
      </c>
      <c r="K208" s="2" t="e">
        <f t="shared" si="6"/>
        <v>#N/A</v>
      </c>
    </row>
    <row r="209" spans="1:11" x14ac:dyDescent="0.25">
      <c r="A209">
        <v>25</v>
      </c>
      <c r="B209" t="s">
        <v>18</v>
      </c>
      <c r="C209">
        <v>2021</v>
      </c>
      <c r="D209">
        <v>1.5</v>
      </c>
      <c r="E209">
        <v>35</v>
      </c>
      <c r="F209">
        <v>29</v>
      </c>
      <c r="G209" s="1">
        <f>DATE(C209, CHOOSE(MATCH(UPPER(B209), {"ENERO","FEBRERO","MARZO","ABRIL","MAYO","JUNIO","JULIO","AGOSTO","SEPTIEMBRE","OCTUBRE","NOVIEMBRE","DICIEMBRE"}, 0), 1,2,3,4,5,6,7,8,9,10,11,12), A209)</f>
        <v>44494</v>
      </c>
      <c r="H209">
        <v>7.5</v>
      </c>
      <c r="I209">
        <v>48000</v>
      </c>
      <c r="J209" s="1">
        <f t="shared" si="7"/>
        <v>43674</v>
      </c>
      <c r="K209" s="2" t="e">
        <f t="shared" si="6"/>
        <v>#N/A</v>
      </c>
    </row>
    <row r="210" spans="1:11" x14ac:dyDescent="0.25">
      <c r="A210">
        <v>26</v>
      </c>
      <c r="B210" t="s">
        <v>18</v>
      </c>
      <c r="C210">
        <v>2021</v>
      </c>
      <c r="D210">
        <v>29</v>
      </c>
      <c r="E210" t="s">
        <v>9</v>
      </c>
      <c r="F210">
        <v>17</v>
      </c>
      <c r="G210" s="1">
        <f>DATE(C210, CHOOSE(MATCH(UPPER(B210), {"ENERO","FEBRERO","MARZO","ABRIL","MAYO","JUNIO","JULIO","AGOSTO","SEPTIEMBRE","OCTUBRE","NOVIEMBRE","DICIEMBRE"}, 0), 1,2,3,4,5,6,7,8,9,10,11,12), A210)</f>
        <v>44495</v>
      </c>
      <c r="H210">
        <v>12</v>
      </c>
      <c r="I210">
        <v>48000</v>
      </c>
      <c r="J210" s="1">
        <f t="shared" si="7"/>
        <v>43675</v>
      </c>
      <c r="K210" s="2" t="e">
        <f t="shared" si="6"/>
        <v>#N/A</v>
      </c>
    </row>
    <row r="211" spans="1:11" x14ac:dyDescent="0.25">
      <c r="A211">
        <v>27</v>
      </c>
      <c r="B211" t="s">
        <v>18</v>
      </c>
      <c r="C211">
        <v>2021</v>
      </c>
      <c r="D211">
        <v>17</v>
      </c>
      <c r="E211" t="s">
        <v>9</v>
      </c>
      <c r="F211">
        <v>6.75</v>
      </c>
      <c r="G211" s="1">
        <f>DATE(C211, CHOOSE(MATCH(UPPER(B211), {"ENERO","FEBRERO","MARZO","ABRIL","MAYO","JUNIO","JULIO","AGOSTO","SEPTIEMBRE","OCTUBRE","NOVIEMBRE","DICIEMBRE"}, 0), 1,2,3,4,5,6,7,8,9,10,11,12), A211)</f>
        <v>44496</v>
      </c>
      <c r="H211">
        <v>10.25</v>
      </c>
      <c r="I211">
        <v>48000</v>
      </c>
      <c r="J211" s="1">
        <f t="shared" si="7"/>
        <v>43676</v>
      </c>
      <c r="K211" s="2" t="e">
        <f t="shared" si="6"/>
        <v>#N/A</v>
      </c>
    </row>
    <row r="212" spans="1:11" x14ac:dyDescent="0.25">
      <c r="A212">
        <v>28</v>
      </c>
      <c r="B212" t="s">
        <v>18</v>
      </c>
      <c r="C212">
        <v>2021</v>
      </c>
      <c r="D212">
        <v>6.75</v>
      </c>
      <c r="E212">
        <v>75</v>
      </c>
      <c r="F212">
        <v>67.75</v>
      </c>
      <c r="G212" s="1">
        <f>DATE(C212, CHOOSE(MATCH(UPPER(B212), {"ENERO","FEBRERO","MARZO","ABRIL","MAYO","JUNIO","JULIO","AGOSTO","SEPTIEMBRE","OCTUBRE","NOVIEMBRE","DICIEMBRE"}, 0), 1,2,3,4,5,6,7,8,9,10,11,12), A212)</f>
        <v>44497</v>
      </c>
      <c r="H212">
        <v>14</v>
      </c>
      <c r="I212">
        <v>48000</v>
      </c>
      <c r="J212" s="1">
        <f t="shared" si="7"/>
        <v>43677</v>
      </c>
      <c r="K212" s="2" t="e">
        <f t="shared" si="6"/>
        <v>#N/A</v>
      </c>
    </row>
    <row r="213" spans="1:11" x14ac:dyDescent="0.25">
      <c r="A213">
        <v>29</v>
      </c>
      <c r="B213" t="s">
        <v>18</v>
      </c>
      <c r="C213">
        <v>2021</v>
      </c>
      <c r="D213">
        <v>67.75</v>
      </c>
      <c r="E213">
        <v>20</v>
      </c>
      <c r="F213">
        <v>54.5</v>
      </c>
      <c r="G213" s="1">
        <f>DATE(C213, CHOOSE(MATCH(UPPER(B213), {"ENERO","FEBRERO","MARZO","ABRIL","MAYO","JUNIO","JULIO","AGOSTO","SEPTIEMBRE","OCTUBRE","NOVIEMBRE","DICIEMBRE"}, 0), 1,2,3,4,5,6,7,8,9,10,11,12), A213)</f>
        <v>44498</v>
      </c>
      <c r="H213">
        <v>33.25</v>
      </c>
      <c r="I213">
        <v>48000</v>
      </c>
      <c r="J213" s="1">
        <f t="shared" si="7"/>
        <v>43678</v>
      </c>
      <c r="K213" s="2" t="e">
        <f t="shared" si="6"/>
        <v>#N/A</v>
      </c>
    </row>
    <row r="214" spans="1:11" x14ac:dyDescent="0.25">
      <c r="A214">
        <v>30</v>
      </c>
      <c r="B214" t="s">
        <v>18</v>
      </c>
      <c r="C214">
        <v>2021</v>
      </c>
      <c r="D214">
        <v>54.5</v>
      </c>
      <c r="E214">
        <v>30</v>
      </c>
      <c r="F214">
        <v>71</v>
      </c>
      <c r="G214" s="1">
        <f>DATE(C214, CHOOSE(MATCH(UPPER(B214), {"ENERO","FEBRERO","MARZO","ABRIL","MAYO","JUNIO","JULIO","AGOSTO","SEPTIEMBRE","OCTUBRE","NOVIEMBRE","DICIEMBRE"}, 0), 1,2,3,4,5,6,7,8,9,10,11,12), A214)</f>
        <v>44499</v>
      </c>
      <c r="H214">
        <v>13.5</v>
      </c>
      <c r="I214">
        <v>48000</v>
      </c>
      <c r="J214" s="1">
        <f t="shared" si="7"/>
        <v>43679</v>
      </c>
      <c r="K214" s="2" t="e">
        <f t="shared" si="6"/>
        <v>#N/A</v>
      </c>
    </row>
    <row r="215" spans="1:11" x14ac:dyDescent="0.25">
      <c r="A215">
        <v>31</v>
      </c>
      <c r="B215" t="s">
        <v>18</v>
      </c>
      <c r="C215">
        <v>2021</v>
      </c>
      <c r="D215">
        <v>71</v>
      </c>
      <c r="E215" t="s">
        <v>9</v>
      </c>
      <c r="F215">
        <v>26</v>
      </c>
      <c r="G215" s="1">
        <f>DATE(C215, CHOOSE(MATCH(UPPER(B215), {"ENERO","FEBRERO","MARZO","ABRIL","MAYO","JUNIO","JULIO","AGOSTO","SEPTIEMBRE","OCTUBRE","NOVIEMBRE","DICIEMBRE"}, 0), 1,2,3,4,5,6,7,8,9,10,11,12), A215)</f>
        <v>44500</v>
      </c>
      <c r="H215">
        <v>45</v>
      </c>
      <c r="I215">
        <v>48000</v>
      </c>
      <c r="J215" s="1">
        <f t="shared" si="7"/>
        <v>43680</v>
      </c>
      <c r="K215" s="2" t="e">
        <f t="shared" si="6"/>
        <v>#N/A</v>
      </c>
    </row>
    <row r="216" spans="1:11" x14ac:dyDescent="0.25">
      <c r="A216">
        <v>1</v>
      </c>
      <c r="B216" t="s">
        <v>19</v>
      </c>
      <c r="C216">
        <v>2021</v>
      </c>
      <c r="D216">
        <v>26</v>
      </c>
      <c r="E216" t="s">
        <v>9</v>
      </c>
      <c r="F216">
        <v>8.5</v>
      </c>
      <c r="G216" s="1">
        <f>DATE(C216, CHOOSE(MATCH(UPPER(B216), {"ENERO","FEBRERO","MARZO","ABRIL","MAYO","JUNIO","JULIO","AGOSTO","SEPTIEMBRE","OCTUBRE","NOVIEMBRE","DICIEMBRE"}, 0), 1,2,3,4,5,6,7,8,9,10,11,12), A216)</f>
        <v>44501</v>
      </c>
      <c r="H216">
        <v>17.5</v>
      </c>
      <c r="I216">
        <v>48000</v>
      </c>
      <c r="J216" s="1">
        <f t="shared" si="7"/>
        <v>43681</v>
      </c>
      <c r="K216" s="2" t="e">
        <f t="shared" si="6"/>
        <v>#N/A</v>
      </c>
    </row>
    <row r="217" spans="1:11" x14ac:dyDescent="0.25">
      <c r="A217">
        <v>2</v>
      </c>
      <c r="B217" t="s">
        <v>19</v>
      </c>
      <c r="C217">
        <v>2021</v>
      </c>
      <c r="D217">
        <v>8.5</v>
      </c>
      <c r="E217">
        <v>20</v>
      </c>
      <c r="F217">
        <v>20.75</v>
      </c>
      <c r="G217" s="1">
        <f>DATE(C217, CHOOSE(MATCH(UPPER(B217), {"ENERO","FEBRERO","MARZO","ABRIL","MAYO","JUNIO","JULIO","AGOSTO","SEPTIEMBRE","OCTUBRE","NOVIEMBRE","DICIEMBRE"}, 0), 1,2,3,4,5,6,7,8,9,10,11,12), A217)</f>
        <v>44502</v>
      </c>
      <c r="H217">
        <v>7.75</v>
      </c>
      <c r="I217">
        <v>48000</v>
      </c>
      <c r="J217" s="1">
        <f t="shared" si="7"/>
        <v>43682</v>
      </c>
      <c r="K217" s="2" t="e">
        <f t="shared" si="6"/>
        <v>#N/A</v>
      </c>
    </row>
    <row r="218" spans="1:11" x14ac:dyDescent="0.25">
      <c r="A218">
        <v>3</v>
      </c>
      <c r="B218" t="s">
        <v>19</v>
      </c>
      <c r="C218">
        <v>2021</v>
      </c>
      <c r="D218">
        <v>20.75</v>
      </c>
      <c r="E218" t="s">
        <v>9</v>
      </c>
      <c r="F218">
        <v>11</v>
      </c>
      <c r="G218" s="1">
        <f>DATE(C218, CHOOSE(MATCH(UPPER(B218), {"ENERO","FEBRERO","MARZO","ABRIL","MAYO","JUNIO","JULIO","AGOSTO","SEPTIEMBRE","OCTUBRE","NOVIEMBRE","DICIEMBRE"}, 0), 1,2,3,4,5,6,7,8,9,10,11,12), A218)</f>
        <v>44503</v>
      </c>
      <c r="H218">
        <v>9.75</v>
      </c>
      <c r="I218">
        <v>48000</v>
      </c>
      <c r="J218" s="1">
        <f t="shared" si="7"/>
        <v>43683</v>
      </c>
      <c r="K218" s="2" t="e">
        <f t="shared" si="6"/>
        <v>#N/A</v>
      </c>
    </row>
    <row r="219" spans="1:11" x14ac:dyDescent="0.25">
      <c r="A219">
        <v>4</v>
      </c>
      <c r="B219" t="s">
        <v>19</v>
      </c>
      <c r="C219">
        <v>2021</v>
      </c>
      <c r="D219">
        <v>11</v>
      </c>
      <c r="E219">
        <v>49</v>
      </c>
      <c r="F219">
        <v>53.375</v>
      </c>
      <c r="G219" s="1">
        <f>DATE(C219, CHOOSE(MATCH(UPPER(B219), {"ENERO","FEBRERO","MARZO","ABRIL","MAYO","JUNIO","JULIO","AGOSTO","SEPTIEMBRE","OCTUBRE","NOVIEMBRE","DICIEMBRE"}, 0), 1,2,3,4,5,6,7,8,9,10,11,12), A219)</f>
        <v>44504</v>
      </c>
      <c r="H219">
        <v>6.625</v>
      </c>
      <c r="I219">
        <v>48000</v>
      </c>
      <c r="J219" s="1">
        <f t="shared" si="7"/>
        <v>43684</v>
      </c>
      <c r="K219" s="2" t="e">
        <f t="shared" si="6"/>
        <v>#N/A</v>
      </c>
    </row>
    <row r="220" spans="1:11" x14ac:dyDescent="0.25">
      <c r="A220">
        <v>5</v>
      </c>
      <c r="B220" t="s">
        <v>19</v>
      </c>
      <c r="C220">
        <v>2021</v>
      </c>
      <c r="D220">
        <v>53.375</v>
      </c>
      <c r="E220" t="s">
        <v>9</v>
      </c>
      <c r="F220">
        <v>33.875</v>
      </c>
      <c r="G220" s="1">
        <f>DATE(C220, CHOOSE(MATCH(UPPER(B220), {"ENERO","FEBRERO","MARZO","ABRIL","MAYO","JUNIO","JULIO","AGOSTO","SEPTIEMBRE","OCTUBRE","NOVIEMBRE","DICIEMBRE"}, 0), 1,2,3,4,5,6,7,8,9,10,11,12), A220)</f>
        <v>44505</v>
      </c>
      <c r="H220">
        <v>19.5</v>
      </c>
      <c r="I220">
        <v>48000</v>
      </c>
      <c r="J220" s="1">
        <f t="shared" si="7"/>
        <v>43685</v>
      </c>
      <c r="K220" s="2" t="e">
        <f t="shared" si="6"/>
        <v>#N/A</v>
      </c>
    </row>
    <row r="221" spans="1:11" x14ac:dyDescent="0.25">
      <c r="A221">
        <v>6</v>
      </c>
      <c r="B221" t="s">
        <v>19</v>
      </c>
      <c r="C221">
        <v>2021</v>
      </c>
      <c r="D221">
        <v>33.875</v>
      </c>
      <c r="E221" t="s">
        <v>9</v>
      </c>
      <c r="F221">
        <v>9.25</v>
      </c>
      <c r="G221" s="1">
        <f>DATE(C221, CHOOSE(MATCH(UPPER(B221), {"ENERO","FEBRERO","MARZO","ABRIL","MAYO","JUNIO","JULIO","AGOSTO","SEPTIEMBRE","OCTUBRE","NOVIEMBRE","DICIEMBRE"}, 0), 1,2,3,4,5,6,7,8,9,10,11,12), A221)</f>
        <v>44506</v>
      </c>
      <c r="H221">
        <v>24.625</v>
      </c>
      <c r="I221">
        <v>48000</v>
      </c>
      <c r="J221" s="1">
        <f t="shared" si="7"/>
        <v>43686</v>
      </c>
      <c r="K221" s="2" t="e">
        <f t="shared" si="6"/>
        <v>#N/A</v>
      </c>
    </row>
    <row r="222" spans="1:11" x14ac:dyDescent="0.25">
      <c r="A222">
        <v>7</v>
      </c>
      <c r="B222" t="s">
        <v>19</v>
      </c>
      <c r="C222">
        <v>2021</v>
      </c>
      <c r="D222">
        <v>9.25</v>
      </c>
      <c r="E222">
        <v>20</v>
      </c>
      <c r="F222">
        <v>11</v>
      </c>
      <c r="G222" s="1">
        <f>DATE(C222, CHOOSE(MATCH(UPPER(B222), {"ENERO","FEBRERO","MARZO","ABRIL","MAYO","JUNIO","JULIO","AGOSTO","SEPTIEMBRE","OCTUBRE","NOVIEMBRE","DICIEMBRE"}, 0), 1,2,3,4,5,6,7,8,9,10,11,12), A222)</f>
        <v>44507</v>
      </c>
      <c r="H222">
        <v>18.25</v>
      </c>
      <c r="I222">
        <v>48000</v>
      </c>
      <c r="J222" s="1">
        <f t="shared" si="7"/>
        <v>43687</v>
      </c>
      <c r="K222" s="2" t="e">
        <f t="shared" si="6"/>
        <v>#N/A</v>
      </c>
    </row>
    <row r="223" spans="1:11" x14ac:dyDescent="0.25">
      <c r="A223">
        <v>8</v>
      </c>
      <c r="B223" t="s">
        <v>19</v>
      </c>
      <c r="C223">
        <v>2021</v>
      </c>
      <c r="D223">
        <v>11</v>
      </c>
      <c r="E223">
        <v>40</v>
      </c>
      <c r="F223">
        <v>40</v>
      </c>
      <c r="G223" s="1">
        <f>DATE(C223, CHOOSE(MATCH(UPPER(B223), {"ENERO","FEBRERO","MARZO","ABRIL","MAYO","JUNIO","JULIO","AGOSTO","SEPTIEMBRE","OCTUBRE","NOVIEMBRE","DICIEMBRE"}, 0), 1,2,3,4,5,6,7,8,9,10,11,12), A223)</f>
        <v>44508</v>
      </c>
      <c r="H223">
        <v>11</v>
      </c>
      <c r="I223">
        <v>48000</v>
      </c>
      <c r="J223" s="1">
        <f t="shared" si="7"/>
        <v>43688</v>
      </c>
      <c r="K223" s="2" t="e">
        <f t="shared" si="6"/>
        <v>#N/A</v>
      </c>
    </row>
    <row r="224" spans="1:11" x14ac:dyDescent="0.25">
      <c r="A224">
        <v>9</v>
      </c>
      <c r="B224" t="s">
        <v>19</v>
      </c>
      <c r="C224">
        <v>2021</v>
      </c>
      <c r="D224">
        <v>40</v>
      </c>
      <c r="E224" t="s">
        <v>9</v>
      </c>
      <c r="F224">
        <v>30.75</v>
      </c>
      <c r="G224" s="1">
        <f>DATE(C224, CHOOSE(MATCH(UPPER(B224), {"ENERO","FEBRERO","MARZO","ABRIL","MAYO","JUNIO","JULIO","AGOSTO","SEPTIEMBRE","OCTUBRE","NOVIEMBRE","DICIEMBRE"}, 0), 1,2,3,4,5,6,7,8,9,10,11,12), A224)</f>
        <v>44509</v>
      </c>
      <c r="H224">
        <v>9.25</v>
      </c>
      <c r="I224">
        <v>48000</v>
      </c>
      <c r="J224" s="1">
        <f t="shared" si="7"/>
        <v>43689</v>
      </c>
      <c r="K224" s="2" t="e">
        <f t="shared" si="6"/>
        <v>#N/A</v>
      </c>
    </row>
    <row r="225" spans="1:11" x14ac:dyDescent="0.25">
      <c r="A225">
        <v>10</v>
      </c>
      <c r="B225" t="s">
        <v>19</v>
      </c>
      <c r="C225">
        <v>2021</v>
      </c>
      <c r="D225">
        <v>30.75</v>
      </c>
      <c r="E225" t="s">
        <v>9</v>
      </c>
      <c r="F225">
        <v>18</v>
      </c>
      <c r="G225" s="1">
        <f>DATE(C225, CHOOSE(MATCH(UPPER(B225), {"ENERO","FEBRERO","MARZO","ABRIL","MAYO","JUNIO","JULIO","AGOSTO","SEPTIEMBRE","OCTUBRE","NOVIEMBRE","DICIEMBRE"}, 0), 1,2,3,4,5,6,7,8,9,10,11,12), A225)</f>
        <v>44510</v>
      </c>
      <c r="H225">
        <v>12.75</v>
      </c>
      <c r="I225">
        <v>48000</v>
      </c>
      <c r="J225" s="1">
        <f t="shared" si="7"/>
        <v>43690</v>
      </c>
      <c r="K225" s="2" t="e">
        <f t="shared" si="6"/>
        <v>#N/A</v>
      </c>
    </row>
    <row r="226" spans="1:11" x14ac:dyDescent="0.25">
      <c r="A226">
        <v>11</v>
      </c>
      <c r="B226" t="s">
        <v>19</v>
      </c>
      <c r="C226">
        <v>2021</v>
      </c>
      <c r="D226">
        <v>18</v>
      </c>
      <c r="E226">
        <v>50</v>
      </c>
      <c r="F226">
        <v>56.625</v>
      </c>
      <c r="G226" s="1">
        <f>DATE(C226, CHOOSE(MATCH(UPPER(B226), {"ENERO","FEBRERO","MARZO","ABRIL","MAYO","JUNIO","JULIO","AGOSTO","SEPTIEMBRE","OCTUBRE","NOVIEMBRE","DICIEMBRE"}, 0), 1,2,3,4,5,6,7,8,9,10,11,12), A226)</f>
        <v>44511</v>
      </c>
      <c r="H226">
        <v>11.375</v>
      </c>
      <c r="I226">
        <v>48000</v>
      </c>
      <c r="J226" s="1">
        <f t="shared" si="7"/>
        <v>43691</v>
      </c>
      <c r="K226" s="2" t="e">
        <f t="shared" si="6"/>
        <v>#N/A</v>
      </c>
    </row>
    <row r="227" spans="1:11" x14ac:dyDescent="0.25">
      <c r="A227">
        <v>12</v>
      </c>
      <c r="B227" t="s">
        <v>19</v>
      </c>
      <c r="C227">
        <v>2021</v>
      </c>
      <c r="D227">
        <v>56.625</v>
      </c>
      <c r="E227" t="s">
        <v>9</v>
      </c>
      <c r="F227">
        <v>51.375</v>
      </c>
      <c r="G227" s="1">
        <f>DATE(C227, CHOOSE(MATCH(UPPER(B227), {"ENERO","FEBRERO","MARZO","ABRIL","MAYO","JUNIO","JULIO","AGOSTO","SEPTIEMBRE","OCTUBRE","NOVIEMBRE","DICIEMBRE"}, 0), 1,2,3,4,5,6,7,8,9,10,11,12), A227)</f>
        <v>44512</v>
      </c>
      <c r="H227">
        <v>5.25</v>
      </c>
      <c r="I227">
        <v>48000</v>
      </c>
      <c r="J227" s="1">
        <f t="shared" si="7"/>
        <v>43692</v>
      </c>
      <c r="K227" s="2" t="e">
        <f t="shared" si="6"/>
        <v>#N/A</v>
      </c>
    </row>
    <row r="228" spans="1:11" x14ac:dyDescent="0.25">
      <c r="A228">
        <v>13</v>
      </c>
      <c r="B228" t="s">
        <v>19</v>
      </c>
      <c r="C228">
        <v>2021</v>
      </c>
      <c r="D228">
        <v>51.375</v>
      </c>
      <c r="E228">
        <v>70</v>
      </c>
      <c r="F228">
        <v>104.625</v>
      </c>
      <c r="G228" s="1">
        <f>DATE(C228, CHOOSE(MATCH(UPPER(B228), {"ENERO","FEBRERO","MARZO","ABRIL","MAYO","JUNIO","JULIO","AGOSTO","SEPTIEMBRE","OCTUBRE","NOVIEMBRE","DICIEMBRE"}, 0), 1,2,3,4,5,6,7,8,9,10,11,12), A228)</f>
        <v>44513</v>
      </c>
      <c r="H228">
        <v>16.75</v>
      </c>
      <c r="I228">
        <v>48000</v>
      </c>
      <c r="J228" s="1">
        <f t="shared" si="7"/>
        <v>43693</v>
      </c>
      <c r="K228" s="2" t="e">
        <f t="shared" si="6"/>
        <v>#N/A</v>
      </c>
    </row>
    <row r="229" spans="1:11" x14ac:dyDescent="0.25">
      <c r="A229">
        <v>14</v>
      </c>
      <c r="B229" t="s">
        <v>19</v>
      </c>
      <c r="C229">
        <v>2021</v>
      </c>
      <c r="D229">
        <v>104.625</v>
      </c>
      <c r="E229" t="s">
        <v>9</v>
      </c>
      <c r="F229">
        <v>80.75</v>
      </c>
      <c r="G229" s="1">
        <f>DATE(C229, CHOOSE(MATCH(UPPER(B229), {"ENERO","FEBRERO","MARZO","ABRIL","MAYO","JUNIO","JULIO","AGOSTO","SEPTIEMBRE","OCTUBRE","NOVIEMBRE","DICIEMBRE"}, 0), 1,2,3,4,5,6,7,8,9,10,11,12), A229)</f>
        <v>44514</v>
      </c>
      <c r="H229">
        <v>23.875</v>
      </c>
      <c r="I229">
        <v>48000</v>
      </c>
      <c r="J229" s="1">
        <f t="shared" si="7"/>
        <v>43694</v>
      </c>
      <c r="K229" s="2" t="e">
        <f t="shared" si="6"/>
        <v>#N/A</v>
      </c>
    </row>
    <row r="230" spans="1:11" x14ac:dyDescent="0.25">
      <c r="A230">
        <v>15</v>
      </c>
      <c r="B230" t="s">
        <v>19</v>
      </c>
      <c r="C230">
        <v>2021</v>
      </c>
      <c r="D230">
        <v>80.75</v>
      </c>
      <c r="E230" t="s">
        <v>9</v>
      </c>
      <c r="F230">
        <v>68.5</v>
      </c>
      <c r="G230" s="1">
        <f>DATE(C230, CHOOSE(MATCH(UPPER(B230), {"ENERO","FEBRERO","MARZO","ABRIL","MAYO","JUNIO","JULIO","AGOSTO","SEPTIEMBRE","OCTUBRE","NOVIEMBRE","DICIEMBRE"}, 0), 1,2,3,4,5,6,7,8,9,10,11,12), A230)</f>
        <v>44515</v>
      </c>
      <c r="H230">
        <v>12.25</v>
      </c>
      <c r="I230">
        <v>48000</v>
      </c>
      <c r="J230" s="1">
        <f t="shared" si="7"/>
        <v>43695</v>
      </c>
      <c r="K230" s="2" t="e">
        <f t="shared" si="6"/>
        <v>#N/A</v>
      </c>
    </row>
    <row r="231" spans="1:11" x14ac:dyDescent="0.25">
      <c r="A231">
        <v>16</v>
      </c>
      <c r="B231" t="s">
        <v>19</v>
      </c>
      <c r="C231">
        <v>2021</v>
      </c>
      <c r="D231">
        <v>68.5</v>
      </c>
      <c r="E231" t="s">
        <v>9</v>
      </c>
      <c r="F231">
        <v>54.75</v>
      </c>
      <c r="G231" s="1">
        <f>DATE(C231, CHOOSE(MATCH(UPPER(B231), {"ENERO","FEBRERO","MARZO","ABRIL","MAYO","JUNIO","JULIO","AGOSTO","SEPTIEMBRE","OCTUBRE","NOVIEMBRE","DICIEMBRE"}, 0), 1,2,3,4,5,6,7,8,9,10,11,12), A231)</f>
        <v>44516</v>
      </c>
      <c r="H231">
        <v>13.75</v>
      </c>
      <c r="I231">
        <v>48000</v>
      </c>
      <c r="J231" s="1">
        <f t="shared" si="7"/>
        <v>43696</v>
      </c>
      <c r="K231" s="2" t="e">
        <f t="shared" si="6"/>
        <v>#N/A</v>
      </c>
    </row>
    <row r="232" spans="1:11" x14ac:dyDescent="0.25">
      <c r="A232">
        <v>17</v>
      </c>
      <c r="B232" t="s">
        <v>19</v>
      </c>
      <c r="C232">
        <v>2021</v>
      </c>
      <c r="D232">
        <v>54.75</v>
      </c>
      <c r="E232" t="s">
        <v>9</v>
      </c>
      <c r="F232">
        <v>44.37</v>
      </c>
      <c r="G232" s="1">
        <f>DATE(C232, CHOOSE(MATCH(UPPER(B232), {"ENERO","FEBRERO","MARZO","ABRIL","MAYO","JUNIO","JULIO","AGOSTO","SEPTIEMBRE","OCTUBRE","NOVIEMBRE","DICIEMBRE"}, 0), 1,2,3,4,5,6,7,8,9,10,11,12), A232)</f>
        <v>44517</v>
      </c>
      <c r="H232">
        <v>10.38</v>
      </c>
      <c r="I232">
        <v>48000</v>
      </c>
      <c r="J232" s="1">
        <f t="shared" si="7"/>
        <v>43697</v>
      </c>
      <c r="K232" s="2" t="e">
        <f t="shared" si="6"/>
        <v>#N/A</v>
      </c>
    </row>
    <row r="233" spans="1:11" x14ac:dyDescent="0.25">
      <c r="A233">
        <v>18</v>
      </c>
      <c r="B233" t="s">
        <v>19</v>
      </c>
      <c r="C233">
        <v>2021</v>
      </c>
      <c r="D233">
        <v>44.37</v>
      </c>
      <c r="E233">
        <v>30</v>
      </c>
      <c r="F233">
        <v>69.875</v>
      </c>
      <c r="G233" s="1">
        <f>DATE(C233, CHOOSE(MATCH(UPPER(B233), {"ENERO","FEBRERO","MARZO","ABRIL","MAYO","JUNIO","JULIO","AGOSTO","SEPTIEMBRE","OCTUBRE","NOVIEMBRE","DICIEMBRE"}, 0), 1,2,3,4,5,6,7,8,9,10,11,12), A233)</f>
        <v>44518</v>
      </c>
      <c r="H233">
        <v>4.4950000000000001</v>
      </c>
      <c r="I233">
        <v>48000</v>
      </c>
      <c r="J233" s="1">
        <f t="shared" si="7"/>
        <v>43698</v>
      </c>
      <c r="K233" s="2" t="e">
        <f t="shared" si="6"/>
        <v>#N/A</v>
      </c>
    </row>
    <row r="234" spans="1:11" x14ac:dyDescent="0.25">
      <c r="A234">
        <v>19</v>
      </c>
      <c r="B234" t="s">
        <v>19</v>
      </c>
      <c r="C234">
        <v>2021</v>
      </c>
      <c r="D234">
        <v>69.875</v>
      </c>
      <c r="E234" t="s">
        <v>9</v>
      </c>
      <c r="F234">
        <v>56.125</v>
      </c>
      <c r="G234" s="1">
        <f>DATE(C234, CHOOSE(MATCH(UPPER(B234), {"ENERO","FEBRERO","MARZO","ABRIL","MAYO","JUNIO","JULIO","AGOSTO","SEPTIEMBRE","OCTUBRE","NOVIEMBRE","DICIEMBRE"}, 0), 1,2,3,4,5,6,7,8,9,10,11,12), A234)</f>
        <v>44519</v>
      </c>
      <c r="H234">
        <v>13.75</v>
      </c>
      <c r="I234">
        <v>48000</v>
      </c>
      <c r="J234" s="1">
        <f t="shared" si="7"/>
        <v>43699</v>
      </c>
      <c r="K234" s="2" t="e">
        <f t="shared" si="6"/>
        <v>#N/A</v>
      </c>
    </row>
    <row r="235" spans="1:11" x14ac:dyDescent="0.25">
      <c r="A235">
        <v>20</v>
      </c>
      <c r="B235" t="s">
        <v>19</v>
      </c>
      <c r="C235">
        <v>2021</v>
      </c>
      <c r="D235">
        <v>56.125</v>
      </c>
      <c r="E235" t="s">
        <v>9</v>
      </c>
      <c r="F235">
        <v>32.75</v>
      </c>
      <c r="G235" s="1">
        <f>DATE(C235, CHOOSE(MATCH(UPPER(B235), {"ENERO","FEBRERO","MARZO","ABRIL","MAYO","JUNIO","JULIO","AGOSTO","SEPTIEMBRE","OCTUBRE","NOVIEMBRE","DICIEMBRE"}, 0), 1,2,3,4,5,6,7,8,9,10,11,12), A235)</f>
        <v>44520</v>
      </c>
      <c r="H235">
        <v>23.375</v>
      </c>
      <c r="I235">
        <v>48000</v>
      </c>
      <c r="J235" s="1">
        <f t="shared" si="7"/>
        <v>43700</v>
      </c>
      <c r="K235" s="2" t="e">
        <f t="shared" si="6"/>
        <v>#N/A</v>
      </c>
    </row>
    <row r="236" spans="1:11" x14ac:dyDescent="0.25">
      <c r="A236">
        <v>21</v>
      </c>
      <c r="B236" t="s">
        <v>19</v>
      </c>
      <c r="C236">
        <v>2021</v>
      </c>
      <c r="D236">
        <v>32.75</v>
      </c>
      <c r="E236" t="s">
        <v>9</v>
      </c>
      <c r="F236">
        <v>14</v>
      </c>
      <c r="G236" s="1">
        <f>DATE(C236, CHOOSE(MATCH(UPPER(B236), {"ENERO","FEBRERO","MARZO","ABRIL","MAYO","JUNIO","JULIO","AGOSTO","SEPTIEMBRE","OCTUBRE","NOVIEMBRE","DICIEMBRE"}, 0), 1,2,3,4,5,6,7,8,9,10,11,12), A236)</f>
        <v>44521</v>
      </c>
      <c r="H236">
        <v>18.75</v>
      </c>
      <c r="I236">
        <v>48000</v>
      </c>
      <c r="J236" s="1">
        <f t="shared" si="7"/>
        <v>43701</v>
      </c>
      <c r="K236" s="2" t="e">
        <f t="shared" si="6"/>
        <v>#N/A</v>
      </c>
    </row>
    <row r="237" spans="1:11" x14ac:dyDescent="0.25">
      <c r="A237">
        <v>22</v>
      </c>
      <c r="B237" t="s">
        <v>19</v>
      </c>
      <c r="C237">
        <v>2021</v>
      </c>
      <c r="D237">
        <v>14</v>
      </c>
      <c r="E237" t="s">
        <v>9</v>
      </c>
      <c r="F237">
        <v>8.3000000000000007</v>
      </c>
      <c r="G237" s="1">
        <f>DATE(C237, CHOOSE(MATCH(UPPER(B237), {"ENERO","FEBRERO","MARZO","ABRIL","MAYO","JUNIO","JULIO","AGOSTO","SEPTIEMBRE","OCTUBRE","NOVIEMBRE","DICIEMBRE"}, 0), 1,2,3,4,5,6,7,8,9,10,11,12), A237)</f>
        <v>44522</v>
      </c>
      <c r="H237">
        <v>5.7</v>
      </c>
      <c r="I237">
        <v>48000</v>
      </c>
      <c r="J237" s="1">
        <f t="shared" si="7"/>
        <v>43702</v>
      </c>
      <c r="K237" s="2" t="e">
        <f t="shared" si="6"/>
        <v>#N/A</v>
      </c>
    </row>
    <row r="238" spans="1:11" x14ac:dyDescent="0.25">
      <c r="A238">
        <v>23</v>
      </c>
      <c r="B238" t="s">
        <v>19</v>
      </c>
      <c r="C238">
        <v>2021</v>
      </c>
      <c r="D238">
        <v>8.3000000000000007</v>
      </c>
      <c r="E238">
        <v>15</v>
      </c>
      <c r="F238">
        <v>13.75</v>
      </c>
      <c r="G238" s="1">
        <f>DATE(C238, CHOOSE(MATCH(UPPER(B238), {"ENERO","FEBRERO","MARZO","ABRIL","MAYO","JUNIO","JULIO","AGOSTO","SEPTIEMBRE","OCTUBRE","NOVIEMBRE","DICIEMBRE"}, 0), 1,2,3,4,5,6,7,8,9,10,11,12), A238)</f>
        <v>44523</v>
      </c>
      <c r="H238">
        <v>9.5500000000000007</v>
      </c>
      <c r="I238">
        <v>48000</v>
      </c>
      <c r="J238" s="1">
        <f t="shared" si="7"/>
        <v>43703</v>
      </c>
      <c r="K238" s="2" t="e">
        <f t="shared" si="6"/>
        <v>#N/A</v>
      </c>
    </row>
    <row r="239" spans="1:11" x14ac:dyDescent="0.25">
      <c r="A239">
        <v>24</v>
      </c>
      <c r="B239" t="s">
        <v>19</v>
      </c>
      <c r="C239">
        <v>2021</v>
      </c>
      <c r="D239">
        <v>13.75</v>
      </c>
      <c r="E239">
        <v>5</v>
      </c>
      <c r="F239">
        <v>7.375</v>
      </c>
      <c r="G239" s="1">
        <f>DATE(C239, CHOOSE(MATCH(UPPER(B239), {"ENERO","FEBRERO","MARZO","ABRIL","MAYO","JUNIO","JULIO","AGOSTO","SEPTIEMBRE","OCTUBRE","NOVIEMBRE","DICIEMBRE"}, 0), 1,2,3,4,5,6,7,8,9,10,11,12), A239)</f>
        <v>44524</v>
      </c>
      <c r="H239">
        <v>11.375</v>
      </c>
      <c r="I239">
        <v>48000</v>
      </c>
      <c r="J239" s="1">
        <f t="shared" si="7"/>
        <v>43704</v>
      </c>
      <c r="K239" s="2" t="e">
        <f t="shared" si="6"/>
        <v>#N/A</v>
      </c>
    </row>
    <row r="240" spans="1:11" x14ac:dyDescent="0.25">
      <c r="A240">
        <v>25</v>
      </c>
      <c r="B240" t="s">
        <v>19</v>
      </c>
      <c r="C240">
        <v>2021</v>
      </c>
      <c r="D240">
        <v>7.375</v>
      </c>
      <c r="E240">
        <v>10</v>
      </c>
      <c r="F240">
        <v>6.875</v>
      </c>
      <c r="G240" s="1">
        <f>DATE(C240, CHOOSE(MATCH(UPPER(B240), {"ENERO","FEBRERO","MARZO","ABRIL","MAYO","JUNIO","JULIO","AGOSTO","SEPTIEMBRE","OCTUBRE","NOVIEMBRE","DICIEMBRE"}, 0), 1,2,3,4,5,6,7,8,9,10,11,12), A240)</f>
        <v>44525</v>
      </c>
      <c r="H240">
        <v>10.5</v>
      </c>
      <c r="I240">
        <v>48000</v>
      </c>
      <c r="J240" s="1">
        <f t="shared" si="7"/>
        <v>43705</v>
      </c>
      <c r="K240" s="2" t="e">
        <f t="shared" si="6"/>
        <v>#N/A</v>
      </c>
    </row>
    <row r="241" spans="1:11" x14ac:dyDescent="0.25">
      <c r="A241">
        <v>26</v>
      </c>
      <c r="B241" t="s">
        <v>19</v>
      </c>
      <c r="C241">
        <v>2021</v>
      </c>
      <c r="D241">
        <v>6.875</v>
      </c>
      <c r="E241">
        <v>20</v>
      </c>
      <c r="F241">
        <v>14.25</v>
      </c>
      <c r="G241" s="1">
        <f>DATE(C241, CHOOSE(MATCH(UPPER(B241), {"ENERO","FEBRERO","MARZO","ABRIL","MAYO","JUNIO","JULIO","AGOSTO","SEPTIEMBRE","OCTUBRE","NOVIEMBRE","DICIEMBRE"}, 0), 1,2,3,4,5,6,7,8,9,10,11,12), A241)</f>
        <v>44526</v>
      </c>
      <c r="H241">
        <v>12.625</v>
      </c>
      <c r="I241">
        <v>48000</v>
      </c>
      <c r="J241" s="1">
        <f t="shared" si="7"/>
        <v>43706</v>
      </c>
      <c r="K241" s="2" t="e">
        <f t="shared" si="6"/>
        <v>#N/A</v>
      </c>
    </row>
    <row r="242" spans="1:11" x14ac:dyDescent="0.25">
      <c r="A242">
        <v>27</v>
      </c>
      <c r="B242" t="s">
        <v>19</v>
      </c>
      <c r="C242">
        <v>2021</v>
      </c>
      <c r="D242">
        <v>14.25</v>
      </c>
      <c r="E242">
        <v>11</v>
      </c>
      <c r="F242">
        <v>0.25</v>
      </c>
      <c r="G242" s="1">
        <f>DATE(C242, CHOOSE(MATCH(UPPER(B242), {"ENERO","FEBRERO","MARZO","ABRIL","MAYO","JUNIO","JULIO","AGOSTO","SEPTIEMBRE","OCTUBRE","NOVIEMBRE","DICIEMBRE"}, 0), 1,2,3,4,5,6,7,8,9,10,11,12), A242)</f>
        <v>44527</v>
      </c>
      <c r="H242">
        <v>25</v>
      </c>
      <c r="I242">
        <v>48000</v>
      </c>
      <c r="J242" s="1">
        <f t="shared" si="7"/>
        <v>43707</v>
      </c>
      <c r="K242" s="2" t="e">
        <f t="shared" si="6"/>
        <v>#N/A</v>
      </c>
    </row>
    <row r="243" spans="1:11" x14ac:dyDescent="0.25">
      <c r="A243">
        <v>28</v>
      </c>
      <c r="B243" t="s">
        <v>19</v>
      </c>
      <c r="C243">
        <v>2021</v>
      </c>
      <c r="D243">
        <v>0.25</v>
      </c>
      <c r="E243">
        <v>26</v>
      </c>
      <c r="F243">
        <v>4.375</v>
      </c>
      <c r="G243" s="1">
        <f>DATE(C243, CHOOSE(MATCH(UPPER(B243), {"ENERO","FEBRERO","MARZO","ABRIL","MAYO","JUNIO","JULIO","AGOSTO","SEPTIEMBRE","OCTUBRE","NOVIEMBRE","DICIEMBRE"}, 0), 1,2,3,4,5,6,7,8,9,10,11,12), A243)</f>
        <v>44528</v>
      </c>
      <c r="H243">
        <v>21.875</v>
      </c>
      <c r="I243">
        <v>48000</v>
      </c>
      <c r="J243" s="1">
        <f t="shared" si="7"/>
        <v>43708</v>
      </c>
      <c r="K243" s="2" t="e">
        <f t="shared" si="6"/>
        <v>#N/A</v>
      </c>
    </row>
    <row r="244" spans="1:11" x14ac:dyDescent="0.25">
      <c r="A244">
        <v>29</v>
      </c>
      <c r="B244" t="s">
        <v>19</v>
      </c>
      <c r="C244">
        <v>2021</v>
      </c>
      <c r="D244">
        <v>4.375</v>
      </c>
      <c r="E244">
        <v>10</v>
      </c>
      <c r="F244">
        <v>4.25</v>
      </c>
      <c r="G244" s="1">
        <f>DATE(C244, CHOOSE(MATCH(UPPER(B244), {"ENERO","FEBRERO","MARZO","ABRIL","MAYO","JUNIO","JULIO","AGOSTO","SEPTIEMBRE","OCTUBRE","NOVIEMBRE","DICIEMBRE"}, 0), 1,2,3,4,5,6,7,8,9,10,11,12), A244)</f>
        <v>44529</v>
      </c>
      <c r="H244">
        <v>10.125</v>
      </c>
      <c r="I244">
        <v>48000</v>
      </c>
      <c r="J244" s="1">
        <f t="shared" si="7"/>
        <v>43709</v>
      </c>
      <c r="K244" s="2" t="e">
        <f t="shared" si="6"/>
        <v>#N/A</v>
      </c>
    </row>
    <row r="245" spans="1:11" x14ac:dyDescent="0.25">
      <c r="A245">
        <v>30</v>
      </c>
      <c r="B245" t="s">
        <v>19</v>
      </c>
      <c r="C245">
        <v>2021</v>
      </c>
      <c r="D245">
        <v>4.25</v>
      </c>
      <c r="E245">
        <v>10</v>
      </c>
      <c r="F245">
        <v>5.25</v>
      </c>
      <c r="G245" s="1">
        <f>DATE(C245, CHOOSE(MATCH(UPPER(B245), {"ENERO","FEBRERO","MARZO","ABRIL","MAYO","JUNIO","JULIO","AGOSTO","SEPTIEMBRE","OCTUBRE","NOVIEMBRE","DICIEMBRE"}, 0), 1,2,3,4,5,6,7,8,9,10,11,12), A245)</f>
        <v>44530</v>
      </c>
      <c r="H245">
        <v>9</v>
      </c>
      <c r="I245">
        <v>48000</v>
      </c>
      <c r="J245" s="1">
        <f t="shared" si="7"/>
        <v>43710</v>
      </c>
      <c r="K245" s="2" t="e">
        <f t="shared" si="6"/>
        <v>#N/A</v>
      </c>
    </row>
    <row r="246" spans="1:11" x14ac:dyDescent="0.25">
      <c r="A246">
        <v>1</v>
      </c>
      <c r="B246" t="s">
        <v>20</v>
      </c>
      <c r="C246">
        <v>2021</v>
      </c>
      <c r="D246">
        <v>5.25</v>
      </c>
      <c r="E246">
        <v>30</v>
      </c>
      <c r="F246">
        <v>20.75</v>
      </c>
      <c r="G246" s="1">
        <f>DATE(C246, CHOOSE(MATCH(UPPER(B246), {"ENERO","FEBRERO","MARZO","ABRIL","MAYO","JUNIO","JULIO","AGOSTO","SEPTIEMBRE","OCTUBRE","NOVIEMBRE","DICIEMBRE"}, 0), 1,2,3,4,5,6,7,8,9,10,11,12), A246)</f>
        <v>44531</v>
      </c>
      <c r="H246">
        <v>14.5</v>
      </c>
      <c r="I246">
        <v>48000</v>
      </c>
      <c r="J246" s="1">
        <f t="shared" si="7"/>
        <v>43711</v>
      </c>
      <c r="K246" s="2" t="e">
        <f t="shared" si="6"/>
        <v>#N/A</v>
      </c>
    </row>
    <row r="247" spans="1:11" x14ac:dyDescent="0.25">
      <c r="A247">
        <v>2</v>
      </c>
      <c r="B247" t="s">
        <v>20</v>
      </c>
      <c r="C247">
        <v>2021</v>
      </c>
      <c r="D247">
        <v>20.75</v>
      </c>
      <c r="E247" t="s">
        <v>9</v>
      </c>
      <c r="F247">
        <v>11.25</v>
      </c>
      <c r="G247" s="1">
        <f>DATE(C247, CHOOSE(MATCH(UPPER(B247), {"ENERO","FEBRERO","MARZO","ABRIL","MAYO","JUNIO","JULIO","AGOSTO","SEPTIEMBRE","OCTUBRE","NOVIEMBRE","DICIEMBRE"}, 0), 1,2,3,4,5,6,7,8,9,10,11,12), A247)</f>
        <v>44532</v>
      </c>
      <c r="H247">
        <v>9.5</v>
      </c>
      <c r="I247">
        <v>48000</v>
      </c>
      <c r="J247" s="1">
        <f t="shared" si="7"/>
        <v>43712</v>
      </c>
      <c r="K247" s="2" t="e">
        <f t="shared" si="6"/>
        <v>#N/A</v>
      </c>
    </row>
    <row r="248" spans="1:11" x14ac:dyDescent="0.25">
      <c r="A248">
        <v>3</v>
      </c>
      <c r="B248" t="s">
        <v>20</v>
      </c>
      <c r="C248">
        <v>2021</v>
      </c>
      <c r="D248">
        <v>11.25</v>
      </c>
      <c r="E248">
        <v>74</v>
      </c>
      <c r="F248">
        <v>70</v>
      </c>
      <c r="G248" s="1">
        <f>DATE(C248, CHOOSE(MATCH(UPPER(B248), {"ENERO","FEBRERO","MARZO","ABRIL","MAYO","JUNIO","JULIO","AGOSTO","SEPTIEMBRE","OCTUBRE","NOVIEMBRE","DICIEMBRE"}, 0), 1,2,3,4,5,6,7,8,9,10,11,12), A248)</f>
        <v>44533</v>
      </c>
      <c r="H248">
        <v>15.25</v>
      </c>
      <c r="I248">
        <v>48000</v>
      </c>
      <c r="J248" s="1">
        <f t="shared" si="7"/>
        <v>43713</v>
      </c>
      <c r="K248" s="2" t="e">
        <f t="shared" si="6"/>
        <v>#N/A</v>
      </c>
    </row>
    <row r="249" spans="1:11" x14ac:dyDescent="0.25">
      <c r="A249">
        <v>4</v>
      </c>
      <c r="B249" t="s">
        <v>20</v>
      </c>
      <c r="C249">
        <v>2021</v>
      </c>
      <c r="D249">
        <v>70</v>
      </c>
      <c r="E249" t="s">
        <v>9</v>
      </c>
      <c r="F249">
        <v>47.5</v>
      </c>
      <c r="G249" s="1">
        <f>DATE(C249, CHOOSE(MATCH(UPPER(B249), {"ENERO","FEBRERO","MARZO","ABRIL","MAYO","JUNIO","JULIO","AGOSTO","SEPTIEMBRE","OCTUBRE","NOVIEMBRE","DICIEMBRE"}, 0), 1,2,3,4,5,6,7,8,9,10,11,12), A249)</f>
        <v>44534</v>
      </c>
      <c r="H249">
        <v>22.5</v>
      </c>
      <c r="I249">
        <v>48000</v>
      </c>
      <c r="J249" s="1">
        <f t="shared" si="7"/>
        <v>43714</v>
      </c>
      <c r="K249" s="2" t="e">
        <f t="shared" si="6"/>
        <v>#N/A</v>
      </c>
    </row>
    <row r="250" spans="1:11" x14ac:dyDescent="0.25">
      <c r="A250">
        <v>5</v>
      </c>
      <c r="B250" t="s">
        <v>20</v>
      </c>
      <c r="C250">
        <v>2021</v>
      </c>
      <c r="D250">
        <v>47.5</v>
      </c>
      <c r="E250" t="s">
        <v>9</v>
      </c>
      <c r="F250">
        <v>22.75</v>
      </c>
      <c r="G250" s="1">
        <f>DATE(C250, CHOOSE(MATCH(UPPER(B250), {"ENERO","FEBRERO","MARZO","ABRIL","MAYO","JUNIO","JULIO","AGOSTO","SEPTIEMBRE","OCTUBRE","NOVIEMBRE","DICIEMBRE"}, 0), 1,2,3,4,5,6,7,8,9,10,11,12), A250)</f>
        <v>44535</v>
      </c>
      <c r="H250">
        <v>24.75</v>
      </c>
      <c r="I250">
        <v>48000</v>
      </c>
      <c r="J250" s="1">
        <f t="shared" si="7"/>
        <v>43715</v>
      </c>
      <c r="K250" s="2" t="e">
        <f t="shared" si="6"/>
        <v>#N/A</v>
      </c>
    </row>
    <row r="251" spans="1:11" x14ac:dyDescent="0.25">
      <c r="A251">
        <v>6</v>
      </c>
      <c r="B251" t="s">
        <v>20</v>
      </c>
      <c r="C251">
        <v>2021</v>
      </c>
      <c r="D251">
        <v>22.75</v>
      </c>
      <c r="E251" t="s">
        <v>9</v>
      </c>
      <c r="F251">
        <v>16</v>
      </c>
      <c r="G251" s="1">
        <f>DATE(C251, CHOOSE(MATCH(UPPER(B251), {"ENERO","FEBRERO","MARZO","ABRIL","MAYO","JUNIO","JULIO","AGOSTO","SEPTIEMBRE","OCTUBRE","NOVIEMBRE","DICIEMBRE"}, 0), 1,2,3,4,5,6,7,8,9,10,11,12), A251)</f>
        <v>44536</v>
      </c>
      <c r="H251">
        <v>6.75</v>
      </c>
      <c r="I251">
        <v>48000</v>
      </c>
      <c r="J251" s="1">
        <f t="shared" si="7"/>
        <v>43716</v>
      </c>
      <c r="K251" s="2" t="e">
        <f t="shared" si="6"/>
        <v>#N/A</v>
      </c>
    </row>
    <row r="252" spans="1:11" x14ac:dyDescent="0.25">
      <c r="A252">
        <v>7</v>
      </c>
      <c r="B252" t="s">
        <v>20</v>
      </c>
      <c r="C252">
        <v>2021</v>
      </c>
      <c r="D252">
        <v>16</v>
      </c>
      <c r="E252">
        <v>100</v>
      </c>
      <c r="F252">
        <v>91.25</v>
      </c>
      <c r="G252" s="1">
        <f>DATE(C252, CHOOSE(MATCH(UPPER(B252), {"ENERO","FEBRERO","MARZO","ABRIL","MAYO","JUNIO","JULIO","AGOSTO","SEPTIEMBRE","OCTUBRE","NOVIEMBRE","DICIEMBRE"}, 0), 1,2,3,4,5,6,7,8,9,10,11,12), A252)</f>
        <v>44537</v>
      </c>
      <c r="H252">
        <v>24.75</v>
      </c>
      <c r="I252">
        <v>48000</v>
      </c>
      <c r="J252" s="1">
        <f t="shared" si="7"/>
        <v>43717</v>
      </c>
      <c r="K252" s="2" t="e">
        <f t="shared" si="6"/>
        <v>#N/A</v>
      </c>
    </row>
    <row r="253" spans="1:11" x14ac:dyDescent="0.25">
      <c r="A253">
        <v>8</v>
      </c>
      <c r="B253" t="s">
        <v>20</v>
      </c>
      <c r="C253">
        <v>2021</v>
      </c>
      <c r="D253">
        <v>91.25</v>
      </c>
      <c r="E253" t="s">
        <v>9</v>
      </c>
      <c r="F253">
        <v>74.375</v>
      </c>
      <c r="G253" s="1">
        <f>DATE(C253, CHOOSE(MATCH(UPPER(B253), {"ENERO","FEBRERO","MARZO","ABRIL","MAYO","JUNIO","JULIO","AGOSTO","SEPTIEMBRE","OCTUBRE","NOVIEMBRE","DICIEMBRE"}, 0), 1,2,3,4,5,6,7,8,9,10,11,12), A253)</f>
        <v>44538</v>
      </c>
      <c r="H253">
        <v>16.875</v>
      </c>
      <c r="I253">
        <v>48000</v>
      </c>
      <c r="J253" s="1">
        <f t="shared" si="7"/>
        <v>43718</v>
      </c>
      <c r="K253" s="2" t="e">
        <f t="shared" si="6"/>
        <v>#N/A</v>
      </c>
    </row>
    <row r="254" spans="1:11" x14ac:dyDescent="0.25">
      <c r="A254">
        <v>9</v>
      </c>
      <c r="B254" t="s">
        <v>20</v>
      </c>
      <c r="C254">
        <v>2021</v>
      </c>
      <c r="D254">
        <v>74.375</v>
      </c>
      <c r="E254" t="s">
        <v>9</v>
      </c>
      <c r="F254">
        <v>69</v>
      </c>
      <c r="G254" s="1">
        <f>DATE(C254, CHOOSE(MATCH(UPPER(B254), {"ENERO","FEBRERO","MARZO","ABRIL","MAYO","JUNIO","JULIO","AGOSTO","SEPTIEMBRE","OCTUBRE","NOVIEMBRE","DICIEMBRE"}, 0), 1,2,3,4,5,6,7,8,9,10,11,12), A254)</f>
        <v>44539</v>
      </c>
      <c r="H254">
        <v>5.375</v>
      </c>
      <c r="I254">
        <v>48000</v>
      </c>
      <c r="J254" s="1">
        <f t="shared" si="7"/>
        <v>43719</v>
      </c>
      <c r="K254" s="2" t="e">
        <f t="shared" si="6"/>
        <v>#N/A</v>
      </c>
    </row>
    <row r="255" spans="1:11" x14ac:dyDescent="0.25">
      <c r="A255">
        <v>10</v>
      </c>
      <c r="B255" t="s">
        <v>20</v>
      </c>
      <c r="C255">
        <v>2021</v>
      </c>
      <c r="D255">
        <v>69</v>
      </c>
      <c r="E255" t="s">
        <v>9</v>
      </c>
      <c r="F255">
        <v>61</v>
      </c>
      <c r="G255" s="1">
        <f>DATE(C255, CHOOSE(MATCH(UPPER(B255), {"ENERO","FEBRERO","MARZO","ABRIL","MAYO","JUNIO","JULIO","AGOSTO","SEPTIEMBRE","OCTUBRE","NOVIEMBRE","DICIEMBRE"}, 0), 1,2,3,4,5,6,7,8,9,10,11,12), A255)</f>
        <v>44540</v>
      </c>
      <c r="H255">
        <v>8</v>
      </c>
      <c r="I255">
        <v>48000</v>
      </c>
      <c r="J255" s="1">
        <f t="shared" si="7"/>
        <v>43720</v>
      </c>
      <c r="K255" s="2" t="e">
        <f t="shared" si="6"/>
        <v>#N/A</v>
      </c>
    </row>
    <row r="256" spans="1:11" x14ac:dyDescent="0.25">
      <c r="A256">
        <v>11</v>
      </c>
      <c r="B256" t="s">
        <v>20</v>
      </c>
      <c r="C256">
        <v>2021</v>
      </c>
      <c r="D256">
        <v>61</v>
      </c>
      <c r="E256" t="s">
        <v>9</v>
      </c>
      <c r="F256">
        <v>42.75</v>
      </c>
      <c r="G256" s="1">
        <f>DATE(C256, CHOOSE(MATCH(UPPER(B256), {"ENERO","FEBRERO","MARZO","ABRIL","MAYO","JUNIO","JULIO","AGOSTO","SEPTIEMBRE","OCTUBRE","NOVIEMBRE","DICIEMBRE"}, 0), 1,2,3,4,5,6,7,8,9,10,11,12), A256)</f>
        <v>44541</v>
      </c>
      <c r="H256">
        <v>18.25</v>
      </c>
      <c r="I256">
        <v>48000</v>
      </c>
      <c r="J256" s="1">
        <f t="shared" si="7"/>
        <v>43721</v>
      </c>
      <c r="K256" s="2" t="e">
        <f t="shared" si="6"/>
        <v>#N/A</v>
      </c>
    </row>
    <row r="257" spans="1:11" x14ac:dyDescent="0.25">
      <c r="A257">
        <v>12</v>
      </c>
      <c r="B257" t="s">
        <v>20</v>
      </c>
      <c r="C257">
        <v>2021</v>
      </c>
      <c r="D257">
        <v>42.75</v>
      </c>
      <c r="E257" t="s">
        <v>9</v>
      </c>
      <c r="F257">
        <v>24.875</v>
      </c>
      <c r="G257" s="1">
        <f>DATE(C257, CHOOSE(MATCH(UPPER(B257), {"ENERO","FEBRERO","MARZO","ABRIL","MAYO","JUNIO","JULIO","AGOSTO","SEPTIEMBRE","OCTUBRE","NOVIEMBRE","DICIEMBRE"}, 0), 1,2,3,4,5,6,7,8,9,10,11,12), A257)</f>
        <v>44542</v>
      </c>
      <c r="H257">
        <v>17.875</v>
      </c>
      <c r="I257">
        <v>48000</v>
      </c>
      <c r="J257" s="1">
        <f t="shared" si="7"/>
        <v>43722</v>
      </c>
      <c r="K257" s="2" t="e">
        <f t="shared" si="6"/>
        <v>#N/A</v>
      </c>
    </row>
    <row r="258" spans="1:11" x14ac:dyDescent="0.25">
      <c r="A258">
        <v>13</v>
      </c>
      <c r="B258" t="s">
        <v>20</v>
      </c>
      <c r="C258">
        <v>2021</v>
      </c>
      <c r="D258">
        <v>24.875</v>
      </c>
      <c r="E258" t="s">
        <v>9</v>
      </c>
      <c r="F258">
        <v>14.5</v>
      </c>
      <c r="G258" s="1">
        <f>DATE(C258, CHOOSE(MATCH(UPPER(B258), {"ENERO","FEBRERO","MARZO","ABRIL","MAYO","JUNIO","JULIO","AGOSTO","SEPTIEMBRE","OCTUBRE","NOVIEMBRE","DICIEMBRE"}, 0), 1,2,3,4,5,6,7,8,9,10,11,12), A258)</f>
        <v>44543</v>
      </c>
      <c r="H258">
        <v>10.375</v>
      </c>
      <c r="I258">
        <v>48000</v>
      </c>
      <c r="J258" s="1">
        <f t="shared" si="7"/>
        <v>43723</v>
      </c>
      <c r="K258" s="2" t="e">
        <f t="shared" si="6"/>
        <v>#N/A</v>
      </c>
    </row>
    <row r="259" spans="1:11" x14ac:dyDescent="0.25">
      <c r="A259">
        <v>14</v>
      </c>
      <c r="B259" t="s">
        <v>20</v>
      </c>
      <c r="C259">
        <v>2021</v>
      </c>
      <c r="D259">
        <v>14.5</v>
      </c>
      <c r="E259" t="s">
        <v>9</v>
      </c>
      <c r="F259">
        <v>3.5</v>
      </c>
      <c r="G259" s="1">
        <f>DATE(C259, CHOOSE(MATCH(UPPER(B259), {"ENERO","FEBRERO","MARZO","ABRIL","MAYO","JUNIO","JULIO","AGOSTO","SEPTIEMBRE","OCTUBRE","NOVIEMBRE","DICIEMBRE"}, 0), 1,2,3,4,5,6,7,8,9,10,11,12), A259)</f>
        <v>44544</v>
      </c>
      <c r="H259">
        <v>11</v>
      </c>
      <c r="I259">
        <v>48000</v>
      </c>
      <c r="J259" s="1">
        <f t="shared" si="7"/>
        <v>43724</v>
      </c>
      <c r="K259" s="2" t="e">
        <f t="shared" ref="K259:K322" si="8">VLOOKUP(J259, G:H, 2, FALSE)</f>
        <v>#N/A</v>
      </c>
    </row>
    <row r="260" spans="1:11" x14ac:dyDescent="0.25">
      <c r="A260">
        <v>15</v>
      </c>
      <c r="B260" t="s">
        <v>20</v>
      </c>
      <c r="C260">
        <v>2021</v>
      </c>
      <c r="D260">
        <v>3.5</v>
      </c>
      <c r="E260">
        <v>50</v>
      </c>
      <c r="F260">
        <v>44.75</v>
      </c>
      <c r="G260" s="1">
        <f>DATE(C260, CHOOSE(MATCH(UPPER(B260), {"ENERO","FEBRERO","MARZO","ABRIL","MAYO","JUNIO","JULIO","AGOSTO","SEPTIEMBRE","OCTUBRE","NOVIEMBRE","DICIEMBRE"}, 0), 1,2,3,4,5,6,7,8,9,10,11,12), A260)</f>
        <v>44545</v>
      </c>
      <c r="H260">
        <v>8.75</v>
      </c>
      <c r="I260">
        <v>48000</v>
      </c>
      <c r="J260" s="1">
        <f t="shared" si="7"/>
        <v>43725</v>
      </c>
      <c r="K260" s="2" t="e">
        <f t="shared" si="8"/>
        <v>#N/A</v>
      </c>
    </row>
    <row r="261" spans="1:11" x14ac:dyDescent="0.25">
      <c r="A261">
        <v>16</v>
      </c>
      <c r="B261" t="s">
        <v>20</v>
      </c>
      <c r="C261">
        <v>2021</v>
      </c>
      <c r="D261">
        <v>44.75</v>
      </c>
      <c r="E261" t="s">
        <v>9</v>
      </c>
      <c r="F261">
        <v>34</v>
      </c>
      <c r="G261" s="1">
        <f>DATE(C261, CHOOSE(MATCH(UPPER(B261), {"ENERO","FEBRERO","MARZO","ABRIL","MAYO","JUNIO","JULIO","AGOSTO","SEPTIEMBRE","OCTUBRE","NOVIEMBRE","DICIEMBRE"}, 0), 1,2,3,4,5,6,7,8,9,10,11,12), A261)</f>
        <v>44546</v>
      </c>
      <c r="H261">
        <v>10.75</v>
      </c>
      <c r="I261">
        <v>48000</v>
      </c>
      <c r="J261" s="1">
        <f t="shared" ref="J261:J324" si="9">DATE(2019,1,1) + ROW()-1</f>
        <v>43726</v>
      </c>
      <c r="K261" s="2" t="e">
        <f t="shared" si="8"/>
        <v>#N/A</v>
      </c>
    </row>
    <row r="262" spans="1:11" x14ac:dyDescent="0.25">
      <c r="A262">
        <v>17</v>
      </c>
      <c r="B262" t="s">
        <v>20</v>
      </c>
      <c r="C262">
        <v>2021</v>
      </c>
      <c r="D262">
        <v>34</v>
      </c>
      <c r="E262" t="s">
        <v>9</v>
      </c>
      <c r="F262">
        <v>22</v>
      </c>
      <c r="G262" s="1">
        <f>DATE(C262, CHOOSE(MATCH(UPPER(B262), {"ENERO","FEBRERO","MARZO","ABRIL","MAYO","JUNIO","JULIO","AGOSTO","SEPTIEMBRE","OCTUBRE","NOVIEMBRE","DICIEMBRE"}, 0), 1,2,3,4,5,6,7,8,9,10,11,12), A262)</f>
        <v>44547</v>
      </c>
      <c r="H262">
        <v>12</v>
      </c>
      <c r="I262">
        <v>48000</v>
      </c>
      <c r="J262" s="1">
        <f t="shared" si="9"/>
        <v>43727</v>
      </c>
      <c r="K262" s="2" t="e">
        <f t="shared" si="8"/>
        <v>#N/A</v>
      </c>
    </row>
    <row r="263" spans="1:11" x14ac:dyDescent="0.25">
      <c r="A263">
        <v>18</v>
      </c>
      <c r="B263" t="s">
        <v>20</v>
      </c>
      <c r="C263">
        <v>2021</v>
      </c>
      <c r="D263">
        <v>22</v>
      </c>
      <c r="E263">
        <v>50</v>
      </c>
      <c r="F263">
        <v>45</v>
      </c>
      <c r="G263" s="1">
        <f>DATE(C263, CHOOSE(MATCH(UPPER(B263), {"ENERO","FEBRERO","MARZO","ABRIL","MAYO","JUNIO","JULIO","AGOSTO","SEPTIEMBRE","OCTUBRE","NOVIEMBRE","DICIEMBRE"}, 0), 1,2,3,4,5,6,7,8,9,10,11,12), A263)</f>
        <v>44548</v>
      </c>
      <c r="H263">
        <v>27</v>
      </c>
      <c r="I263">
        <v>48000</v>
      </c>
      <c r="J263" s="1">
        <f t="shared" si="9"/>
        <v>43728</v>
      </c>
      <c r="K263" s="2" t="e">
        <f t="shared" si="8"/>
        <v>#N/A</v>
      </c>
    </row>
    <row r="264" spans="1:11" x14ac:dyDescent="0.25">
      <c r="A264">
        <v>19</v>
      </c>
      <c r="B264" t="s">
        <v>20</v>
      </c>
      <c r="C264">
        <v>2021</v>
      </c>
      <c r="D264">
        <v>45</v>
      </c>
      <c r="E264" t="s">
        <v>9</v>
      </c>
      <c r="F264">
        <v>28.5</v>
      </c>
      <c r="G264" s="1">
        <f>DATE(C264, CHOOSE(MATCH(UPPER(B264), {"ENERO","FEBRERO","MARZO","ABRIL","MAYO","JUNIO","JULIO","AGOSTO","SEPTIEMBRE","OCTUBRE","NOVIEMBRE","DICIEMBRE"}, 0), 1,2,3,4,5,6,7,8,9,10,11,12), A264)</f>
        <v>44549</v>
      </c>
      <c r="H264">
        <v>16.5</v>
      </c>
      <c r="I264">
        <v>48000</v>
      </c>
      <c r="J264" s="1">
        <f t="shared" si="9"/>
        <v>43729</v>
      </c>
      <c r="K264" s="2" t="e">
        <f t="shared" si="8"/>
        <v>#N/A</v>
      </c>
    </row>
    <row r="265" spans="1:11" x14ac:dyDescent="0.25">
      <c r="A265">
        <v>20</v>
      </c>
      <c r="B265" t="s">
        <v>20</v>
      </c>
      <c r="C265">
        <v>2021</v>
      </c>
      <c r="D265">
        <v>28.5</v>
      </c>
      <c r="E265" t="s">
        <v>9</v>
      </c>
      <c r="F265">
        <v>5.75</v>
      </c>
      <c r="G265" s="1">
        <f>DATE(C265, CHOOSE(MATCH(UPPER(B265), {"ENERO","FEBRERO","MARZO","ABRIL","MAYO","JUNIO","JULIO","AGOSTO","SEPTIEMBRE","OCTUBRE","NOVIEMBRE","DICIEMBRE"}, 0), 1,2,3,4,5,6,7,8,9,10,11,12), A265)</f>
        <v>44550</v>
      </c>
      <c r="H265">
        <v>22.75</v>
      </c>
      <c r="I265">
        <v>48000</v>
      </c>
      <c r="J265" s="1">
        <f t="shared" si="9"/>
        <v>43730</v>
      </c>
      <c r="K265" s="2" t="e">
        <f t="shared" si="8"/>
        <v>#N/A</v>
      </c>
    </row>
    <row r="266" spans="1:11" x14ac:dyDescent="0.25">
      <c r="A266">
        <v>21</v>
      </c>
      <c r="B266" t="s">
        <v>20</v>
      </c>
      <c r="C266">
        <v>2021</v>
      </c>
      <c r="D266">
        <v>5.75</v>
      </c>
      <c r="E266">
        <v>60</v>
      </c>
      <c r="F266">
        <v>45</v>
      </c>
      <c r="G266" s="1">
        <f>DATE(C266, CHOOSE(MATCH(UPPER(B266), {"ENERO","FEBRERO","MARZO","ABRIL","MAYO","JUNIO","JULIO","AGOSTO","SEPTIEMBRE","OCTUBRE","NOVIEMBRE","DICIEMBRE"}, 0), 1,2,3,4,5,6,7,8,9,10,11,12), A266)</f>
        <v>44551</v>
      </c>
      <c r="H266">
        <v>20.75</v>
      </c>
      <c r="I266">
        <v>48000</v>
      </c>
      <c r="J266" s="1">
        <f t="shared" si="9"/>
        <v>43731</v>
      </c>
      <c r="K266" s="2" t="e">
        <f t="shared" si="8"/>
        <v>#N/A</v>
      </c>
    </row>
    <row r="267" spans="1:11" x14ac:dyDescent="0.25">
      <c r="A267">
        <v>22</v>
      </c>
      <c r="B267" t="s">
        <v>20</v>
      </c>
      <c r="C267">
        <v>2021</v>
      </c>
      <c r="D267">
        <v>45</v>
      </c>
      <c r="E267" t="s">
        <v>9</v>
      </c>
      <c r="F267">
        <v>31.875</v>
      </c>
      <c r="G267" s="1">
        <f>DATE(C267, CHOOSE(MATCH(UPPER(B267), {"ENERO","FEBRERO","MARZO","ABRIL","MAYO","JUNIO","JULIO","AGOSTO","SEPTIEMBRE","OCTUBRE","NOVIEMBRE","DICIEMBRE"}, 0), 1,2,3,4,5,6,7,8,9,10,11,12), A267)</f>
        <v>44552</v>
      </c>
      <c r="H267">
        <v>13.125</v>
      </c>
      <c r="I267">
        <v>48000</v>
      </c>
      <c r="J267" s="1">
        <f t="shared" si="9"/>
        <v>43732</v>
      </c>
      <c r="K267" s="2" t="e">
        <f t="shared" si="8"/>
        <v>#N/A</v>
      </c>
    </row>
    <row r="268" spans="1:11" x14ac:dyDescent="0.25">
      <c r="A268">
        <v>23</v>
      </c>
      <c r="B268" t="s">
        <v>20</v>
      </c>
      <c r="C268">
        <v>2021</v>
      </c>
      <c r="D268">
        <v>31.875</v>
      </c>
      <c r="E268" t="s">
        <v>9</v>
      </c>
      <c r="F268">
        <v>16.375</v>
      </c>
      <c r="G268" s="1">
        <f>DATE(C268, CHOOSE(MATCH(UPPER(B268), {"ENERO","FEBRERO","MARZO","ABRIL","MAYO","JUNIO","JULIO","AGOSTO","SEPTIEMBRE","OCTUBRE","NOVIEMBRE","DICIEMBRE"}, 0), 1,2,3,4,5,6,7,8,9,10,11,12), A268)</f>
        <v>44553</v>
      </c>
      <c r="H268">
        <v>15.5</v>
      </c>
      <c r="I268">
        <v>48000</v>
      </c>
      <c r="J268" s="1">
        <f t="shared" si="9"/>
        <v>43733</v>
      </c>
      <c r="K268" s="2" t="e">
        <f t="shared" si="8"/>
        <v>#N/A</v>
      </c>
    </row>
    <row r="269" spans="1:11" x14ac:dyDescent="0.25">
      <c r="A269">
        <v>24</v>
      </c>
      <c r="B269" t="s">
        <v>20</v>
      </c>
      <c r="C269">
        <v>2021</v>
      </c>
      <c r="D269">
        <v>16.375</v>
      </c>
      <c r="E269" t="s">
        <v>9</v>
      </c>
      <c r="F269">
        <v>16.375</v>
      </c>
      <c r="G269" s="1">
        <f>DATE(C269, CHOOSE(MATCH(UPPER(B269), {"ENERO","FEBRERO","MARZO","ABRIL","MAYO","JUNIO","JULIO","AGOSTO","SEPTIEMBRE","OCTUBRE","NOVIEMBRE","DICIEMBRE"}, 0), 1,2,3,4,5,6,7,8,9,10,11,12), A269)</f>
        <v>44554</v>
      </c>
      <c r="H269">
        <v>0</v>
      </c>
      <c r="I269">
        <v>48000</v>
      </c>
      <c r="J269" s="1">
        <f t="shared" si="9"/>
        <v>43734</v>
      </c>
      <c r="K269" s="2" t="e">
        <f t="shared" si="8"/>
        <v>#N/A</v>
      </c>
    </row>
    <row r="270" spans="1:11" x14ac:dyDescent="0.25">
      <c r="A270">
        <v>25</v>
      </c>
      <c r="B270" t="s">
        <v>20</v>
      </c>
      <c r="C270">
        <v>2021</v>
      </c>
      <c r="D270">
        <v>16.375</v>
      </c>
      <c r="E270">
        <v>10</v>
      </c>
      <c r="F270" t="s">
        <v>9</v>
      </c>
      <c r="G270" s="1">
        <f>DATE(C270, CHOOSE(MATCH(UPPER(B270), {"ENERO","FEBRERO","MARZO","ABRIL","MAYO","JUNIO","JULIO","AGOSTO","SEPTIEMBRE","OCTUBRE","NOVIEMBRE","DICIEMBRE"}, 0), 1,2,3,4,5,6,7,8,9,10,11,12), A270)</f>
        <v>44555</v>
      </c>
      <c r="H270">
        <v>26.375</v>
      </c>
      <c r="I270">
        <v>48000</v>
      </c>
      <c r="J270" s="1">
        <f t="shared" si="9"/>
        <v>43735</v>
      </c>
      <c r="K270" s="2" t="e">
        <f t="shared" si="8"/>
        <v>#N/A</v>
      </c>
    </row>
    <row r="271" spans="1:11" x14ac:dyDescent="0.25">
      <c r="A271">
        <v>26</v>
      </c>
      <c r="B271" t="s">
        <v>20</v>
      </c>
      <c r="C271">
        <v>2021</v>
      </c>
      <c r="D271" t="s">
        <v>9</v>
      </c>
      <c r="E271">
        <v>30</v>
      </c>
      <c r="F271">
        <v>7.5</v>
      </c>
      <c r="G271" s="1">
        <f>DATE(C271, CHOOSE(MATCH(UPPER(B271), {"ENERO","FEBRERO","MARZO","ABRIL","MAYO","JUNIO","JULIO","AGOSTO","SEPTIEMBRE","OCTUBRE","NOVIEMBRE","DICIEMBRE"}, 0), 1,2,3,4,5,6,7,8,9,10,11,12), A271)</f>
        <v>44556</v>
      </c>
      <c r="H271">
        <v>22.5</v>
      </c>
      <c r="I271">
        <v>48000</v>
      </c>
      <c r="J271" s="1">
        <f t="shared" si="9"/>
        <v>43736</v>
      </c>
      <c r="K271" s="2" t="e">
        <f t="shared" si="8"/>
        <v>#N/A</v>
      </c>
    </row>
    <row r="272" spans="1:11" x14ac:dyDescent="0.25">
      <c r="A272">
        <v>27</v>
      </c>
      <c r="B272" t="s">
        <v>20</v>
      </c>
      <c r="C272">
        <v>2021</v>
      </c>
      <c r="D272">
        <v>7.5</v>
      </c>
      <c r="E272">
        <v>10</v>
      </c>
      <c r="F272">
        <v>6</v>
      </c>
      <c r="G272" s="1">
        <f>DATE(C272, CHOOSE(MATCH(UPPER(B272), {"ENERO","FEBRERO","MARZO","ABRIL","MAYO","JUNIO","JULIO","AGOSTO","SEPTIEMBRE","OCTUBRE","NOVIEMBRE","DICIEMBRE"}, 0), 1,2,3,4,5,6,7,8,9,10,11,12), A272)</f>
        <v>44557</v>
      </c>
      <c r="H272">
        <v>11.5</v>
      </c>
      <c r="I272">
        <v>48000</v>
      </c>
      <c r="J272" s="1">
        <f t="shared" si="9"/>
        <v>43737</v>
      </c>
      <c r="K272" s="2" t="e">
        <f t="shared" si="8"/>
        <v>#N/A</v>
      </c>
    </row>
    <row r="273" spans="1:11" x14ac:dyDescent="0.25">
      <c r="A273">
        <v>28</v>
      </c>
      <c r="B273" t="s">
        <v>20</v>
      </c>
      <c r="C273">
        <v>2021</v>
      </c>
      <c r="D273">
        <v>6</v>
      </c>
      <c r="E273">
        <v>10</v>
      </c>
      <c r="F273">
        <v>2</v>
      </c>
      <c r="G273" s="1">
        <f>DATE(C273, CHOOSE(MATCH(UPPER(B273), {"ENERO","FEBRERO","MARZO","ABRIL","MAYO","JUNIO","JULIO","AGOSTO","SEPTIEMBRE","OCTUBRE","NOVIEMBRE","DICIEMBRE"}, 0), 1,2,3,4,5,6,7,8,9,10,11,12), A273)</f>
        <v>44558</v>
      </c>
      <c r="H273">
        <v>14</v>
      </c>
      <c r="I273">
        <v>48000</v>
      </c>
      <c r="J273" s="1">
        <f t="shared" si="9"/>
        <v>43738</v>
      </c>
      <c r="K273" s="2" t="e">
        <f t="shared" si="8"/>
        <v>#N/A</v>
      </c>
    </row>
    <row r="274" spans="1:11" x14ac:dyDescent="0.25">
      <c r="A274">
        <v>29</v>
      </c>
      <c r="B274" t="s">
        <v>20</v>
      </c>
      <c r="C274">
        <v>2021</v>
      </c>
      <c r="D274">
        <v>2</v>
      </c>
      <c r="E274">
        <v>50</v>
      </c>
      <c r="F274">
        <v>43.875</v>
      </c>
      <c r="G274" s="1">
        <f>DATE(C274, CHOOSE(MATCH(UPPER(B274), {"ENERO","FEBRERO","MARZO","ABRIL","MAYO","JUNIO","JULIO","AGOSTO","SEPTIEMBRE","OCTUBRE","NOVIEMBRE","DICIEMBRE"}, 0), 1,2,3,4,5,6,7,8,9,10,11,12), A274)</f>
        <v>44559</v>
      </c>
      <c r="H274">
        <v>8.125</v>
      </c>
      <c r="I274">
        <v>48000</v>
      </c>
      <c r="J274" s="1">
        <f t="shared" si="9"/>
        <v>43739</v>
      </c>
      <c r="K274" s="2" t="e">
        <f t="shared" si="8"/>
        <v>#N/A</v>
      </c>
    </row>
    <row r="275" spans="1:11" x14ac:dyDescent="0.25">
      <c r="A275">
        <v>30</v>
      </c>
      <c r="B275" t="s">
        <v>20</v>
      </c>
      <c r="C275">
        <v>2021</v>
      </c>
      <c r="D275">
        <v>43.875</v>
      </c>
      <c r="E275" t="s">
        <v>9</v>
      </c>
      <c r="F275">
        <v>23.25</v>
      </c>
      <c r="G275" s="1">
        <f>DATE(C275, CHOOSE(MATCH(UPPER(B275), {"ENERO","FEBRERO","MARZO","ABRIL","MAYO","JUNIO","JULIO","AGOSTO","SEPTIEMBRE","OCTUBRE","NOVIEMBRE","DICIEMBRE"}, 0), 1,2,3,4,5,6,7,8,9,10,11,12), A275)</f>
        <v>44560</v>
      </c>
      <c r="H275">
        <v>20.625</v>
      </c>
      <c r="I275">
        <v>48000</v>
      </c>
      <c r="J275" s="1">
        <f t="shared" si="9"/>
        <v>43740</v>
      </c>
      <c r="K275" s="2" t="e">
        <f t="shared" si="8"/>
        <v>#N/A</v>
      </c>
    </row>
    <row r="276" spans="1:11" x14ac:dyDescent="0.25">
      <c r="A276">
        <v>31</v>
      </c>
      <c r="B276" t="s">
        <v>20</v>
      </c>
      <c r="C276">
        <v>2021</v>
      </c>
      <c r="D276">
        <v>43.875</v>
      </c>
      <c r="E276" t="s">
        <v>9</v>
      </c>
      <c r="F276" t="s">
        <v>9</v>
      </c>
      <c r="G276" s="1">
        <f>DATE(C276, CHOOSE(MATCH(UPPER(B276), {"ENERO","FEBRERO","MARZO","ABRIL","MAYO","JUNIO","JULIO","AGOSTO","SEPTIEMBRE","OCTUBRE","NOVIEMBRE","DICIEMBRE"}, 0), 1,2,3,4,5,6,7,8,9,10,11,12), A276)</f>
        <v>44561</v>
      </c>
      <c r="H276">
        <v>43.875</v>
      </c>
      <c r="I276">
        <v>48000</v>
      </c>
      <c r="J276" s="1">
        <f t="shared" si="9"/>
        <v>43741</v>
      </c>
      <c r="K276" s="2" t="e">
        <f t="shared" si="8"/>
        <v>#N/A</v>
      </c>
    </row>
    <row r="277" spans="1:11" x14ac:dyDescent="0.25">
      <c r="A277">
        <v>1</v>
      </c>
      <c r="B277" t="s">
        <v>8</v>
      </c>
      <c r="C277">
        <v>2022</v>
      </c>
      <c r="D277">
        <v>23.25</v>
      </c>
      <c r="E277">
        <v>50</v>
      </c>
      <c r="F277">
        <v>32</v>
      </c>
      <c r="G277" s="1">
        <f>DATE(C277, CHOOSE(MATCH(UPPER(B277), {"ENERO","FEBRERO","MARZO","ABRIL","MAYO","JUNIO","JULIO","AGOSTO","SEPTIEMBRE","OCTUBRE","NOVIEMBRE","DICIEMBRE"}, 0), 1,2,3,4,5,6,7,8,9,10,11,12), A277)</f>
        <v>44562</v>
      </c>
      <c r="H277">
        <v>41.25</v>
      </c>
      <c r="I277">
        <v>48000</v>
      </c>
      <c r="J277" s="1">
        <f t="shared" si="9"/>
        <v>43742</v>
      </c>
      <c r="K277" s="2" t="e">
        <f t="shared" si="8"/>
        <v>#N/A</v>
      </c>
    </row>
    <row r="278" spans="1:11" x14ac:dyDescent="0.25">
      <c r="A278">
        <v>2</v>
      </c>
      <c r="B278" t="s">
        <v>8</v>
      </c>
      <c r="C278">
        <v>2022</v>
      </c>
      <c r="D278">
        <v>32</v>
      </c>
      <c r="E278">
        <v>20</v>
      </c>
      <c r="F278">
        <v>22</v>
      </c>
      <c r="G278" s="1">
        <f>DATE(C278, CHOOSE(MATCH(UPPER(B278), {"ENERO","FEBRERO","MARZO","ABRIL","MAYO","JUNIO","JULIO","AGOSTO","SEPTIEMBRE","OCTUBRE","NOVIEMBRE","DICIEMBRE"}, 0), 1,2,3,4,5,6,7,8,9,10,11,12), A278)</f>
        <v>44563</v>
      </c>
      <c r="H278">
        <v>30</v>
      </c>
      <c r="I278">
        <v>48000</v>
      </c>
      <c r="J278" s="1">
        <f t="shared" si="9"/>
        <v>43743</v>
      </c>
      <c r="K278" s="2" t="e">
        <f t="shared" si="8"/>
        <v>#N/A</v>
      </c>
    </row>
    <row r="279" spans="1:11" x14ac:dyDescent="0.25">
      <c r="A279">
        <v>3</v>
      </c>
      <c r="B279" t="s">
        <v>8</v>
      </c>
      <c r="C279">
        <v>2022</v>
      </c>
      <c r="D279">
        <v>22</v>
      </c>
      <c r="E279">
        <v>60</v>
      </c>
      <c r="F279">
        <v>66.25</v>
      </c>
      <c r="G279" s="1">
        <f>DATE(C279, CHOOSE(MATCH(UPPER(B279), {"ENERO","FEBRERO","MARZO","ABRIL","MAYO","JUNIO","JULIO","AGOSTO","SEPTIEMBRE","OCTUBRE","NOVIEMBRE","DICIEMBRE"}, 0), 1,2,3,4,5,6,7,8,9,10,11,12), A279)</f>
        <v>44564</v>
      </c>
      <c r="H279">
        <v>15.75</v>
      </c>
      <c r="I279">
        <v>48000</v>
      </c>
      <c r="J279" s="1">
        <f t="shared" si="9"/>
        <v>43744</v>
      </c>
      <c r="K279" s="2" t="e">
        <f t="shared" si="8"/>
        <v>#N/A</v>
      </c>
    </row>
    <row r="280" spans="1:11" x14ac:dyDescent="0.25">
      <c r="A280">
        <v>4</v>
      </c>
      <c r="B280" t="s">
        <v>8</v>
      </c>
      <c r="C280">
        <v>2022</v>
      </c>
      <c r="D280">
        <v>66.25</v>
      </c>
      <c r="E280" t="s">
        <v>9</v>
      </c>
      <c r="F280">
        <v>49.5</v>
      </c>
      <c r="G280" s="1">
        <f>DATE(C280, CHOOSE(MATCH(UPPER(B280), {"ENERO","FEBRERO","MARZO","ABRIL","MAYO","JUNIO","JULIO","AGOSTO","SEPTIEMBRE","OCTUBRE","NOVIEMBRE","DICIEMBRE"}, 0), 1,2,3,4,5,6,7,8,9,10,11,12), A280)</f>
        <v>44565</v>
      </c>
      <c r="H280">
        <v>16.75</v>
      </c>
      <c r="I280">
        <v>48000</v>
      </c>
      <c r="J280" s="1">
        <f t="shared" si="9"/>
        <v>43745</v>
      </c>
      <c r="K280" s="2" t="e">
        <f t="shared" si="8"/>
        <v>#N/A</v>
      </c>
    </row>
    <row r="281" spans="1:11" x14ac:dyDescent="0.25">
      <c r="A281">
        <v>5</v>
      </c>
      <c r="B281" t="s">
        <v>8</v>
      </c>
      <c r="C281">
        <v>2022</v>
      </c>
      <c r="D281">
        <v>49.5</v>
      </c>
      <c r="E281" t="s">
        <v>9</v>
      </c>
      <c r="F281">
        <v>30.875</v>
      </c>
      <c r="G281" s="1">
        <f>DATE(C281, CHOOSE(MATCH(UPPER(B281), {"ENERO","FEBRERO","MARZO","ABRIL","MAYO","JUNIO","JULIO","AGOSTO","SEPTIEMBRE","OCTUBRE","NOVIEMBRE","DICIEMBRE"}, 0), 1,2,3,4,5,6,7,8,9,10,11,12), A281)</f>
        <v>44566</v>
      </c>
      <c r="H281">
        <v>18.625</v>
      </c>
      <c r="I281">
        <v>48000</v>
      </c>
      <c r="J281" s="1">
        <f t="shared" si="9"/>
        <v>43746</v>
      </c>
      <c r="K281" s="2" t="e">
        <f t="shared" si="8"/>
        <v>#N/A</v>
      </c>
    </row>
    <row r="282" spans="1:11" x14ac:dyDescent="0.25">
      <c r="A282">
        <v>6</v>
      </c>
      <c r="B282" t="s">
        <v>8</v>
      </c>
      <c r="C282">
        <v>2022</v>
      </c>
      <c r="D282">
        <v>30.875</v>
      </c>
      <c r="E282" t="s">
        <v>9</v>
      </c>
      <c r="F282">
        <v>19</v>
      </c>
      <c r="G282" s="1">
        <f>DATE(C282, CHOOSE(MATCH(UPPER(B282), {"ENERO","FEBRERO","MARZO","ABRIL","MAYO","JUNIO","JULIO","AGOSTO","SEPTIEMBRE","OCTUBRE","NOVIEMBRE","DICIEMBRE"}, 0), 1,2,3,4,5,6,7,8,9,10,11,12), A282)</f>
        <v>44567</v>
      </c>
      <c r="H282">
        <v>11.875</v>
      </c>
      <c r="I282">
        <v>48000</v>
      </c>
      <c r="J282" s="1">
        <f t="shared" si="9"/>
        <v>43747</v>
      </c>
      <c r="K282" s="2" t="e">
        <f t="shared" si="8"/>
        <v>#N/A</v>
      </c>
    </row>
    <row r="283" spans="1:11" x14ac:dyDescent="0.25">
      <c r="A283">
        <v>7</v>
      </c>
      <c r="B283" t="s">
        <v>8</v>
      </c>
      <c r="C283">
        <v>2022</v>
      </c>
      <c r="D283">
        <v>19</v>
      </c>
      <c r="E283">
        <v>10</v>
      </c>
      <c r="F283">
        <v>3.375</v>
      </c>
      <c r="G283" s="1">
        <f>DATE(C283, CHOOSE(MATCH(UPPER(B283), {"ENERO","FEBRERO","MARZO","ABRIL","MAYO","JUNIO","JULIO","AGOSTO","SEPTIEMBRE","OCTUBRE","NOVIEMBRE","DICIEMBRE"}, 0), 1,2,3,4,5,6,7,8,9,10,11,12), A283)</f>
        <v>44568</v>
      </c>
      <c r="H283">
        <v>25.625</v>
      </c>
      <c r="I283">
        <v>48000</v>
      </c>
      <c r="J283" s="1">
        <f t="shared" si="9"/>
        <v>43748</v>
      </c>
      <c r="K283" s="2" t="e">
        <f t="shared" si="8"/>
        <v>#N/A</v>
      </c>
    </row>
    <row r="284" spans="1:11" x14ac:dyDescent="0.25">
      <c r="A284">
        <v>8</v>
      </c>
      <c r="B284" t="s">
        <v>8</v>
      </c>
      <c r="C284">
        <v>2022</v>
      </c>
      <c r="D284">
        <v>3.375</v>
      </c>
      <c r="E284">
        <v>67</v>
      </c>
      <c r="F284">
        <v>58.125</v>
      </c>
      <c r="G284" s="1">
        <f>DATE(C284, CHOOSE(MATCH(UPPER(B284), {"ENERO","FEBRERO","MARZO","ABRIL","MAYO","JUNIO","JULIO","AGOSTO","SEPTIEMBRE","OCTUBRE","NOVIEMBRE","DICIEMBRE"}, 0), 1,2,3,4,5,6,7,8,9,10,11,12), A284)</f>
        <v>44569</v>
      </c>
      <c r="H284">
        <v>12.25</v>
      </c>
      <c r="I284">
        <v>48000</v>
      </c>
      <c r="J284" s="1">
        <f t="shared" si="9"/>
        <v>43749</v>
      </c>
      <c r="K284" s="2" t="e">
        <f t="shared" si="8"/>
        <v>#N/A</v>
      </c>
    </row>
    <row r="285" spans="1:11" x14ac:dyDescent="0.25">
      <c r="A285">
        <v>9</v>
      </c>
      <c r="B285" t="s">
        <v>8</v>
      </c>
      <c r="C285">
        <v>2022</v>
      </c>
      <c r="D285">
        <v>58.125</v>
      </c>
      <c r="E285" t="s">
        <v>9</v>
      </c>
      <c r="F285">
        <v>43.625</v>
      </c>
      <c r="G285" s="1">
        <f>DATE(C285, CHOOSE(MATCH(UPPER(B285), {"ENERO","FEBRERO","MARZO","ABRIL","MAYO","JUNIO","JULIO","AGOSTO","SEPTIEMBRE","OCTUBRE","NOVIEMBRE","DICIEMBRE"}, 0), 1,2,3,4,5,6,7,8,9,10,11,12), A285)</f>
        <v>44570</v>
      </c>
      <c r="H285">
        <v>14.5</v>
      </c>
      <c r="I285">
        <v>48000</v>
      </c>
      <c r="J285" s="1">
        <f t="shared" si="9"/>
        <v>43750</v>
      </c>
      <c r="K285" s="2" t="e">
        <f t="shared" si="8"/>
        <v>#N/A</v>
      </c>
    </row>
    <row r="286" spans="1:11" x14ac:dyDescent="0.25">
      <c r="A286">
        <v>10</v>
      </c>
      <c r="B286" t="s">
        <v>8</v>
      </c>
      <c r="C286">
        <v>2022</v>
      </c>
      <c r="D286">
        <v>43.625</v>
      </c>
      <c r="E286" t="s">
        <v>9</v>
      </c>
      <c r="F286">
        <v>27.375</v>
      </c>
      <c r="G286" s="1">
        <f>DATE(C286, CHOOSE(MATCH(UPPER(B286), {"ENERO","FEBRERO","MARZO","ABRIL","MAYO","JUNIO","JULIO","AGOSTO","SEPTIEMBRE","OCTUBRE","NOVIEMBRE","DICIEMBRE"}, 0), 1,2,3,4,5,6,7,8,9,10,11,12), A286)</f>
        <v>44571</v>
      </c>
      <c r="H286">
        <v>16.25</v>
      </c>
      <c r="I286">
        <v>48000</v>
      </c>
      <c r="J286" s="1">
        <f t="shared" si="9"/>
        <v>43751</v>
      </c>
      <c r="K286" s="2" t="e">
        <f t="shared" si="8"/>
        <v>#N/A</v>
      </c>
    </row>
    <row r="287" spans="1:11" x14ac:dyDescent="0.25">
      <c r="A287">
        <v>11</v>
      </c>
      <c r="B287" t="s">
        <v>8</v>
      </c>
      <c r="C287">
        <v>2022</v>
      </c>
      <c r="D287">
        <v>27.375</v>
      </c>
      <c r="E287" t="s">
        <v>9</v>
      </c>
      <c r="F287">
        <v>18.5</v>
      </c>
      <c r="G287" s="1">
        <f>DATE(C287, CHOOSE(MATCH(UPPER(B287), {"ENERO","FEBRERO","MARZO","ABRIL","MAYO","JUNIO","JULIO","AGOSTO","SEPTIEMBRE","OCTUBRE","NOVIEMBRE","DICIEMBRE"}, 0), 1,2,3,4,5,6,7,8,9,10,11,12), A287)</f>
        <v>44572</v>
      </c>
      <c r="H287">
        <v>8.875</v>
      </c>
      <c r="I287">
        <v>48000</v>
      </c>
      <c r="J287" s="1">
        <f t="shared" si="9"/>
        <v>43752</v>
      </c>
      <c r="K287" s="2" t="e">
        <f t="shared" si="8"/>
        <v>#N/A</v>
      </c>
    </row>
    <row r="288" spans="1:11" x14ac:dyDescent="0.25">
      <c r="A288">
        <v>12</v>
      </c>
      <c r="B288" t="s">
        <v>8</v>
      </c>
      <c r="C288">
        <v>2022</v>
      </c>
      <c r="D288">
        <v>18.5</v>
      </c>
      <c r="E288" t="s">
        <v>9</v>
      </c>
      <c r="F288">
        <v>3.125</v>
      </c>
      <c r="G288" s="1">
        <f>DATE(C288, CHOOSE(MATCH(UPPER(B288), {"ENERO","FEBRERO","MARZO","ABRIL","MAYO","JUNIO","JULIO","AGOSTO","SEPTIEMBRE","OCTUBRE","NOVIEMBRE","DICIEMBRE"}, 0), 1,2,3,4,5,6,7,8,9,10,11,12), A288)</f>
        <v>44573</v>
      </c>
      <c r="H288">
        <v>15.375</v>
      </c>
      <c r="I288">
        <v>48000</v>
      </c>
      <c r="J288" s="1">
        <f t="shared" si="9"/>
        <v>43753</v>
      </c>
      <c r="K288" s="2" t="e">
        <f t="shared" si="8"/>
        <v>#N/A</v>
      </c>
    </row>
    <row r="289" spans="1:11" x14ac:dyDescent="0.25">
      <c r="A289">
        <v>13</v>
      </c>
      <c r="B289" t="s">
        <v>8</v>
      </c>
      <c r="C289">
        <v>2022</v>
      </c>
      <c r="D289">
        <v>3.125</v>
      </c>
      <c r="E289">
        <v>48</v>
      </c>
      <c r="F289">
        <v>41.375</v>
      </c>
      <c r="G289" s="1">
        <f>DATE(C289, CHOOSE(MATCH(UPPER(B289), {"ENERO","FEBRERO","MARZO","ABRIL","MAYO","JUNIO","JULIO","AGOSTO","SEPTIEMBRE","OCTUBRE","NOVIEMBRE","DICIEMBRE"}, 0), 1,2,3,4,5,6,7,8,9,10,11,12), A289)</f>
        <v>44574</v>
      </c>
      <c r="H289">
        <v>9.75</v>
      </c>
      <c r="I289">
        <v>48000</v>
      </c>
      <c r="J289" s="1">
        <f t="shared" si="9"/>
        <v>43754</v>
      </c>
      <c r="K289" s="2" t="e">
        <f t="shared" si="8"/>
        <v>#N/A</v>
      </c>
    </row>
    <row r="290" spans="1:11" x14ac:dyDescent="0.25">
      <c r="A290">
        <v>14</v>
      </c>
      <c r="B290" t="s">
        <v>8</v>
      </c>
      <c r="C290">
        <v>2022</v>
      </c>
      <c r="D290">
        <v>41.375</v>
      </c>
      <c r="E290" t="s">
        <v>9</v>
      </c>
      <c r="F290">
        <v>29</v>
      </c>
      <c r="G290" s="1">
        <f>DATE(C290, CHOOSE(MATCH(UPPER(B290), {"ENERO","FEBRERO","MARZO","ABRIL","MAYO","JUNIO","JULIO","AGOSTO","SEPTIEMBRE","OCTUBRE","NOVIEMBRE","DICIEMBRE"}, 0), 1,2,3,4,5,6,7,8,9,10,11,12), A290)</f>
        <v>44575</v>
      </c>
      <c r="H290">
        <v>12.375</v>
      </c>
      <c r="I290">
        <v>48000</v>
      </c>
      <c r="J290" s="1">
        <f t="shared" si="9"/>
        <v>43755</v>
      </c>
      <c r="K290" s="2" t="e">
        <f t="shared" si="8"/>
        <v>#N/A</v>
      </c>
    </row>
    <row r="291" spans="1:11" x14ac:dyDescent="0.25">
      <c r="A291">
        <v>15</v>
      </c>
      <c r="B291" t="s">
        <v>8</v>
      </c>
      <c r="C291">
        <v>2022</v>
      </c>
      <c r="D291">
        <v>29</v>
      </c>
      <c r="E291" t="s">
        <v>9</v>
      </c>
      <c r="F291">
        <v>9.625</v>
      </c>
      <c r="G291" s="1">
        <f>DATE(C291, CHOOSE(MATCH(UPPER(B291), {"ENERO","FEBRERO","MARZO","ABRIL","MAYO","JUNIO","JULIO","AGOSTO","SEPTIEMBRE","OCTUBRE","NOVIEMBRE","DICIEMBRE"}, 0), 1,2,3,4,5,6,7,8,9,10,11,12), A291)</f>
        <v>44576</v>
      </c>
      <c r="H291">
        <v>19.375</v>
      </c>
      <c r="I291">
        <v>48000</v>
      </c>
      <c r="J291" s="1">
        <f t="shared" si="9"/>
        <v>43756</v>
      </c>
      <c r="K291" s="2" t="e">
        <f t="shared" si="8"/>
        <v>#N/A</v>
      </c>
    </row>
    <row r="292" spans="1:11" x14ac:dyDescent="0.25">
      <c r="A292">
        <v>16</v>
      </c>
      <c r="B292" t="s">
        <v>8</v>
      </c>
      <c r="C292">
        <v>2022</v>
      </c>
      <c r="D292">
        <v>9.625</v>
      </c>
      <c r="E292">
        <v>41</v>
      </c>
      <c r="F292">
        <v>30.5</v>
      </c>
      <c r="G292" s="1">
        <f>DATE(C292, CHOOSE(MATCH(UPPER(B292), {"ENERO","FEBRERO","MARZO","ABRIL","MAYO","JUNIO","JULIO","AGOSTO","SEPTIEMBRE","OCTUBRE","NOVIEMBRE","DICIEMBRE"}, 0), 1,2,3,4,5,6,7,8,9,10,11,12), A292)</f>
        <v>44577</v>
      </c>
      <c r="H292">
        <v>20.125</v>
      </c>
      <c r="I292">
        <v>48000</v>
      </c>
      <c r="J292" s="1">
        <f t="shared" si="9"/>
        <v>43757</v>
      </c>
      <c r="K292" s="2" t="e">
        <f t="shared" si="8"/>
        <v>#N/A</v>
      </c>
    </row>
    <row r="293" spans="1:11" x14ac:dyDescent="0.25">
      <c r="A293">
        <v>17</v>
      </c>
      <c r="B293" t="s">
        <v>8</v>
      </c>
      <c r="C293">
        <v>2022</v>
      </c>
      <c r="D293">
        <v>30.5</v>
      </c>
      <c r="E293" t="s">
        <v>9</v>
      </c>
      <c r="F293">
        <v>21.5</v>
      </c>
      <c r="G293" s="1">
        <f>DATE(C293, CHOOSE(MATCH(UPPER(B293), {"ENERO","FEBRERO","MARZO","ABRIL","MAYO","JUNIO","JULIO","AGOSTO","SEPTIEMBRE","OCTUBRE","NOVIEMBRE","DICIEMBRE"}, 0), 1,2,3,4,5,6,7,8,9,10,11,12), A293)</f>
        <v>44578</v>
      </c>
      <c r="H293">
        <v>9</v>
      </c>
      <c r="I293">
        <v>48000</v>
      </c>
      <c r="J293" s="1">
        <f t="shared" si="9"/>
        <v>43758</v>
      </c>
      <c r="K293" s="2" t="e">
        <f t="shared" si="8"/>
        <v>#N/A</v>
      </c>
    </row>
    <row r="294" spans="1:11" x14ac:dyDescent="0.25">
      <c r="A294">
        <v>18</v>
      </c>
      <c r="B294" t="s">
        <v>8</v>
      </c>
      <c r="C294">
        <v>2022</v>
      </c>
      <c r="D294">
        <v>21.5</v>
      </c>
      <c r="E294" t="s">
        <v>9</v>
      </c>
      <c r="F294">
        <v>10.5</v>
      </c>
      <c r="G294" s="1">
        <f>DATE(C294, CHOOSE(MATCH(UPPER(B294), {"ENERO","FEBRERO","MARZO","ABRIL","MAYO","JUNIO","JULIO","AGOSTO","SEPTIEMBRE","OCTUBRE","NOVIEMBRE","DICIEMBRE"}, 0), 1,2,3,4,5,6,7,8,9,10,11,12), A294)</f>
        <v>44579</v>
      </c>
      <c r="H294">
        <v>11</v>
      </c>
      <c r="I294">
        <v>48000</v>
      </c>
      <c r="J294" s="1">
        <f t="shared" si="9"/>
        <v>43759</v>
      </c>
      <c r="K294" s="2" t="e">
        <f t="shared" si="8"/>
        <v>#N/A</v>
      </c>
    </row>
    <row r="295" spans="1:11" x14ac:dyDescent="0.25">
      <c r="A295">
        <v>19</v>
      </c>
      <c r="B295" t="s">
        <v>8</v>
      </c>
      <c r="C295">
        <v>2022</v>
      </c>
      <c r="D295">
        <v>10.5</v>
      </c>
      <c r="E295">
        <v>10</v>
      </c>
      <c r="F295">
        <v>8.75</v>
      </c>
      <c r="G295" s="1">
        <f>DATE(C295, CHOOSE(MATCH(UPPER(B295), {"ENERO","FEBRERO","MARZO","ABRIL","MAYO","JUNIO","JULIO","AGOSTO","SEPTIEMBRE","OCTUBRE","NOVIEMBRE","DICIEMBRE"}, 0), 1,2,3,4,5,6,7,8,9,10,11,12), A295)</f>
        <v>44580</v>
      </c>
      <c r="H295">
        <v>11.75</v>
      </c>
      <c r="I295">
        <v>48000</v>
      </c>
      <c r="J295" s="1">
        <f t="shared" si="9"/>
        <v>43760</v>
      </c>
      <c r="K295" s="2" t="e">
        <f t="shared" si="8"/>
        <v>#N/A</v>
      </c>
    </row>
    <row r="296" spans="1:11" x14ac:dyDescent="0.25">
      <c r="A296">
        <v>20</v>
      </c>
      <c r="B296" t="s">
        <v>8</v>
      </c>
      <c r="C296">
        <v>2022</v>
      </c>
      <c r="D296">
        <v>8.75</v>
      </c>
      <c r="E296">
        <v>100</v>
      </c>
      <c r="F296">
        <v>98.025000000000006</v>
      </c>
      <c r="G296" s="1">
        <f>DATE(C296, CHOOSE(MATCH(UPPER(B296), {"ENERO","FEBRERO","MARZO","ABRIL","MAYO","JUNIO","JULIO","AGOSTO","SEPTIEMBRE","OCTUBRE","NOVIEMBRE","DICIEMBRE"}, 0), 1,2,3,4,5,6,7,8,9,10,11,12), A296)</f>
        <v>44581</v>
      </c>
      <c r="H296">
        <v>10.725</v>
      </c>
      <c r="I296">
        <v>48000</v>
      </c>
      <c r="J296" s="1">
        <f t="shared" si="9"/>
        <v>43761</v>
      </c>
      <c r="K296" s="2" t="e">
        <f t="shared" si="8"/>
        <v>#N/A</v>
      </c>
    </row>
    <row r="297" spans="1:11" x14ac:dyDescent="0.25">
      <c r="A297">
        <v>21</v>
      </c>
      <c r="B297" t="s">
        <v>8</v>
      </c>
      <c r="C297">
        <v>2022</v>
      </c>
      <c r="D297">
        <v>98.025000000000006</v>
      </c>
      <c r="E297" t="s">
        <v>9</v>
      </c>
      <c r="F297">
        <v>85</v>
      </c>
      <c r="G297" s="1">
        <f>DATE(C297, CHOOSE(MATCH(UPPER(B297), {"ENERO","FEBRERO","MARZO","ABRIL","MAYO","JUNIO","JULIO","AGOSTO","SEPTIEMBRE","OCTUBRE","NOVIEMBRE","DICIEMBRE"}, 0), 1,2,3,4,5,6,7,8,9,10,11,12), A297)</f>
        <v>44582</v>
      </c>
      <c r="H297">
        <v>13.025</v>
      </c>
      <c r="I297">
        <v>48000</v>
      </c>
      <c r="J297" s="1">
        <f t="shared" si="9"/>
        <v>43762</v>
      </c>
      <c r="K297" s="2" t="e">
        <f t="shared" si="8"/>
        <v>#N/A</v>
      </c>
    </row>
    <row r="298" spans="1:11" x14ac:dyDescent="0.25">
      <c r="A298">
        <v>22</v>
      </c>
      <c r="B298" t="s">
        <v>8</v>
      </c>
      <c r="C298">
        <v>2022</v>
      </c>
      <c r="D298">
        <v>85</v>
      </c>
      <c r="E298" t="s">
        <v>9</v>
      </c>
      <c r="F298">
        <v>70.125</v>
      </c>
      <c r="G298" s="1">
        <f>DATE(C298, CHOOSE(MATCH(UPPER(B298), {"ENERO","FEBRERO","MARZO","ABRIL","MAYO","JUNIO","JULIO","AGOSTO","SEPTIEMBRE","OCTUBRE","NOVIEMBRE","DICIEMBRE"}, 0), 1,2,3,4,5,6,7,8,9,10,11,12), A298)</f>
        <v>44583</v>
      </c>
      <c r="H298">
        <v>14.875</v>
      </c>
      <c r="I298">
        <v>48000</v>
      </c>
      <c r="J298" s="1">
        <f t="shared" si="9"/>
        <v>43763</v>
      </c>
      <c r="K298" s="2" t="e">
        <f t="shared" si="8"/>
        <v>#N/A</v>
      </c>
    </row>
    <row r="299" spans="1:11" x14ac:dyDescent="0.25">
      <c r="A299">
        <v>23</v>
      </c>
      <c r="B299" t="s">
        <v>8</v>
      </c>
      <c r="C299">
        <v>2022</v>
      </c>
      <c r="D299">
        <v>70.125</v>
      </c>
      <c r="E299" t="s">
        <v>9</v>
      </c>
      <c r="F299">
        <v>45.5</v>
      </c>
      <c r="G299" s="1">
        <f>DATE(C299, CHOOSE(MATCH(UPPER(B299), {"ENERO","FEBRERO","MARZO","ABRIL","MAYO","JUNIO","JULIO","AGOSTO","SEPTIEMBRE","OCTUBRE","NOVIEMBRE","DICIEMBRE"}, 0), 1,2,3,4,5,6,7,8,9,10,11,12), A299)</f>
        <v>44584</v>
      </c>
      <c r="H299">
        <v>24.625</v>
      </c>
      <c r="I299">
        <v>48000</v>
      </c>
      <c r="J299" s="1">
        <f t="shared" si="9"/>
        <v>43764</v>
      </c>
      <c r="K299" s="2" t="e">
        <f t="shared" si="8"/>
        <v>#N/A</v>
      </c>
    </row>
    <row r="300" spans="1:11" x14ac:dyDescent="0.25">
      <c r="A300">
        <v>24</v>
      </c>
      <c r="B300" t="s">
        <v>8</v>
      </c>
      <c r="C300">
        <v>2022</v>
      </c>
      <c r="D300">
        <v>45.5</v>
      </c>
      <c r="E300" t="s">
        <v>9</v>
      </c>
      <c r="F300">
        <v>38.5</v>
      </c>
      <c r="G300" s="1">
        <f>DATE(C300, CHOOSE(MATCH(UPPER(B300), {"ENERO","FEBRERO","MARZO","ABRIL","MAYO","JUNIO","JULIO","AGOSTO","SEPTIEMBRE","OCTUBRE","NOVIEMBRE","DICIEMBRE"}, 0), 1,2,3,4,5,6,7,8,9,10,11,12), A300)</f>
        <v>44585</v>
      </c>
      <c r="H300">
        <v>7</v>
      </c>
      <c r="I300">
        <v>48000</v>
      </c>
      <c r="J300" s="1">
        <f t="shared" si="9"/>
        <v>43765</v>
      </c>
      <c r="K300" s="2" t="e">
        <f t="shared" si="8"/>
        <v>#N/A</v>
      </c>
    </row>
    <row r="301" spans="1:11" x14ac:dyDescent="0.25">
      <c r="A301">
        <v>25</v>
      </c>
      <c r="B301" t="s">
        <v>8</v>
      </c>
      <c r="C301">
        <v>2022</v>
      </c>
      <c r="D301">
        <v>38.5</v>
      </c>
      <c r="E301" t="s">
        <v>9</v>
      </c>
      <c r="F301">
        <v>24.5</v>
      </c>
      <c r="G301" s="1">
        <f>DATE(C301, CHOOSE(MATCH(UPPER(B301), {"ENERO","FEBRERO","MARZO","ABRIL","MAYO","JUNIO","JULIO","AGOSTO","SEPTIEMBRE","OCTUBRE","NOVIEMBRE","DICIEMBRE"}, 0), 1,2,3,4,5,6,7,8,9,10,11,12), A301)</f>
        <v>44586</v>
      </c>
      <c r="H301">
        <v>14</v>
      </c>
      <c r="I301">
        <v>48000</v>
      </c>
      <c r="J301" s="1">
        <f t="shared" si="9"/>
        <v>43766</v>
      </c>
      <c r="K301" s="2" t="e">
        <f t="shared" si="8"/>
        <v>#N/A</v>
      </c>
    </row>
    <row r="302" spans="1:11" x14ac:dyDescent="0.25">
      <c r="A302">
        <v>26</v>
      </c>
      <c r="B302" t="s">
        <v>8</v>
      </c>
      <c r="C302">
        <v>2022</v>
      </c>
      <c r="D302">
        <v>24.5</v>
      </c>
      <c r="E302" t="s">
        <v>9</v>
      </c>
      <c r="F302">
        <v>16.875</v>
      </c>
      <c r="G302" s="1">
        <f>DATE(C302, CHOOSE(MATCH(UPPER(B302), {"ENERO","FEBRERO","MARZO","ABRIL","MAYO","JUNIO","JULIO","AGOSTO","SEPTIEMBRE","OCTUBRE","NOVIEMBRE","DICIEMBRE"}, 0), 1,2,3,4,5,6,7,8,9,10,11,12), A302)</f>
        <v>44587</v>
      </c>
      <c r="H302">
        <v>7.625</v>
      </c>
      <c r="I302">
        <v>48000</v>
      </c>
      <c r="J302" s="1">
        <f t="shared" si="9"/>
        <v>43767</v>
      </c>
      <c r="K302" s="2" t="e">
        <f t="shared" si="8"/>
        <v>#N/A</v>
      </c>
    </row>
    <row r="303" spans="1:11" x14ac:dyDescent="0.25">
      <c r="A303">
        <v>27</v>
      </c>
      <c r="B303" t="s">
        <v>8</v>
      </c>
      <c r="C303">
        <v>2022</v>
      </c>
      <c r="D303">
        <v>16.875</v>
      </c>
      <c r="E303">
        <v>95</v>
      </c>
      <c r="F303">
        <v>105.75</v>
      </c>
      <c r="G303" s="1">
        <f>DATE(C303, CHOOSE(MATCH(UPPER(B303), {"ENERO","FEBRERO","MARZO","ABRIL","MAYO","JUNIO","JULIO","AGOSTO","SEPTIEMBRE","OCTUBRE","NOVIEMBRE","DICIEMBRE"}, 0), 1,2,3,4,5,6,7,8,9,10,11,12), A303)</f>
        <v>44588</v>
      </c>
      <c r="H303">
        <v>6.125</v>
      </c>
      <c r="I303">
        <v>48000</v>
      </c>
      <c r="J303" s="1">
        <f t="shared" si="9"/>
        <v>43768</v>
      </c>
      <c r="K303" s="2" t="e">
        <f t="shared" si="8"/>
        <v>#N/A</v>
      </c>
    </row>
    <row r="304" spans="1:11" x14ac:dyDescent="0.25">
      <c r="A304">
        <v>28</v>
      </c>
      <c r="B304" t="s">
        <v>8</v>
      </c>
      <c r="C304">
        <v>2022</v>
      </c>
      <c r="D304">
        <v>105.75</v>
      </c>
      <c r="E304" t="s">
        <v>9</v>
      </c>
      <c r="F304">
        <v>92</v>
      </c>
      <c r="G304" s="1">
        <f>DATE(C304, CHOOSE(MATCH(UPPER(B304), {"ENERO","FEBRERO","MARZO","ABRIL","MAYO","JUNIO","JULIO","AGOSTO","SEPTIEMBRE","OCTUBRE","NOVIEMBRE","DICIEMBRE"}, 0), 1,2,3,4,5,6,7,8,9,10,11,12), A304)</f>
        <v>44589</v>
      </c>
      <c r="H304">
        <v>13.75</v>
      </c>
      <c r="I304">
        <v>48000</v>
      </c>
      <c r="J304" s="1">
        <f t="shared" si="9"/>
        <v>43769</v>
      </c>
      <c r="K304" s="2" t="e">
        <f t="shared" si="8"/>
        <v>#N/A</v>
      </c>
    </row>
    <row r="305" spans="1:11" x14ac:dyDescent="0.25">
      <c r="A305">
        <v>29</v>
      </c>
      <c r="B305" t="s">
        <v>8</v>
      </c>
      <c r="C305">
        <v>2022</v>
      </c>
      <c r="D305">
        <v>92</v>
      </c>
      <c r="E305" t="s">
        <v>9</v>
      </c>
      <c r="F305">
        <v>70.25</v>
      </c>
      <c r="G305" s="1">
        <f>DATE(C305, CHOOSE(MATCH(UPPER(B305), {"ENERO","FEBRERO","MARZO","ABRIL","MAYO","JUNIO","JULIO","AGOSTO","SEPTIEMBRE","OCTUBRE","NOVIEMBRE","DICIEMBRE"}, 0), 1,2,3,4,5,6,7,8,9,10,11,12), A305)</f>
        <v>44590</v>
      </c>
      <c r="H305">
        <v>21.75</v>
      </c>
      <c r="I305">
        <v>48000</v>
      </c>
      <c r="J305" s="1">
        <f t="shared" si="9"/>
        <v>43770</v>
      </c>
      <c r="K305" s="2" t="e">
        <f t="shared" si="8"/>
        <v>#N/A</v>
      </c>
    </row>
    <row r="306" spans="1:11" x14ac:dyDescent="0.25">
      <c r="A306">
        <v>30</v>
      </c>
      <c r="B306" t="s">
        <v>8</v>
      </c>
      <c r="C306">
        <v>2022</v>
      </c>
      <c r="D306">
        <v>70.25</v>
      </c>
      <c r="E306" t="s">
        <v>9</v>
      </c>
      <c r="F306">
        <v>52.375</v>
      </c>
      <c r="G306" s="1">
        <f>DATE(C306, CHOOSE(MATCH(UPPER(B306), {"ENERO","FEBRERO","MARZO","ABRIL","MAYO","JUNIO","JULIO","AGOSTO","SEPTIEMBRE","OCTUBRE","NOVIEMBRE","DICIEMBRE"}, 0), 1,2,3,4,5,6,7,8,9,10,11,12), A306)</f>
        <v>44591</v>
      </c>
      <c r="H306">
        <v>17.875</v>
      </c>
      <c r="I306">
        <v>48000</v>
      </c>
      <c r="J306" s="1">
        <f t="shared" si="9"/>
        <v>43771</v>
      </c>
      <c r="K306" s="2" t="e">
        <f t="shared" si="8"/>
        <v>#N/A</v>
      </c>
    </row>
    <row r="307" spans="1:11" x14ac:dyDescent="0.25">
      <c r="A307">
        <v>31</v>
      </c>
      <c r="B307" t="s">
        <v>8</v>
      </c>
      <c r="C307">
        <v>2022</v>
      </c>
      <c r="D307">
        <v>52.375</v>
      </c>
      <c r="E307" t="s">
        <v>9</v>
      </c>
      <c r="F307">
        <v>38.75</v>
      </c>
      <c r="G307" s="1">
        <f>DATE(C307, CHOOSE(MATCH(UPPER(B307), {"ENERO","FEBRERO","MARZO","ABRIL","MAYO","JUNIO","JULIO","AGOSTO","SEPTIEMBRE","OCTUBRE","NOVIEMBRE","DICIEMBRE"}, 0), 1,2,3,4,5,6,7,8,9,10,11,12), A307)</f>
        <v>44592</v>
      </c>
      <c r="H307">
        <v>13.625</v>
      </c>
      <c r="I307">
        <v>48000</v>
      </c>
      <c r="J307" s="1">
        <f t="shared" si="9"/>
        <v>43772</v>
      </c>
      <c r="K307" s="2" t="e">
        <f t="shared" si="8"/>
        <v>#N/A</v>
      </c>
    </row>
    <row r="308" spans="1:11" x14ac:dyDescent="0.25">
      <c r="A308">
        <v>1</v>
      </c>
      <c r="B308" t="s">
        <v>11</v>
      </c>
      <c r="C308">
        <v>2022</v>
      </c>
      <c r="D308">
        <v>38.75</v>
      </c>
      <c r="E308" t="s">
        <v>9</v>
      </c>
      <c r="F308">
        <v>30.875</v>
      </c>
      <c r="G308" s="1">
        <f>DATE(C308, CHOOSE(MATCH(UPPER(B308), {"ENERO","FEBRERO","MARZO","ABRIL","MAYO","JUNIO","JULIO","AGOSTO","SEPTIEMBRE","OCTUBRE","NOVIEMBRE","DICIEMBRE"}, 0), 1,2,3,4,5,6,7,8,9,10,11,12), A308)</f>
        <v>44593</v>
      </c>
      <c r="H308">
        <v>7.875</v>
      </c>
      <c r="I308">
        <v>48000</v>
      </c>
      <c r="J308" s="1">
        <f t="shared" si="9"/>
        <v>43773</v>
      </c>
      <c r="K308" s="2" t="e">
        <f t="shared" si="8"/>
        <v>#N/A</v>
      </c>
    </row>
    <row r="309" spans="1:11" x14ac:dyDescent="0.25">
      <c r="A309">
        <v>2</v>
      </c>
      <c r="B309" t="s">
        <v>11</v>
      </c>
      <c r="C309">
        <v>2022</v>
      </c>
      <c r="D309">
        <v>30.875</v>
      </c>
      <c r="E309">
        <v>50</v>
      </c>
      <c r="F309">
        <v>72</v>
      </c>
      <c r="G309" s="1">
        <f>DATE(C309, CHOOSE(MATCH(UPPER(B309), {"ENERO","FEBRERO","MARZO","ABRIL","MAYO","JUNIO","JULIO","AGOSTO","SEPTIEMBRE","OCTUBRE","NOVIEMBRE","DICIEMBRE"}, 0), 1,2,3,4,5,6,7,8,9,10,11,12), A309)</f>
        <v>44594</v>
      </c>
      <c r="H309">
        <v>8.875</v>
      </c>
      <c r="I309">
        <v>48000</v>
      </c>
      <c r="J309" s="1">
        <f t="shared" si="9"/>
        <v>43774</v>
      </c>
      <c r="K309" s="2" t="e">
        <f t="shared" si="8"/>
        <v>#N/A</v>
      </c>
    </row>
    <row r="310" spans="1:11" x14ac:dyDescent="0.25">
      <c r="A310">
        <v>3</v>
      </c>
      <c r="B310" t="s">
        <v>11</v>
      </c>
      <c r="C310">
        <v>2022</v>
      </c>
      <c r="D310">
        <v>72</v>
      </c>
      <c r="E310" t="s">
        <v>9</v>
      </c>
      <c r="F310">
        <v>63.75</v>
      </c>
      <c r="G310" s="1">
        <f>DATE(C310, CHOOSE(MATCH(UPPER(B310), {"ENERO","FEBRERO","MARZO","ABRIL","MAYO","JUNIO","JULIO","AGOSTO","SEPTIEMBRE","OCTUBRE","NOVIEMBRE","DICIEMBRE"}, 0), 1,2,3,4,5,6,7,8,9,10,11,12), A310)</f>
        <v>44595</v>
      </c>
      <c r="H310">
        <v>8.25</v>
      </c>
      <c r="I310">
        <v>48000</v>
      </c>
      <c r="J310" s="1">
        <f t="shared" si="9"/>
        <v>43775</v>
      </c>
      <c r="K310" s="2" t="e">
        <f t="shared" si="8"/>
        <v>#N/A</v>
      </c>
    </row>
    <row r="311" spans="1:11" x14ac:dyDescent="0.25">
      <c r="A311">
        <v>4</v>
      </c>
      <c r="B311" t="s">
        <v>11</v>
      </c>
      <c r="C311">
        <v>2022</v>
      </c>
      <c r="D311">
        <v>63.75</v>
      </c>
      <c r="E311" t="s">
        <v>9</v>
      </c>
      <c r="F311">
        <v>54.75</v>
      </c>
      <c r="G311" s="1">
        <f>DATE(C311, CHOOSE(MATCH(UPPER(B311), {"ENERO","FEBRERO","MARZO","ABRIL","MAYO","JUNIO","JULIO","AGOSTO","SEPTIEMBRE","OCTUBRE","NOVIEMBRE","DICIEMBRE"}, 0), 1,2,3,4,5,6,7,8,9,10,11,12), A311)</f>
        <v>44596</v>
      </c>
      <c r="H311">
        <v>9</v>
      </c>
      <c r="I311">
        <v>48000</v>
      </c>
      <c r="J311" s="1">
        <f t="shared" si="9"/>
        <v>43776</v>
      </c>
      <c r="K311" s="2" t="e">
        <f t="shared" si="8"/>
        <v>#N/A</v>
      </c>
    </row>
    <row r="312" spans="1:11" x14ac:dyDescent="0.25">
      <c r="A312">
        <v>5</v>
      </c>
      <c r="B312" t="s">
        <v>11</v>
      </c>
      <c r="C312">
        <v>2022</v>
      </c>
      <c r="D312">
        <v>54.75</v>
      </c>
      <c r="E312" t="s">
        <v>9</v>
      </c>
      <c r="F312">
        <v>39.125</v>
      </c>
      <c r="G312" s="1">
        <f>DATE(C312, CHOOSE(MATCH(UPPER(B312), {"ENERO","FEBRERO","MARZO","ABRIL","MAYO","JUNIO","JULIO","AGOSTO","SEPTIEMBRE","OCTUBRE","NOVIEMBRE","DICIEMBRE"}, 0), 1,2,3,4,5,6,7,8,9,10,11,12), A312)</f>
        <v>44597</v>
      </c>
      <c r="H312">
        <v>15.625</v>
      </c>
      <c r="I312">
        <v>48000</v>
      </c>
      <c r="J312" s="1">
        <f t="shared" si="9"/>
        <v>43777</v>
      </c>
      <c r="K312" s="2" t="e">
        <f t="shared" si="8"/>
        <v>#N/A</v>
      </c>
    </row>
    <row r="313" spans="1:11" x14ac:dyDescent="0.25">
      <c r="A313">
        <v>6</v>
      </c>
      <c r="B313" t="s">
        <v>11</v>
      </c>
      <c r="C313">
        <v>2022</v>
      </c>
      <c r="D313">
        <v>39.125</v>
      </c>
      <c r="E313" t="s">
        <v>9</v>
      </c>
      <c r="F313">
        <v>23</v>
      </c>
      <c r="G313" s="1">
        <f>DATE(C313, CHOOSE(MATCH(UPPER(B313), {"ENERO","FEBRERO","MARZO","ABRIL","MAYO","JUNIO","JULIO","AGOSTO","SEPTIEMBRE","OCTUBRE","NOVIEMBRE","DICIEMBRE"}, 0), 1,2,3,4,5,6,7,8,9,10,11,12), A313)</f>
        <v>44598</v>
      </c>
      <c r="H313">
        <v>16.125</v>
      </c>
      <c r="I313">
        <v>48000</v>
      </c>
      <c r="J313" s="1">
        <f t="shared" si="9"/>
        <v>43778</v>
      </c>
      <c r="K313" s="2" t="e">
        <f t="shared" si="8"/>
        <v>#N/A</v>
      </c>
    </row>
    <row r="314" spans="1:11" x14ac:dyDescent="0.25">
      <c r="A314">
        <v>7</v>
      </c>
      <c r="B314" t="s">
        <v>11</v>
      </c>
      <c r="C314">
        <v>2022</v>
      </c>
      <c r="D314">
        <v>23</v>
      </c>
      <c r="E314" t="s">
        <v>9</v>
      </c>
      <c r="F314">
        <v>13</v>
      </c>
      <c r="G314" s="1">
        <f>DATE(C314, CHOOSE(MATCH(UPPER(B314), {"ENERO","FEBRERO","MARZO","ABRIL","MAYO","JUNIO","JULIO","AGOSTO","SEPTIEMBRE","OCTUBRE","NOVIEMBRE","DICIEMBRE"}, 0), 1,2,3,4,5,6,7,8,9,10,11,12), A314)</f>
        <v>44599</v>
      </c>
      <c r="H314">
        <v>10</v>
      </c>
      <c r="I314">
        <v>48000</v>
      </c>
      <c r="J314" s="1">
        <f t="shared" si="9"/>
        <v>43779</v>
      </c>
      <c r="K314" s="2" t="e">
        <f t="shared" si="8"/>
        <v>#N/A</v>
      </c>
    </row>
    <row r="315" spans="1:11" x14ac:dyDescent="0.25">
      <c r="A315">
        <v>8</v>
      </c>
      <c r="B315" t="s">
        <v>11</v>
      </c>
      <c r="C315">
        <v>2022</v>
      </c>
      <c r="D315">
        <v>13</v>
      </c>
      <c r="E315" t="s">
        <v>9</v>
      </c>
      <c r="F315">
        <v>0</v>
      </c>
      <c r="G315" s="1">
        <f>DATE(C315, CHOOSE(MATCH(UPPER(B315), {"ENERO","FEBRERO","MARZO","ABRIL","MAYO","JUNIO","JULIO","AGOSTO","SEPTIEMBRE","OCTUBRE","NOVIEMBRE","DICIEMBRE"}, 0), 1,2,3,4,5,6,7,8,9,10,11,12), A315)</f>
        <v>44600</v>
      </c>
      <c r="H315">
        <v>13</v>
      </c>
      <c r="I315">
        <v>48000</v>
      </c>
      <c r="J315" s="1">
        <f t="shared" si="9"/>
        <v>43780</v>
      </c>
      <c r="K315" s="2" t="e">
        <f t="shared" si="8"/>
        <v>#N/A</v>
      </c>
    </row>
    <row r="316" spans="1:11" x14ac:dyDescent="0.25">
      <c r="A316">
        <v>9</v>
      </c>
      <c r="B316" t="s">
        <v>11</v>
      </c>
      <c r="C316">
        <v>2022</v>
      </c>
      <c r="D316">
        <v>0</v>
      </c>
      <c r="E316">
        <v>50</v>
      </c>
      <c r="F316">
        <v>37.25</v>
      </c>
      <c r="G316" s="1">
        <f>DATE(C316, CHOOSE(MATCH(UPPER(B316), {"ENERO","FEBRERO","MARZO","ABRIL","MAYO","JUNIO","JULIO","AGOSTO","SEPTIEMBRE","OCTUBRE","NOVIEMBRE","DICIEMBRE"}, 0), 1,2,3,4,5,6,7,8,9,10,11,12), A316)</f>
        <v>44601</v>
      </c>
      <c r="H316">
        <v>12.75</v>
      </c>
      <c r="I316">
        <v>48000</v>
      </c>
      <c r="J316" s="1">
        <f t="shared" si="9"/>
        <v>43781</v>
      </c>
      <c r="K316" s="2" t="e">
        <f t="shared" si="8"/>
        <v>#N/A</v>
      </c>
    </row>
    <row r="317" spans="1:11" x14ac:dyDescent="0.25">
      <c r="A317">
        <v>10</v>
      </c>
      <c r="B317" t="s">
        <v>11</v>
      </c>
      <c r="C317">
        <v>2022</v>
      </c>
      <c r="D317">
        <v>37.25</v>
      </c>
      <c r="E317" t="s">
        <v>9</v>
      </c>
      <c r="F317">
        <v>31</v>
      </c>
      <c r="G317" s="1">
        <f>DATE(C317, CHOOSE(MATCH(UPPER(B317), {"ENERO","FEBRERO","MARZO","ABRIL","MAYO","JUNIO","JULIO","AGOSTO","SEPTIEMBRE","OCTUBRE","NOVIEMBRE","DICIEMBRE"}, 0), 1,2,3,4,5,6,7,8,9,10,11,12), A317)</f>
        <v>44602</v>
      </c>
      <c r="H317">
        <v>6.25</v>
      </c>
      <c r="I317">
        <v>48000</v>
      </c>
      <c r="J317" s="1">
        <f t="shared" si="9"/>
        <v>43782</v>
      </c>
      <c r="K317" s="2" t="e">
        <f t="shared" si="8"/>
        <v>#N/A</v>
      </c>
    </row>
    <row r="318" spans="1:11" x14ac:dyDescent="0.25">
      <c r="A318">
        <v>11</v>
      </c>
      <c r="B318" t="s">
        <v>11</v>
      </c>
      <c r="C318">
        <v>2022</v>
      </c>
      <c r="D318">
        <v>31</v>
      </c>
      <c r="E318" t="s">
        <v>9</v>
      </c>
      <c r="F318">
        <v>19</v>
      </c>
      <c r="G318" s="1">
        <f>DATE(C318, CHOOSE(MATCH(UPPER(B318), {"ENERO","FEBRERO","MARZO","ABRIL","MAYO","JUNIO","JULIO","AGOSTO","SEPTIEMBRE","OCTUBRE","NOVIEMBRE","DICIEMBRE"}, 0), 1,2,3,4,5,6,7,8,9,10,11,12), A318)</f>
        <v>44603</v>
      </c>
      <c r="H318">
        <v>12</v>
      </c>
      <c r="I318">
        <v>48000</v>
      </c>
      <c r="J318" s="1">
        <f t="shared" si="9"/>
        <v>43783</v>
      </c>
      <c r="K318" s="2" t="e">
        <f t="shared" si="8"/>
        <v>#N/A</v>
      </c>
    </row>
    <row r="319" spans="1:11" x14ac:dyDescent="0.25">
      <c r="A319">
        <v>12</v>
      </c>
      <c r="B319" t="s">
        <v>11</v>
      </c>
      <c r="C319">
        <v>2022</v>
      </c>
      <c r="D319">
        <v>19</v>
      </c>
      <c r="E319">
        <v>90</v>
      </c>
      <c r="F319">
        <v>85.75</v>
      </c>
      <c r="G319" s="1">
        <f>DATE(C319, CHOOSE(MATCH(UPPER(B319), {"ENERO","FEBRERO","MARZO","ABRIL","MAYO","JUNIO","JULIO","AGOSTO","SEPTIEMBRE","OCTUBRE","NOVIEMBRE","DICIEMBRE"}, 0), 1,2,3,4,5,6,7,8,9,10,11,12), A319)</f>
        <v>44604</v>
      </c>
      <c r="H319">
        <v>23.25</v>
      </c>
      <c r="I319">
        <v>48000</v>
      </c>
      <c r="J319" s="1">
        <f t="shared" si="9"/>
        <v>43784</v>
      </c>
      <c r="K319" s="2" t="e">
        <f t="shared" si="8"/>
        <v>#N/A</v>
      </c>
    </row>
    <row r="320" spans="1:11" x14ac:dyDescent="0.25">
      <c r="A320">
        <v>13</v>
      </c>
      <c r="B320" t="s">
        <v>11</v>
      </c>
      <c r="C320">
        <v>2022</v>
      </c>
      <c r="D320">
        <v>85.75</v>
      </c>
      <c r="E320" t="s">
        <v>9</v>
      </c>
      <c r="F320">
        <v>67.625</v>
      </c>
      <c r="G320" s="1">
        <f>DATE(C320, CHOOSE(MATCH(UPPER(B320), {"ENERO","FEBRERO","MARZO","ABRIL","MAYO","JUNIO","JULIO","AGOSTO","SEPTIEMBRE","OCTUBRE","NOVIEMBRE","DICIEMBRE"}, 0), 1,2,3,4,5,6,7,8,9,10,11,12), A320)</f>
        <v>44605</v>
      </c>
      <c r="H320">
        <v>18.125</v>
      </c>
      <c r="I320">
        <v>48000</v>
      </c>
      <c r="J320" s="1">
        <f t="shared" si="9"/>
        <v>43785</v>
      </c>
      <c r="K320" s="2" t="e">
        <f t="shared" si="8"/>
        <v>#N/A</v>
      </c>
    </row>
    <row r="321" spans="1:11" x14ac:dyDescent="0.25">
      <c r="A321">
        <v>14</v>
      </c>
      <c r="B321" t="s">
        <v>11</v>
      </c>
      <c r="C321">
        <v>2022</v>
      </c>
      <c r="D321">
        <v>67.625</v>
      </c>
      <c r="E321" t="s">
        <v>9</v>
      </c>
      <c r="F321">
        <v>58</v>
      </c>
      <c r="G321" s="1">
        <f>DATE(C321, CHOOSE(MATCH(UPPER(B321), {"ENERO","FEBRERO","MARZO","ABRIL","MAYO","JUNIO","JULIO","AGOSTO","SEPTIEMBRE","OCTUBRE","NOVIEMBRE","DICIEMBRE"}, 0), 1,2,3,4,5,6,7,8,9,10,11,12), A321)</f>
        <v>44606</v>
      </c>
      <c r="H321">
        <v>9.625</v>
      </c>
      <c r="I321">
        <v>48000</v>
      </c>
      <c r="J321" s="1">
        <f t="shared" si="9"/>
        <v>43786</v>
      </c>
      <c r="K321" s="2" t="e">
        <f t="shared" si="8"/>
        <v>#N/A</v>
      </c>
    </row>
    <row r="322" spans="1:11" x14ac:dyDescent="0.25">
      <c r="A322">
        <v>15</v>
      </c>
      <c r="B322" t="s">
        <v>11</v>
      </c>
      <c r="C322">
        <v>2022</v>
      </c>
      <c r="D322">
        <v>58</v>
      </c>
      <c r="E322" t="s">
        <v>9</v>
      </c>
      <c r="F322">
        <v>43.875</v>
      </c>
      <c r="G322" s="1">
        <f>DATE(C322, CHOOSE(MATCH(UPPER(B322), {"ENERO","FEBRERO","MARZO","ABRIL","MAYO","JUNIO","JULIO","AGOSTO","SEPTIEMBRE","OCTUBRE","NOVIEMBRE","DICIEMBRE"}, 0), 1,2,3,4,5,6,7,8,9,10,11,12), A322)</f>
        <v>44607</v>
      </c>
      <c r="H322">
        <v>14.125</v>
      </c>
      <c r="I322">
        <v>48000</v>
      </c>
      <c r="J322" s="1">
        <f t="shared" si="9"/>
        <v>43787</v>
      </c>
      <c r="K322" s="2" t="e">
        <f t="shared" si="8"/>
        <v>#N/A</v>
      </c>
    </row>
    <row r="323" spans="1:11" x14ac:dyDescent="0.25">
      <c r="A323">
        <v>16</v>
      </c>
      <c r="B323" t="s">
        <v>11</v>
      </c>
      <c r="C323">
        <v>2022</v>
      </c>
      <c r="D323">
        <v>43.875</v>
      </c>
      <c r="E323" t="s">
        <v>9</v>
      </c>
      <c r="F323">
        <v>33.5</v>
      </c>
      <c r="G323" s="1">
        <f>DATE(C323, CHOOSE(MATCH(UPPER(B323), {"ENERO","FEBRERO","MARZO","ABRIL","MAYO","JUNIO","JULIO","AGOSTO","SEPTIEMBRE","OCTUBRE","NOVIEMBRE","DICIEMBRE"}, 0), 1,2,3,4,5,6,7,8,9,10,11,12), A323)</f>
        <v>44608</v>
      </c>
      <c r="H323">
        <v>10.375</v>
      </c>
      <c r="I323">
        <v>48000</v>
      </c>
      <c r="J323" s="1">
        <f t="shared" si="9"/>
        <v>43788</v>
      </c>
      <c r="K323" s="2" t="e">
        <f t="shared" ref="K323:K386" si="10">VLOOKUP(J323, G:H, 2, FALSE)</f>
        <v>#N/A</v>
      </c>
    </row>
    <row r="324" spans="1:11" x14ac:dyDescent="0.25">
      <c r="A324">
        <v>17</v>
      </c>
      <c r="B324" t="s">
        <v>11</v>
      </c>
      <c r="C324">
        <v>2022</v>
      </c>
      <c r="D324">
        <v>33.5</v>
      </c>
      <c r="E324">
        <v>60</v>
      </c>
      <c r="F324">
        <v>86</v>
      </c>
      <c r="G324" s="1">
        <f>DATE(C324, CHOOSE(MATCH(UPPER(B324), {"ENERO","FEBRERO","MARZO","ABRIL","MAYO","JUNIO","JULIO","AGOSTO","SEPTIEMBRE","OCTUBRE","NOVIEMBRE","DICIEMBRE"}, 0), 1,2,3,4,5,6,7,8,9,10,11,12), A324)</f>
        <v>44609</v>
      </c>
      <c r="H324">
        <v>7.5</v>
      </c>
      <c r="I324">
        <v>48000</v>
      </c>
      <c r="J324" s="1">
        <f t="shared" si="9"/>
        <v>43789</v>
      </c>
      <c r="K324" s="2" t="e">
        <f t="shared" si="10"/>
        <v>#N/A</v>
      </c>
    </row>
    <row r="325" spans="1:11" x14ac:dyDescent="0.25">
      <c r="A325">
        <v>18</v>
      </c>
      <c r="B325" t="s">
        <v>11</v>
      </c>
      <c r="C325">
        <v>2022</v>
      </c>
      <c r="D325">
        <v>86</v>
      </c>
      <c r="E325" t="s">
        <v>9</v>
      </c>
      <c r="F325">
        <v>77.75</v>
      </c>
      <c r="G325" s="1">
        <f>DATE(C325, CHOOSE(MATCH(UPPER(B325), {"ENERO","FEBRERO","MARZO","ABRIL","MAYO","JUNIO","JULIO","AGOSTO","SEPTIEMBRE","OCTUBRE","NOVIEMBRE","DICIEMBRE"}, 0), 1,2,3,4,5,6,7,8,9,10,11,12), A325)</f>
        <v>44610</v>
      </c>
      <c r="H325">
        <v>8.25</v>
      </c>
      <c r="I325">
        <v>48000</v>
      </c>
      <c r="J325" s="1">
        <f t="shared" ref="J325:J388" si="11">DATE(2019,1,1) + ROW()-1</f>
        <v>43790</v>
      </c>
      <c r="K325" s="2" t="e">
        <f t="shared" si="10"/>
        <v>#N/A</v>
      </c>
    </row>
    <row r="326" spans="1:11" x14ac:dyDescent="0.25">
      <c r="A326">
        <v>19</v>
      </c>
      <c r="B326" t="s">
        <v>11</v>
      </c>
      <c r="C326">
        <v>2022</v>
      </c>
      <c r="D326">
        <v>77.75</v>
      </c>
      <c r="E326" t="s">
        <v>9</v>
      </c>
      <c r="F326">
        <v>54.625</v>
      </c>
      <c r="G326" s="1">
        <f>DATE(C326, CHOOSE(MATCH(UPPER(B326), {"ENERO","FEBRERO","MARZO","ABRIL","MAYO","JUNIO","JULIO","AGOSTO","SEPTIEMBRE","OCTUBRE","NOVIEMBRE","DICIEMBRE"}, 0), 1,2,3,4,5,6,7,8,9,10,11,12), A326)</f>
        <v>44611</v>
      </c>
      <c r="H326">
        <v>23.125</v>
      </c>
      <c r="I326">
        <v>48000</v>
      </c>
      <c r="J326" s="1">
        <f t="shared" si="11"/>
        <v>43791</v>
      </c>
      <c r="K326" s="2" t="e">
        <f t="shared" si="10"/>
        <v>#N/A</v>
      </c>
    </row>
    <row r="327" spans="1:11" x14ac:dyDescent="0.25">
      <c r="A327">
        <v>20</v>
      </c>
      <c r="B327" t="s">
        <v>11</v>
      </c>
      <c r="C327">
        <v>2022</v>
      </c>
      <c r="D327">
        <v>54.625</v>
      </c>
      <c r="E327" t="s">
        <v>9</v>
      </c>
      <c r="F327">
        <v>40</v>
      </c>
      <c r="G327" s="1">
        <f>DATE(C327, CHOOSE(MATCH(UPPER(B327), {"ENERO","FEBRERO","MARZO","ABRIL","MAYO","JUNIO","JULIO","AGOSTO","SEPTIEMBRE","OCTUBRE","NOVIEMBRE","DICIEMBRE"}, 0), 1,2,3,4,5,6,7,8,9,10,11,12), A327)</f>
        <v>44612</v>
      </c>
      <c r="H327">
        <v>14.625</v>
      </c>
      <c r="I327">
        <v>48000</v>
      </c>
      <c r="J327" s="1">
        <f t="shared" si="11"/>
        <v>43792</v>
      </c>
      <c r="K327" s="2" t="e">
        <f t="shared" si="10"/>
        <v>#N/A</v>
      </c>
    </row>
    <row r="328" spans="1:11" x14ac:dyDescent="0.25">
      <c r="A328">
        <v>21</v>
      </c>
      <c r="B328" t="s">
        <v>11</v>
      </c>
      <c r="C328">
        <v>2022</v>
      </c>
      <c r="D328">
        <v>40</v>
      </c>
      <c r="E328" t="s">
        <v>9</v>
      </c>
      <c r="F328">
        <v>33.375</v>
      </c>
      <c r="G328" s="1">
        <f>DATE(C328, CHOOSE(MATCH(UPPER(B328), {"ENERO","FEBRERO","MARZO","ABRIL","MAYO","JUNIO","JULIO","AGOSTO","SEPTIEMBRE","OCTUBRE","NOVIEMBRE","DICIEMBRE"}, 0), 1,2,3,4,5,6,7,8,9,10,11,12), A328)</f>
        <v>44613</v>
      </c>
      <c r="H328">
        <v>6.625</v>
      </c>
      <c r="I328">
        <v>48000</v>
      </c>
      <c r="J328" s="1">
        <f t="shared" si="11"/>
        <v>43793</v>
      </c>
      <c r="K328" s="2" t="e">
        <f t="shared" si="10"/>
        <v>#N/A</v>
      </c>
    </row>
    <row r="329" spans="1:11" x14ac:dyDescent="0.25">
      <c r="A329">
        <v>22</v>
      </c>
      <c r="B329" t="s">
        <v>11</v>
      </c>
      <c r="C329">
        <v>2022</v>
      </c>
      <c r="D329">
        <v>33.375</v>
      </c>
      <c r="E329" t="s">
        <v>9</v>
      </c>
      <c r="F329">
        <v>28.125</v>
      </c>
      <c r="G329" s="1">
        <f>DATE(C329, CHOOSE(MATCH(UPPER(B329), {"ENERO","FEBRERO","MARZO","ABRIL","MAYO","JUNIO","JULIO","AGOSTO","SEPTIEMBRE","OCTUBRE","NOVIEMBRE","DICIEMBRE"}, 0), 1,2,3,4,5,6,7,8,9,10,11,12), A329)</f>
        <v>44614</v>
      </c>
      <c r="H329">
        <v>5.25</v>
      </c>
      <c r="I329">
        <v>48000</v>
      </c>
      <c r="J329" s="1">
        <f t="shared" si="11"/>
        <v>43794</v>
      </c>
      <c r="K329" s="2" t="e">
        <f t="shared" si="10"/>
        <v>#N/A</v>
      </c>
    </row>
    <row r="330" spans="1:11" x14ac:dyDescent="0.25">
      <c r="A330">
        <v>23</v>
      </c>
      <c r="B330" t="s">
        <v>11</v>
      </c>
      <c r="C330">
        <v>2022</v>
      </c>
      <c r="D330">
        <v>28.125</v>
      </c>
      <c r="E330">
        <v>90</v>
      </c>
      <c r="F330">
        <v>111.25</v>
      </c>
      <c r="G330" s="1">
        <f>DATE(C330, CHOOSE(MATCH(UPPER(B330), {"ENERO","FEBRERO","MARZO","ABRIL","MAYO","JUNIO","JULIO","AGOSTO","SEPTIEMBRE","OCTUBRE","NOVIEMBRE","DICIEMBRE"}, 0), 1,2,3,4,5,6,7,8,9,10,11,12), A330)</f>
        <v>44615</v>
      </c>
      <c r="H330">
        <v>6.875</v>
      </c>
      <c r="I330">
        <v>48000</v>
      </c>
      <c r="J330" s="1">
        <f t="shared" si="11"/>
        <v>43795</v>
      </c>
      <c r="K330" s="2" t="e">
        <f t="shared" si="10"/>
        <v>#N/A</v>
      </c>
    </row>
    <row r="331" spans="1:11" x14ac:dyDescent="0.25">
      <c r="A331">
        <v>24</v>
      </c>
      <c r="B331" t="s">
        <v>11</v>
      </c>
      <c r="C331">
        <v>2022</v>
      </c>
      <c r="D331">
        <v>111.25</v>
      </c>
      <c r="E331" t="s">
        <v>9</v>
      </c>
      <c r="F331">
        <v>102.625</v>
      </c>
      <c r="G331" s="1">
        <f>DATE(C331, CHOOSE(MATCH(UPPER(B331), {"ENERO","FEBRERO","MARZO","ABRIL","MAYO","JUNIO","JULIO","AGOSTO","SEPTIEMBRE","OCTUBRE","NOVIEMBRE","DICIEMBRE"}, 0), 1,2,3,4,5,6,7,8,9,10,11,12), A331)</f>
        <v>44616</v>
      </c>
      <c r="H331">
        <v>8.625</v>
      </c>
      <c r="I331">
        <v>48000</v>
      </c>
      <c r="J331" s="1">
        <f t="shared" si="11"/>
        <v>43796</v>
      </c>
      <c r="K331" s="2" t="e">
        <f t="shared" si="10"/>
        <v>#N/A</v>
      </c>
    </row>
    <row r="332" spans="1:11" x14ac:dyDescent="0.25">
      <c r="A332">
        <v>25</v>
      </c>
      <c r="B332" t="s">
        <v>11</v>
      </c>
      <c r="C332">
        <v>2022</v>
      </c>
      <c r="D332">
        <v>102.625</v>
      </c>
      <c r="E332" t="s">
        <v>9</v>
      </c>
      <c r="F332">
        <v>94.75</v>
      </c>
      <c r="G332" s="1">
        <f>DATE(C332, CHOOSE(MATCH(UPPER(B332), {"ENERO","FEBRERO","MARZO","ABRIL","MAYO","JUNIO","JULIO","AGOSTO","SEPTIEMBRE","OCTUBRE","NOVIEMBRE","DICIEMBRE"}, 0), 1,2,3,4,5,6,7,8,9,10,11,12), A332)</f>
        <v>44617</v>
      </c>
      <c r="H332">
        <v>7.875</v>
      </c>
      <c r="I332">
        <v>48000</v>
      </c>
      <c r="J332" s="1">
        <f t="shared" si="11"/>
        <v>43797</v>
      </c>
      <c r="K332" s="2" t="e">
        <f t="shared" si="10"/>
        <v>#N/A</v>
      </c>
    </row>
    <row r="333" spans="1:11" x14ac:dyDescent="0.25">
      <c r="A333">
        <v>26</v>
      </c>
      <c r="B333" t="s">
        <v>11</v>
      </c>
      <c r="C333">
        <v>2022</v>
      </c>
      <c r="D333">
        <v>94.75</v>
      </c>
      <c r="E333" t="s">
        <v>9</v>
      </c>
      <c r="F333">
        <v>73</v>
      </c>
      <c r="G333" s="1">
        <f>DATE(C333, CHOOSE(MATCH(UPPER(B333), {"ENERO","FEBRERO","MARZO","ABRIL","MAYO","JUNIO","JULIO","AGOSTO","SEPTIEMBRE","OCTUBRE","NOVIEMBRE","DICIEMBRE"}, 0), 1,2,3,4,5,6,7,8,9,10,11,12), A333)</f>
        <v>44618</v>
      </c>
      <c r="H333">
        <v>21.75</v>
      </c>
      <c r="I333">
        <v>48000</v>
      </c>
      <c r="J333" s="1">
        <f t="shared" si="11"/>
        <v>43798</v>
      </c>
      <c r="K333" s="2" t="e">
        <f t="shared" si="10"/>
        <v>#N/A</v>
      </c>
    </row>
    <row r="334" spans="1:11" x14ac:dyDescent="0.25">
      <c r="A334">
        <v>27</v>
      </c>
      <c r="B334" t="s">
        <v>11</v>
      </c>
      <c r="C334">
        <v>2022</v>
      </c>
      <c r="D334">
        <v>73</v>
      </c>
      <c r="E334" t="s">
        <v>9</v>
      </c>
      <c r="F334">
        <v>59.375</v>
      </c>
      <c r="G334" s="1">
        <f>DATE(C334, CHOOSE(MATCH(UPPER(B334), {"ENERO","FEBRERO","MARZO","ABRIL","MAYO","JUNIO","JULIO","AGOSTO","SEPTIEMBRE","OCTUBRE","NOVIEMBRE","DICIEMBRE"}, 0), 1,2,3,4,5,6,7,8,9,10,11,12), A334)</f>
        <v>44619</v>
      </c>
      <c r="H334">
        <v>13.625</v>
      </c>
      <c r="I334">
        <v>48000</v>
      </c>
      <c r="J334" s="1">
        <f t="shared" si="11"/>
        <v>43799</v>
      </c>
      <c r="K334" s="2" t="e">
        <f t="shared" si="10"/>
        <v>#N/A</v>
      </c>
    </row>
    <row r="335" spans="1:11" x14ac:dyDescent="0.25">
      <c r="A335">
        <v>28</v>
      </c>
      <c r="B335" t="s">
        <v>11</v>
      </c>
      <c r="C335">
        <v>2022</v>
      </c>
      <c r="D335">
        <v>59.375</v>
      </c>
      <c r="E335" t="s">
        <v>9</v>
      </c>
      <c r="F335">
        <v>52</v>
      </c>
      <c r="G335" s="1">
        <f>DATE(C335, CHOOSE(MATCH(UPPER(B335), {"ENERO","FEBRERO","MARZO","ABRIL","MAYO","JUNIO","JULIO","AGOSTO","SEPTIEMBRE","OCTUBRE","NOVIEMBRE","DICIEMBRE"}, 0), 1,2,3,4,5,6,7,8,9,10,11,12), A335)</f>
        <v>44620</v>
      </c>
      <c r="H335">
        <v>7.375</v>
      </c>
      <c r="I335">
        <v>48000</v>
      </c>
      <c r="J335" s="1">
        <f t="shared" si="11"/>
        <v>43800</v>
      </c>
      <c r="K335" s="2" t="e">
        <f t="shared" si="10"/>
        <v>#N/A</v>
      </c>
    </row>
    <row r="336" spans="1:11" x14ac:dyDescent="0.25">
      <c r="A336">
        <v>1</v>
      </c>
      <c r="B336" t="s">
        <v>12</v>
      </c>
      <c r="C336">
        <v>2022</v>
      </c>
      <c r="D336">
        <v>52</v>
      </c>
      <c r="E336" t="s">
        <v>9</v>
      </c>
      <c r="F336">
        <v>42.375</v>
      </c>
      <c r="G336" s="1">
        <f>DATE(C336, CHOOSE(MATCH(UPPER(B336), {"ENERO","FEBRERO","MARZO","ABRIL","MAYO","JUNIO","JULIO","AGOSTO","SEPTIEMBRE","OCTUBRE","NOVIEMBRE","DICIEMBRE"}, 0), 1,2,3,4,5,6,7,8,9,10,11,12), A336)</f>
        <v>44621</v>
      </c>
      <c r="H336">
        <v>9.625</v>
      </c>
      <c r="I336">
        <v>48000</v>
      </c>
      <c r="J336" s="1">
        <f t="shared" si="11"/>
        <v>43801</v>
      </c>
      <c r="K336" s="2" t="e">
        <f t="shared" si="10"/>
        <v>#N/A</v>
      </c>
    </row>
    <row r="337" spans="1:11" x14ac:dyDescent="0.25">
      <c r="A337">
        <v>2</v>
      </c>
      <c r="B337" t="s">
        <v>12</v>
      </c>
      <c r="C337">
        <v>2022</v>
      </c>
      <c r="D337">
        <v>42.375</v>
      </c>
      <c r="E337" t="s">
        <v>9</v>
      </c>
      <c r="F337">
        <v>32.375</v>
      </c>
      <c r="G337" s="1">
        <f>DATE(C337, CHOOSE(MATCH(UPPER(B337), {"ENERO","FEBRERO","MARZO","ABRIL","MAYO","JUNIO","JULIO","AGOSTO","SEPTIEMBRE","OCTUBRE","NOVIEMBRE","DICIEMBRE"}, 0), 1,2,3,4,5,6,7,8,9,10,11,12), A337)</f>
        <v>44622</v>
      </c>
      <c r="H337">
        <v>10</v>
      </c>
      <c r="I337">
        <v>48000</v>
      </c>
      <c r="J337" s="1">
        <f t="shared" si="11"/>
        <v>43802</v>
      </c>
      <c r="K337" s="2" t="e">
        <f t="shared" si="10"/>
        <v>#N/A</v>
      </c>
    </row>
    <row r="338" spans="1:11" x14ac:dyDescent="0.25">
      <c r="A338">
        <v>3</v>
      </c>
      <c r="B338" t="s">
        <v>12</v>
      </c>
      <c r="C338">
        <v>2022</v>
      </c>
      <c r="D338">
        <v>32.375</v>
      </c>
      <c r="E338" t="s">
        <v>9</v>
      </c>
      <c r="F338">
        <v>21</v>
      </c>
      <c r="G338" s="1">
        <f>DATE(C338, CHOOSE(MATCH(UPPER(B338), {"ENERO","FEBRERO","MARZO","ABRIL","MAYO","JUNIO","JULIO","AGOSTO","SEPTIEMBRE","OCTUBRE","NOVIEMBRE","DICIEMBRE"}, 0), 1,2,3,4,5,6,7,8,9,10,11,12), A338)</f>
        <v>44623</v>
      </c>
      <c r="H338">
        <v>11.375</v>
      </c>
      <c r="I338">
        <v>48000</v>
      </c>
      <c r="J338" s="1">
        <f t="shared" si="11"/>
        <v>43803</v>
      </c>
      <c r="K338" s="2" t="e">
        <f t="shared" si="10"/>
        <v>#N/A</v>
      </c>
    </row>
    <row r="339" spans="1:11" x14ac:dyDescent="0.25">
      <c r="A339">
        <v>4</v>
      </c>
      <c r="B339" t="s">
        <v>12</v>
      </c>
      <c r="C339">
        <v>2022</v>
      </c>
      <c r="D339">
        <v>21</v>
      </c>
      <c r="E339" t="s">
        <v>9</v>
      </c>
      <c r="F339">
        <v>7.75</v>
      </c>
      <c r="G339" s="1">
        <f>DATE(C339, CHOOSE(MATCH(UPPER(B339), {"ENERO","FEBRERO","MARZO","ABRIL","MAYO","JUNIO","JULIO","AGOSTO","SEPTIEMBRE","OCTUBRE","NOVIEMBRE","DICIEMBRE"}, 0), 1,2,3,4,5,6,7,8,9,10,11,12), A339)</f>
        <v>44624</v>
      </c>
      <c r="H339">
        <v>13.25</v>
      </c>
      <c r="I339">
        <v>48000</v>
      </c>
      <c r="J339" s="1">
        <f t="shared" si="11"/>
        <v>43804</v>
      </c>
      <c r="K339" s="2" t="e">
        <f t="shared" si="10"/>
        <v>#N/A</v>
      </c>
    </row>
    <row r="340" spans="1:11" x14ac:dyDescent="0.25">
      <c r="A340">
        <v>5</v>
      </c>
      <c r="B340" t="s">
        <v>12</v>
      </c>
      <c r="C340">
        <v>2022</v>
      </c>
      <c r="D340">
        <v>7.75</v>
      </c>
      <c r="E340">
        <v>60</v>
      </c>
      <c r="F340">
        <v>48.125</v>
      </c>
      <c r="G340" s="1">
        <f>DATE(C340, CHOOSE(MATCH(UPPER(B340), {"ENERO","FEBRERO","MARZO","ABRIL","MAYO","JUNIO","JULIO","AGOSTO","SEPTIEMBRE","OCTUBRE","NOVIEMBRE","DICIEMBRE"}, 0), 1,2,3,4,5,6,7,8,9,10,11,12), A340)</f>
        <v>44625</v>
      </c>
      <c r="H340">
        <v>19.625</v>
      </c>
      <c r="I340">
        <v>48000</v>
      </c>
      <c r="J340" s="1">
        <f t="shared" si="11"/>
        <v>43805</v>
      </c>
      <c r="K340" s="2" t="e">
        <f t="shared" si="10"/>
        <v>#N/A</v>
      </c>
    </row>
    <row r="341" spans="1:11" x14ac:dyDescent="0.25">
      <c r="A341">
        <v>6</v>
      </c>
      <c r="B341" t="s">
        <v>12</v>
      </c>
      <c r="C341">
        <v>2022</v>
      </c>
      <c r="D341">
        <v>48.125</v>
      </c>
      <c r="E341" t="s">
        <v>9</v>
      </c>
      <c r="F341">
        <v>27.75</v>
      </c>
      <c r="G341" s="1">
        <f>DATE(C341, CHOOSE(MATCH(UPPER(B341), {"ENERO","FEBRERO","MARZO","ABRIL","MAYO","JUNIO","JULIO","AGOSTO","SEPTIEMBRE","OCTUBRE","NOVIEMBRE","DICIEMBRE"}, 0), 1,2,3,4,5,6,7,8,9,10,11,12), A341)</f>
        <v>44626</v>
      </c>
      <c r="H341">
        <v>20.375</v>
      </c>
      <c r="I341">
        <v>48000</v>
      </c>
      <c r="J341" s="1">
        <f t="shared" si="11"/>
        <v>43806</v>
      </c>
      <c r="K341" s="2" t="e">
        <f t="shared" si="10"/>
        <v>#N/A</v>
      </c>
    </row>
    <row r="342" spans="1:11" x14ac:dyDescent="0.25">
      <c r="A342">
        <v>7</v>
      </c>
      <c r="B342" t="s">
        <v>12</v>
      </c>
      <c r="C342">
        <v>2022</v>
      </c>
      <c r="D342">
        <v>27.75</v>
      </c>
      <c r="E342" t="s">
        <v>9</v>
      </c>
      <c r="F342">
        <v>17.75</v>
      </c>
      <c r="G342" s="1">
        <f>DATE(C342, CHOOSE(MATCH(UPPER(B342), {"ENERO","FEBRERO","MARZO","ABRIL","MAYO","JUNIO","JULIO","AGOSTO","SEPTIEMBRE","OCTUBRE","NOVIEMBRE","DICIEMBRE"}, 0), 1,2,3,4,5,6,7,8,9,10,11,12), A342)</f>
        <v>44627</v>
      </c>
      <c r="H342">
        <v>10</v>
      </c>
      <c r="I342">
        <v>48000</v>
      </c>
      <c r="J342" s="1">
        <f t="shared" si="11"/>
        <v>43807</v>
      </c>
      <c r="K342" s="2" t="e">
        <f t="shared" si="10"/>
        <v>#N/A</v>
      </c>
    </row>
    <row r="343" spans="1:11" x14ac:dyDescent="0.25">
      <c r="A343">
        <v>8</v>
      </c>
      <c r="B343" t="s">
        <v>12</v>
      </c>
      <c r="C343">
        <v>2022</v>
      </c>
      <c r="D343">
        <v>17.75</v>
      </c>
      <c r="E343">
        <v>10</v>
      </c>
      <c r="F343">
        <v>5</v>
      </c>
      <c r="G343" s="1">
        <f>DATE(C343, CHOOSE(MATCH(UPPER(B343), {"ENERO","FEBRERO","MARZO","ABRIL","MAYO","JUNIO","JULIO","AGOSTO","SEPTIEMBRE","OCTUBRE","NOVIEMBRE","DICIEMBRE"}, 0), 1,2,3,4,5,6,7,8,9,10,11,12), A343)</f>
        <v>44628</v>
      </c>
      <c r="H343">
        <v>22.75</v>
      </c>
      <c r="I343">
        <v>48000</v>
      </c>
      <c r="J343" s="1">
        <f t="shared" si="11"/>
        <v>43808</v>
      </c>
      <c r="K343" s="2" t="e">
        <f t="shared" si="10"/>
        <v>#N/A</v>
      </c>
    </row>
    <row r="344" spans="1:11" x14ac:dyDescent="0.25">
      <c r="A344">
        <v>9</v>
      </c>
      <c r="B344" t="s">
        <v>12</v>
      </c>
      <c r="C344">
        <v>2022</v>
      </c>
      <c r="D344">
        <v>5</v>
      </c>
      <c r="E344">
        <v>15</v>
      </c>
      <c r="F344">
        <v>10.5</v>
      </c>
      <c r="G344" s="1">
        <f>DATE(C344, CHOOSE(MATCH(UPPER(B344), {"ENERO","FEBRERO","MARZO","ABRIL","MAYO","JUNIO","JULIO","AGOSTO","SEPTIEMBRE","OCTUBRE","NOVIEMBRE","DICIEMBRE"}, 0), 1,2,3,4,5,6,7,8,9,10,11,12), A344)</f>
        <v>44629</v>
      </c>
      <c r="H344">
        <v>9.5</v>
      </c>
      <c r="I344">
        <v>48000</v>
      </c>
      <c r="J344" s="1">
        <f t="shared" si="11"/>
        <v>43809</v>
      </c>
      <c r="K344" s="2" t="e">
        <f t="shared" si="10"/>
        <v>#N/A</v>
      </c>
    </row>
    <row r="345" spans="1:11" x14ac:dyDescent="0.25">
      <c r="A345">
        <v>10</v>
      </c>
      <c r="B345" t="s">
        <v>12</v>
      </c>
      <c r="C345">
        <v>2022</v>
      </c>
      <c r="D345">
        <v>10.5</v>
      </c>
      <c r="E345">
        <v>10</v>
      </c>
      <c r="F345">
        <v>8.375</v>
      </c>
      <c r="G345" s="1">
        <f>DATE(C345, CHOOSE(MATCH(UPPER(B345), {"ENERO","FEBRERO","MARZO","ABRIL","MAYO","JUNIO","JULIO","AGOSTO","SEPTIEMBRE","OCTUBRE","NOVIEMBRE","DICIEMBRE"}, 0), 1,2,3,4,5,6,7,8,9,10,11,12), A345)</f>
        <v>44630</v>
      </c>
      <c r="H345">
        <v>12.125</v>
      </c>
      <c r="I345">
        <v>48000</v>
      </c>
      <c r="J345" s="1">
        <f t="shared" si="11"/>
        <v>43810</v>
      </c>
      <c r="K345" s="2" t="e">
        <f t="shared" si="10"/>
        <v>#N/A</v>
      </c>
    </row>
    <row r="346" spans="1:11" x14ac:dyDescent="0.25">
      <c r="A346">
        <v>11</v>
      </c>
      <c r="B346" t="s">
        <v>12</v>
      </c>
      <c r="C346">
        <v>2022</v>
      </c>
      <c r="D346">
        <v>8.375</v>
      </c>
      <c r="E346">
        <v>50</v>
      </c>
      <c r="F346">
        <v>40.25</v>
      </c>
      <c r="G346" s="1">
        <f>DATE(C346, CHOOSE(MATCH(UPPER(B346), {"ENERO","FEBRERO","MARZO","ABRIL","MAYO","JUNIO","JULIO","AGOSTO","SEPTIEMBRE","OCTUBRE","NOVIEMBRE","DICIEMBRE"}, 0), 1,2,3,4,5,6,7,8,9,10,11,12), A346)</f>
        <v>44631</v>
      </c>
      <c r="H346">
        <v>18.125</v>
      </c>
      <c r="I346">
        <v>48000</v>
      </c>
      <c r="J346" s="1">
        <f t="shared" si="11"/>
        <v>43811</v>
      </c>
      <c r="K346" s="2" t="e">
        <f t="shared" si="10"/>
        <v>#N/A</v>
      </c>
    </row>
    <row r="347" spans="1:11" x14ac:dyDescent="0.25">
      <c r="A347">
        <v>12</v>
      </c>
      <c r="B347" t="s">
        <v>12</v>
      </c>
      <c r="C347">
        <v>2022</v>
      </c>
      <c r="D347">
        <v>40.25</v>
      </c>
      <c r="E347" t="s">
        <v>9</v>
      </c>
      <c r="F347">
        <v>15.625</v>
      </c>
      <c r="G347" s="1">
        <f>DATE(C347, CHOOSE(MATCH(UPPER(B347), {"ENERO","FEBRERO","MARZO","ABRIL","MAYO","JUNIO","JULIO","AGOSTO","SEPTIEMBRE","OCTUBRE","NOVIEMBRE","DICIEMBRE"}, 0), 1,2,3,4,5,6,7,8,9,10,11,12), A347)</f>
        <v>44632</v>
      </c>
      <c r="H347">
        <v>24.625</v>
      </c>
      <c r="I347">
        <v>48000</v>
      </c>
      <c r="J347" s="1">
        <f t="shared" si="11"/>
        <v>43812</v>
      </c>
      <c r="K347" s="2" t="e">
        <f t="shared" si="10"/>
        <v>#N/A</v>
      </c>
    </row>
    <row r="348" spans="1:11" x14ac:dyDescent="0.25">
      <c r="A348">
        <v>13</v>
      </c>
      <c r="B348" t="s">
        <v>12</v>
      </c>
      <c r="C348">
        <v>2022</v>
      </c>
      <c r="D348">
        <v>15.625</v>
      </c>
      <c r="E348">
        <v>10</v>
      </c>
      <c r="F348">
        <v>9</v>
      </c>
      <c r="G348" s="1">
        <f>DATE(C348, CHOOSE(MATCH(UPPER(B348), {"ENERO","FEBRERO","MARZO","ABRIL","MAYO","JUNIO","JULIO","AGOSTO","SEPTIEMBRE","OCTUBRE","NOVIEMBRE","DICIEMBRE"}, 0), 1,2,3,4,5,6,7,8,9,10,11,12), A348)</f>
        <v>44633</v>
      </c>
      <c r="H348">
        <v>16.625</v>
      </c>
      <c r="I348">
        <v>48000</v>
      </c>
      <c r="J348" s="1">
        <f t="shared" si="11"/>
        <v>43813</v>
      </c>
      <c r="K348" s="2" t="e">
        <f t="shared" si="10"/>
        <v>#N/A</v>
      </c>
    </row>
    <row r="349" spans="1:11" x14ac:dyDescent="0.25">
      <c r="A349">
        <v>14</v>
      </c>
      <c r="B349" t="s">
        <v>12</v>
      </c>
      <c r="C349">
        <v>2022</v>
      </c>
      <c r="D349">
        <v>9</v>
      </c>
      <c r="E349">
        <v>33</v>
      </c>
      <c r="F349">
        <v>37.25</v>
      </c>
      <c r="G349" s="1">
        <f>DATE(C349, CHOOSE(MATCH(UPPER(B349), {"ENERO","FEBRERO","MARZO","ABRIL","MAYO","JUNIO","JULIO","AGOSTO","SEPTIEMBRE","OCTUBRE","NOVIEMBRE","DICIEMBRE"}, 0), 1,2,3,4,5,6,7,8,9,10,11,12), A349)</f>
        <v>44634</v>
      </c>
      <c r="H349">
        <v>4.75</v>
      </c>
      <c r="I349">
        <v>48000</v>
      </c>
      <c r="J349" s="1">
        <f t="shared" si="11"/>
        <v>43814</v>
      </c>
      <c r="K349" s="2" t="e">
        <f t="shared" si="10"/>
        <v>#N/A</v>
      </c>
    </row>
    <row r="350" spans="1:11" x14ac:dyDescent="0.25">
      <c r="A350">
        <v>15</v>
      </c>
      <c r="B350" t="s">
        <v>12</v>
      </c>
      <c r="C350">
        <v>2022</v>
      </c>
      <c r="D350">
        <v>37.25</v>
      </c>
      <c r="E350" t="s">
        <v>9</v>
      </c>
      <c r="F350">
        <v>26</v>
      </c>
      <c r="G350" s="1">
        <f>DATE(C350, CHOOSE(MATCH(UPPER(B350), {"ENERO","FEBRERO","MARZO","ABRIL","MAYO","JUNIO","JULIO","AGOSTO","SEPTIEMBRE","OCTUBRE","NOVIEMBRE","DICIEMBRE"}, 0), 1,2,3,4,5,6,7,8,9,10,11,12), A350)</f>
        <v>44635</v>
      </c>
      <c r="H350">
        <v>11.25</v>
      </c>
      <c r="I350">
        <v>48000</v>
      </c>
      <c r="J350" s="1">
        <f t="shared" si="11"/>
        <v>43815</v>
      </c>
      <c r="K350" s="2" t="e">
        <f t="shared" si="10"/>
        <v>#N/A</v>
      </c>
    </row>
    <row r="351" spans="1:11" x14ac:dyDescent="0.25">
      <c r="A351">
        <v>16</v>
      </c>
      <c r="B351" t="s">
        <v>12</v>
      </c>
      <c r="C351">
        <v>2022</v>
      </c>
      <c r="D351">
        <v>26</v>
      </c>
      <c r="E351" t="s">
        <v>9</v>
      </c>
      <c r="F351">
        <v>19.625</v>
      </c>
      <c r="G351" s="1">
        <f>DATE(C351, CHOOSE(MATCH(UPPER(B351), {"ENERO","FEBRERO","MARZO","ABRIL","MAYO","JUNIO","JULIO","AGOSTO","SEPTIEMBRE","OCTUBRE","NOVIEMBRE","DICIEMBRE"}, 0), 1,2,3,4,5,6,7,8,9,10,11,12), A351)</f>
        <v>44636</v>
      </c>
      <c r="H351">
        <v>6.375</v>
      </c>
      <c r="I351">
        <v>48000</v>
      </c>
      <c r="J351" s="1">
        <f t="shared" si="11"/>
        <v>43816</v>
      </c>
      <c r="K351" s="2" t="e">
        <f t="shared" si="10"/>
        <v>#N/A</v>
      </c>
    </row>
    <row r="352" spans="1:11" x14ac:dyDescent="0.25">
      <c r="A352">
        <v>17</v>
      </c>
      <c r="B352" t="s">
        <v>12</v>
      </c>
      <c r="C352">
        <v>2022</v>
      </c>
      <c r="D352">
        <v>19.625</v>
      </c>
      <c r="E352" t="s">
        <v>9</v>
      </c>
      <c r="F352">
        <v>13.25</v>
      </c>
      <c r="G352" s="1">
        <f>DATE(C352, CHOOSE(MATCH(UPPER(B352), {"ENERO","FEBRERO","MARZO","ABRIL","MAYO","JUNIO","JULIO","AGOSTO","SEPTIEMBRE","OCTUBRE","NOVIEMBRE","DICIEMBRE"}, 0), 1,2,3,4,5,6,7,8,9,10,11,12), A352)</f>
        <v>44637</v>
      </c>
      <c r="H352">
        <v>6.375</v>
      </c>
      <c r="I352">
        <v>48000</v>
      </c>
      <c r="J352" s="1">
        <f t="shared" si="11"/>
        <v>43817</v>
      </c>
      <c r="K352" s="2" t="e">
        <f t="shared" si="10"/>
        <v>#N/A</v>
      </c>
    </row>
    <row r="353" spans="1:11" x14ac:dyDescent="0.25">
      <c r="A353">
        <v>18</v>
      </c>
      <c r="B353" t="s">
        <v>12</v>
      </c>
      <c r="C353">
        <v>2022</v>
      </c>
      <c r="D353">
        <v>13.25</v>
      </c>
      <c r="E353" t="s">
        <v>9</v>
      </c>
      <c r="F353">
        <v>2.375</v>
      </c>
      <c r="G353" s="1">
        <f>DATE(C353, CHOOSE(MATCH(UPPER(B353), {"ENERO","FEBRERO","MARZO","ABRIL","MAYO","JUNIO","JULIO","AGOSTO","SEPTIEMBRE","OCTUBRE","NOVIEMBRE","DICIEMBRE"}, 0), 1,2,3,4,5,6,7,8,9,10,11,12), A353)</f>
        <v>44638</v>
      </c>
      <c r="H353">
        <v>10.875</v>
      </c>
      <c r="I353">
        <v>48000</v>
      </c>
      <c r="J353" s="1">
        <f t="shared" si="11"/>
        <v>43818</v>
      </c>
      <c r="K353" s="2" t="e">
        <f t="shared" si="10"/>
        <v>#N/A</v>
      </c>
    </row>
    <row r="354" spans="1:11" x14ac:dyDescent="0.25">
      <c r="A354">
        <v>19</v>
      </c>
      <c r="B354" t="s">
        <v>12</v>
      </c>
      <c r="C354">
        <v>2022</v>
      </c>
      <c r="D354">
        <v>2.375</v>
      </c>
      <c r="E354">
        <v>100</v>
      </c>
      <c r="F354">
        <v>89</v>
      </c>
      <c r="G354" s="1">
        <f>DATE(C354, CHOOSE(MATCH(UPPER(B354), {"ENERO","FEBRERO","MARZO","ABRIL","MAYO","JUNIO","JULIO","AGOSTO","SEPTIEMBRE","OCTUBRE","NOVIEMBRE","DICIEMBRE"}, 0), 1,2,3,4,5,6,7,8,9,10,11,12), A354)</f>
        <v>44639</v>
      </c>
      <c r="H354">
        <v>13.375</v>
      </c>
      <c r="I354">
        <v>48000</v>
      </c>
      <c r="J354" s="1">
        <f t="shared" si="11"/>
        <v>43819</v>
      </c>
      <c r="K354" s="2" t="e">
        <f t="shared" si="10"/>
        <v>#N/A</v>
      </c>
    </row>
    <row r="355" spans="1:11" x14ac:dyDescent="0.25">
      <c r="A355">
        <v>20</v>
      </c>
      <c r="B355" t="s">
        <v>12</v>
      </c>
      <c r="C355">
        <v>2022</v>
      </c>
      <c r="D355">
        <v>89</v>
      </c>
      <c r="E355" t="s">
        <v>9</v>
      </c>
      <c r="F355">
        <v>78.75</v>
      </c>
      <c r="G355" s="1">
        <f>DATE(C355, CHOOSE(MATCH(UPPER(B355), {"ENERO","FEBRERO","MARZO","ABRIL","MAYO","JUNIO","JULIO","AGOSTO","SEPTIEMBRE","OCTUBRE","NOVIEMBRE","DICIEMBRE"}, 0), 1,2,3,4,5,6,7,8,9,10,11,12), A355)</f>
        <v>44640</v>
      </c>
      <c r="H355">
        <v>10.25</v>
      </c>
      <c r="I355">
        <v>48000</v>
      </c>
      <c r="J355" s="1">
        <f t="shared" si="11"/>
        <v>43820</v>
      </c>
      <c r="K355" s="2" t="e">
        <f t="shared" si="10"/>
        <v>#N/A</v>
      </c>
    </row>
    <row r="356" spans="1:11" x14ac:dyDescent="0.25">
      <c r="A356">
        <v>21</v>
      </c>
      <c r="B356" t="s">
        <v>12</v>
      </c>
      <c r="C356">
        <v>2022</v>
      </c>
      <c r="D356">
        <v>78.75</v>
      </c>
      <c r="E356" t="s">
        <v>9</v>
      </c>
      <c r="F356">
        <v>67.125</v>
      </c>
      <c r="G356" s="1">
        <f>DATE(C356, CHOOSE(MATCH(UPPER(B356), {"ENERO","FEBRERO","MARZO","ABRIL","MAYO","JUNIO","JULIO","AGOSTO","SEPTIEMBRE","OCTUBRE","NOVIEMBRE","DICIEMBRE"}, 0), 1,2,3,4,5,6,7,8,9,10,11,12), A356)</f>
        <v>44641</v>
      </c>
      <c r="H356">
        <v>11.625</v>
      </c>
      <c r="I356">
        <v>48000</v>
      </c>
      <c r="J356" s="1">
        <f t="shared" si="11"/>
        <v>43821</v>
      </c>
      <c r="K356" s="2" t="e">
        <f t="shared" si="10"/>
        <v>#N/A</v>
      </c>
    </row>
    <row r="357" spans="1:11" x14ac:dyDescent="0.25">
      <c r="A357">
        <v>22</v>
      </c>
      <c r="B357" t="s">
        <v>12</v>
      </c>
      <c r="C357">
        <v>2022</v>
      </c>
      <c r="D357">
        <v>67.125</v>
      </c>
      <c r="E357" t="s">
        <v>9</v>
      </c>
      <c r="F357">
        <v>63</v>
      </c>
      <c r="G357" s="1">
        <f>DATE(C357, CHOOSE(MATCH(UPPER(B357), {"ENERO","FEBRERO","MARZO","ABRIL","MAYO","JUNIO","JULIO","AGOSTO","SEPTIEMBRE","OCTUBRE","NOVIEMBRE","DICIEMBRE"}, 0), 1,2,3,4,5,6,7,8,9,10,11,12), A357)</f>
        <v>44642</v>
      </c>
      <c r="H357">
        <v>4.125</v>
      </c>
      <c r="I357">
        <v>48000</v>
      </c>
      <c r="J357" s="1">
        <f t="shared" si="11"/>
        <v>43822</v>
      </c>
      <c r="K357" s="2" t="e">
        <f t="shared" si="10"/>
        <v>#N/A</v>
      </c>
    </row>
    <row r="358" spans="1:11" x14ac:dyDescent="0.25">
      <c r="A358">
        <v>23</v>
      </c>
      <c r="B358" t="s">
        <v>12</v>
      </c>
      <c r="C358">
        <v>2022</v>
      </c>
      <c r="D358">
        <v>63</v>
      </c>
      <c r="E358" t="s">
        <v>9</v>
      </c>
      <c r="F358">
        <v>56.625</v>
      </c>
      <c r="G358" s="1">
        <f>DATE(C358, CHOOSE(MATCH(UPPER(B358), {"ENERO","FEBRERO","MARZO","ABRIL","MAYO","JUNIO","JULIO","AGOSTO","SEPTIEMBRE","OCTUBRE","NOVIEMBRE","DICIEMBRE"}, 0), 1,2,3,4,5,6,7,8,9,10,11,12), A358)</f>
        <v>44643</v>
      </c>
      <c r="H358">
        <v>6.375</v>
      </c>
      <c r="I358">
        <v>48000</v>
      </c>
      <c r="J358" s="1">
        <f t="shared" si="11"/>
        <v>43823</v>
      </c>
      <c r="K358" s="2" t="e">
        <f t="shared" si="10"/>
        <v>#N/A</v>
      </c>
    </row>
    <row r="359" spans="1:11" x14ac:dyDescent="0.25">
      <c r="A359">
        <v>24</v>
      </c>
      <c r="B359" t="s">
        <v>12</v>
      </c>
      <c r="C359">
        <v>2022</v>
      </c>
      <c r="D359">
        <v>56.625</v>
      </c>
      <c r="E359" t="s">
        <v>9</v>
      </c>
      <c r="F359">
        <v>46.875</v>
      </c>
      <c r="G359" s="1">
        <f>DATE(C359, CHOOSE(MATCH(UPPER(B359), {"ENERO","FEBRERO","MARZO","ABRIL","MAYO","JUNIO","JULIO","AGOSTO","SEPTIEMBRE","OCTUBRE","NOVIEMBRE","DICIEMBRE"}, 0), 1,2,3,4,5,6,7,8,9,10,11,12), A359)</f>
        <v>44644</v>
      </c>
      <c r="H359">
        <v>9.75</v>
      </c>
      <c r="I359">
        <v>48000</v>
      </c>
      <c r="J359" s="1">
        <f t="shared" si="11"/>
        <v>43824</v>
      </c>
      <c r="K359" s="2" t="e">
        <f t="shared" si="10"/>
        <v>#N/A</v>
      </c>
    </row>
    <row r="360" spans="1:11" x14ac:dyDescent="0.25">
      <c r="A360">
        <v>25</v>
      </c>
      <c r="B360" t="s">
        <v>12</v>
      </c>
      <c r="C360">
        <v>2022</v>
      </c>
      <c r="D360">
        <v>46.875</v>
      </c>
      <c r="E360" t="s">
        <v>9</v>
      </c>
      <c r="F360">
        <v>40.875</v>
      </c>
      <c r="G360" s="1">
        <f>DATE(C360, CHOOSE(MATCH(UPPER(B360), {"ENERO","FEBRERO","MARZO","ABRIL","MAYO","JUNIO","JULIO","AGOSTO","SEPTIEMBRE","OCTUBRE","NOVIEMBRE","DICIEMBRE"}, 0), 1,2,3,4,5,6,7,8,9,10,11,12), A360)</f>
        <v>44645</v>
      </c>
      <c r="H360">
        <v>6</v>
      </c>
      <c r="I360">
        <v>48000</v>
      </c>
      <c r="J360" s="1">
        <f t="shared" si="11"/>
        <v>43825</v>
      </c>
      <c r="K360" s="2" t="e">
        <f t="shared" si="10"/>
        <v>#N/A</v>
      </c>
    </row>
    <row r="361" spans="1:11" x14ac:dyDescent="0.25">
      <c r="A361">
        <v>26</v>
      </c>
      <c r="B361" t="s">
        <v>12</v>
      </c>
      <c r="C361">
        <v>2022</v>
      </c>
      <c r="D361">
        <v>40.875</v>
      </c>
      <c r="E361">
        <v>50</v>
      </c>
      <c r="F361">
        <v>76.25</v>
      </c>
      <c r="G361" s="1">
        <f>DATE(C361, CHOOSE(MATCH(UPPER(B361), {"ENERO","FEBRERO","MARZO","ABRIL","MAYO","JUNIO","JULIO","AGOSTO","SEPTIEMBRE","OCTUBRE","NOVIEMBRE","DICIEMBRE"}, 0), 1,2,3,4,5,6,7,8,9,10,11,12), A361)</f>
        <v>44646</v>
      </c>
      <c r="H361">
        <v>14.625</v>
      </c>
      <c r="I361">
        <v>48000</v>
      </c>
      <c r="J361" s="1">
        <f t="shared" si="11"/>
        <v>43826</v>
      </c>
      <c r="K361" s="2" t="e">
        <f t="shared" si="10"/>
        <v>#N/A</v>
      </c>
    </row>
    <row r="362" spans="1:11" x14ac:dyDescent="0.25">
      <c r="A362">
        <v>27</v>
      </c>
      <c r="B362" t="s">
        <v>12</v>
      </c>
      <c r="C362">
        <v>2022</v>
      </c>
      <c r="D362">
        <v>76.25</v>
      </c>
      <c r="E362" t="s">
        <v>9</v>
      </c>
      <c r="F362">
        <v>59.875</v>
      </c>
      <c r="G362" s="1">
        <f>DATE(C362, CHOOSE(MATCH(UPPER(B362), {"ENERO","FEBRERO","MARZO","ABRIL","MAYO","JUNIO","JULIO","AGOSTO","SEPTIEMBRE","OCTUBRE","NOVIEMBRE","DICIEMBRE"}, 0), 1,2,3,4,5,6,7,8,9,10,11,12), A362)</f>
        <v>44647</v>
      </c>
      <c r="H362">
        <v>16.375</v>
      </c>
      <c r="I362">
        <v>48000</v>
      </c>
      <c r="J362" s="1">
        <f t="shared" si="11"/>
        <v>43827</v>
      </c>
      <c r="K362" s="2" t="e">
        <f t="shared" si="10"/>
        <v>#N/A</v>
      </c>
    </row>
    <row r="363" spans="1:11" x14ac:dyDescent="0.25">
      <c r="A363">
        <v>28</v>
      </c>
      <c r="B363" t="s">
        <v>12</v>
      </c>
      <c r="C363">
        <v>2022</v>
      </c>
      <c r="D363">
        <v>59.875</v>
      </c>
      <c r="E363" t="s">
        <v>9</v>
      </c>
      <c r="F363">
        <v>50</v>
      </c>
      <c r="G363" s="1">
        <f>DATE(C363, CHOOSE(MATCH(UPPER(B363), {"ENERO","FEBRERO","MARZO","ABRIL","MAYO","JUNIO","JULIO","AGOSTO","SEPTIEMBRE","OCTUBRE","NOVIEMBRE","DICIEMBRE"}, 0), 1,2,3,4,5,6,7,8,9,10,11,12), A363)</f>
        <v>44648</v>
      </c>
      <c r="H363">
        <v>9.875</v>
      </c>
      <c r="I363">
        <v>48000</v>
      </c>
      <c r="J363" s="1">
        <f t="shared" si="11"/>
        <v>43828</v>
      </c>
      <c r="K363" s="2" t="e">
        <f t="shared" si="10"/>
        <v>#N/A</v>
      </c>
    </row>
    <row r="364" spans="1:11" x14ac:dyDescent="0.25">
      <c r="A364">
        <v>29</v>
      </c>
      <c r="B364" t="s">
        <v>12</v>
      </c>
      <c r="C364">
        <v>2022</v>
      </c>
      <c r="D364">
        <v>50</v>
      </c>
      <c r="E364" t="s">
        <v>9</v>
      </c>
      <c r="F364">
        <v>42.125</v>
      </c>
      <c r="G364" s="1">
        <f>DATE(C364, CHOOSE(MATCH(UPPER(B364), {"ENERO","FEBRERO","MARZO","ABRIL","MAYO","JUNIO","JULIO","AGOSTO","SEPTIEMBRE","OCTUBRE","NOVIEMBRE","DICIEMBRE"}, 0), 1,2,3,4,5,6,7,8,9,10,11,12), A364)</f>
        <v>44649</v>
      </c>
      <c r="H364">
        <v>7.875</v>
      </c>
      <c r="I364">
        <v>48000</v>
      </c>
      <c r="J364" s="1">
        <f t="shared" si="11"/>
        <v>43829</v>
      </c>
      <c r="K364" s="2" t="e">
        <f t="shared" si="10"/>
        <v>#N/A</v>
      </c>
    </row>
    <row r="365" spans="1:11" x14ac:dyDescent="0.25">
      <c r="A365">
        <v>30</v>
      </c>
      <c r="B365" t="s">
        <v>12</v>
      </c>
      <c r="C365">
        <v>2022</v>
      </c>
      <c r="D365">
        <v>42.125</v>
      </c>
      <c r="E365" t="s">
        <v>9</v>
      </c>
      <c r="F365">
        <v>31.75</v>
      </c>
      <c r="G365" s="1">
        <f>DATE(C365, CHOOSE(MATCH(UPPER(B365), {"ENERO","FEBRERO","MARZO","ABRIL","MAYO","JUNIO","JULIO","AGOSTO","SEPTIEMBRE","OCTUBRE","NOVIEMBRE","DICIEMBRE"}, 0), 1,2,3,4,5,6,7,8,9,10,11,12), A365)</f>
        <v>44650</v>
      </c>
      <c r="H365">
        <v>10.375</v>
      </c>
      <c r="I365">
        <v>48000</v>
      </c>
      <c r="J365" s="1">
        <f t="shared" si="11"/>
        <v>43830</v>
      </c>
      <c r="K365" s="2" t="e">
        <f t="shared" si="10"/>
        <v>#N/A</v>
      </c>
    </row>
    <row r="366" spans="1:11" x14ac:dyDescent="0.25">
      <c r="A366">
        <v>31</v>
      </c>
      <c r="B366" t="s">
        <v>12</v>
      </c>
      <c r="C366">
        <v>2022</v>
      </c>
      <c r="D366">
        <v>31.75</v>
      </c>
      <c r="E366" t="s">
        <v>9</v>
      </c>
      <c r="F366">
        <v>24</v>
      </c>
      <c r="G366" s="1">
        <f>DATE(C366, CHOOSE(MATCH(UPPER(B366), {"ENERO","FEBRERO","MARZO","ABRIL","MAYO","JUNIO","JULIO","AGOSTO","SEPTIEMBRE","OCTUBRE","NOVIEMBRE","DICIEMBRE"}, 0), 1,2,3,4,5,6,7,8,9,10,11,12), A366)</f>
        <v>44651</v>
      </c>
      <c r="H366">
        <v>7.75</v>
      </c>
      <c r="I366">
        <v>48000</v>
      </c>
      <c r="J366" s="1">
        <f t="shared" si="11"/>
        <v>43831</v>
      </c>
      <c r="K366" s="2" t="e">
        <f t="shared" si="10"/>
        <v>#N/A</v>
      </c>
    </row>
    <row r="367" spans="1:11" x14ac:dyDescent="0.25">
      <c r="A367">
        <v>1</v>
      </c>
      <c r="B367" t="s">
        <v>13</v>
      </c>
      <c r="C367">
        <v>2022</v>
      </c>
      <c r="D367">
        <v>24</v>
      </c>
      <c r="E367" t="s">
        <v>9</v>
      </c>
      <c r="F367">
        <v>13.75</v>
      </c>
      <c r="G367" s="1">
        <f>DATE(C367, CHOOSE(MATCH(UPPER(B367), {"ENERO","FEBRERO","MARZO","ABRIL","MAYO","JUNIO","JULIO","AGOSTO","SEPTIEMBRE","OCTUBRE","NOVIEMBRE","DICIEMBRE"}, 0), 1,2,3,4,5,6,7,8,9,10,11,12), A367)</f>
        <v>44652</v>
      </c>
      <c r="H367">
        <v>10.25</v>
      </c>
      <c r="I367">
        <v>48000</v>
      </c>
      <c r="J367" s="1">
        <f t="shared" si="11"/>
        <v>43832</v>
      </c>
      <c r="K367" s="2" t="e">
        <f t="shared" si="10"/>
        <v>#N/A</v>
      </c>
    </row>
    <row r="368" spans="1:11" x14ac:dyDescent="0.25">
      <c r="A368">
        <v>2</v>
      </c>
      <c r="B368" t="s">
        <v>13</v>
      </c>
      <c r="C368">
        <v>2022</v>
      </c>
      <c r="D368">
        <v>13.75</v>
      </c>
      <c r="E368">
        <v>40</v>
      </c>
      <c r="F368">
        <v>41.125</v>
      </c>
      <c r="G368" s="1">
        <f>DATE(C368, CHOOSE(MATCH(UPPER(B368), {"ENERO","FEBRERO","MARZO","ABRIL","MAYO","JUNIO","JULIO","AGOSTO","SEPTIEMBRE","OCTUBRE","NOVIEMBRE","DICIEMBRE"}, 0), 1,2,3,4,5,6,7,8,9,10,11,12), A368)</f>
        <v>44653</v>
      </c>
      <c r="H368">
        <v>12.625</v>
      </c>
      <c r="I368">
        <v>48000</v>
      </c>
      <c r="J368" s="1">
        <f t="shared" si="11"/>
        <v>43833</v>
      </c>
      <c r="K368" s="2" t="e">
        <f t="shared" si="10"/>
        <v>#N/A</v>
      </c>
    </row>
    <row r="369" spans="1:11" x14ac:dyDescent="0.25">
      <c r="A369">
        <v>3</v>
      </c>
      <c r="B369" t="s">
        <v>13</v>
      </c>
      <c r="C369">
        <v>2022</v>
      </c>
      <c r="D369">
        <v>41.125</v>
      </c>
      <c r="E369" t="s">
        <v>9</v>
      </c>
      <c r="F369">
        <v>11</v>
      </c>
      <c r="G369" s="1">
        <f>DATE(C369, CHOOSE(MATCH(UPPER(B369), {"ENERO","FEBRERO","MARZO","ABRIL","MAYO","JUNIO","JULIO","AGOSTO","SEPTIEMBRE","OCTUBRE","NOVIEMBRE","DICIEMBRE"}, 0), 1,2,3,4,5,6,7,8,9,10,11,12), A369)</f>
        <v>44654</v>
      </c>
      <c r="H369">
        <v>30.125</v>
      </c>
      <c r="I369">
        <v>48000</v>
      </c>
      <c r="J369" s="1">
        <f t="shared" si="11"/>
        <v>43834</v>
      </c>
      <c r="K369" s="2" t="e">
        <f t="shared" si="10"/>
        <v>#N/A</v>
      </c>
    </row>
    <row r="370" spans="1:11" x14ac:dyDescent="0.25">
      <c r="A370">
        <v>4</v>
      </c>
      <c r="B370" t="s">
        <v>13</v>
      </c>
      <c r="C370">
        <v>2022</v>
      </c>
      <c r="D370">
        <v>11</v>
      </c>
      <c r="E370">
        <v>70</v>
      </c>
      <c r="F370">
        <v>76.5</v>
      </c>
      <c r="G370" s="1">
        <f>DATE(C370, CHOOSE(MATCH(UPPER(B370), {"ENERO","FEBRERO","MARZO","ABRIL","MAYO","JUNIO","JULIO","AGOSTO","SEPTIEMBRE","OCTUBRE","NOVIEMBRE","DICIEMBRE"}, 0), 1,2,3,4,5,6,7,8,9,10,11,12), A370)</f>
        <v>44655</v>
      </c>
      <c r="H370">
        <v>4.5</v>
      </c>
      <c r="I370">
        <v>48000</v>
      </c>
      <c r="J370" s="1">
        <f t="shared" si="11"/>
        <v>43835</v>
      </c>
      <c r="K370" s="2" t="e">
        <f t="shared" si="10"/>
        <v>#N/A</v>
      </c>
    </row>
    <row r="371" spans="1:11" x14ac:dyDescent="0.25">
      <c r="A371">
        <v>5</v>
      </c>
      <c r="B371" t="s">
        <v>13</v>
      </c>
      <c r="C371">
        <v>2022</v>
      </c>
      <c r="D371">
        <v>76.5</v>
      </c>
      <c r="E371" t="s">
        <v>9</v>
      </c>
      <c r="F371">
        <v>69</v>
      </c>
      <c r="G371" s="1">
        <f>DATE(C371, CHOOSE(MATCH(UPPER(B371), {"ENERO","FEBRERO","MARZO","ABRIL","MAYO","JUNIO","JULIO","AGOSTO","SEPTIEMBRE","OCTUBRE","NOVIEMBRE","DICIEMBRE"}, 0), 1,2,3,4,5,6,7,8,9,10,11,12), A371)</f>
        <v>44656</v>
      </c>
      <c r="H371">
        <v>7.5</v>
      </c>
      <c r="I371">
        <v>48000</v>
      </c>
      <c r="J371" s="1">
        <f t="shared" si="11"/>
        <v>43836</v>
      </c>
      <c r="K371" s="2" t="e">
        <f t="shared" si="10"/>
        <v>#N/A</v>
      </c>
    </row>
    <row r="372" spans="1:11" x14ac:dyDescent="0.25">
      <c r="A372">
        <v>6</v>
      </c>
      <c r="B372" t="s">
        <v>13</v>
      </c>
      <c r="C372">
        <v>2022</v>
      </c>
      <c r="D372">
        <v>69</v>
      </c>
      <c r="E372" t="s">
        <v>9</v>
      </c>
      <c r="F372">
        <v>61.024999999999999</v>
      </c>
      <c r="G372" s="1">
        <f>DATE(C372, CHOOSE(MATCH(UPPER(B372), {"ENERO","FEBRERO","MARZO","ABRIL","MAYO","JUNIO","JULIO","AGOSTO","SEPTIEMBRE","OCTUBRE","NOVIEMBRE","DICIEMBRE"}, 0), 1,2,3,4,5,6,7,8,9,10,11,12), A372)</f>
        <v>44657</v>
      </c>
      <c r="H372">
        <v>7.9749999999999996</v>
      </c>
      <c r="I372">
        <v>48000</v>
      </c>
      <c r="J372" s="1">
        <f t="shared" si="11"/>
        <v>43837</v>
      </c>
      <c r="K372" s="2" t="e">
        <f t="shared" si="10"/>
        <v>#N/A</v>
      </c>
    </row>
    <row r="373" spans="1:11" x14ac:dyDescent="0.25">
      <c r="A373">
        <v>7</v>
      </c>
      <c r="B373" t="s">
        <v>13</v>
      </c>
      <c r="C373">
        <v>2022</v>
      </c>
      <c r="D373">
        <v>61.024999999999999</v>
      </c>
      <c r="E373" t="s">
        <v>9</v>
      </c>
      <c r="F373">
        <v>54.25</v>
      </c>
      <c r="G373" s="1">
        <f>DATE(C373, CHOOSE(MATCH(UPPER(B373), {"ENERO","FEBRERO","MARZO","ABRIL","MAYO","JUNIO","JULIO","AGOSTO","SEPTIEMBRE","OCTUBRE","NOVIEMBRE","DICIEMBRE"}, 0), 1,2,3,4,5,6,7,8,9,10,11,12), A373)</f>
        <v>44658</v>
      </c>
      <c r="H373">
        <v>6.7750000000000004</v>
      </c>
      <c r="I373">
        <v>48000</v>
      </c>
      <c r="J373" s="1">
        <f t="shared" si="11"/>
        <v>43838</v>
      </c>
      <c r="K373" s="2" t="e">
        <f t="shared" si="10"/>
        <v>#N/A</v>
      </c>
    </row>
    <row r="374" spans="1:11" x14ac:dyDescent="0.25">
      <c r="A374">
        <v>8</v>
      </c>
      <c r="B374" t="s">
        <v>13</v>
      </c>
      <c r="C374">
        <v>2022</v>
      </c>
      <c r="D374">
        <v>54.25</v>
      </c>
      <c r="E374" t="s">
        <v>9</v>
      </c>
      <c r="F374">
        <v>43.75</v>
      </c>
      <c r="G374" s="1">
        <f>DATE(C374, CHOOSE(MATCH(UPPER(B374), {"ENERO","FEBRERO","MARZO","ABRIL","MAYO","JUNIO","JULIO","AGOSTO","SEPTIEMBRE","OCTUBRE","NOVIEMBRE","DICIEMBRE"}, 0), 1,2,3,4,5,6,7,8,9,10,11,12), A374)</f>
        <v>44659</v>
      </c>
      <c r="H374">
        <v>10.5</v>
      </c>
      <c r="I374">
        <v>48000</v>
      </c>
      <c r="J374" s="1">
        <f t="shared" si="11"/>
        <v>43839</v>
      </c>
      <c r="K374" s="2" t="e">
        <f t="shared" si="10"/>
        <v>#N/A</v>
      </c>
    </row>
    <row r="375" spans="1:11" x14ac:dyDescent="0.25">
      <c r="A375">
        <v>9</v>
      </c>
      <c r="B375" t="s">
        <v>13</v>
      </c>
      <c r="C375">
        <v>2022</v>
      </c>
      <c r="D375">
        <v>43.75</v>
      </c>
      <c r="E375">
        <v>20</v>
      </c>
      <c r="F375">
        <v>51.25</v>
      </c>
      <c r="G375" s="1">
        <f>DATE(C375, CHOOSE(MATCH(UPPER(B375), {"ENERO","FEBRERO","MARZO","ABRIL","MAYO","JUNIO","JULIO","AGOSTO","SEPTIEMBRE","OCTUBRE","NOVIEMBRE","DICIEMBRE"}, 0), 1,2,3,4,5,6,7,8,9,10,11,12), A375)</f>
        <v>44660</v>
      </c>
      <c r="H375">
        <v>12.5</v>
      </c>
      <c r="I375">
        <v>48000</v>
      </c>
      <c r="J375" s="1">
        <f t="shared" si="11"/>
        <v>43840</v>
      </c>
      <c r="K375" s="2" t="e">
        <f t="shared" si="10"/>
        <v>#N/A</v>
      </c>
    </row>
    <row r="376" spans="1:11" x14ac:dyDescent="0.25">
      <c r="A376">
        <v>10</v>
      </c>
      <c r="B376" t="s">
        <v>13</v>
      </c>
      <c r="C376">
        <v>2022</v>
      </c>
      <c r="D376">
        <v>51.25</v>
      </c>
      <c r="E376" t="s">
        <v>9</v>
      </c>
      <c r="F376">
        <v>35.25</v>
      </c>
      <c r="G376" s="1">
        <f>DATE(C376, CHOOSE(MATCH(UPPER(B376), {"ENERO","FEBRERO","MARZO","ABRIL","MAYO","JUNIO","JULIO","AGOSTO","SEPTIEMBRE","OCTUBRE","NOVIEMBRE","DICIEMBRE"}, 0), 1,2,3,4,5,6,7,8,9,10,11,12), A376)</f>
        <v>44661</v>
      </c>
      <c r="H376">
        <v>16</v>
      </c>
      <c r="I376">
        <v>48000</v>
      </c>
      <c r="J376" s="1">
        <f t="shared" si="11"/>
        <v>43841</v>
      </c>
      <c r="K376" s="2" t="e">
        <f t="shared" si="10"/>
        <v>#N/A</v>
      </c>
    </row>
    <row r="377" spans="1:11" x14ac:dyDescent="0.25">
      <c r="A377">
        <v>11</v>
      </c>
      <c r="B377" t="s">
        <v>13</v>
      </c>
      <c r="C377">
        <v>2022</v>
      </c>
      <c r="D377">
        <v>35.25</v>
      </c>
      <c r="E377" t="s">
        <v>9</v>
      </c>
      <c r="F377">
        <v>24.375</v>
      </c>
      <c r="G377" s="1">
        <f>DATE(C377, CHOOSE(MATCH(UPPER(B377), {"ENERO","FEBRERO","MARZO","ABRIL","MAYO","JUNIO","JULIO","AGOSTO","SEPTIEMBRE","OCTUBRE","NOVIEMBRE","DICIEMBRE"}, 0), 1,2,3,4,5,6,7,8,9,10,11,12), A377)</f>
        <v>44662</v>
      </c>
      <c r="H377">
        <v>10.875</v>
      </c>
      <c r="I377">
        <v>48000</v>
      </c>
      <c r="J377" s="1">
        <f t="shared" si="11"/>
        <v>43842</v>
      </c>
      <c r="K377" s="2" t="e">
        <f t="shared" si="10"/>
        <v>#N/A</v>
      </c>
    </row>
    <row r="378" spans="1:11" x14ac:dyDescent="0.25">
      <c r="A378">
        <v>12</v>
      </c>
      <c r="B378" t="s">
        <v>13</v>
      </c>
      <c r="C378">
        <v>2022</v>
      </c>
      <c r="D378">
        <v>24.375</v>
      </c>
      <c r="E378" t="s">
        <v>9</v>
      </c>
      <c r="F378">
        <v>15.75</v>
      </c>
      <c r="G378" s="1">
        <f>DATE(C378, CHOOSE(MATCH(UPPER(B378), {"ENERO","FEBRERO","MARZO","ABRIL","MAYO","JUNIO","JULIO","AGOSTO","SEPTIEMBRE","OCTUBRE","NOVIEMBRE","DICIEMBRE"}, 0), 1,2,3,4,5,6,7,8,9,10,11,12), A378)</f>
        <v>44663</v>
      </c>
      <c r="H378">
        <v>8.625</v>
      </c>
      <c r="I378">
        <v>48000</v>
      </c>
      <c r="J378" s="1">
        <f t="shared" si="11"/>
        <v>43843</v>
      </c>
      <c r="K378" s="2" t="e">
        <f t="shared" si="10"/>
        <v>#N/A</v>
      </c>
    </row>
    <row r="379" spans="1:11" x14ac:dyDescent="0.25">
      <c r="A379">
        <v>13</v>
      </c>
      <c r="B379" t="s">
        <v>13</v>
      </c>
      <c r="C379">
        <v>2022</v>
      </c>
      <c r="D379">
        <v>15.75</v>
      </c>
      <c r="E379">
        <v>50</v>
      </c>
      <c r="F379">
        <v>52.625</v>
      </c>
      <c r="G379" s="1">
        <f>DATE(C379, CHOOSE(MATCH(UPPER(B379), {"ENERO","FEBRERO","MARZO","ABRIL","MAYO","JUNIO","JULIO","AGOSTO","SEPTIEMBRE","OCTUBRE","NOVIEMBRE","DICIEMBRE"}, 0), 1,2,3,4,5,6,7,8,9,10,11,12), A379)</f>
        <v>44664</v>
      </c>
      <c r="H379">
        <v>13.125</v>
      </c>
      <c r="I379">
        <v>48000</v>
      </c>
      <c r="J379" s="1">
        <f t="shared" si="11"/>
        <v>43844</v>
      </c>
      <c r="K379" s="2" t="e">
        <f t="shared" si="10"/>
        <v>#N/A</v>
      </c>
    </row>
    <row r="380" spans="1:11" x14ac:dyDescent="0.25">
      <c r="A380">
        <v>14</v>
      </c>
      <c r="B380" t="s">
        <v>13</v>
      </c>
      <c r="C380">
        <v>2022</v>
      </c>
      <c r="D380">
        <v>52.625</v>
      </c>
      <c r="E380" t="s">
        <v>9</v>
      </c>
      <c r="F380">
        <v>35.375</v>
      </c>
      <c r="G380" s="1">
        <f>DATE(C380, CHOOSE(MATCH(UPPER(B380), {"ENERO","FEBRERO","MARZO","ABRIL","MAYO","JUNIO","JULIO","AGOSTO","SEPTIEMBRE","OCTUBRE","NOVIEMBRE","DICIEMBRE"}, 0), 1,2,3,4,5,6,7,8,9,10,11,12), A380)</f>
        <v>44665</v>
      </c>
      <c r="H380">
        <v>17.25</v>
      </c>
      <c r="I380">
        <v>48000</v>
      </c>
      <c r="J380" s="1">
        <f t="shared" si="11"/>
        <v>43845</v>
      </c>
      <c r="K380" s="2" t="e">
        <f t="shared" si="10"/>
        <v>#N/A</v>
      </c>
    </row>
    <row r="381" spans="1:11" x14ac:dyDescent="0.25">
      <c r="A381">
        <v>15</v>
      </c>
      <c r="B381" t="s">
        <v>13</v>
      </c>
      <c r="C381">
        <v>2022</v>
      </c>
      <c r="D381">
        <v>35.375</v>
      </c>
      <c r="E381" t="s">
        <v>9</v>
      </c>
      <c r="F381">
        <v>16.75</v>
      </c>
      <c r="G381" s="1">
        <f>DATE(C381, CHOOSE(MATCH(UPPER(B381), {"ENERO","FEBRERO","MARZO","ABRIL","MAYO","JUNIO","JULIO","AGOSTO","SEPTIEMBRE","OCTUBRE","NOVIEMBRE","DICIEMBRE"}, 0), 1,2,3,4,5,6,7,8,9,10,11,12), A381)</f>
        <v>44666</v>
      </c>
      <c r="H381">
        <v>18.625</v>
      </c>
      <c r="I381">
        <v>48000</v>
      </c>
      <c r="J381" s="1">
        <f t="shared" si="11"/>
        <v>43846</v>
      </c>
      <c r="K381" s="2" t="e">
        <f t="shared" si="10"/>
        <v>#N/A</v>
      </c>
    </row>
    <row r="382" spans="1:11" x14ac:dyDescent="0.25">
      <c r="A382">
        <v>16</v>
      </c>
      <c r="B382" t="s">
        <v>13</v>
      </c>
      <c r="C382">
        <v>2022</v>
      </c>
      <c r="D382">
        <v>16.75</v>
      </c>
      <c r="E382">
        <v>39</v>
      </c>
      <c r="F382">
        <v>46.5</v>
      </c>
      <c r="G382" s="1">
        <f>DATE(C382, CHOOSE(MATCH(UPPER(B382), {"ENERO","FEBRERO","MARZO","ABRIL","MAYO","JUNIO","JULIO","AGOSTO","SEPTIEMBRE","OCTUBRE","NOVIEMBRE","DICIEMBRE"}, 0), 1,2,3,4,5,6,7,8,9,10,11,12), A382)</f>
        <v>44667</v>
      </c>
      <c r="H382">
        <v>9.25</v>
      </c>
      <c r="I382">
        <v>48000</v>
      </c>
      <c r="J382" s="1">
        <f t="shared" si="11"/>
        <v>43847</v>
      </c>
      <c r="K382" s="2" t="e">
        <f t="shared" si="10"/>
        <v>#N/A</v>
      </c>
    </row>
    <row r="383" spans="1:11" x14ac:dyDescent="0.25">
      <c r="A383">
        <v>17</v>
      </c>
      <c r="B383" t="s">
        <v>13</v>
      </c>
      <c r="C383">
        <v>2022</v>
      </c>
      <c r="D383">
        <v>46.5</v>
      </c>
      <c r="E383" t="s">
        <v>9</v>
      </c>
      <c r="F383">
        <v>30</v>
      </c>
      <c r="G383" s="1">
        <f>DATE(C383, CHOOSE(MATCH(UPPER(B383), {"ENERO","FEBRERO","MARZO","ABRIL","MAYO","JUNIO","JULIO","AGOSTO","SEPTIEMBRE","OCTUBRE","NOVIEMBRE","DICIEMBRE"}, 0), 1,2,3,4,5,6,7,8,9,10,11,12), A383)</f>
        <v>44668</v>
      </c>
      <c r="H383">
        <v>16.5</v>
      </c>
      <c r="I383">
        <v>48000</v>
      </c>
      <c r="J383" s="1">
        <f t="shared" si="11"/>
        <v>43848</v>
      </c>
      <c r="K383" s="2" t="e">
        <f t="shared" si="10"/>
        <v>#N/A</v>
      </c>
    </row>
    <row r="384" spans="1:11" x14ac:dyDescent="0.25">
      <c r="A384">
        <v>18</v>
      </c>
      <c r="B384" t="s">
        <v>13</v>
      </c>
      <c r="C384">
        <v>2022</v>
      </c>
      <c r="D384">
        <v>30</v>
      </c>
      <c r="E384" t="s">
        <v>9</v>
      </c>
      <c r="F384">
        <v>23.375</v>
      </c>
      <c r="G384" s="1">
        <f>DATE(C384, CHOOSE(MATCH(UPPER(B384), {"ENERO","FEBRERO","MARZO","ABRIL","MAYO","JUNIO","JULIO","AGOSTO","SEPTIEMBRE","OCTUBRE","NOVIEMBRE","DICIEMBRE"}, 0), 1,2,3,4,5,6,7,8,9,10,11,12), A384)</f>
        <v>44669</v>
      </c>
      <c r="H384">
        <v>6.625</v>
      </c>
      <c r="I384">
        <v>48000</v>
      </c>
      <c r="J384" s="1">
        <f t="shared" si="11"/>
        <v>43849</v>
      </c>
      <c r="K384" s="2" t="e">
        <f t="shared" si="10"/>
        <v>#N/A</v>
      </c>
    </row>
    <row r="385" spans="1:11" x14ac:dyDescent="0.25">
      <c r="A385">
        <v>19</v>
      </c>
      <c r="B385" t="s">
        <v>13</v>
      </c>
      <c r="C385">
        <v>2022</v>
      </c>
      <c r="D385">
        <v>23.375</v>
      </c>
      <c r="E385" t="s">
        <v>9</v>
      </c>
      <c r="F385">
        <v>14.25</v>
      </c>
      <c r="G385" s="1">
        <f>DATE(C385, CHOOSE(MATCH(UPPER(B385), {"ENERO","FEBRERO","MARZO","ABRIL","MAYO","JUNIO","JULIO","AGOSTO","SEPTIEMBRE","OCTUBRE","NOVIEMBRE","DICIEMBRE"}, 0), 1,2,3,4,5,6,7,8,9,10,11,12), A385)</f>
        <v>44670</v>
      </c>
      <c r="H385">
        <v>9.125</v>
      </c>
      <c r="I385">
        <v>48000</v>
      </c>
      <c r="J385" s="1">
        <f t="shared" si="11"/>
        <v>43850</v>
      </c>
      <c r="K385" s="2" t="e">
        <f t="shared" si="10"/>
        <v>#N/A</v>
      </c>
    </row>
    <row r="386" spans="1:11" x14ac:dyDescent="0.25">
      <c r="A386">
        <v>20</v>
      </c>
      <c r="B386" t="s">
        <v>13</v>
      </c>
      <c r="C386">
        <v>2022</v>
      </c>
      <c r="D386">
        <v>14.25</v>
      </c>
      <c r="E386">
        <v>75</v>
      </c>
      <c r="F386">
        <v>85.625</v>
      </c>
      <c r="G386" s="1">
        <f>DATE(C386, CHOOSE(MATCH(UPPER(B386), {"ENERO","FEBRERO","MARZO","ABRIL","MAYO","JUNIO","JULIO","AGOSTO","SEPTIEMBRE","OCTUBRE","NOVIEMBRE","DICIEMBRE"}, 0), 1,2,3,4,5,6,7,8,9,10,11,12), A386)</f>
        <v>44671</v>
      </c>
      <c r="H386">
        <v>3.625</v>
      </c>
      <c r="I386">
        <v>48000</v>
      </c>
      <c r="J386" s="1">
        <f t="shared" si="11"/>
        <v>43851</v>
      </c>
      <c r="K386" s="2" t="e">
        <f t="shared" si="10"/>
        <v>#N/A</v>
      </c>
    </row>
    <row r="387" spans="1:11" x14ac:dyDescent="0.25">
      <c r="A387">
        <v>21</v>
      </c>
      <c r="B387" t="s">
        <v>13</v>
      </c>
      <c r="C387">
        <v>2022</v>
      </c>
      <c r="D387">
        <v>85.625</v>
      </c>
      <c r="E387" t="s">
        <v>9</v>
      </c>
      <c r="F387">
        <v>79</v>
      </c>
      <c r="G387" s="1">
        <f>DATE(C387, CHOOSE(MATCH(UPPER(B387), {"ENERO","FEBRERO","MARZO","ABRIL","MAYO","JUNIO","JULIO","AGOSTO","SEPTIEMBRE","OCTUBRE","NOVIEMBRE","DICIEMBRE"}, 0), 1,2,3,4,5,6,7,8,9,10,11,12), A387)</f>
        <v>44672</v>
      </c>
      <c r="H387">
        <v>6.625</v>
      </c>
      <c r="I387">
        <v>48000</v>
      </c>
      <c r="J387" s="1">
        <f t="shared" si="11"/>
        <v>43852</v>
      </c>
      <c r="K387" s="2" t="e">
        <f t="shared" ref="K387:K450" si="12">VLOOKUP(J387, G:H, 2, FALSE)</f>
        <v>#N/A</v>
      </c>
    </row>
    <row r="388" spans="1:11" x14ac:dyDescent="0.25">
      <c r="A388">
        <v>22</v>
      </c>
      <c r="B388" t="s">
        <v>13</v>
      </c>
      <c r="C388">
        <v>2022</v>
      </c>
      <c r="D388">
        <v>79</v>
      </c>
      <c r="E388" t="s">
        <v>9</v>
      </c>
      <c r="F388">
        <v>64.5</v>
      </c>
      <c r="G388" s="1">
        <f>DATE(C388, CHOOSE(MATCH(UPPER(B388), {"ENERO","FEBRERO","MARZO","ABRIL","MAYO","JUNIO","JULIO","AGOSTO","SEPTIEMBRE","OCTUBRE","NOVIEMBRE","DICIEMBRE"}, 0), 1,2,3,4,5,6,7,8,9,10,11,12), A388)</f>
        <v>44673</v>
      </c>
      <c r="H388">
        <v>14.5</v>
      </c>
      <c r="I388">
        <v>48000</v>
      </c>
      <c r="J388" s="1">
        <f t="shared" si="11"/>
        <v>43853</v>
      </c>
      <c r="K388" s="2" t="e">
        <f t="shared" si="12"/>
        <v>#N/A</v>
      </c>
    </row>
    <row r="389" spans="1:11" x14ac:dyDescent="0.25">
      <c r="A389">
        <v>23</v>
      </c>
      <c r="B389" t="s">
        <v>13</v>
      </c>
      <c r="C389">
        <v>2022</v>
      </c>
      <c r="D389">
        <v>64.5</v>
      </c>
      <c r="E389" t="s">
        <v>9</v>
      </c>
      <c r="F389">
        <v>55.625</v>
      </c>
      <c r="G389" s="1">
        <f>DATE(C389, CHOOSE(MATCH(UPPER(B389), {"ENERO","FEBRERO","MARZO","ABRIL","MAYO","JUNIO","JULIO","AGOSTO","SEPTIEMBRE","OCTUBRE","NOVIEMBRE","DICIEMBRE"}, 0), 1,2,3,4,5,6,7,8,9,10,11,12), A389)</f>
        <v>44674</v>
      </c>
      <c r="H389">
        <v>8.875</v>
      </c>
      <c r="I389">
        <v>48000</v>
      </c>
      <c r="J389" s="1">
        <f t="shared" ref="J389:J452" si="13">DATE(2019,1,1) + ROW()-1</f>
        <v>43854</v>
      </c>
      <c r="K389" s="2" t="e">
        <f t="shared" si="12"/>
        <v>#N/A</v>
      </c>
    </row>
    <row r="390" spans="1:11" x14ac:dyDescent="0.25">
      <c r="A390">
        <v>24</v>
      </c>
      <c r="B390" t="s">
        <v>13</v>
      </c>
      <c r="C390">
        <v>2022</v>
      </c>
      <c r="D390">
        <v>55.625</v>
      </c>
      <c r="E390" t="s">
        <v>9</v>
      </c>
      <c r="F390">
        <v>37.5</v>
      </c>
      <c r="G390" s="1">
        <f>DATE(C390, CHOOSE(MATCH(UPPER(B390), {"ENERO","FEBRERO","MARZO","ABRIL","MAYO","JUNIO","JULIO","AGOSTO","SEPTIEMBRE","OCTUBRE","NOVIEMBRE","DICIEMBRE"}, 0), 1,2,3,4,5,6,7,8,9,10,11,12), A390)</f>
        <v>44675</v>
      </c>
      <c r="H390">
        <v>18.125</v>
      </c>
      <c r="I390">
        <v>48000</v>
      </c>
      <c r="J390" s="1">
        <f t="shared" si="13"/>
        <v>43855</v>
      </c>
      <c r="K390" s="2" t="e">
        <f t="shared" si="12"/>
        <v>#N/A</v>
      </c>
    </row>
    <row r="391" spans="1:11" x14ac:dyDescent="0.25">
      <c r="A391">
        <v>25</v>
      </c>
      <c r="B391" t="s">
        <v>13</v>
      </c>
      <c r="C391">
        <v>2022</v>
      </c>
      <c r="D391">
        <v>37.5</v>
      </c>
      <c r="E391" t="s">
        <v>9</v>
      </c>
      <c r="F391">
        <v>31</v>
      </c>
      <c r="G391" s="1">
        <f>DATE(C391, CHOOSE(MATCH(UPPER(B391), {"ENERO","FEBRERO","MARZO","ABRIL","MAYO","JUNIO","JULIO","AGOSTO","SEPTIEMBRE","OCTUBRE","NOVIEMBRE","DICIEMBRE"}, 0), 1,2,3,4,5,6,7,8,9,10,11,12), A391)</f>
        <v>44676</v>
      </c>
      <c r="H391">
        <v>6.5</v>
      </c>
      <c r="I391">
        <v>48000</v>
      </c>
      <c r="J391" s="1">
        <f t="shared" si="13"/>
        <v>43856</v>
      </c>
      <c r="K391" s="2" t="e">
        <f t="shared" si="12"/>
        <v>#N/A</v>
      </c>
    </row>
    <row r="392" spans="1:11" x14ac:dyDescent="0.25">
      <c r="A392">
        <v>26</v>
      </c>
      <c r="B392" t="s">
        <v>13</v>
      </c>
      <c r="C392">
        <v>2022</v>
      </c>
      <c r="D392">
        <v>31</v>
      </c>
      <c r="E392" t="s">
        <v>9</v>
      </c>
      <c r="F392">
        <v>22.024999999999999</v>
      </c>
      <c r="G392" s="1">
        <f>DATE(C392, CHOOSE(MATCH(UPPER(B392), {"ENERO","FEBRERO","MARZO","ABRIL","MAYO","JUNIO","JULIO","AGOSTO","SEPTIEMBRE","OCTUBRE","NOVIEMBRE","DICIEMBRE"}, 0), 1,2,3,4,5,6,7,8,9,10,11,12), A392)</f>
        <v>44677</v>
      </c>
      <c r="H392">
        <v>8.9749999999999996</v>
      </c>
      <c r="I392">
        <v>48000</v>
      </c>
      <c r="J392" s="1">
        <f t="shared" si="13"/>
        <v>43857</v>
      </c>
      <c r="K392" s="2" t="e">
        <f t="shared" si="12"/>
        <v>#N/A</v>
      </c>
    </row>
    <row r="393" spans="1:11" x14ac:dyDescent="0.25">
      <c r="A393">
        <v>27</v>
      </c>
      <c r="B393" t="s">
        <v>13</v>
      </c>
      <c r="C393">
        <v>2022</v>
      </c>
      <c r="D393">
        <v>22.024999999999999</v>
      </c>
      <c r="E393" t="s">
        <v>9</v>
      </c>
      <c r="F393">
        <v>15</v>
      </c>
      <c r="G393" s="1">
        <f>DATE(C393, CHOOSE(MATCH(UPPER(B393), {"ENERO","FEBRERO","MARZO","ABRIL","MAYO","JUNIO","JULIO","AGOSTO","SEPTIEMBRE","OCTUBRE","NOVIEMBRE","DICIEMBRE"}, 0), 1,2,3,4,5,6,7,8,9,10,11,12), A393)</f>
        <v>44678</v>
      </c>
      <c r="H393">
        <v>7.0250000000000004</v>
      </c>
      <c r="I393">
        <v>48000</v>
      </c>
      <c r="J393" s="1">
        <f t="shared" si="13"/>
        <v>43858</v>
      </c>
      <c r="K393" s="2" t="e">
        <f t="shared" si="12"/>
        <v>#N/A</v>
      </c>
    </row>
    <row r="394" spans="1:11" x14ac:dyDescent="0.25">
      <c r="A394">
        <v>28</v>
      </c>
      <c r="B394" t="s">
        <v>13</v>
      </c>
      <c r="C394">
        <v>2022</v>
      </c>
      <c r="D394">
        <v>15</v>
      </c>
      <c r="E394">
        <v>40</v>
      </c>
      <c r="F394">
        <v>48.875</v>
      </c>
      <c r="G394" s="1">
        <f>DATE(C394, CHOOSE(MATCH(UPPER(B394), {"ENERO","FEBRERO","MARZO","ABRIL","MAYO","JUNIO","JULIO","AGOSTO","SEPTIEMBRE","OCTUBRE","NOVIEMBRE","DICIEMBRE"}, 0), 1,2,3,4,5,6,7,8,9,10,11,12), A394)</f>
        <v>44679</v>
      </c>
      <c r="H394">
        <v>6.125</v>
      </c>
      <c r="I394">
        <v>48000</v>
      </c>
      <c r="J394" s="1">
        <f t="shared" si="13"/>
        <v>43859</v>
      </c>
      <c r="K394" s="2" t="e">
        <f t="shared" si="12"/>
        <v>#N/A</v>
      </c>
    </row>
    <row r="395" spans="1:11" x14ac:dyDescent="0.25">
      <c r="A395">
        <v>29</v>
      </c>
      <c r="B395" t="s">
        <v>13</v>
      </c>
      <c r="C395">
        <v>2022</v>
      </c>
      <c r="D395">
        <v>48.875</v>
      </c>
      <c r="E395" t="s">
        <v>9</v>
      </c>
      <c r="F395">
        <v>40.125</v>
      </c>
      <c r="G395" s="1">
        <f>DATE(C395, CHOOSE(MATCH(UPPER(B395), {"ENERO","FEBRERO","MARZO","ABRIL","MAYO","JUNIO","JULIO","AGOSTO","SEPTIEMBRE","OCTUBRE","NOVIEMBRE","DICIEMBRE"}, 0), 1,2,3,4,5,6,7,8,9,10,11,12), A395)</f>
        <v>44680</v>
      </c>
      <c r="H395">
        <v>8.75</v>
      </c>
      <c r="I395">
        <v>48000</v>
      </c>
      <c r="J395" s="1">
        <f t="shared" si="13"/>
        <v>43860</v>
      </c>
      <c r="K395" s="2" t="e">
        <f t="shared" si="12"/>
        <v>#N/A</v>
      </c>
    </row>
    <row r="396" spans="1:11" x14ac:dyDescent="0.25">
      <c r="A396">
        <v>30</v>
      </c>
      <c r="B396" t="s">
        <v>13</v>
      </c>
      <c r="C396">
        <v>2022</v>
      </c>
      <c r="D396">
        <v>40.125</v>
      </c>
      <c r="E396" t="s">
        <v>9</v>
      </c>
      <c r="F396">
        <v>19</v>
      </c>
      <c r="G396" s="1">
        <f>DATE(C396, CHOOSE(MATCH(UPPER(B396), {"ENERO","FEBRERO","MARZO","ABRIL","MAYO","JUNIO","JULIO","AGOSTO","SEPTIEMBRE","OCTUBRE","NOVIEMBRE","DICIEMBRE"}, 0), 1,2,3,4,5,6,7,8,9,10,11,12), A396)</f>
        <v>44681</v>
      </c>
      <c r="H396">
        <v>21.125</v>
      </c>
      <c r="I396">
        <v>48000</v>
      </c>
      <c r="J396" s="1">
        <f t="shared" si="13"/>
        <v>43861</v>
      </c>
      <c r="K396" s="2" t="e">
        <f t="shared" si="12"/>
        <v>#N/A</v>
      </c>
    </row>
    <row r="397" spans="1:11" x14ac:dyDescent="0.25">
      <c r="A397">
        <v>1</v>
      </c>
      <c r="B397" t="s">
        <v>14</v>
      </c>
      <c r="C397">
        <v>2022</v>
      </c>
      <c r="D397">
        <v>19</v>
      </c>
      <c r="E397">
        <v>20</v>
      </c>
      <c r="F397">
        <v>12.75</v>
      </c>
      <c r="G397" s="1">
        <f>DATE(C397, CHOOSE(MATCH(UPPER(B397), {"ENERO","FEBRERO","MARZO","ABRIL","MAYO","JUNIO","JULIO","AGOSTO","SEPTIEMBRE","OCTUBRE","NOVIEMBRE","DICIEMBRE"}, 0), 1,2,3,4,5,6,7,8,9,10,11,12), A397)</f>
        <v>44682</v>
      </c>
      <c r="H397">
        <v>26.25</v>
      </c>
      <c r="I397">
        <v>48000</v>
      </c>
      <c r="J397" s="1">
        <f t="shared" si="13"/>
        <v>43862</v>
      </c>
      <c r="K397" s="2" t="e">
        <f t="shared" si="12"/>
        <v>#N/A</v>
      </c>
    </row>
    <row r="398" spans="1:11" x14ac:dyDescent="0.25">
      <c r="A398">
        <v>2</v>
      </c>
      <c r="B398" t="s">
        <v>14</v>
      </c>
      <c r="C398">
        <v>2022</v>
      </c>
      <c r="D398">
        <v>12.75</v>
      </c>
      <c r="E398" t="s">
        <v>9</v>
      </c>
      <c r="F398">
        <v>1.625</v>
      </c>
      <c r="G398" s="1">
        <f>DATE(C398, CHOOSE(MATCH(UPPER(B398), {"ENERO","FEBRERO","MARZO","ABRIL","MAYO","JUNIO","JULIO","AGOSTO","SEPTIEMBRE","OCTUBRE","NOVIEMBRE","DICIEMBRE"}, 0), 1,2,3,4,5,6,7,8,9,10,11,12), A398)</f>
        <v>44683</v>
      </c>
      <c r="H398">
        <v>11.125</v>
      </c>
      <c r="I398">
        <v>48000</v>
      </c>
      <c r="J398" s="1">
        <f t="shared" si="13"/>
        <v>43863</v>
      </c>
      <c r="K398" s="2" t="e">
        <f t="shared" si="12"/>
        <v>#N/A</v>
      </c>
    </row>
    <row r="399" spans="1:11" x14ac:dyDescent="0.25">
      <c r="A399">
        <v>3</v>
      </c>
      <c r="B399" t="s">
        <v>14</v>
      </c>
      <c r="C399">
        <v>2022</v>
      </c>
      <c r="D399">
        <v>1.625</v>
      </c>
      <c r="E399">
        <v>30</v>
      </c>
      <c r="F399">
        <v>24.625</v>
      </c>
      <c r="G399" s="1">
        <f>DATE(C399, CHOOSE(MATCH(UPPER(B399), {"ENERO","FEBRERO","MARZO","ABRIL","MAYO","JUNIO","JULIO","AGOSTO","SEPTIEMBRE","OCTUBRE","NOVIEMBRE","DICIEMBRE"}, 0), 1,2,3,4,5,6,7,8,9,10,11,12), A399)</f>
        <v>44684</v>
      </c>
      <c r="H399">
        <v>7</v>
      </c>
      <c r="I399">
        <v>48000</v>
      </c>
      <c r="J399" s="1">
        <f t="shared" si="13"/>
        <v>43864</v>
      </c>
      <c r="K399" s="2" t="e">
        <f t="shared" si="12"/>
        <v>#N/A</v>
      </c>
    </row>
    <row r="400" spans="1:11" x14ac:dyDescent="0.25">
      <c r="A400">
        <v>4</v>
      </c>
      <c r="B400" t="s">
        <v>14</v>
      </c>
      <c r="C400">
        <v>2022</v>
      </c>
      <c r="D400">
        <v>24.625</v>
      </c>
      <c r="E400" t="s">
        <v>9</v>
      </c>
      <c r="F400">
        <v>17</v>
      </c>
      <c r="G400" s="1">
        <f>DATE(C400, CHOOSE(MATCH(UPPER(B400), {"ENERO","FEBRERO","MARZO","ABRIL","MAYO","JUNIO","JULIO","AGOSTO","SEPTIEMBRE","OCTUBRE","NOVIEMBRE","DICIEMBRE"}, 0), 1,2,3,4,5,6,7,8,9,10,11,12), A400)</f>
        <v>44685</v>
      </c>
      <c r="H400">
        <v>7.625</v>
      </c>
      <c r="I400">
        <v>48000</v>
      </c>
      <c r="J400" s="1">
        <f t="shared" si="13"/>
        <v>43865</v>
      </c>
      <c r="K400" s="2" t="e">
        <f t="shared" si="12"/>
        <v>#N/A</v>
      </c>
    </row>
    <row r="401" spans="1:11" x14ac:dyDescent="0.25">
      <c r="A401">
        <v>5</v>
      </c>
      <c r="B401" t="s">
        <v>14</v>
      </c>
      <c r="C401">
        <v>2022</v>
      </c>
      <c r="D401">
        <v>17</v>
      </c>
      <c r="E401" t="s">
        <v>9</v>
      </c>
      <c r="F401">
        <v>9.625</v>
      </c>
      <c r="G401" s="1">
        <f>DATE(C401, CHOOSE(MATCH(UPPER(B401), {"ENERO","FEBRERO","MARZO","ABRIL","MAYO","JUNIO","JULIO","AGOSTO","SEPTIEMBRE","OCTUBRE","NOVIEMBRE","DICIEMBRE"}, 0), 1,2,3,4,5,6,7,8,9,10,11,12), A401)</f>
        <v>44686</v>
      </c>
      <c r="H401">
        <v>7.375</v>
      </c>
      <c r="I401">
        <v>48000</v>
      </c>
      <c r="J401" s="1">
        <f t="shared" si="13"/>
        <v>43866</v>
      </c>
      <c r="K401" s="2" t="e">
        <f t="shared" si="12"/>
        <v>#N/A</v>
      </c>
    </row>
    <row r="402" spans="1:11" x14ac:dyDescent="0.25">
      <c r="A402">
        <v>6</v>
      </c>
      <c r="B402" t="s">
        <v>14</v>
      </c>
      <c r="C402">
        <v>2022</v>
      </c>
      <c r="D402">
        <v>9.625</v>
      </c>
      <c r="E402">
        <v>60</v>
      </c>
      <c r="F402">
        <v>62</v>
      </c>
      <c r="G402" s="1">
        <f>DATE(C402, CHOOSE(MATCH(UPPER(B402), {"ENERO","FEBRERO","MARZO","ABRIL","MAYO","JUNIO","JULIO","AGOSTO","SEPTIEMBRE","OCTUBRE","NOVIEMBRE","DICIEMBRE"}, 0), 1,2,3,4,5,6,7,8,9,10,11,12), A402)</f>
        <v>44687</v>
      </c>
      <c r="H402">
        <v>7.625</v>
      </c>
      <c r="I402">
        <v>48000</v>
      </c>
      <c r="J402" s="1">
        <f t="shared" si="13"/>
        <v>43867</v>
      </c>
      <c r="K402" s="2" t="e">
        <f t="shared" si="12"/>
        <v>#N/A</v>
      </c>
    </row>
    <row r="403" spans="1:11" x14ac:dyDescent="0.25">
      <c r="A403">
        <v>7</v>
      </c>
      <c r="B403" t="s">
        <v>14</v>
      </c>
      <c r="C403">
        <v>2022</v>
      </c>
      <c r="D403">
        <v>62</v>
      </c>
      <c r="E403" t="s">
        <v>9</v>
      </c>
      <c r="F403">
        <v>47</v>
      </c>
      <c r="G403" s="1">
        <f>DATE(C403, CHOOSE(MATCH(UPPER(B403), {"ENERO","FEBRERO","MARZO","ABRIL","MAYO","JUNIO","JULIO","AGOSTO","SEPTIEMBRE","OCTUBRE","NOVIEMBRE","DICIEMBRE"}, 0), 1,2,3,4,5,6,7,8,9,10,11,12), A403)</f>
        <v>44688</v>
      </c>
      <c r="H403">
        <v>15</v>
      </c>
      <c r="I403">
        <v>48000</v>
      </c>
      <c r="J403" s="1">
        <f t="shared" si="13"/>
        <v>43868</v>
      </c>
      <c r="K403" s="2" t="e">
        <f t="shared" si="12"/>
        <v>#N/A</v>
      </c>
    </row>
    <row r="404" spans="1:11" x14ac:dyDescent="0.25">
      <c r="A404">
        <v>8</v>
      </c>
      <c r="B404" t="s">
        <v>14</v>
      </c>
      <c r="C404">
        <v>2022</v>
      </c>
      <c r="D404">
        <v>47</v>
      </c>
      <c r="E404" t="s">
        <v>9</v>
      </c>
      <c r="F404">
        <v>19.5</v>
      </c>
      <c r="G404" s="1">
        <f>DATE(C404, CHOOSE(MATCH(UPPER(B404), {"ENERO","FEBRERO","MARZO","ABRIL","MAYO","JUNIO","JULIO","AGOSTO","SEPTIEMBRE","OCTUBRE","NOVIEMBRE","DICIEMBRE"}, 0), 1,2,3,4,5,6,7,8,9,10,11,12), A404)</f>
        <v>44689</v>
      </c>
      <c r="H404">
        <v>27.5</v>
      </c>
      <c r="I404">
        <v>48000</v>
      </c>
      <c r="J404" s="1">
        <f t="shared" si="13"/>
        <v>43869</v>
      </c>
      <c r="K404" s="2" t="e">
        <f t="shared" si="12"/>
        <v>#N/A</v>
      </c>
    </row>
    <row r="405" spans="1:11" x14ac:dyDescent="0.25">
      <c r="A405">
        <v>9</v>
      </c>
      <c r="B405" t="s">
        <v>14</v>
      </c>
      <c r="C405">
        <v>2022</v>
      </c>
      <c r="D405">
        <v>19.5</v>
      </c>
      <c r="E405" t="s">
        <v>9</v>
      </c>
      <c r="F405">
        <v>12.625</v>
      </c>
      <c r="G405" s="1">
        <f>DATE(C405, CHOOSE(MATCH(UPPER(B405), {"ENERO","FEBRERO","MARZO","ABRIL","MAYO","JUNIO","JULIO","AGOSTO","SEPTIEMBRE","OCTUBRE","NOVIEMBRE","DICIEMBRE"}, 0), 1,2,3,4,5,6,7,8,9,10,11,12), A405)</f>
        <v>44690</v>
      </c>
      <c r="H405">
        <v>6.875</v>
      </c>
      <c r="I405">
        <v>48000</v>
      </c>
      <c r="J405" s="1">
        <f t="shared" si="13"/>
        <v>43870</v>
      </c>
      <c r="K405" s="2" t="e">
        <f t="shared" si="12"/>
        <v>#N/A</v>
      </c>
    </row>
    <row r="406" spans="1:11" x14ac:dyDescent="0.25">
      <c r="A406">
        <v>10</v>
      </c>
      <c r="B406" t="s">
        <v>14</v>
      </c>
      <c r="C406">
        <v>2022</v>
      </c>
      <c r="D406">
        <v>12.625</v>
      </c>
      <c r="E406" t="s">
        <v>9</v>
      </c>
      <c r="F406">
        <v>5.375</v>
      </c>
      <c r="G406" s="1">
        <f>DATE(C406, CHOOSE(MATCH(UPPER(B406), {"ENERO","FEBRERO","MARZO","ABRIL","MAYO","JUNIO","JULIO","AGOSTO","SEPTIEMBRE","OCTUBRE","NOVIEMBRE","DICIEMBRE"}, 0), 1,2,3,4,5,6,7,8,9,10,11,12), A406)</f>
        <v>44691</v>
      </c>
      <c r="H406">
        <v>7.25</v>
      </c>
      <c r="I406">
        <v>48000</v>
      </c>
      <c r="J406" s="1">
        <f t="shared" si="13"/>
        <v>43871</v>
      </c>
      <c r="K406" s="2" t="e">
        <f t="shared" si="12"/>
        <v>#N/A</v>
      </c>
    </row>
    <row r="407" spans="1:11" x14ac:dyDescent="0.25">
      <c r="A407">
        <v>11</v>
      </c>
      <c r="B407" t="s">
        <v>14</v>
      </c>
      <c r="C407">
        <v>2022</v>
      </c>
      <c r="D407">
        <v>5.375</v>
      </c>
      <c r="E407">
        <v>50</v>
      </c>
      <c r="F407">
        <v>50.5</v>
      </c>
      <c r="G407" s="1">
        <f>DATE(C407, CHOOSE(MATCH(UPPER(B407), {"ENERO","FEBRERO","MARZO","ABRIL","MAYO","JUNIO","JULIO","AGOSTO","SEPTIEMBRE","OCTUBRE","NOVIEMBRE","DICIEMBRE"}, 0), 1,2,3,4,5,6,7,8,9,10,11,12), A407)</f>
        <v>44692</v>
      </c>
      <c r="H407">
        <v>4.875</v>
      </c>
      <c r="I407">
        <v>48000</v>
      </c>
      <c r="J407" s="1">
        <f t="shared" si="13"/>
        <v>43872</v>
      </c>
      <c r="K407" s="2" t="e">
        <f t="shared" si="12"/>
        <v>#N/A</v>
      </c>
    </row>
    <row r="408" spans="1:11" x14ac:dyDescent="0.25">
      <c r="A408">
        <v>12</v>
      </c>
      <c r="B408" t="s">
        <v>14</v>
      </c>
      <c r="C408">
        <v>2022</v>
      </c>
      <c r="D408">
        <v>50.5</v>
      </c>
      <c r="E408" t="s">
        <v>9</v>
      </c>
      <c r="F408">
        <v>43.75</v>
      </c>
      <c r="G408" s="1">
        <f>DATE(C408, CHOOSE(MATCH(UPPER(B408), {"ENERO","FEBRERO","MARZO","ABRIL","MAYO","JUNIO","JULIO","AGOSTO","SEPTIEMBRE","OCTUBRE","NOVIEMBRE","DICIEMBRE"}, 0), 1,2,3,4,5,6,7,8,9,10,11,12), A408)</f>
        <v>44693</v>
      </c>
      <c r="H408">
        <v>6.75</v>
      </c>
      <c r="I408">
        <v>48000</v>
      </c>
      <c r="J408" s="1">
        <f t="shared" si="13"/>
        <v>43873</v>
      </c>
      <c r="K408" s="2" t="e">
        <f t="shared" si="12"/>
        <v>#N/A</v>
      </c>
    </row>
    <row r="409" spans="1:11" x14ac:dyDescent="0.25">
      <c r="A409">
        <v>13</v>
      </c>
      <c r="B409" t="s">
        <v>14</v>
      </c>
      <c r="C409">
        <v>2022</v>
      </c>
      <c r="D409">
        <v>43.75</v>
      </c>
      <c r="E409" t="s">
        <v>9</v>
      </c>
      <c r="F409">
        <v>29.5</v>
      </c>
      <c r="G409" s="1">
        <f>DATE(C409, CHOOSE(MATCH(UPPER(B409), {"ENERO","FEBRERO","MARZO","ABRIL","MAYO","JUNIO","JULIO","AGOSTO","SEPTIEMBRE","OCTUBRE","NOVIEMBRE","DICIEMBRE"}, 0), 1,2,3,4,5,6,7,8,9,10,11,12), A409)</f>
        <v>44694</v>
      </c>
      <c r="H409">
        <v>14.25</v>
      </c>
      <c r="I409">
        <v>48000</v>
      </c>
      <c r="J409" s="1">
        <f t="shared" si="13"/>
        <v>43874</v>
      </c>
      <c r="K409" s="2" t="e">
        <f t="shared" si="12"/>
        <v>#N/A</v>
      </c>
    </row>
    <row r="410" spans="1:11" x14ac:dyDescent="0.25">
      <c r="A410">
        <v>14</v>
      </c>
      <c r="B410" t="s">
        <v>14</v>
      </c>
      <c r="C410">
        <v>2022</v>
      </c>
      <c r="D410">
        <v>29.5</v>
      </c>
      <c r="E410" t="s">
        <v>9</v>
      </c>
      <c r="F410">
        <v>11.75</v>
      </c>
      <c r="G410" s="1">
        <f>DATE(C410, CHOOSE(MATCH(UPPER(B410), {"ENERO","FEBRERO","MARZO","ABRIL","MAYO","JUNIO","JULIO","AGOSTO","SEPTIEMBRE","OCTUBRE","NOVIEMBRE","DICIEMBRE"}, 0), 1,2,3,4,5,6,7,8,9,10,11,12), A410)</f>
        <v>44695</v>
      </c>
      <c r="H410">
        <v>17.75</v>
      </c>
      <c r="I410">
        <v>48000</v>
      </c>
      <c r="J410" s="1">
        <f t="shared" si="13"/>
        <v>43875</v>
      </c>
      <c r="K410" s="2" t="e">
        <f t="shared" si="12"/>
        <v>#N/A</v>
      </c>
    </row>
    <row r="411" spans="1:11" x14ac:dyDescent="0.25">
      <c r="A411">
        <v>15</v>
      </c>
      <c r="B411" t="s">
        <v>14</v>
      </c>
      <c r="C411">
        <v>2022</v>
      </c>
      <c r="D411">
        <v>11.75</v>
      </c>
      <c r="E411">
        <v>50</v>
      </c>
      <c r="F411">
        <v>47.875</v>
      </c>
      <c r="G411" s="1">
        <f>DATE(C411, CHOOSE(MATCH(UPPER(B411), {"ENERO","FEBRERO","MARZO","ABRIL","MAYO","JUNIO","JULIO","AGOSTO","SEPTIEMBRE","OCTUBRE","NOVIEMBRE","DICIEMBRE"}, 0), 1,2,3,4,5,6,7,8,9,10,11,12), A411)</f>
        <v>44696</v>
      </c>
      <c r="H411">
        <v>13.875</v>
      </c>
      <c r="I411">
        <v>48000</v>
      </c>
      <c r="J411" s="1">
        <f t="shared" si="13"/>
        <v>43876</v>
      </c>
      <c r="K411" s="2" t="e">
        <f t="shared" si="12"/>
        <v>#N/A</v>
      </c>
    </row>
    <row r="412" spans="1:11" x14ac:dyDescent="0.25">
      <c r="A412">
        <v>16</v>
      </c>
      <c r="B412" t="s">
        <v>14</v>
      </c>
      <c r="C412">
        <v>2022</v>
      </c>
      <c r="D412">
        <v>47.875</v>
      </c>
      <c r="E412" t="s">
        <v>9</v>
      </c>
      <c r="F412">
        <v>41.625</v>
      </c>
      <c r="G412" s="1">
        <f>DATE(C412, CHOOSE(MATCH(UPPER(B412), {"ENERO","FEBRERO","MARZO","ABRIL","MAYO","JUNIO","JULIO","AGOSTO","SEPTIEMBRE","OCTUBRE","NOVIEMBRE","DICIEMBRE"}, 0), 1,2,3,4,5,6,7,8,9,10,11,12), A412)</f>
        <v>44697</v>
      </c>
      <c r="H412">
        <v>6.25</v>
      </c>
      <c r="I412">
        <v>48000</v>
      </c>
      <c r="J412" s="1">
        <f t="shared" si="13"/>
        <v>43877</v>
      </c>
      <c r="K412" s="2" t="e">
        <f t="shared" si="12"/>
        <v>#N/A</v>
      </c>
    </row>
    <row r="413" spans="1:11" x14ac:dyDescent="0.25">
      <c r="A413">
        <v>17</v>
      </c>
      <c r="B413" t="s">
        <v>14</v>
      </c>
      <c r="C413">
        <v>2022</v>
      </c>
      <c r="D413">
        <v>41.625</v>
      </c>
      <c r="E413" t="s">
        <v>9</v>
      </c>
      <c r="F413">
        <v>33.125</v>
      </c>
      <c r="G413" s="1">
        <f>DATE(C413, CHOOSE(MATCH(UPPER(B413), {"ENERO","FEBRERO","MARZO","ABRIL","MAYO","JUNIO","JULIO","AGOSTO","SEPTIEMBRE","OCTUBRE","NOVIEMBRE","DICIEMBRE"}, 0), 1,2,3,4,5,6,7,8,9,10,11,12), A413)</f>
        <v>44698</v>
      </c>
      <c r="H413">
        <v>8.5</v>
      </c>
      <c r="I413">
        <v>48000</v>
      </c>
      <c r="J413" s="1">
        <f t="shared" si="13"/>
        <v>43878</v>
      </c>
      <c r="K413" s="2" t="e">
        <f t="shared" si="12"/>
        <v>#N/A</v>
      </c>
    </row>
    <row r="414" spans="1:11" x14ac:dyDescent="0.25">
      <c r="A414">
        <v>18</v>
      </c>
      <c r="B414" t="s">
        <v>14</v>
      </c>
      <c r="C414">
        <v>2022</v>
      </c>
      <c r="D414">
        <v>33.125</v>
      </c>
      <c r="E414">
        <v>30</v>
      </c>
      <c r="F414">
        <v>55</v>
      </c>
      <c r="G414" s="1">
        <f>DATE(C414, CHOOSE(MATCH(UPPER(B414), {"ENERO","FEBRERO","MARZO","ABRIL","MAYO","JUNIO","JULIO","AGOSTO","SEPTIEMBRE","OCTUBRE","NOVIEMBRE","DICIEMBRE"}, 0), 1,2,3,4,5,6,7,8,9,10,11,12), A414)</f>
        <v>44699</v>
      </c>
      <c r="H414">
        <v>8.125</v>
      </c>
      <c r="I414">
        <v>48000</v>
      </c>
      <c r="J414" s="1">
        <f t="shared" si="13"/>
        <v>43879</v>
      </c>
      <c r="K414" s="2" t="e">
        <f t="shared" si="12"/>
        <v>#N/A</v>
      </c>
    </row>
    <row r="415" spans="1:11" x14ac:dyDescent="0.25">
      <c r="A415">
        <v>19</v>
      </c>
      <c r="B415" t="s">
        <v>14</v>
      </c>
      <c r="C415">
        <v>2022</v>
      </c>
      <c r="D415">
        <v>55</v>
      </c>
      <c r="E415" t="s">
        <v>9</v>
      </c>
      <c r="F415">
        <v>48.25</v>
      </c>
      <c r="G415" s="1">
        <f>DATE(C415, CHOOSE(MATCH(UPPER(B415), {"ENERO","FEBRERO","MARZO","ABRIL","MAYO","JUNIO","JULIO","AGOSTO","SEPTIEMBRE","OCTUBRE","NOVIEMBRE","DICIEMBRE"}, 0), 1,2,3,4,5,6,7,8,9,10,11,12), A415)</f>
        <v>44700</v>
      </c>
      <c r="H415">
        <v>6.75</v>
      </c>
      <c r="I415">
        <v>48000</v>
      </c>
      <c r="J415" s="1">
        <f t="shared" si="13"/>
        <v>43880</v>
      </c>
      <c r="K415" s="2" t="e">
        <f t="shared" si="12"/>
        <v>#N/A</v>
      </c>
    </row>
    <row r="416" spans="1:11" x14ac:dyDescent="0.25">
      <c r="A416">
        <v>20</v>
      </c>
      <c r="B416" t="s">
        <v>14</v>
      </c>
      <c r="C416">
        <v>2022</v>
      </c>
      <c r="D416">
        <v>48.25</v>
      </c>
      <c r="E416" t="s">
        <v>9</v>
      </c>
      <c r="F416">
        <v>40</v>
      </c>
      <c r="G416" s="1">
        <f>DATE(C416, CHOOSE(MATCH(UPPER(B416), {"ENERO","FEBRERO","MARZO","ABRIL","MAYO","JUNIO","JULIO","AGOSTO","SEPTIEMBRE","OCTUBRE","NOVIEMBRE","DICIEMBRE"}, 0), 1,2,3,4,5,6,7,8,9,10,11,12), A416)</f>
        <v>44701</v>
      </c>
      <c r="H416">
        <v>8.25</v>
      </c>
      <c r="I416">
        <v>48000</v>
      </c>
      <c r="J416" s="1">
        <f t="shared" si="13"/>
        <v>43881</v>
      </c>
      <c r="K416" s="2" t="e">
        <f t="shared" si="12"/>
        <v>#N/A</v>
      </c>
    </row>
    <row r="417" spans="1:11" x14ac:dyDescent="0.25">
      <c r="A417">
        <v>21</v>
      </c>
      <c r="B417" t="s">
        <v>14</v>
      </c>
      <c r="C417">
        <v>2022</v>
      </c>
      <c r="D417">
        <v>40</v>
      </c>
      <c r="E417" t="s">
        <v>9</v>
      </c>
      <c r="F417">
        <v>23.375</v>
      </c>
      <c r="G417" s="1">
        <f>DATE(C417, CHOOSE(MATCH(UPPER(B417), {"ENERO","FEBRERO","MARZO","ABRIL","MAYO","JUNIO","JULIO","AGOSTO","SEPTIEMBRE","OCTUBRE","NOVIEMBRE","DICIEMBRE"}, 0), 1,2,3,4,5,6,7,8,9,10,11,12), A417)</f>
        <v>44702</v>
      </c>
      <c r="H417">
        <v>16.625</v>
      </c>
      <c r="I417">
        <v>48000</v>
      </c>
      <c r="J417" s="1">
        <f t="shared" si="13"/>
        <v>43882</v>
      </c>
      <c r="K417" s="2" t="e">
        <f t="shared" si="12"/>
        <v>#N/A</v>
      </c>
    </row>
    <row r="418" spans="1:11" x14ac:dyDescent="0.25">
      <c r="A418">
        <v>22</v>
      </c>
      <c r="B418" t="s">
        <v>14</v>
      </c>
      <c r="C418">
        <v>2022</v>
      </c>
      <c r="D418">
        <v>23.375</v>
      </c>
      <c r="E418" t="s">
        <v>9</v>
      </c>
      <c r="F418">
        <v>4.75</v>
      </c>
      <c r="G418" s="1">
        <f>DATE(C418, CHOOSE(MATCH(UPPER(B418), {"ENERO","FEBRERO","MARZO","ABRIL","MAYO","JUNIO","JULIO","AGOSTO","SEPTIEMBRE","OCTUBRE","NOVIEMBRE","DICIEMBRE"}, 0), 1,2,3,4,5,6,7,8,9,10,11,12), A418)</f>
        <v>44703</v>
      </c>
      <c r="H418">
        <v>18.625</v>
      </c>
      <c r="I418">
        <v>48000</v>
      </c>
      <c r="J418" s="1">
        <f t="shared" si="13"/>
        <v>43883</v>
      </c>
      <c r="K418" s="2" t="e">
        <f t="shared" si="12"/>
        <v>#N/A</v>
      </c>
    </row>
    <row r="419" spans="1:11" x14ac:dyDescent="0.25">
      <c r="A419">
        <v>23</v>
      </c>
      <c r="B419" t="s">
        <v>14</v>
      </c>
      <c r="C419">
        <v>2022</v>
      </c>
      <c r="D419">
        <v>4.75</v>
      </c>
      <c r="E419">
        <v>50</v>
      </c>
      <c r="F419">
        <v>51.25</v>
      </c>
      <c r="G419" s="1">
        <f>DATE(C419, CHOOSE(MATCH(UPPER(B419), {"ENERO","FEBRERO","MARZO","ABRIL","MAYO","JUNIO","JULIO","AGOSTO","SEPTIEMBRE","OCTUBRE","NOVIEMBRE","DICIEMBRE"}, 0), 1,2,3,4,5,6,7,8,9,10,11,12), A419)</f>
        <v>44704</v>
      </c>
      <c r="H419">
        <v>3.5</v>
      </c>
      <c r="I419">
        <v>48000</v>
      </c>
      <c r="J419" s="1">
        <f t="shared" si="13"/>
        <v>43884</v>
      </c>
      <c r="K419" s="2" t="e">
        <f t="shared" si="12"/>
        <v>#N/A</v>
      </c>
    </row>
    <row r="420" spans="1:11" x14ac:dyDescent="0.25">
      <c r="A420">
        <v>24</v>
      </c>
      <c r="B420" t="s">
        <v>14</v>
      </c>
      <c r="C420">
        <v>2022</v>
      </c>
      <c r="D420">
        <v>51.25</v>
      </c>
      <c r="E420" t="s">
        <v>9</v>
      </c>
      <c r="F420">
        <v>45.625</v>
      </c>
      <c r="G420" s="1">
        <f>DATE(C420, CHOOSE(MATCH(UPPER(B420), {"ENERO","FEBRERO","MARZO","ABRIL","MAYO","JUNIO","JULIO","AGOSTO","SEPTIEMBRE","OCTUBRE","NOVIEMBRE","DICIEMBRE"}, 0), 1,2,3,4,5,6,7,8,9,10,11,12), A420)</f>
        <v>44705</v>
      </c>
      <c r="H420">
        <v>5.625</v>
      </c>
      <c r="I420">
        <v>48000</v>
      </c>
      <c r="J420" s="1">
        <f t="shared" si="13"/>
        <v>43885</v>
      </c>
      <c r="K420" s="2" t="e">
        <f t="shared" si="12"/>
        <v>#N/A</v>
      </c>
    </row>
    <row r="421" spans="1:11" x14ac:dyDescent="0.25">
      <c r="A421">
        <v>25</v>
      </c>
      <c r="B421" t="s">
        <v>14</v>
      </c>
      <c r="C421">
        <v>2022</v>
      </c>
      <c r="D421">
        <v>45.625</v>
      </c>
      <c r="E421" t="s">
        <v>9</v>
      </c>
      <c r="F421">
        <v>39.375</v>
      </c>
      <c r="G421" s="1">
        <f>DATE(C421, CHOOSE(MATCH(UPPER(B421), {"ENERO","FEBRERO","MARZO","ABRIL","MAYO","JUNIO","JULIO","AGOSTO","SEPTIEMBRE","OCTUBRE","NOVIEMBRE","DICIEMBRE"}, 0), 1,2,3,4,5,6,7,8,9,10,11,12), A421)</f>
        <v>44706</v>
      </c>
      <c r="H421">
        <v>6.25</v>
      </c>
      <c r="I421">
        <v>48000</v>
      </c>
      <c r="J421" s="1">
        <f t="shared" si="13"/>
        <v>43886</v>
      </c>
      <c r="K421" s="2" t="e">
        <f t="shared" si="12"/>
        <v>#N/A</v>
      </c>
    </row>
    <row r="422" spans="1:11" x14ac:dyDescent="0.25">
      <c r="A422">
        <v>26</v>
      </c>
      <c r="B422" t="s">
        <v>14</v>
      </c>
      <c r="C422">
        <v>2022</v>
      </c>
      <c r="D422">
        <v>39.375</v>
      </c>
      <c r="E422" t="s">
        <v>9</v>
      </c>
      <c r="F422">
        <v>29.625</v>
      </c>
      <c r="G422" s="1">
        <f>DATE(C422, CHOOSE(MATCH(UPPER(B422), {"ENERO","FEBRERO","MARZO","ABRIL","MAYO","JUNIO","JULIO","AGOSTO","SEPTIEMBRE","OCTUBRE","NOVIEMBRE","DICIEMBRE"}, 0), 1,2,3,4,5,6,7,8,9,10,11,12), A422)</f>
        <v>44707</v>
      </c>
      <c r="H422">
        <v>9.75</v>
      </c>
      <c r="I422">
        <v>48000</v>
      </c>
      <c r="J422" s="1">
        <f t="shared" si="13"/>
        <v>43887</v>
      </c>
      <c r="K422" s="2" t="e">
        <f t="shared" si="12"/>
        <v>#N/A</v>
      </c>
    </row>
    <row r="423" spans="1:11" x14ac:dyDescent="0.25">
      <c r="A423">
        <v>27</v>
      </c>
      <c r="B423" t="s">
        <v>14</v>
      </c>
      <c r="C423">
        <v>2022</v>
      </c>
      <c r="D423">
        <v>29.625</v>
      </c>
      <c r="E423" t="s">
        <v>9</v>
      </c>
      <c r="F423">
        <v>19.25</v>
      </c>
      <c r="G423" s="1">
        <f>DATE(C423, CHOOSE(MATCH(UPPER(B423), {"ENERO","FEBRERO","MARZO","ABRIL","MAYO","JUNIO","JULIO","AGOSTO","SEPTIEMBRE","OCTUBRE","NOVIEMBRE","DICIEMBRE"}, 0), 1,2,3,4,5,6,7,8,9,10,11,12), A423)</f>
        <v>44708</v>
      </c>
      <c r="H423">
        <v>10.375</v>
      </c>
      <c r="I423">
        <v>48000</v>
      </c>
      <c r="J423" s="1">
        <f t="shared" si="13"/>
        <v>43888</v>
      </c>
      <c r="K423" s="2" t="e">
        <f t="shared" si="12"/>
        <v>#N/A</v>
      </c>
    </row>
    <row r="424" spans="1:11" x14ac:dyDescent="0.25">
      <c r="A424">
        <v>28</v>
      </c>
      <c r="B424" t="s">
        <v>14</v>
      </c>
      <c r="C424">
        <v>2022</v>
      </c>
      <c r="D424">
        <v>19.25</v>
      </c>
      <c r="E424">
        <v>50</v>
      </c>
      <c r="F424">
        <v>58.875</v>
      </c>
      <c r="G424" s="1">
        <f>DATE(C424, CHOOSE(MATCH(UPPER(B424), {"ENERO","FEBRERO","MARZO","ABRIL","MAYO","JUNIO","JULIO","AGOSTO","SEPTIEMBRE","OCTUBRE","NOVIEMBRE","DICIEMBRE"}, 0), 1,2,3,4,5,6,7,8,9,10,11,12), A424)</f>
        <v>44709</v>
      </c>
      <c r="H424">
        <v>10.375</v>
      </c>
      <c r="I424">
        <v>48000</v>
      </c>
      <c r="J424" s="1">
        <f t="shared" si="13"/>
        <v>43889</v>
      </c>
      <c r="K424" s="2" t="e">
        <f t="shared" si="12"/>
        <v>#N/A</v>
      </c>
    </row>
    <row r="425" spans="1:11" x14ac:dyDescent="0.25">
      <c r="A425">
        <v>29</v>
      </c>
      <c r="B425" t="s">
        <v>14</v>
      </c>
      <c r="C425">
        <v>2022</v>
      </c>
      <c r="D425">
        <v>58.875</v>
      </c>
      <c r="E425" t="s">
        <v>9</v>
      </c>
      <c r="F425">
        <v>40</v>
      </c>
      <c r="G425" s="1">
        <f>DATE(C425, CHOOSE(MATCH(UPPER(B425), {"ENERO","FEBRERO","MARZO","ABRIL","MAYO","JUNIO","JULIO","AGOSTO","SEPTIEMBRE","OCTUBRE","NOVIEMBRE","DICIEMBRE"}, 0), 1,2,3,4,5,6,7,8,9,10,11,12), A425)</f>
        <v>44710</v>
      </c>
      <c r="H425">
        <v>18.875</v>
      </c>
      <c r="I425">
        <v>48000</v>
      </c>
      <c r="J425" s="1">
        <f t="shared" si="13"/>
        <v>43890</v>
      </c>
      <c r="K425" s="2" t="e">
        <f t="shared" si="12"/>
        <v>#N/A</v>
      </c>
    </row>
    <row r="426" spans="1:11" x14ac:dyDescent="0.25">
      <c r="A426">
        <v>30</v>
      </c>
      <c r="B426" t="s">
        <v>9</v>
      </c>
      <c r="C426" t="s">
        <v>9</v>
      </c>
      <c r="D426">
        <v>40</v>
      </c>
      <c r="E426" t="s">
        <v>9</v>
      </c>
      <c r="F426">
        <v>23.5</v>
      </c>
      <c r="G426" s="1" t="e">
        <f>DATE(C426, CHOOSE(MATCH(UPPER(B426), {"ENERO","FEBRERO","MARZO","ABRIL","MAYO","JUNIO","JULIO","AGOSTO","SEPTIEMBRE","OCTUBRE","NOVIEMBRE","DICIEMBRE"}, 0), 1,2,3,4,5,6,7,8,9,10,11,12), A426)</f>
        <v>#VALUE!</v>
      </c>
      <c r="H426">
        <v>16.5</v>
      </c>
      <c r="I426">
        <v>48000</v>
      </c>
      <c r="J426" s="1">
        <f t="shared" si="13"/>
        <v>43891</v>
      </c>
      <c r="K426" s="2" t="e">
        <f t="shared" si="12"/>
        <v>#N/A</v>
      </c>
    </row>
    <row r="427" spans="1:11" x14ac:dyDescent="0.25">
      <c r="A427">
        <v>31</v>
      </c>
      <c r="B427" t="s">
        <v>9</v>
      </c>
      <c r="C427" t="s">
        <v>9</v>
      </c>
      <c r="D427">
        <v>23.5</v>
      </c>
      <c r="E427" t="s">
        <v>9</v>
      </c>
      <c r="F427">
        <v>13.5</v>
      </c>
      <c r="G427" s="1" t="e">
        <f>DATE(C427, CHOOSE(MATCH(UPPER(B427), {"ENERO","FEBRERO","MARZO","ABRIL","MAYO","JUNIO","JULIO","AGOSTO","SEPTIEMBRE","OCTUBRE","NOVIEMBRE","DICIEMBRE"}, 0), 1,2,3,4,5,6,7,8,9,10,11,12), A427)</f>
        <v>#VALUE!</v>
      </c>
      <c r="H427">
        <v>10</v>
      </c>
      <c r="I427">
        <v>48000</v>
      </c>
      <c r="J427" s="1">
        <f t="shared" si="13"/>
        <v>43892</v>
      </c>
      <c r="K427" s="2" t="e">
        <f t="shared" si="12"/>
        <v>#N/A</v>
      </c>
    </row>
    <row r="428" spans="1:11" x14ac:dyDescent="0.25">
      <c r="A428">
        <v>1</v>
      </c>
      <c r="B428" t="s">
        <v>15</v>
      </c>
      <c r="C428">
        <v>2022</v>
      </c>
      <c r="D428">
        <v>13.5</v>
      </c>
      <c r="E428">
        <v>30</v>
      </c>
      <c r="F428">
        <v>36.125</v>
      </c>
      <c r="G428" s="1">
        <f>DATE(C428, CHOOSE(MATCH(UPPER(B428), {"ENERO","FEBRERO","MARZO","ABRIL","MAYO","JUNIO","JULIO","AGOSTO","SEPTIEMBRE","OCTUBRE","NOVIEMBRE","DICIEMBRE"}, 0), 1,2,3,4,5,6,7,8,9,10,11,12), A428)</f>
        <v>44713</v>
      </c>
      <c r="H428">
        <v>7.375</v>
      </c>
      <c r="I428">
        <v>48000</v>
      </c>
      <c r="J428" s="1">
        <f t="shared" si="13"/>
        <v>43893</v>
      </c>
      <c r="K428" s="2" t="e">
        <f t="shared" si="12"/>
        <v>#N/A</v>
      </c>
    </row>
    <row r="429" spans="1:11" x14ac:dyDescent="0.25">
      <c r="A429">
        <v>2</v>
      </c>
      <c r="B429" t="s">
        <v>15</v>
      </c>
      <c r="C429">
        <v>2022</v>
      </c>
      <c r="D429">
        <v>36.125</v>
      </c>
      <c r="E429" t="s">
        <v>9</v>
      </c>
      <c r="F429">
        <v>28.125</v>
      </c>
      <c r="G429" s="1">
        <f>DATE(C429, CHOOSE(MATCH(UPPER(B429), {"ENERO","FEBRERO","MARZO","ABRIL","MAYO","JUNIO","JULIO","AGOSTO","SEPTIEMBRE","OCTUBRE","NOVIEMBRE","DICIEMBRE"}, 0), 1,2,3,4,5,6,7,8,9,10,11,12), A429)</f>
        <v>44714</v>
      </c>
      <c r="H429">
        <v>8</v>
      </c>
      <c r="I429">
        <v>48000</v>
      </c>
      <c r="J429" s="1">
        <f t="shared" si="13"/>
        <v>43894</v>
      </c>
      <c r="K429" s="2" t="e">
        <f t="shared" si="12"/>
        <v>#N/A</v>
      </c>
    </row>
    <row r="430" spans="1:11" x14ac:dyDescent="0.25">
      <c r="A430">
        <v>3</v>
      </c>
      <c r="B430" t="s">
        <v>15</v>
      </c>
      <c r="C430">
        <v>2022</v>
      </c>
      <c r="D430">
        <v>28.125</v>
      </c>
      <c r="E430" t="s">
        <v>9</v>
      </c>
      <c r="F430">
        <v>16</v>
      </c>
      <c r="G430" s="1">
        <f>DATE(C430, CHOOSE(MATCH(UPPER(B430), {"ENERO","FEBRERO","MARZO","ABRIL","MAYO","JUNIO","JULIO","AGOSTO","SEPTIEMBRE","OCTUBRE","NOVIEMBRE","DICIEMBRE"}, 0), 1,2,3,4,5,6,7,8,9,10,11,12), A430)</f>
        <v>44715</v>
      </c>
      <c r="H430">
        <v>12.125</v>
      </c>
      <c r="I430">
        <v>48000</v>
      </c>
      <c r="J430" s="1">
        <f t="shared" si="13"/>
        <v>43895</v>
      </c>
      <c r="K430" s="2" t="e">
        <f t="shared" si="12"/>
        <v>#N/A</v>
      </c>
    </row>
    <row r="431" spans="1:11" x14ac:dyDescent="0.25">
      <c r="A431">
        <v>4</v>
      </c>
      <c r="B431" t="s">
        <v>15</v>
      </c>
      <c r="C431">
        <v>2022</v>
      </c>
      <c r="D431">
        <v>16</v>
      </c>
      <c r="E431">
        <v>50</v>
      </c>
      <c r="F431">
        <v>55.125</v>
      </c>
      <c r="G431" s="1">
        <f>DATE(C431, CHOOSE(MATCH(UPPER(B431), {"ENERO","FEBRERO","MARZO","ABRIL","MAYO","JUNIO","JULIO","AGOSTO","SEPTIEMBRE","OCTUBRE","NOVIEMBRE","DICIEMBRE"}, 0), 1,2,3,4,5,6,7,8,9,10,11,12), A431)</f>
        <v>44716</v>
      </c>
      <c r="H431">
        <v>10.875</v>
      </c>
      <c r="I431">
        <v>48000</v>
      </c>
      <c r="J431" s="1">
        <f t="shared" si="13"/>
        <v>43896</v>
      </c>
      <c r="K431" s="2" t="e">
        <f t="shared" si="12"/>
        <v>#N/A</v>
      </c>
    </row>
    <row r="432" spans="1:11" x14ac:dyDescent="0.25">
      <c r="A432">
        <v>5</v>
      </c>
      <c r="B432" t="s">
        <v>15</v>
      </c>
      <c r="C432">
        <v>2022</v>
      </c>
      <c r="D432">
        <v>55.125</v>
      </c>
      <c r="E432" t="s">
        <v>9</v>
      </c>
      <c r="F432">
        <v>43.25</v>
      </c>
      <c r="G432" s="1">
        <f>DATE(C432, CHOOSE(MATCH(UPPER(B432), {"ENERO","FEBRERO","MARZO","ABRIL","MAYO","JUNIO","JULIO","AGOSTO","SEPTIEMBRE","OCTUBRE","NOVIEMBRE","DICIEMBRE"}, 0), 1,2,3,4,5,6,7,8,9,10,11,12), A432)</f>
        <v>44717</v>
      </c>
      <c r="H432">
        <v>11.875</v>
      </c>
      <c r="I432">
        <v>48000</v>
      </c>
      <c r="J432" s="1">
        <f t="shared" si="13"/>
        <v>43897</v>
      </c>
      <c r="K432" s="2" t="e">
        <f t="shared" si="12"/>
        <v>#N/A</v>
      </c>
    </row>
    <row r="433" spans="1:11" x14ac:dyDescent="0.25">
      <c r="A433">
        <v>6</v>
      </c>
      <c r="B433" t="s">
        <v>15</v>
      </c>
      <c r="C433">
        <v>2022</v>
      </c>
      <c r="D433">
        <v>43.25</v>
      </c>
      <c r="E433" t="s">
        <v>9</v>
      </c>
      <c r="F433">
        <v>35.75</v>
      </c>
      <c r="G433" s="1">
        <f>DATE(C433, CHOOSE(MATCH(UPPER(B433), {"ENERO","FEBRERO","MARZO","ABRIL","MAYO","JUNIO","JULIO","AGOSTO","SEPTIEMBRE","OCTUBRE","NOVIEMBRE","DICIEMBRE"}, 0), 1,2,3,4,5,6,7,8,9,10,11,12), A433)</f>
        <v>44718</v>
      </c>
      <c r="H433">
        <v>7.5</v>
      </c>
      <c r="I433">
        <v>48000</v>
      </c>
      <c r="J433" s="1">
        <f t="shared" si="13"/>
        <v>43898</v>
      </c>
      <c r="K433" s="2" t="e">
        <f t="shared" si="12"/>
        <v>#N/A</v>
      </c>
    </row>
    <row r="434" spans="1:11" x14ac:dyDescent="0.25">
      <c r="A434">
        <v>7</v>
      </c>
      <c r="B434" t="s">
        <v>15</v>
      </c>
      <c r="C434">
        <v>2022</v>
      </c>
      <c r="D434">
        <v>35.75</v>
      </c>
      <c r="E434" t="s">
        <v>9</v>
      </c>
      <c r="F434">
        <v>28.875</v>
      </c>
      <c r="G434" s="1">
        <f>DATE(C434, CHOOSE(MATCH(UPPER(B434), {"ENERO","FEBRERO","MARZO","ABRIL","MAYO","JUNIO","JULIO","AGOSTO","SEPTIEMBRE","OCTUBRE","NOVIEMBRE","DICIEMBRE"}, 0), 1,2,3,4,5,6,7,8,9,10,11,12), A434)</f>
        <v>44719</v>
      </c>
      <c r="H434">
        <v>6.875</v>
      </c>
      <c r="I434">
        <v>48000</v>
      </c>
      <c r="J434" s="1">
        <f t="shared" si="13"/>
        <v>43899</v>
      </c>
      <c r="K434" s="2" t="e">
        <f t="shared" si="12"/>
        <v>#N/A</v>
      </c>
    </row>
    <row r="435" spans="1:11" x14ac:dyDescent="0.25">
      <c r="A435">
        <v>8</v>
      </c>
      <c r="B435" t="s">
        <v>15</v>
      </c>
      <c r="C435">
        <v>2022</v>
      </c>
      <c r="D435">
        <v>28.875</v>
      </c>
      <c r="E435" t="s">
        <v>9</v>
      </c>
      <c r="F435">
        <v>18.625</v>
      </c>
      <c r="G435" s="1">
        <f>DATE(C435, CHOOSE(MATCH(UPPER(B435), {"ENERO","FEBRERO","MARZO","ABRIL","MAYO","JUNIO","JULIO","AGOSTO","SEPTIEMBRE","OCTUBRE","NOVIEMBRE","DICIEMBRE"}, 0), 1,2,3,4,5,6,7,8,9,10,11,12), A435)</f>
        <v>44720</v>
      </c>
      <c r="H435">
        <v>10.25</v>
      </c>
      <c r="I435">
        <v>48000</v>
      </c>
      <c r="J435" s="1">
        <f t="shared" si="13"/>
        <v>43900</v>
      </c>
      <c r="K435" s="2" t="e">
        <f t="shared" si="12"/>
        <v>#N/A</v>
      </c>
    </row>
    <row r="436" spans="1:11" x14ac:dyDescent="0.25">
      <c r="A436">
        <v>9</v>
      </c>
      <c r="B436" t="s">
        <v>15</v>
      </c>
      <c r="C436">
        <v>2022</v>
      </c>
      <c r="D436">
        <v>18.625</v>
      </c>
      <c r="E436">
        <v>50</v>
      </c>
      <c r="F436">
        <v>61.625</v>
      </c>
      <c r="G436" s="1">
        <f>DATE(C436, CHOOSE(MATCH(UPPER(B436), {"ENERO","FEBRERO","MARZO","ABRIL","MAYO","JUNIO","JULIO","AGOSTO","SEPTIEMBRE","OCTUBRE","NOVIEMBRE","DICIEMBRE"}, 0), 1,2,3,4,5,6,7,8,9,10,11,12), A436)</f>
        <v>44721</v>
      </c>
      <c r="H436">
        <v>7</v>
      </c>
      <c r="I436">
        <v>48000</v>
      </c>
      <c r="J436" s="1">
        <f t="shared" si="13"/>
        <v>43901</v>
      </c>
      <c r="K436" s="2" t="e">
        <f t="shared" si="12"/>
        <v>#N/A</v>
      </c>
    </row>
    <row r="437" spans="1:11" x14ac:dyDescent="0.25">
      <c r="A437">
        <v>10</v>
      </c>
      <c r="B437" t="s">
        <v>15</v>
      </c>
      <c r="C437">
        <v>2022</v>
      </c>
      <c r="D437">
        <v>61.625</v>
      </c>
      <c r="E437" t="s">
        <v>9</v>
      </c>
      <c r="F437">
        <v>52.375</v>
      </c>
      <c r="G437" s="1">
        <f>DATE(C437, CHOOSE(MATCH(UPPER(B437), {"ENERO","FEBRERO","MARZO","ABRIL","MAYO","JUNIO","JULIO","AGOSTO","SEPTIEMBRE","OCTUBRE","NOVIEMBRE","DICIEMBRE"}, 0), 1,2,3,4,5,6,7,8,9,10,11,12), A437)</f>
        <v>44722</v>
      </c>
      <c r="H437">
        <v>9.25</v>
      </c>
      <c r="I437">
        <v>48000</v>
      </c>
      <c r="J437" s="1">
        <f t="shared" si="13"/>
        <v>43902</v>
      </c>
      <c r="K437" s="2" t="e">
        <f t="shared" si="12"/>
        <v>#N/A</v>
      </c>
    </row>
    <row r="438" spans="1:11" x14ac:dyDescent="0.25">
      <c r="A438">
        <v>11</v>
      </c>
      <c r="B438" t="s">
        <v>15</v>
      </c>
      <c r="C438">
        <v>2022</v>
      </c>
      <c r="D438">
        <v>52.375</v>
      </c>
      <c r="E438" t="s">
        <v>9</v>
      </c>
      <c r="F438">
        <v>41.25</v>
      </c>
      <c r="G438" s="1">
        <f>DATE(C438, CHOOSE(MATCH(UPPER(B438), {"ENERO","FEBRERO","MARZO","ABRIL","MAYO","JUNIO","JULIO","AGOSTO","SEPTIEMBRE","OCTUBRE","NOVIEMBRE","DICIEMBRE"}, 0), 1,2,3,4,5,6,7,8,9,10,11,12), A438)</f>
        <v>44723</v>
      </c>
      <c r="H438">
        <v>11.125</v>
      </c>
      <c r="I438">
        <v>48000</v>
      </c>
      <c r="J438" s="1">
        <f t="shared" si="13"/>
        <v>43903</v>
      </c>
      <c r="K438" s="2" t="e">
        <f t="shared" si="12"/>
        <v>#N/A</v>
      </c>
    </row>
    <row r="439" spans="1:11" x14ac:dyDescent="0.25">
      <c r="A439">
        <v>12</v>
      </c>
      <c r="B439" t="s">
        <v>15</v>
      </c>
      <c r="C439">
        <v>2022</v>
      </c>
      <c r="D439">
        <v>41.25</v>
      </c>
      <c r="E439" t="s">
        <v>9</v>
      </c>
      <c r="F439">
        <v>28.75</v>
      </c>
      <c r="G439" s="1">
        <f>DATE(C439, CHOOSE(MATCH(UPPER(B439), {"ENERO","FEBRERO","MARZO","ABRIL","MAYO","JUNIO","JULIO","AGOSTO","SEPTIEMBRE","OCTUBRE","NOVIEMBRE","DICIEMBRE"}, 0), 1,2,3,4,5,6,7,8,9,10,11,12), A439)</f>
        <v>44724</v>
      </c>
      <c r="H439">
        <v>12.5</v>
      </c>
      <c r="I439">
        <v>48000</v>
      </c>
      <c r="J439" s="1">
        <f t="shared" si="13"/>
        <v>43904</v>
      </c>
      <c r="K439" s="2" t="e">
        <f t="shared" si="12"/>
        <v>#N/A</v>
      </c>
    </row>
    <row r="440" spans="1:11" x14ac:dyDescent="0.25">
      <c r="A440">
        <v>13</v>
      </c>
      <c r="B440" t="s">
        <v>15</v>
      </c>
      <c r="C440">
        <v>2022</v>
      </c>
      <c r="D440">
        <v>28.75</v>
      </c>
      <c r="E440" t="s">
        <v>9</v>
      </c>
      <c r="F440">
        <v>23.5</v>
      </c>
      <c r="G440" s="1">
        <f>DATE(C440, CHOOSE(MATCH(UPPER(B440), {"ENERO","FEBRERO","MARZO","ABRIL","MAYO","JUNIO","JULIO","AGOSTO","SEPTIEMBRE","OCTUBRE","NOVIEMBRE","DICIEMBRE"}, 0), 1,2,3,4,5,6,7,8,9,10,11,12), A440)</f>
        <v>44725</v>
      </c>
      <c r="H440">
        <v>5.25</v>
      </c>
      <c r="I440">
        <v>48000</v>
      </c>
      <c r="J440" s="1">
        <f t="shared" si="13"/>
        <v>43905</v>
      </c>
      <c r="K440" s="2" t="e">
        <f t="shared" si="12"/>
        <v>#N/A</v>
      </c>
    </row>
    <row r="441" spans="1:11" x14ac:dyDescent="0.25">
      <c r="A441">
        <v>14</v>
      </c>
      <c r="B441" t="s">
        <v>15</v>
      </c>
      <c r="C441">
        <v>2022</v>
      </c>
      <c r="D441">
        <v>23.5</v>
      </c>
      <c r="E441" t="s">
        <v>9</v>
      </c>
      <c r="F441">
        <v>15.625</v>
      </c>
      <c r="G441" s="1">
        <f>DATE(C441, CHOOSE(MATCH(UPPER(B441), {"ENERO","FEBRERO","MARZO","ABRIL","MAYO","JUNIO","JULIO","AGOSTO","SEPTIEMBRE","OCTUBRE","NOVIEMBRE","DICIEMBRE"}, 0), 1,2,3,4,5,6,7,8,9,10,11,12), A441)</f>
        <v>44726</v>
      </c>
      <c r="H441">
        <v>7.875</v>
      </c>
      <c r="I441">
        <v>48000</v>
      </c>
      <c r="J441" s="1">
        <f t="shared" si="13"/>
        <v>43906</v>
      </c>
      <c r="K441" s="2" t="e">
        <f t="shared" si="12"/>
        <v>#N/A</v>
      </c>
    </row>
    <row r="442" spans="1:11" x14ac:dyDescent="0.25">
      <c r="A442">
        <v>15</v>
      </c>
      <c r="B442" t="s">
        <v>15</v>
      </c>
      <c r="C442">
        <v>2022</v>
      </c>
      <c r="D442">
        <v>15.625</v>
      </c>
      <c r="E442">
        <v>50</v>
      </c>
      <c r="F442">
        <v>58.875</v>
      </c>
      <c r="G442" s="1">
        <f>DATE(C442, CHOOSE(MATCH(UPPER(B442), {"ENERO","FEBRERO","MARZO","ABRIL","MAYO","JUNIO","JULIO","AGOSTO","SEPTIEMBRE","OCTUBRE","NOVIEMBRE","DICIEMBRE"}, 0), 1,2,3,4,5,6,7,8,9,10,11,12), A442)</f>
        <v>44727</v>
      </c>
      <c r="H442">
        <v>6.75</v>
      </c>
      <c r="I442">
        <v>48000</v>
      </c>
      <c r="J442" s="1">
        <f t="shared" si="13"/>
        <v>43907</v>
      </c>
      <c r="K442" s="2" t="e">
        <f t="shared" si="12"/>
        <v>#N/A</v>
      </c>
    </row>
    <row r="443" spans="1:11" x14ac:dyDescent="0.25">
      <c r="A443">
        <v>16</v>
      </c>
      <c r="B443" t="s">
        <v>15</v>
      </c>
      <c r="C443">
        <v>2022</v>
      </c>
      <c r="D443">
        <v>58.875</v>
      </c>
      <c r="E443" t="s">
        <v>9</v>
      </c>
      <c r="F443">
        <v>50.75</v>
      </c>
      <c r="G443" s="1">
        <f>DATE(C443, CHOOSE(MATCH(UPPER(B443), {"ENERO","FEBRERO","MARZO","ABRIL","MAYO","JUNIO","JULIO","AGOSTO","SEPTIEMBRE","OCTUBRE","NOVIEMBRE","DICIEMBRE"}, 0), 1,2,3,4,5,6,7,8,9,10,11,12), A443)</f>
        <v>44728</v>
      </c>
      <c r="H443">
        <v>8.125</v>
      </c>
      <c r="I443">
        <v>48000</v>
      </c>
      <c r="J443" s="1">
        <f t="shared" si="13"/>
        <v>43908</v>
      </c>
      <c r="K443" s="2" t="e">
        <f t="shared" si="12"/>
        <v>#N/A</v>
      </c>
    </row>
    <row r="444" spans="1:11" x14ac:dyDescent="0.25">
      <c r="A444">
        <v>17</v>
      </c>
      <c r="B444" t="s">
        <v>15</v>
      </c>
      <c r="C444">
        <v>2022</v>
      </c>
      <c r="D444">
        <v>50.75</v>
      </c>
      <c r="E444" t="s">
        <v>9</v>
      </c>
      <c r="F444">
        <v>40.75</v>
      </c>
      <c r="G444" s="1">
        <f>DATE(C444, CHOOSE(MATCH(UPPER(B444), {"ENERO","FEBRERO","MARZO","ABRIL","MAYO","JUNIO","JULIO","AGOSTO","SEPTIEMBRE","OCTUBRE","NOVIEMBRE","DICIEMBRE"}, 0), 1,2,3,4,5,6,7,8,9,10,11,12), A444)</f>
        <v>44729</v>
      </c>
      <c r="H444">
        <v>10</v>
      </c>
      <c r="I444">
        <v>48000</v>
      </c>
      <c r="J444" s="1">
        <f t="shared" si="13"/>
        <v>43909</v>
      </c>
      <c r="K444" s="2" t="e">
        <f t="shared" si="12"/>
        <v>#N/A</v>
      </c>
    </row>
    <row r="445" spans="1:11" x14ac:dyDescent="0.25">
      <c r="A445">
        <v>18</v>
      </c>
      <c r="B445" t="s">
        <v>15</v>
      </c>
      <c r="C445">
        <v>2022</v>
      </c>
      <c r="D445">
        <v>40.75</v>
      </c>
      <c r="E445" t="s">
        <v>9</v>
      </c>
      <c r="F445">
        <v>25.75</v>
      </c>
      <c r="G445" s="1">
        <f>DATE(C445, CHOOSE(MATCH(UPPER(B445), {"ENERO","FEBRERO","MARZO","ABRIL","MAYO","JUNIO","JULIO","AGOSTO","SEPTIEMBRE","OCTUBRE","NOVIEMBRE","DICIEMBRE"}, 0), 1,2,3,4,5,6,7,8,9,10,11,12), A445)</f>
        <v>44730</v>
      </c>
      <c r="H445">
        <v>15</v>
      </c>
      <c r="I445">
        <v>48000</v>
      </c>
      <c r="J445" s="1">
        <f t="shared" si="13"/>
        <v>43910</v>
      </c>
      <c r="K445" s="2" t="e">
        <f t="shared" si="12"/>
        <v>#N/A</v>
      </c>
    </row>
    <row r="446" spans="1:11" x14ac:dyDescent="0.25">
      <c r="A446">
        <v>19</v>
      </c>
      <c r="B446" t="s">
        <v>15</v>
      </c>
      <c r="C446">
        <v>2022</v>
      </c>
      <c r="D446">
        <v>25.75</v>
      </c>
      <c r="E446">
        <v>30</v>
      </c>
      <c r="F446">
        <v>36.875</v>
      </c>
      <c r="G446" s="1">
        <f>DATE(C446, CHOOSE(MATCH(UPPER(B446), {"ENERO","FEBRERO","MARZO","ABRIL","MAYO","JUNIO","JULIO","AGOSTO","SEPTIEMBRE","OCTUBRE","NOVIEMBRE","DICIEMBRE"}, 0), 1,2,3,4,5,6,7,8,9,10,11,12), A446)</f>
        <v>44731</v>
      </c>
      <c r="H446">
        <v>18.875</v>
      </c>
      <c r="I446">
        <v>48000</v>
      </c>
      <c r="J446" s="1">
        <f t="shared" si="13"/>
        <v>43911</v>
      </c>
      <c r="K446" s="2" t="e">
        <f t="shared" si="12"/>
        <v>#N/A</v>
      </c>
    </row>
    <row r="447" spans="1:11" x14ac:dyDescent="0.25">
      <c r="A447">
        <v>20</v>
      </c>
      <c r="B447" t="s">
        <v>15</v>
      </c>
      <c r="C447">
        <v>2022</v>
      </c>
      <c r="D447">
        <v>36.875</v>
      </c>
      <c r="E447" t="s">
        <v>9</v>
      </c>
      <c r="F447">
        <v>23</v>
      </c>
      <c r="G447" s="1">
        <f>DATE(C447, CHOOSE(MATCH(UPPER(B447), {"ENERO","FEBRERO","MARZO","ABRIL","MAYO","JUNIO","JULIO","AGOSTO","SEPTIEMBRE","OCTUBRE","NOVIEMBRE","DICIEMBRE"}, 0), 1,2,3,4,5,6,7,8,9,10,11,12), A447)</f>
        <v>44732</v>
      </c>
      <c r="H447">
        <v>13.875</v>
      </c>
      <c r="I447">
        <v>48000</v>
      </c>
      <c r="J447" s="1">
        <f t="shared" si="13"/>
        <v>43912</v>
      </c>
      <c r="K447" s="2" t="e">
        <f t="shared" si="12"/>
        <v>#N/A</v>
      </c>
    </row>
    <row r="448" spans="1:11" x14ac:dyDescent="0.25">
      <c r="A448">
        <v>21</v>
      </c>
      <c r="B448" t="s">
        <v>15</v>
      </c>
      <c r="C448">
        <v>2022</v>
      </c>
      <c r="D448">
        <v>23</v>
      </c>
      <c r="E448">
        <v>0.875</v>
      </c>
      <c r="F448">
        <v>16.125</v>
      </c>
      <c r="G448" s="1">
        <f>DATE(C448, CHOOSE(MATCH(UPPER(B448), {"ENERO","FEBRERO","MARZO","ABRIL","MAYO","JUNIO","JULIO","AGOSTO","SEPTIEMBRE","OCTUBRE","NOVIEMBRE","DICIEMBRE"}, 0), 1,2,3,4,5,6,7,8,9,10,11,12), A448)</f>
        <v>44733</v>
      </c>
      <c r="H448">
        <v>7.75</v>
      </c>
      <c r="I448">
        <v>48000</v>
      </c>
      <c r="J448" s="1">
        <f t="shared" si="13"/>
        <v>43913</v>
      </c>
      <c r="K448" s="2" t="e">
        <f t="shared" si="12"/>
        <v>#N/A</v>
      </c>
    </row>
    <row r="449" spans="1:11" x14ac:dyDescent="0.25">
      <c r="A449">
        <v>22</v>
      </c>
      <c r="B449" t="s">
        <v>15</v>
      </c>
      <c r="C449">
        <v>2022</v>
      </c>
      <c r="D449">
        <v>16.125</v>
      </c>
      <c r="E449">
        <v>20</v>
      </c>
      <c r="F449">
        <v>27.875</v>
      </c>
      <c r="G449" s="1">
        <f>DATE(C449, CHOOSE(MATCH(UPPER(B449), {"ENERO","FEBRERO","MARZO","ABRIL","MAYO","JUNIO","JULIO","AGOSTO","SEPTIEMBRE","OCTUBRE","NOVIEMBRE","DICIEMBRE"}, 0), 1,2,3,4,5,6,7,8,9,10,11,12), A449)</f>
        <v>44734</v>
      </c>
      <c r="H449">
        <v>8.25</v>
      </c>
      <c r="I449">
        <v>48000</v>
      </c>
      <c r="J449" s="1">
        <f t="shared" si="13"/>
        <v>43914</v>
      </c>
      <c r="K449" s="2" t="e">
        <f t="shared" si="12"/>
        <v>#N/A</v>
      </c>
    </row>
    <row r="450" spans="1:11" x14ac:dyDescent="0.25">
      <c r="A450">
        <v>23</v>
      </c>
      <c r="B450" t="s">
        <v>15</v>
      </c>
      <c r="C450">
        <v>2022</v>
      </c>
      <c r="D450">
        <v>27.875</v>
      </c>
      <c r="E450" t="s">
        <v>9</v>
      </c>
      <c r="F450">
        <v>20.375</v>
      </c>
      <c r="G450" s="1">
        <f>DATE(C450, CHOOSE(MATCH(UPPER(B450), {"ENERO","FEBRERO","MARZO","ABRIL","MAYO","JUNIO","JULIO","AGOSTO","SEPTIEMBRE","OCTUBRE","NOVIEMBRE","DICIEMBRE"}, 0), 1,2,3,4,5,6,7,8,9,10,11,12), A450)</f>
        <v>44735</v>
      </c>
      <c r="H450">
        <v>7.5</v>
      </c>
      <c r="I450">
        <v>48000</v>
      </c>
      <c r="J450" s="1">
        <f t="shared" si="13"/>
        <v>43915</v>
      </c>
      <c r="K450" s="2" t="e">
        <f t="shared" si="12"/>
        <v>#N/A</v>
      </c>
    </row>
    <row r="451" spans="1:11" x14ac:dyDescent="0.25">
      <c r="A451">
        <v>24</v>
      </c>
      <c r="B451" t="s">
        <v>15</v>
      </c>
      <c r="C451">
        <v>2022</v>
      </c>
      <c r="D451">
        <v>20.375</v>
      </c>
      <c r="E451" t="s">
        <v>9</v>
      </c>
      <c r="F451">
        <v>12.75</v>
      </c>
      <c r="G451" s="1">
        <f>DATE(C451, CHOOSE(MATCH(UPPER(B451), {"ENERO","FEBRERO","MARZO","ABRIL","MAYO","JUNIO","JULIO","AGOSTO","SEPTIEMBRE","OCTUBRE","NOVIEMBRE","DICIEMBRE"}, 0), 1,2,3,4,5,6,7,8,9,10,11,12), A451)</f>
        <v>44736</v>
      </c>
      <c r="H451">
        <v>7.625</v>
      </c>
      <c r="I451">
        <v>48000</v>
      </c>
      <c r="J451" s="1">
        <f t="shared" si="13"/>
        <v>43916</v>
      </c>
      <c r="K451" s="2" t="e">
        <f t="shared" ref="K451:K514" si="14">VLOOKUP(J451, G:H, 2, FALSE)</f>
        <v>#N/A</v>
      </c>
    </row>
    <row r="452" spans="1:11" x14ac:dyDescent="0.25">
      <c r="A452">
        <v>25</v>
      </c>
      <c r="B452" t="s">
        <v>15</v>
      </c>
      <c r="C452">
        <v>2022</v>
      </c>
      <c r="D452">
        <v>12.75</v>
      </c>
      <c r="E452">
        <v>50</v>
      </c>
      <c r="F452">
        <v>45.75</v>
      </c>
      <c r="G452" s="1">
        <f>DATE(C452, CHOOSE(MATCH(UPPER(B452), {"ENERO","FEBRERO","MARZO","ABRIL","MAYO","JUNIO","JULIO","AGOSTO","SEPTIEMBRE","OCTUBRE","NOVIEMBRE","DICIEMBRE"}, 0), 1,2,3,4,5,6,7,8,9,10,11,12), A452)</f>
        <v>44737</v>
      </c>
      <c r="H452">
        <v>17</v>
      </c>
      <c r="I452">
        <v>48000</v>
      </c>
      <c r="J452" s="1">
        <f t="shared" si="13"/>
        <v>43917</v>
      </c>
      <c r="K452" s="2" t="e">
        <f t="shared" si="14"/>
        <v>#N/A</v>
      </c>
    </row>
    <row r="453" spans="1:11" x14ac:dyDescent="0.25">
      <c r="A453">
        <v>26</v>
      </c>
      <c r="B453" t="s">
        <v>15</v>
      </c>
      <c r="C453">
        <v>2022</v>
      </c>
      <c r="D453">
        <v>45.75</v>
      </c>
      <c r="E453" t="s">
        <v>9</v>
      </c>
      <c r="F453">
        <v>22</v>
      </c>
      <c r="G453" s="1">
        <f>DATE(C453, CHOOSE(MATCH(UPPER(B453), {"ENERO","FEBRERO","MARZO","ABRIL","MAYO","JUNIO","JULIO","AGOSTO","SEPTIEMBRE","OCTUBRE","NOVIEMBRE","DICIEMBRE"}, 0), 1,2,3,4,5,6,7,8,9,10,11,12), A453)</f>
        <v>44738</v>
      </c>
      <c r="H453">
        <v>23.75</v>
      </c>
      <c r="I453">
        <v>48000</v>
      </c>
      <c r="J453" s="1">
        <f t="shared" ref="J453:J516" si="15">DATE(2019,1,1) + ROW()-1</f>
        <v>43918</v>
      </c>
      <c r="K453" s="2" t="e">
        <f t="shared" si="14"/>
        <v>#N/A</v>
      </c>
    </row>
    <row r="454" spans="1:11" x14ac:dyDescent="0.25">
      <c r="A454">
        <v>27</v>
      </c>
      <c r="B454" t="s">
        <v>15</v>
      </c>
      <c r="C454">
        <v>2022</v>
      </c>
      <c r="D454">
        <v>22</v>
      </c>
      <c r="E454">
        <v>20</v>
      </c>
      <c r="F454">
        <v>29.875</v>
      </c>
      <c r="G454" s="1">
        <f>DATE(C454, CHOOSE(MATCH(UPPER(B454), {"ENERO","FEBRERO","MARZO","ABRIL","MAYO","JUNIO","JULIO","AGOSTO","SEPTIEMBRE","OCTUBRE","NOVIEMBRE","DICIEMBRE"}, 0), 1,2,3,4,5,6,7,8,9,10,11,12), A454)</f>
        <v>44739</v>
      </c>
      <c r="H454">
        <v>12.125</v>
      </c>
      <c r="I454">
        <v>48000</v>
      </c>
      <c r="J454" s="1">
        <f t="shared" si="15"/>
        <v>43919</v>
      </c>
      <c r="K454" s="2" t="e">
        <f t="shared" si="14"/>
        <v>#N/A</v>
      </c>
    </row>
    <row r="455" spans="1:11" x14ac:dyDescent="0.25">
      <c r="A455">
        <v>28</v>
      </c>
      <c r="B455" t="s">
        <v>15</v>
      </c>
      <c r="C455">
        <v>2022</v>
      </c>
      <c r="D455">
        <v>29.875</v>
      </c>
      <c r="E455" t="s">
        <v>9</v>
      </c>
      <c r="F455">
        <v>22.375</v>
      </c>
      <c r="G455" s="1">
        <f>DATE(C455, CHOOSE(MATCH(UPPER(B455), {"ENERO","FEBRERO","MARZO","ABRIL","MAYO","JUNIO","JULIO","AGOSTO","SEPTIEMBRE","OCTUBRE","NOVIEMBRE","DICIEMBRE"}, 0), 1,2,3,4,5,6,7,8,9,10,11,12), A455)</f>
        <v>44740</v>
      </c>
      <c r="H455">
        <v>7.5</v>
      </c>
      <c r="I455">
        <v>48000</v>
      </c>
      <c r="J455" s="1">
        <f t="shared" si="15"/>
        <v>43920</v>
      </c>
      <c r="K455" s="2" t="e">
        <f t="shared" si="14"/>
        <v>#N/A</v>
      </c>
    </row>
    <row r="456" spans="1:11" x14ac:dyDescent="0.25">
      <c r="A456">
        <v>29</v>
      </c>
      <c r="B456" t="s">
        <v>15</v>
      </c>
      <c r="C456">
        <v>2022</v>
      </c>
      <c r="D456">
        <v>22.375</v>
      </c>
      <c r="E456">
        <v>30</v>
      </c>
      <c r="F456">
        <v>43.375</v>
      </c>
      <c r="G456" s="1">
        <f>DATE(C456, CHOOSE(MATCH(UPPER(B456), {"ENERO","FEBRERO","MARZO","ABRIL","MAYO","JUNIO","JULIO","AGOSTO","SEPTIEMBRE","OCTUBRE","NOVIEMBRE","DICIEMBRE"}, 0), 1,2,3,4,5,6,7,8,9,10,11,12), A456)</f>
        <v>44741</v>
      </c>
      <c r="H456">
        <v>9</v>
      </c>
      <c r="I456">
        <v>48000</v>
      </c>
      <c r="J456" s="1">
        <f t="shared" si="15"/>
        <v>43921</v>
      </c>
      <c r="K456" s="2" t="e">
        <f t="shared" si="14"/>
        <v>#N/A</v>
      </c>
    </row>
    <row r="457" spans="1:11" x14ac:dyDescent="0.25">
      <c r="A457">
        <v>30</v>
      </c>
      <c r="B457" t="s">
        <v>9</v>
      </c>
      <c r="C457" t="s">
        <v>9</v>
      </c>
      <c r="D457">
        <v>18</v>
      </c>
      <c r="E457" t="s">
        <v>9</v>
      </c>
      <c r="F457">
        <v>18</v>
      </c>
      <c r="G457" s="1" t="e">
        <f>DATE(C457, CHOOSE(MATCH(UPPER(B457), {"ENERO","FEBRERO","MARZO","ABRIL","MAYO","JUNIO","JULIO","AGOSTO","SEPTIEMBRE","OCTUBRE","NOVIEMBRE","DICIEMBRE"}, 0), 1,2,3,4,5,6,7,8,9,10,11,12), A457)</f>
        <v>#VALUE!</v>
      </c>
      <c r="H457">
        <v>0</v>
      </c>
      <c r="I457">
        <v>6000</v>
      </c>
      <c r="J457" s="1">
        <f t="shared" si="15"/>
        <v>43922</v>
      </c>
      <c r="K457" s="2" t="e">
        <f t="shared" si="14"/>
        <v>#N/A</v>
      </c>
    </row>
    <row r="458" spans="1:11" x14ac:dyDescent="0.25">
      <c r="A458">
        <v>1</v>
      </c>
      <c r="B458" t="s">
        <v>16</v>
      </c>
      <c r="C458">
        <v>2022</v>
      </c>
      <c r="D458">
        <v>23.5</v>
      </c>
      <c r="E458" t="s">
        <v>9</v>
      </c>
      <c r="F458">
        <v>9</v>
      </c>
      <c r="G458" s="1">
        <f>DATE(C458, CHOOSE(MATCH(UPPER(B458), {"ENERO","FEBRERO","MARZO","ABRIL","MAYO","JUNIO","JULIO","AGOSTO","SEPTIEMBRE","OCTUBRE","NOVIEMBRE","DICIEMBRE"}, 0), 1,2,3,4,5,6,7,8,9,10,11,12), A458)</f>
        <v>44743</v>
      </c>
      <c r="H458">
        <v>14.5</v>
      </c>
      <c r="I458">
        <v>48000</v>
      </c>
      <c r="J458" s="1">
        <f t="shared" si="15"/>
        <v>43923</v>
      </c>
      <c r="K458" s="2" t="e">
        <f t="shared" si="14"/>
        <v>#N/A</v>
      </c>
    </row>
    <row r="459" spans="1:11" x14ac:dyDescent="0.25">
      <c r="A459">
        <v>2</v>
      </c>
      <c r="B459" t="s">
        <v>16</v>
      </c>
      <c r="C459">
        <v>2022</v>
      </c>
      <c r="D459">
        <v>9</v>
      </c>
      <c r="E459">
        <v>60</v>
      </c>
      <c r="F459">
        <v>57</v>
      </c>
      <c r="G459" s="1">
        <f>DATE(C459, CHOOSE(MATCH(UPPER(B459), {"ENERO","FEBRERO","MARZO","ABRIL","MAYO","JUNIO","JULIO","AGOSTO","SEPTIEMBRE","OCTUBRE","NOVIEMBRE","DICIEMBRE"}, 0), 1,2,3,4,5,6,7,8,9,10,11,12), A459)</f>
        <v>44744</v>
      </c>
      <c r="H459">
        <v>12</v>
      </c>
      <c r="I459">
        <v>48000</v>
      </c>
      <c r="J459" s="1">
        <f t="shared" si="15"/>
        <v>43924</v>
      </c>
      <c r="K459" s="2" t="e">
        <f t="shared" si="14"/>
        <v>#N/A</v>
      </c>
    </row>
    <row r="460" spans="1:11" x14ac:dyDescent="0.25">
      <c r="A460">
        <v>3</v>
      </c>
      <c r="B460" t="s">
        <v>16</v>
      </c>
      <c r="C460">
        <v>2022</v>
      </c>
      <c r="D460">
        <v>57</v>
      </c>
      <c r="E460" t="s">
        <v>9</v>
      </c>
      <c r="F460">
        <v>40</v>
      </c>
      <c r="G460" s="1">
        <f>DATE(C460, CHOOSE(MATCH(UPPER(B460), {"ENERO","FEBRERO","MARZO","ABRIL","MAYO","JUNIO","JULIO","AGOSTO","SEPTIEMBRE","OCTUBRE","NOVIEMBRE","DICIEMBRE"}, 0), 1,2,3,4,5,6,7,8,9,10,11,12), A460)</f>
        <v>44745</v>
      </c>
      <c r="H460">
        <v>17</v>
      </c>
      <c r="I460">
        <v>48000</v>
      </c>
      <c r="J460" s="1">
        <f t="shared" si="15"/>
        <v>43925</v>
      </c>
      <c r="K460" s="2" t="e">
        <f t="shared" si="14"/>
        <v>#N/A</v>
      </c>
    </row>
    <row r="461" spans="1:11" x14ac:dyDescent="0.25">
      <c r="A461">
        <v>4</v>
      </c>
      <c r="B461" t="s">
        <v>16</v>
      </c>
      <c r="C461">
        <v>2022</v>
      </c>
      <c r="D461">
        <v>40</v>
      </c>
      <c r="E461" t="s">
        <v>9</v>
      </c>
      <c r="F461">
        <v>26.75</v>
      </c>
      <c r="G461" s="1">
        <f>DATE(C461, CHOOSE(MATCH(UPPER(B461), {"ENERO","FEBRERO","MARZO","ABRIL","MAYO","JUNIO","JULIO","AGOSTO","SEPTIEMBRE","OCTUBRE","NOVIEMBRE","DICIEMBRE"}, 0), 1,2,3,4,5,6,7,8,9,10,11,12), A461)</f>
        <v>44746</v>
      </c>
      <c r="H461">
        <v>13.25</v>
      </c>
      <c r="I461">
        <v>48000</v>
      </c>
      <c r="J461" s="1">
        <f t="shared" si="15"/>
        <v>43926</v>
      </c>
      <c r="K461" s="2" t="e">
        <f t="shared" si="14"/>
        <v>#N/A</v>
      </c>
    </row>
    <row r="462" spans="1:11" x14ac:dyDescent="0.25">
      <c r="A462">
        <v>5</v>
      </c>
      <c r="B462" t="s">
        <v>16</v>
      </c>
      <c r="C462">
        <v>2022</v>
      </c>
      <c r="D462">
        <v>26.75</v>
      </c>
      <c r="E462" t="s">
        <v>9</v>
      </c>
      <c r="F462">
        <v>16.625</v>
      </c>
      <c r="G462" s="1">
        <f>DATE(C462, CHOOSE(MATCH(UPPER(B462), {"ENERO","FEBRERO","MARZO","ABRIL","MAYO","JUNIO","JULIO","AGOSTO","SEPTIEMBRE","OCTUBRE","NOVIEMBRE","DICIEMBRE"}, 0), 1,2,3,4,5,6,7,8,9,10,11,12), A462)</f>
        <v>44747</v>
      </c>
      <c r="H462">
        <v>10.125</v>
      </c>
      <c r="I462">
        <v>48000</v>
      </c>
      <c r="J462" s="1">
        <f t="shared" si="15"/>
        <v>43927</v>
      </c>
      <c r="K462" s="2" t="e">
        <f t="shared" si="14"/>
        <v>#N/A</v>
      </c>
    </row>
    <row r="463" spans="1:11" x14ac:dyDescent="0.25">
      <c r="A463">
        <v>6</v>
      </c>
      <c r="B463" t="s">
        <v>16</v>
      </c>
      <c r="C463">
        <v>2022</v>
      </c>
      <c r="D463">
        <v>16.625</v>
      </c>
      <c r="E463">
        <v>50</v>
      </c>
      <c r="F463">
        <v>56.5</v>
      </c>
      <c r="G463" s="1">
        <f>DATE(C463, CHOOSE(MATCH(UPPER(B463), {"ENERO","FEBRERO","MARZO","ABRIL","MAYO","JUNIO","JULIO","AGOSTO","SEPTIEMBRE","OCTUBRE","NOVIEMBRE","DICIEMBRE"}, 0), 1,2,3,4,5,6,7,8,9,10,11,12), A463)</f>
        <v>44748</v>
      </c>
      <c r="H463">
        <v>10.125</v>
      </c>
      <c r="I463">
        <v>48000</v>
      </c>
      <c r="J463" s="1">
        <f t="shared" si="15"/>
        <v>43928</v>
      </c>
      <c r="K463" s="2" t="e">
        <f t="shared" si="14"/>
        <v>#N/A</v>
      </c>
    </row>
    <row r="464" spans="1:11" x14ac:dyDescent="0.25">
      <c r="A464">
        <v>7</v>
      </c>
      <c r="B464" t="s">
        <v>16</v>
      </c>
      <c r="C464">
        <v>2022</v>
      </c>
      <c r="D464">
        <v>56.5</v>
      </c>
      <c r="E464" t="s">
        <v>9</v>
      </c>
      <c r="F464">
        <v>48.125</v>
      </c>
      <c r="G464" s="1">
        <f>DATE(C464, CHOOSE(MATCH(UPPER(B464), {"ENERO","FEBRERO","MARZO","ABRIL","MAYO","JUNIO","JULIO","AGOSTO","SEPTIEMBRE","OCTUBRE","NOVIEMBRE","DICIEMBRE"}, 0), 1,2,3,4,5,6,7,8,9,10,11,12), A464)</f>
        <v>44749</v>
      </c>
      <c r="H464">
        <v>8.375</v>
      </c>
      <c r="I464">
        <v>48000</v>
      </c>
      <c r="J464" s="1">
        <f t="shared" si="15"/>
        <v>43929</v>
      </c>
      <c r="K464" s="2" t="e">
        <f t="shared" si="14"/>
        <v>#N/A</v>
      </c>
    </row>
    <row r="465" spans="1:11" x14ac:dyDescent="0.25">
      <c r="A465">
        <v>8</v>
      </c>
      <c r="B465" t="s">
        <v>16</v>
      </c>
      <c r="C465">
        <v>2022</v>
      </c>
      <c r="D465">
        <v>48.125</v>
      </c>
      <c r="E465" t="s">
        <v>9</v>
      </c>
      <c r="F465">
        <v>38.875</v>
      </c>
      <c r="G465" s="1">
        <f>DATE(C465, CHOOSE(MATCH(UPPER(B465), {"ENERO","FEBRERO","MARZO","ABRIL","MAYO","JUNIO","JULIO","AGOSTO","SEPTIEMBRE","OCTUBRE","NOVIEMBRE","DICIEMBRE"}, 0), 1,2,3,4,5,6,7,8,9,10,11,12), A465)</f>
        <v>44750</v>
      </c>
      <c r="H465">
        <v>9.25</v>
      </c>
      <c r="I465">
        <v>48000</v>
      </c>
      <c r="J465" s="1">
        <f t="shared" si="15"/>
        <v>43930</v>
      </c>
      <c r="K465" s="2" t="e">
        <f t="shared" si="14"/>
        <v>#N/A</v>
      </c>
    </row>
    <row r="466" spans="1:11" x14ac:dyDescent="0.25">
      <c r="A466">
        <v>9</v>
      </c>
      <c r="B466" t="s">
        <v>16</v>
      </c>
      <c r="C466">
        <v>2022</v>
      </c>
      <c r="D466">
        <v>38.875</v>
      </c>
      <c r="E466" t="s">
        <v>9</v>
      </c>
      <c r="F466">
        <v>27.125</v>
      </c>
      <c r="G466" s="1">
        <f>DATE(C466, CHOOSE(MATCH(UPPER(B466), {"ENERO","FEBRERO","MARZO","ABRIL","MAYO","JUNIO","JULIO","AGOSTO","SEPTIEMBRE","OCTUBRE","NOVIEMBRE","DICIEMBRE"}, 0), 1,2,3,4,5,6,7,8,9,10,11,12), A466)</f>
        <v>44751</v>
      </c>
      <c r="H466">
        <v>11.75</v>
      </c>
      <c r="I466">
        <v>48000</v>
      </c>
      <c r="J466" s="1">
        <f t="shared" si="15"/>
        <v>43931</v>
      </c>
      <c r="K466" s="2" t="e">
        <f t="shared" si="14"/>
        <v>#N/A</v>
      </c>
    </row>
    <row r="467" spans="1:11" x14ac:dyDescent="0.25">
      <c r="A467">
        <v>10</v>
      </c>
      <c r="B467" t="s">
        <v>16</v>
      </c>
      <c r="C467">
        <v>2022</v>
      </c>
      <c r="D467">
        <v>27.125</v>
      </c>
      <c r="E467" t="s">
        <v>9</v>
      </c>
      <c r="F467">
        <v>10.375</v>
      </c>
      <c r="G467" s="1">
        <f>DATE(C467, CHOOSE(MATCH(UPPER(B467), {"ENERO","FEBRERO","MARZO","ABRIL","MAYO","JUNIO","JULIO","AGOSTO","SEPTIEMBRE","OCTUBRE","NOVIEMBRE","DICIEMBRE"}, 0), 1,2,3,4,5,6,7,8,9,10,11,12), A467)</f>
        <v>44752</v>
      </c>
      <c r="H467">
        <v>16.75</v>
      </c>
      <c r="I467">
        <v>48000</v>
      </c>
      <c r="J467" s="1">
        <f t="shared" si="15"/>
        <v>43932</v>
      </c>
      <c r="K467" s="2" t="e">
        <f t="shared" si="14"/>
        <v>#N/A</v>
      </c>
    </row>
    <row r="468" spans="1:11" x14ac:dyDescent="0.25">
      <c r="A468">
        <v>11</v>
      </c>
      <c r="B468" t="s">
        <v>16</v>
      </c>
      <c r="C468">
        <v>2022</v>
      </c>
      <c r="D468">
        <v>10.375</v>
      </c>
      <c r="E468">
        <v>50</v>
      </c>
      <c r="F468">
        <v>54</v>
      </c>
      <c r="G468" s="1">
        <f>DATE(C468, CHOOSE(MATCH(UPPER(B468), {"ENERO","FEBRERO","MARZO","ABRIL","MAYO","JUNIO","JULIO","AGOSTO","SEPTIEMBRE","OCTUBRE","NOVIEMBRE","DICIEMBRE"}, 0), 1,2,3,4,5,6,7,8,9,10,11,12), A468)</f>
        <v>44753</v>
      </c>
      <c r="H468">
        <v>6.375</v>
      </c>
      <c r="I468">
        <v>48000</v>
      </c>
      <c r="J468" s="1">
        <f t="shared" si="15"/>
        <v>43933</v>
      </c>
      <c r="K468" s="2" t="e">
        <f t="shared" si="14"/>
        <v>#N/A</v>
      </c>
    </row>
    <row r="469" spans="1:11" x14ac:dyDescent="0.25">
      <c r="A469">
        <v>12</v>
      </c>
      <c r="B469" t="s">
        <v>16</v>
      </c>
      <c r="C469">
        <v>2022</v>
      </c>
      <c r="D469">
        <v>54</v>
      </c>
      <c r="E469" t="s">
        <v>9</v>
      </c>
      <c r="F469">
        <v>47.75</v>
      </c>
      <c r="G469" s="1">
        <f>DATE(C469, CHOOSE(MATCH(UPPER(B469), {"ENERO","FEBRERO","MARZO","ABRIL","MAYO","JUNIO","JULIO","AGOSTO","SEPTIEMBRE","OCTUBRE","NOVIEMBRE","DICIEMBRE"}, 0), 1,2,3,4,5,6,7,8,9,10,11,12), A469)</f>
        <v>44754</v>
      </c>
      <c r="H469">
        <v>6.25</v>
      </c>
      <c r="I469">
        <v>48000</v>
      </c>
      <c r="J469" s="1">
        <f t="shared" si="15"/>
        <v>43934</v>
      </c>
      <c r="K469" s="2" t="e">
        <f t="shared" si="14"/>
        <v>#N/A</v>
      </c>
    </row>
    <row r="470" spans="1:11" x14ac:dyDescent="0.25">
      <c r="A470">
        <v>13</v>
      </c>
      <c r="B470" t="s">
        <v>16</v>
      </c>
      <c r="C470">
        <v>2022</v>
      </c>
      <c r="D470">
        <v>47.75</v>
      </c>
      <c r="E470" t="s">
        <v>9</v>
      </c>
      <c r="F470">
        <v>38.75</v>
      </c>
      <c r="G470" s="1">
        <f>DATE(C470, CHOOSE(MATCH(UPPER(B470), {"ENERO","FEBRERO","MARZO","ABRIL","MAYO","JUNIO","JULIO","AGOSTO","SEPTIEMBRE","OCTUBRE","NOVIEMBRE","DICIEMBRE"}, 0), 1,2,3,4,5,6,7,8,9,10,11,12), A470)</f>
        <v>44755</v>
      </c>
      <c r="H470">
        <v>9</v>
      </c>
      <c r="I470">
        <v>48000</v>
      </c>
      <c r="J470" s="1">
        <f t="shared" si="15"/>
        <v>43935</v>
      </c>
      <c r="K470" s="2" t="e">
        <f t="shared" si="14"/>
        <v>#N/A</v>
      </c>
    </row>
    <row r="471" spans="1:11" x14ac:dyDescent="0.25">
      <c r="A471">
        <v>14</v>
      </c>
      <c r="B471" t="s">
        <v>16</v>
      </c>
      <c r="C471">
        <v>2022</v>
      </c>
      <c r="D471">
        <v>38.75</v>
      </c>
      <c r="E471" t="s">
        <v>9</v>
      </c>
      <c r="F471">
        <v>32.75</v>
      </c>
      <c r="G471" s="1">
        <f>DATE(C471, CHOOSE(MATCH(UPPER(B471), {"ENERO","FEBRERO","MARZO","ABRIL","MAYO","JUNIO","JULIO","AGOSTO","SEPTIEMBRE","OCTUBRE","NOVIEMBRE","DICIEMBRE"}, 0), 1,2,3,4,5,6,7,8,9,10,11,12), A471)</f>
        <v>44756</v>
      </c>
      <c r="H471">
        <v>6</v>
      </c>
      <c r="I471">
        <v>48000</v>
      </c>
      <c r="J471" s="1">
        <f t="shared" si="15"/>
        <v>43936</v>
      </c>
      <c r="K471" s="2" t="e">
        <f t="shared" si="14"/>
        <v>#N/A</v>
      </c>
    </row>
    <row r="472" spans="1:11" x14ac:dyDescent="0.25">
      <c r="A472">
        <v>15</v>
      </c>
      <c r="B472" t="s">
        <v>16</v>
      </c>
      <c r="C472">
        <v>2022</v>
      </c>
      <c r="D472">
        <v>32.75</v>
      </c>
      <c r="E472" t="s">
        <v>9</v>
      </c>
      <c r="F472">
        <v>21.25</v>
      </c>
      <c r="G472" s="1">
        <f>DATE(C472, CHOOSE(MATCH(UPPER(B472), {"ENERO","FEBRERO","MARZO","ABRIL","MAYO","JUNIO","JULIO","AGOSTO","SEPTIEMBRE","OCTUBRE","NOVIEMBRE","DICIEMBRE"}, 0), 1,2,3,4,5,6,7,8,9,10,11,12), A472)</f>
        <v>44757</v>
      </c>
      <c r="H472">
        <v>11.5</v>
      </c>
      <c r="I472">
        <v>48000</v>
      </c>
      <c r="J472" s="1">
        <f t="shared" si="15"/>
        <v>43937</v>
      </c>
      <c r="K472" s="2" t="e">
        <f t="shared" si="14"/>
        <v>#N/A</v>
      </c>
    </row>
    <row r="473" spans="1:11" x14ac:dyDescent="0.25">
      <c r="A473">
        <v>16</v>
      </c>
      <c r="B473" t="s">
        <v>16</v>
      </c>
      <c r="C473">
        <v>2022</v>
      </c>
      <c r="D473">
        <v>21.25</v>
      </c>
      <c r="E473" t="s">
        <v>9</v>
      </c>
      <c r="F473">
        <v>6.5</v>
      </c>
      <c r="G473" s="1">
        <f>DATE(C473, CHOOSE(MATCH(UPPER(B473), {"ENERO","FEBRERO","MARZO","ABRIL","MAYO","JUNIO","JULIO","AGOSTO","SEPTIEMBRE","OCTUBRE","NOVIEMBRE","DICIEMBRE"}, 0), 1,2,3,4,5,6,7,8,9,10,11,12), A473)</f>
        <v>44758</v>
      </c>
      <c r="H473">
        <v>14.75</v>
      </c>
      <c r="I473">
        <v>48000</v>
      </c>
      <c r="J473" s="1">
        <f t="shared" si="15"/>
        <v>43938</v>
      </c>
      <c r="K473" s="2" t="e">
        <f t="shared" si="14"/>
        <v>#N/A</v>
      </c>
    </row>
    <row r="474" spans="1:11" x14ac:dyDescent="0.25">
      <c r="A474">
        <v>17</v>
      </c>
      <c r="B474" t="s">
        <v>16</v>
      </c>
      <c r="C474">
        <v>2022</v>
      </c>
      <c r="D474">
        <v>6.5</v>
      </c>
      <c r="E474">
        <v>60</v>
      </c>
      <c r="F474">
        <v>49.25</v>
      </c>
      <c r="G474" s="1">
        <f>DATE(C474, CHOOSE(MATCH(UPPER(B474), {"ENERO","FEBRERO","MARZO","ABRIL","MAYO","JUNIO","JULIO","AGOSTO","SEPTIEMBRE","OCTUBRE","NOVIEMBRE","DICIEMBRE"}, 0), 1,2,3,4,5,6,7,8,9,10,11,12), A474)</f>
        <v>44759</v>
      </c>
      <c r="H474">
        <v>17.25</v>
      </c>
      <c r="I474">
        <v>48000</v>
      </c>
      <c r="J474" s="1">
        <f t="shared" si="15"/>
        <v>43939</v>
      </c>
      <c r="K474" s="2" t="e">
        <f t="shared" si="14"/>
        <v>#N/A</v>
      </c>
    </row>
    <row r="475" spans="1:11" x14ac:dyDescent="0.25">
      <c r="A475">
        <v>18</v>
      </c>
      <c r="B475" t="s">
        <v>16</v>
      </c>
      <c r="C475">
        <v>2022</v>
      </c>
      <c r="D475">
        <v>49.25</v>
      </c>
      <c r="E475" t="s">
        <v>9</v>
      </c>
      <c r="F475">
        <v>42</v>
      </c>
      <c r="G475" s="1">
        <f>DATE(C475, CHOOSE(MATCH(UPPER(B475), {"ENERO","FEBRERO","MARZO","ABRIL","MAYO","JUNIO","JULIO","AGOSTO","SEPTIEMBRE","OCTUBRE","NOVIEMBRE","DICIEMBRE"}, 0), 1,2,3,4,5,6,7,8,9,10,11,12), A475)</f>
        <v>44760</v>
      </c>
      <c r="H475">
        <v>7.25</v>
      </c>
      <c r="I475">
        <v>48000</v>
      </c>
      <c r="J475" s="1">
        <f t="shared" si="15"/>
        <v>43940</v>
      </c>
      <c r="K475" s="2" t="e">
        <f t="shared" si="14"/>
        <v>#N/A</v>
      </c>
    </row>
    <row r="476" spans="1:11" x14ac:dyDescent="0.25">
      <c r="A476">
        <v>19</v>
      </c>
      <c r="B476" t="s">
        <v>16</v>
      </c>
      <c r="C476">
        <v>2022</v>
      </c>
      <c r="D476">
        <v>42</v>
      </c>
      <c r="E476" t="s">
        <v>9</v>
      </c>
      <c r="F476">
        <v>36.125</v>
      </c>
      <c r="G476" s="1">
        <f>DATE(C476, CHOOSE(MATCH(UPPER(B476), {"ENERO","FEBRERO","MARZO","ABRIL","MAYO","JUNIO","JULIO","AGOSTO","SEPTIEMBRE","OCTUBRE","NOVIEMBRE","DICIEMBRE"}, 0), 1,2,3,4,5,6,7,8,9,10,11,12), A476)</f>
        <v>44761</v>
      </c>
      <c r="H476">
        <v>5.875</v>
      </c>
      <c r="I476">
        <v>48000</v>
      </c>
      <c r="J476" s="1">
        <f t="shared" si="15"/>
        <v>43941</v>
      </c>
      <c r="K476" s="2" t="e">
        <f t="shared" si="14"/>
        <v>#N/A</v>
      </c>
    </row>
    <row r="477" spans="1:11" x14ac:dyDescent="0.25">
      <c r="A477">
        <v>20</v>
      </c>
      <c r="B477" t="s">
        <v>16</v>
      </c>
      <c r="C477">
        <v>2022</v>
      </c>
      <c r="D477">
        <v>36.125</v>
      </c>
      <c r="E477" t="s">
        <v>9</v>
      </c>
      <c r="F477">
        <v>27.75</v>
      </c>
      <c r="G477" s="1">
        <f>DATE(C477, CHOOSE(MATCH(UPPER(B477), {"ENERO","FEBRERO","MARZO","ABRIL","MAYO","JUNIO","JULIO","AGOSTO","SEPTIEMBRE","OCTUBRE","NOVIEMBRE","DICIEMBRE"}, 0), 1,2,3,4,5,6,7,8,9,10,11,12), A477)</f>
        <v>44762</v>
      </c>
      <c r="H477">
        <v>8.375</v>
      </c>
      <c r="I477">
        <v>48000</v>
      </c>
      <c r="J477" s="1">
        <f t="shared" si="15"/>
        <v>43942</v>
      </c>
      <c r="K477" s="2" t="e">
        <f t="shared" si="14"/>
        <v>#N/A</v>
      </c>
    </row>
    <row r="478" spans="1:11" x14ac:dyDescent="0.25">
      <c r="A478">
        <v>21</v>
      </c>
      <c r="B478" t="s">
        <v>16</v>
      </c>
      <c r="C478">
        <v>2022</v>
      </c>
      <c r="D478">
        <v>27.75</v>
      </c>
      <c r="E478" t="s">
        <v>9</v>
      </c>
      <c r="F478">
        <v>21.25</v>
      </c>
      <c r="G478" s="1">
        <f>DATE(C478, CHOOSE(MATCH(UPPER(B478), {"ENERO","FEBRERO","MARZO","ABRIL","MAYO","JUNIO","JULIO","AGOSTO","SEPTIEMBRE","OCTUBRE","NOVIEMBRE","DICIEMBRE"}, 0), 1,2,3,4,5,6,7,8,9,10,11,12), A478)</f>
        <v>44763</v>
      </c>
      <c r="H478">
        <v>6.5</v>
      </c>
      <c r="I478">
        <v>48000</v>
      </c>
      <c r="J478" s="1">
        <f t="shared" si="15"/>
        <v>43943</v>
      </c>
      <c r="K478" s="2" t="e">
        <f t="shared" si="14"/>
        <v>#N/A</v>
      </c>
    </row>
    <row r="479" spans="1:11" x14ac:dyDescent="0.25">
      <c r="A479">
        <v>22</v>
      </c>
      <c r="B479" t="s">
        <v>16</v>
      </c>
      <c r="C479">
        <v>2022</v>
      </c>
      <c r="D479">
        <v>21.25</v>
      </c>
      <c r="E479">
        <v>30</v>
      </c>
      <c r="F479">
        <v>37.875</v>
      </c>
      <c r="G479" s="1">
        <f>DATE(C479, CHOOSE(MATCH(UPPER(B479), {"ENERO","FEBRERO","MARZO","ABRIL","MAYO","JUNIO","JULIO","AGOSTO","SEPTIEMBRE","OCTUBRE","NOVIEMBRE","DICIEMBRE"}, 0), 1,2,3,4,5,6,7,8,9,10,11,12), A479)</f>
        <v>44764</v>
      </c>
      <c r="H479">
        <v>13.375</v>
      </c>
      <c r="I479">
        <v>48000</v>
      </c>
      <c r="J479" s="1">
        <f t="shared" si="15"/>
        <v>43944</v>
      </c>
      <c r="K479" s="2" t="e">
        <f t="shared" si="14"/>
        <v>#N/A</v>
      </c>
    </row>
    <row r="480" spans="1:11" x14ac:dyDescent="0.25">
      <c r="A480">
        <v>23</v>
      </c>
      <c r="B480" t="s">
        <v>16</v>
      </c>
      <c r="C480">
        <v>2022</v>
      </c>
      <c r="D480">
        <v>37.875</v>
      </c>
      <c r="E480" t="s">
        <v>9</v>
      </c>
      <c r="F480">
        <v>20</v>
      </c>
      <c r="G480" s="1">
        <f>DATE(C480, CHOOSE(MATCH(UPPER(B480), {"ENERO","FEBRERO","MARZO","ABRIL","MAYO","JUNIO","JULIO","AGOSTO","SEPTIEMBRE","OCTUBRE","NOVIEMBRE","DICIEMBRE"}, 0), 1,2,3,4,5,6,7,8,9,10,11,12), A480)</f>
        <v>44765</v>
      </c>
      <c r="H480">
        <v>17.875</v>
      </c>
      <c r="I480">
        <v>48000</v>
      </c>
      <c r="J480" s="1">
        <f t="shared" si="15"/>
        <v>43945</v>
      </c>
      <c r="K480" s="2" t="e">
        <f t="shared" si="14"/>
        <v>#N/A</v>
      </c>
    </row>
    <row r="481" spans="1:11" x14ac:dyDescent="0.25">
      <c r="A481">
        <v>24</v>
      </c>
      <c r="B481" t="s">
        <v>16</v>
      </c>
      <c r="C481">
        <v>2022</v>
      </c>
      <c r="D481">
        <v>20</v>
      </c>
      <c r="E481">
        <v>20</v>
      </c>
      <c r="F481">
        <v>24.25</v>
      </c>
      <c r="G481" s="1">
        <f>DATE(C481, CHOOSE(MATCH(UPPER(B481), {"ENERO","FEBRERO","MARZO","ABRIL","MAYO","JUNIO","JULIO","AGOSTO","SEPTIEMBRE","OCTUBRE","NOVIEMBRE","DICIEMBRE"}, 0), 1,2,3,4,5,6,7,8,9,10,11,12), A481)</f>
        <v>44766</v>
      </c>
      <c r="H481">
        <v>15.75</v>
      </c>
      <c r="I481">
        <v>48000</v>
      </c>
      <c r="J481" s="1">
        <f t="shared" si="15"/>
        <v>43946</v>
      </c>
      <c r="K481" s="2" t="e">
        <f t="shared" si="14"/>
        <v>#N/A</v>
      </c>
    </row>
    <row r="482" spans="1:11" x14ac:dyDescent="0.25">
      <c r="A482">
        <v>25</v>
      </c>
      <c r="B482" t="s">
        <v>16</v>
      </c>
      <c r="C482">
        <v>2022</v>
      </c>
      <c r="D482">
        <v>24.25</v>
      </c>
      <c r="E482" t="s">
        <v>9</v>
      </c>
      <c r="F482">
        <v>15.125</v>
      </c>
      <c r="G482" s="1">
        <f>DATE(C482, CHOOSE(MATCH(UPPER(B482), {"ENERO","FEBRERO","MARZO","ABRIL","MAYO","JUNIO","JULIO","AGOSTO","SEPTIEMBRE","OCTUBRE","NOVIEMBRE","DICIEMBRE"}, 0), 1,2,3,4,5,6,7,8,9,10,11,12), A482)</f>
        <v>44767</v>
      </c>
      <c r="H482">
        <v>9.125</v>
      </c>
      <c r="I482">
        <v>48000</v>
      </c>
      <c r="J482" s="1">
        <f t="shared" si="15"/>
        <v>43947</v>
      </c>
      <c r="K482" s="2" t="e">
        <f t="shared" si="14"/>
        <v>#N/A</v>
      </c>
    </row>
    <row r="483" spans="1:11" x14ac:dyDescent="0.25">
      <c r="A483">
        <v>26</v>
      </c>
      <c r="B483" t="s">
        <v>16</v>
      </c>
      <c r="C483">
        <v>2022</v>
      </c>
      <c r="D483">
        <v>15.125</v>
      </c>
      <c r="E483">
        <v>20</v>
      </c>
      <c r="F483">
        <v>25.5</v>
      </c>
      <c r="G483" s="1">
        <f>DATE(C483, CHOOSE(MATCH(UPPER(B483), {"ENERO","FEBRERO","MARZO","ABRIL","MAYO","JUNIO","JULIO","AGOSTO","SEPTIEMBRE","OCTUBRE","NOVIEMBRE","DICIEMBRE"}, 0), 1,2,3,4,5,6,7,8,9,10,11,12), A483)</f>
        <v>44768</v>
      </c>
      <c r="H483">
        <v>9.625</v>
      </c>
      <c r="I483">
        <v>48000</v>
      </c>
      <c r="J483" s="1">
        <f t="shared" si="15"/>
        <v>43948</v>
      </c>
      <c r="K483" s="2" t="e">
        <f t="shared" si="14"/>
        <v>#N/A</v>
      </c>
    </row>
    <row r="484" spans="1:11" x14ac:dyDescent="0.25">
      <c r="A484">
        <v>27</v>
      </c>
      <c r="B484" t="s">
        <v>16</v>
      </c>
      <c r="C484">
        <v>2022</v>
      </c>
      <c r="D484">
        <v>25.5</v>
      </c>
      <c r="E484" t="s">
        <v>9</v>
      </c>
      <c r="F484">
        <v>16.375</v>
      </c>
      <c r="G484" s="1">
        <f>DATE(C484, CHOOSE(MATCH(UPPER(B484), {"ENERO","FEBRERO","MARZO","ABRIL","MAYO","JUNIO","JULIO","AGOSTO","SEPTIEMBRE","OCTUBRE","NOVIEMBRE","DICIEMBRE"}, 0), 1,2,3,4,5,6,7,8,9,10,11,12), A484)</f>
        <v>44769</v>
      </c>
      <c r="H484">
        <v>9.125</v>
      </c>
      <c r="I484">
        <v>48000</v>
      </c>
      <c r="J484" s="1">
        <f t="shared" si="15"/>
        <v>43949</v>
      </c>
      <c r="K484" s="2" t="e">
        <f t="shared" si="14"/>
        <v>#N/A</v>
      </c>
    </row>
    <row r="485" spans="1:11" x14ac:dyDescent="0.25">
      <c r="A485">
        <v>28</v>
      </c>
      <c r="B485" t="s">
        <v>16</v>
      </c>
      <c r="C485">
        <v>2022</v>
      </c>
      <c r="D485">
        <v>16.375</v>
      </c>
      <c r="E485" t="s">
        <v>9</v>
      </c>
      <c r="F485">
        <v>5.5</v>
      </c>
      <c r="G485" s="1">
        <f>DATE(C485, CHOOSE(MATCH(UPPER(B485), {"ENERO","FEBRERO","MARZO","ABRIL","MAYO","JUNIO","JULIO","AGOSTO","SEPTIEMBRE","OCTUBRE","NOVIEMBRE","DICIEMBRE"}, 0), 1,2,3,4,5,6,7,8,9,10,11,12), A485)</f>
        <v>44770</v>
      </c>
      <c r="H485">
        <v>10.875</v>
      </c>
      <c r="I485">
        <v>48000</v>
      </c>
      <c r="J485" s="1">
        <f t="shared" si="15"/>
        <v>43950</v>
      </c>
      <c r="K485" s="2" t="e">
        <f t="shared" si="14"/>
        <v>#N/A</v>
      </c>
    </row>
    <row r="486" spans="1:11" x14ac:dyDescent="0.25">
      <c r="A486">
        <v>29</v>
      </c>
      <c r="B486" t="s">
        <v>16</v>
      </c>
      <c r="C486">
        <v>2022</v>
      </c>
      <c r="D486">
        <v>5.5</v>
      </c>
      <c r="E486">
        <v>60</v>
      </c>
      <c r="F486">
        <v>55.875</v>
      </c>
      <c r="G486" s="1">
        <f>DATE(C486, CHOOSE(MATCH(UPPER(B486), {"ENERO","FEBRERO","MARZO","ABRIL","MAYO","JUNIO","JULIO","AGOSTO","SEPTIEMBRE","OCTUBRE","NOVIEMBRE","DICIEMBRE"}, 0), 1,2,3,4,5,6,7,8,9,10,11,12), A486)</f>
        <v>44771</v>
      </c>
      <c r="H486">
        <v>9.625</v>
      </c>
      <c r="I486">
        <v>48000</v>
      </c>
      <c r="J486" s="1">
        <f t="shared" si="15"/>
        <v>43951</v>
      </c>
      <c r="K486" s="2" t="e">
        <f t="shared" si="14"/>
        <v>#N/A</v>
      </c>
    </row>
    <row r="487" spans="1:11" x14ac:dyDescent="0.25">
      <c r="A487">
        <v>30</v>
      </c>
      <c r="B487" t="s">
        <v>16</v>
      </c>
      <c r="C487">
        <v>2022</v>
      </c>
      <c r="D487">
        <v>55.875</v>
      </c>
      <c r="E487" t="s">
        <v>9</v>
      </c>
      <c r="F487">
        <v>38.5</v>
      </c>
      <c r="G487" s="1">
        <f>DATE(C487, CHOOSE(MATCH(UPPER(B487), {"ENERO","FEBRERO","MARZO","ABRIL","MAYO","JUNIO","JULIO","AGOSTO","SEPTIEMBRE","OCTUBRE","NOVIEMBRE","DICIEMBRE"}, 0), 1,2,3,4,5,6,7,8,9,10,11,12), A487)</f>
        <v>44772</v>
      </c>
      <c r="H487">
        <v>17.375</v>
      </c>
      <c r="I487">
        <v>48000</v>
      </c>
      <c r="J487" s="1">
        <f t="shared" si="15"/>
        <v>43952</v>
      </c>
      <c r="K487" s="2" t="e">
        <f t="shared" si="14"/>
        <v>#N/A</v>
      </c>
    </row>
    <row r="488" spans="1:11" x14ac:dyDescent="0.25">
      <c r="A488">
        <v>31</v>
      </c>
      <c r="B488" t="s">
        <v>16</v>
      </c>
      <c r="C488">
        <v>2022</v>
      </c>
      <c r="D488">
        <v>38.5</v>
      </c>
      <c r="E488" t="s">
        <v>9</v>
      </c>
      <c r="F488">
        <v>22.5</v>
      </c>
      <c r="G488" s="1">
        <f>DATE(C488, CHOOSE(MATCH(UPPER(B488), {"ENERO","FEBRERO","MARZO","ABRIL","MAYO","JUNIO","JULIO","AGOSTO","SEPTIEMBRE","OCTUBRE","NOVIEMBRE","DICIEMBRE"}, 0), 1,2,3,4,5,6,7,8,9,10,11,12), A488)</f>
        <v>44773</v>
      </c>
      <c r="H488">
        <v>16</v>
      </c>
      <c r="I488">
        <v>48000</v>
      </c>
      <c r="J488" s="1">
        <f t="shared" si="15"/>
        <v>43953</v>
      </c>
      <c r="K488" s="2" t="e">
        <f t="shared" si="14"/>
        <v>#N/A</v>
      </c>
    </row>
    <row r="489" spans="1:11" x14ac:dyDescent="0.25">
      <c r="A489">
        <v>1</v>
      </c>
      <c r="B489" t="s">
        <v>17</v>
      </c>
      <c r="C489">
        <v>2022</v>
      </c>
      <c r="D489">
        <v>22.5</v>
      </c>
      <c r="E489">
        <v>50</v>
      </c>
      <c r="F489">
        <v>66</v>
      </c>
      <c r="G489" s="1">
        <f>DATE(C489, CHOOSE(MATCH(UPPER(B489), {"ENERO","FEBRERO","MARZO","ABRIL","MAYO","JUNIO","JULIO","AGOSTO","SEPTIEMBRE","OCTUBRE","NOVIEMBRE","DICIEMBRE"}, 0), 1,2,3,4,5,6,7,8,9,10,11,12), A489)</f>
        <v>44774</v>
      </c>
      <c r="H489">
        <v>6.5</v>
      </c>
      <c r="I489">
        <v>48000</v>
      </c>
      <c r="J489" s="1">
        <f t="shared" si="15"/>
        <v>43954</v>
      </c>
      <c r="K489" s="2" t="e">
        <f t="shared" si="14"/>
        <v>#N/A</v>
      </c>
    </row>
    <row r="490" spans="1:11" x14ac:dyDescent="0.25">
      <c r="A490">
        <v>2</v>
      </c>
      <c r="B490" t="s">
        <v>17</v>
      </c>
      <c r="C490">
        <v>2022</v>
      </c>
      <c r="D490">
        <v>66</v>
      </c>
      <c r="E490" t="s">
        <v>9</v>
      </c>
      <c r="F490">
        <v>56.75</v>
      </c>
      <c r="G490" s="1">
        <f>DATE(C490, CHOOSE(MATCH(UPPER(B490), {"ENERO","FEBRERO","MARZO","ABRIL","MAYO","JUNIO","JULIO","AGOSTO","SEPTIEMBRE","OCTUBRE","NOVIEMBRE","DICIEMBRE"}, 0), 1,2,3,4,5,6,7,8,9,10,11,12), A490)</f>
        <v>44775</v>
      </c>
      <c r="H490">
        <v>9.25</v>
      </c>
      <c r="I490">
        <v>48000</v>
      </c>
      <c r="J490" s="1">
        <f t="shared" si="15"/>
        <v>43955</v>
      </c>
      <c r="K490" s="2" t="e">
        <f t="shared" si="14"/>
        <v>#N/A</v>
      </c>
    </row>
    <row r="491" spans="1:11" x14ac:dyDescent="0.25">
      <c r="A491">
        <v>3</v>
      </c>
      <c r="B491" t="s">
        <v>17</v>
      </c>
      <c r="C491">
        <v>2022</v>
      </c>
      <c r="D491">
        <v>56.75</v>
      </c>
      <c r="E491" t="s">
        <v>9</v>
      </c>
      <c r="F491">
        <v>47.5</v>
      </c>
      <c r="G491" s="1">
        <f>DATE(C491, CHOOSE(MATCH(UPPER(B491), {"ENERO","FEBRERO","MARZO","ABRIL","MAYO","JUNIO","JULIO","AGOSTO","SEPTIEMBRE","OCTUBRE","NOVIEMBRE","DICIEMBRE"}, 0), 1,2,3,4,5,6,7,8,9,10,11,12), A491)</f>
        <v>44776</v>
      </c>
      <c r="H491">
        <v>9.25</v>
      </c>
      <c r="I491">
        <v>48000</v>
      </c>
      <c r="J491" s="1">
        <f t="shared" si="15"/>
        <v>43956</v>
      </c>
      <c r="K491" s="2" t="e">
        <f t="shared" si="14"/>
        <v>#N/A</v>
      </c>
    </row>
    <row r="492" spans="1:11" x14ac:dyDescent="0.25">
      <c r="A492">
        <v>4</v>
      </c>
      <c r="B492" t="s">
        <v>17</v>
      </c>
      <c r="C492">
        <v>2022</v>
      </c>
      <c r="D492">
        <v>47.5</v>
      </c>
      <c r="E492" t="s">
        <v>9</v>
      </c>
      <c r="F492">
        <v>39.375</v>
      </c>
      <c r="G492" s="1">
        <f>DATE(C492, CHOOSE(MATCH(UPPER(B492), {"ENERO","FEBRERO","MARZO","ABRIL","MAYO","JUNIO","JULIO","AGOSTO","SEPTIEMBRE","OCTUBRE","NOVIEMBRE","DICIEMBRE"}, 0), 1,2,3,4,5,6,7,8,9,10,11,12), A492)</f>
        <v>44777</v>
      </c>
      <c r="H492">
        <v>8.125</v>
      </c>
      <c r="I492">
        <v>48000</v>
      </c>
      <c r="J492" s="1">
        <f t="shared" si="15"/>
        <v>43957</v>
      </c>
      <c r="K492" s="2" t="e">
        <f t="shared" si="14"/>
        <v>#N/A</v>
      </c>
    </row>
    <row r="493" spans="1:11" x14ac:dyDescent="0.25">
      <c r="A493">
        <v>5</v>
      </c>
      <c r="B493" t="s">
        <v>17</v>
      </c>
      <c r="C493">
        <v>2022</v>
      </c>
      <c r="D493">
        <v>39.375</v>
      </c>
      <c r="E493" t="s">
        <v>9</v>
      </c>
      <c r="F493">
        <v>30</v>
      </c>
      <c r="G493" s="1">
        <f>DATE(C493, CHOOSE(MATCH(UPPER(B493), {"ENERO","FEBRERO","MARZO","ABRIL","MAYO","JUNIO","JULIO","AGOSTO","SEPTIEMBRE","OCTUBRE","NOVIEMBRE","DICIEMBRE"}, 0), 1,2,3,4,5,6,7,8,9,10,11,12), A493)</f>
        <v>44778</v>
      </c>
      <c r="H493">
        <v>9.375</v>
      </c>
      <c r="I493">
        <v>48000</v>
      </c>
      <c r="J493" s="1">
        <f t="shared" si="15"/>
        <v>43958</v>
      </c>
      <c r="K493" s="2" t="e">
        <f t="shared" si="14"/>
        <v>#N/A</v>
      </c>
    </row>
    <row r="494" spans="1:11" x14ac:dyDescent="0.25">
      <c r="A494">
        <v>6</v>
      </c>
      <c r="B494" t="s">
        <v>17</v>
      </c>
      <c r="C494">
        <v>2022</v>
      </c>
      <c r="D494">
        <v>30</v>
      </c>
      <c r="E494">
        <v>50</v>
      </c>
      <c r="F494">
        <v>60</v>
      </c>
      <c r="G494" s="1">
        <f>DATE(C494, CHOOSE(MATCH(UPPER(B494), {"ENERO","FEBRERO","MARZO","ABRIL","MAYO","JUNIO","JULIO","AGOSTO","SEPTIEMBRE","OCTUBRE","NOVIEMBRE","DICIEMBRE"}, 0), 1,2,3,4,5,6,7,8,9,10,11,12), A494)</f>
        <v>44779</v>
      </c>
      <c r="H494">
        <v>20</v>
      </c>
      <c r="I494">
        <v>48000</v>
      </c>
      <c r="J494" s="1">
        <f t="shared" si="15"/>
        <v>43959</v>
      </c>
      <c r="K494" s="2" t="e">
        <f t="shared" si="14"/>
        <v>#N/A</v>
      </c>
    </row>
    <row r="495" spans="1:11" x14ac:dyDescent="0.25">
      <c r="A495">
        <v>7</v>
      </c>
      <c r="B495" t="s">
        <v>17</v>
      </c>
      <c r="C495">
        <v>2022</v>
      </c>
      <c r="D495">
        <v>60</v>
      </c>
      <c r="E495" t="s">
        <v>9</v>
      </c>
      <c r="F495">
        <v>42.75</v>
      </c>
      <c r="G495" s="1">
        <f>DATE(C495, CHOOSE(MATCH(UPPER(B495), {"ENERO","FEBRERO","MARZO","ABRIL","MAYO","JUNIO","JULIO","AGOSTO","SEPTIEMBRE","OCTUBRE","NOVIEMBRE","DICIEMBRE"}, 0), 1,2,3,4,5,6,7,8,9,10,11,12), A495)</f>
        <v>44780</v>
      </c>
      <c r="H495">
        <v>17.25</v>
      </c>
      <c r="I495">
        <v>48000</v>
      </c>
      <c r="J495" s="1">
        <f t="shared" si="15"/>
        <v>43960</v>
      </c>
      <c r="K495" s="2" t="e">
        <f t="shared" si="14"/>
        <v>#N/A</v>
      </c>
    </row>
    <row r="496" spans="1:11" x14ac:dyDescent="0.25">
      <c r="A496">
        <v>8</v>
      </c>
      <c r="B496" t="s">
        <v>17</v>
      </c>
      <c r="C496">
        <v>2022</v>
      </c>
      <c r="D496">
        <v>42.75</v>
      </c>
      <c r="E496" t="s">
        <v>9</v>
      </c>
      <c r="F496">
        <v>39</v>
      </c>
      <c r="G496" s="1">
        <f>DATE(C496, CHOOSE(MATCH(UPPER(B496), {"ENERO","FEBRERO","MARZO","ABRIL","MAYO","JUNIO","JULIO","AGOSTO","SEPTIEMBRE","OCTUBRE","NOVIEMBRE","DICIEMBRE"}, 0), 1,2,3,4,5,6,7,8,9,10,11,12), A496)</f>
        <v>44781</v>
      </c>
      <c r="H496">
        <v>3.75</v>
      </c>
      <c r="I496">
        <v>48000</v>
      </c>
      <c r="J496" s="1">
        <f t="shared" si="15"/>
        <v>43961</v>
      </c>
      <c r="K496" s="2" t="e">
        <f t="shared" si="14"/>
        <v>#N/A</v>
      </c>
    </row>
    <row r="497" spans="1:11" x14ac:dyDescent="0.25">
      <c r="A497">
        <v>9</v>
      </c>
      <c r="B497" t="s">
        <v>17</v>
      </c>
      <c r="C497">
        <v>2022</v>
      </c>
      <c r="D497">
        <v>39</v>
      </c>
      <c r="E497" t="s">
        <v>9</v>
      </c>
      <c r="F497">
        <v>26.625</v>
      </c>
      <c r="G497" s="1">
        <f>DATE(C497, CHOOSE(MATCH(UPPER(B497), {"ENERO","FEBRERO","MARZO","ABRIL","MAYO","JUNIO","JULIO","AGOSTO","SEPTIEMBRE","OCTUBRE","NOVIEMBRE","DICIEMBRE"}, 0), 1,2,3,4,5,6,7,8,9,10,11,12), A497)</f>
        <v>44782</v>
      </c>
      <c r="H497">
        <v>12.375</v>
      </c>
      <c r="I497">
        <v>48000</v>
      </c>
      <c r="J497" s="1">
        <f t="shared" si="15"/>
        <v>43962</v>
      </c>
      <c r="K497" s="2" t="e">
        <f t="shared" si="14"/>
        <v>#N/A</v>
      </c>
    </row>
    <row r="498" spans="1:11" x14ac:dyDescent="0.25">
      <c r="A498">
        <v>10</v>
      </c>
      <c r="B498" t="s">
        <v>17</v>
      </c>
      <c r="C498">
        <v>2022</v>
      </c>
      <c r="D498">
        <v>26.625</v>
      </c>
      <c r="E498">
        <v>40</v>
      </c>
      <c r="F498">
        <v>59.5</v>
      </c>
      <c r="G498" s="1">
        <f>DATE(C498, CHOOSE(MATCH(UPPER(B498), {"ENERO","FEBRERO","MARZO","ABRIL","MAYO","JUNIO","JULIO","AGOSTO","SEPTIEMBRE","OCTUBRE","NOVIEMBRE","DICIEMBRE"}, 0), 1,2,3,4,5,6,7,8,9,10,11,12), A498)</f>
        <v>44783</v>
      </c>
      <c r="H498">
        <v>7.125</v>
      </c>
      <c r="I498">
        <v>48000</v>
      </c>
      <c r="J498" s="1">
        <f t="shared" si="15"/>
        <v>43963</v>
      </c>
      <c r="K498" s="2" t="e">
        <f t="shared" si="14"/>
        <v>#N/A</v>
      </c>
    </row>
    <row r="499" spans="1:11" x14ac:dyDescent="0.25">
      <c r="A499">
        <v>11</v>
      </c>
      <c r="B499" t="s">
        <v>17</v>
      </c>
      <c r="C499">
        <v>2022</v>
      </c>
      <c r="D499">
        <v>59.5</v>
      </c>
      <c r="E499" t="s">
        <v>9</v>
      </c>
      <c r="F499">
        <v>52</v>
      </c>
      <c r="G499" s="1">
        <f>DATE(C499, CHOOSE(MATCH(UPPER(B499), {"ENERO","FEBRERO","MARZO","ABRIL","MAYO","JUNIO","JULIO","AGOSTO","SEPTIEMBRE","OCTUBRE","NOVIEMBRE","DICIEMBRE"}, 0), 1,2,3,4,5,6,7,8,9,10,11,12), A499)</f>
        <v>44784</v>
      </c>
      <c r="H499">
        <v>7.5</v>
      </c>
      <c r="I499">
        <v>48000</v>
      </c>
      <c r="J499" s="1">
        <f t="shared" si="15"/>
        <v>43964</v>
      </c>
      <c r="K499" s="2" t="e">
        <f t="shared" si="14"/>
        <v>#N/A</v>
      </c>
    </row>
    <row r="500" spans="1:11" x14ac:dyDescent="0.25">
      <c r="A500">
        <v>12</v>
      </c>
      <c r="B500" t="s">
        <v>17</v>
      </c>
      <c r="C500">
        <v>2022</v>
      </c>
      <c r="D500">
        <v>52</v>
      </c>
      <c r="E500" t="s">
        <v>9</v>
      </c>
      <c r="F500">
        <v>40.125</v>
      </c>
      <c r="G500" s="1">
        <f>DATE(C500, CHOOSE(MATCH(UPPER(B500), {"ENERO","FEBRERO","MARZO","ABRIL","MAYO","JUNIO","JULIO","AGOSTO","SEPTIEMBRE","OCTUBRE","NOVIEMBRE","DICIEMBRE"}, 0), 1,2,3,4,5,6,7,8,9,10,11,12), A500)</f>
        <v>44785</v>
      </c>
      <c r="H500">
        <v>11.875</v>
      </c>
      <c r="I500">
        <v>48000</v>
      </c>
      <c r="J500" s="1">
        <f t="shared" si="15"/>
        <v>43965</v>
      </c>
      <c r="K500" s="2" t="e">
        <f t="shared" si="14"/>
        <v>#N/A</v>
      </c>
    </row>
    <row r="501" spans="1:11" x14ac:dyDescent="0.25">
      <c r="A501">
        <v>13</v>
      </c>
      <c r="B501" t="s">
        <v>17</v>
      </c>
      <c r="C501">
        <v>2022</v>
      </c>
      <c r="D501">
        <v>40.125</v>
      </c>
      <c r="E501" t="s">
        <v>9</v>
      </c>
      <c r="F501">
        <v>28.5</v>
      </c>
      <c r="G501" s="1">
        <f>DATE(C501, CHOOSE(MATCH(UPPER(B501), {"ENERO","FEBRERO","MARZO","ABRIL","MAYO","JUNIO","JULIO","AGOSTO","SEPTIEMBRE","OCTUBRE","NOVIEMBRE","DICIEMBRE"}, 0), 1,2,3,4,5,6,7,8,9,10,11,12), A501)</f>
        <v>44786</v>
      </c>
      <c r="H501">
        <v>11.625</v>
      </c>
      <c r="I501">
        <v>48000</v>
      </c>
      <c r="J501" s="1">
        <f t="shared" si="15"/>
        <v>43966</v>
      </c>
      <c r="K501" s="2" t="e">
        <f t="shared" si="14"/>
        <v>#N/A</v>
      </c>
    </row>
    <row r="502" spans="1:11" x14ac:dyDescent="0.25">
      <c r="A502">
        <v>14</v>
      </c>
      <c r="B502" t="s">
        <v>17</v>
      </c>
      <c r="C502">
        <v>2022</v>
      </c>
      <c r="D502">
        <v>28.5</v>
      </c>
      <c r="E502" t="s">
        <v>9</v>
      </c>
      <c r="F502">
        <v>6.625</v>
      </c>
      <c r="G502" s="1">
        <f>DATE(C502, CHOOSE(MATCH(UPPER(B502), {"ENERO","FEBRERO","MARZO","ABRIL","MAYO","JUNIO","JULIO","AGOSTO","SEPTIEMBRE","OCTUBRE","NOVIEMBRE","DICIEMBRE"}, 0), 1,2,3,4,5,6,7,8,9,10,11,12), A502)</f>
        <v>44787</v>
      </c>
      <c r="H502">
        <v>21.875</v>
      </c>
      <c r="I502">
        <v>48000</v>
      </c>
      <c r="J502" s="1">
        <f t="shared" si="15"/>
        <v>43967</v>
      </c>
      <c r="K502" s="2" t="e">
        <f t="shared" si="14"/>
        <v>#N/A</v>
      </c>
    </row>
    <row r="503" spans="1:11" x14ac:dyDescent="0.25">
      <c r="A503">
        <v>15</v>
      </c>
      <c r="B503" t="s">
        <v>17</v>
      </c>
      <c r="C503">
        <v>2022</v>
      </c>
      <c r="D503">
        <v>6.625</v>
      </c>
      <c r="E503">
        <v>30</v>
      </c>
      <c r="F503">
        <v>22.625</v>
      </c>
      <c r="G503" s="1">
        <f>DATE(C503, CHOOSE(MATCH(UPPER(B503), {"ENERO","FEBRERO","MARZO","ABRIL","MAYO","JUNIO","JULIO","AGOSTO","SEPTIEMBRE","OCTUBRE","NOVIEMBRE","DICIEMBRE"}, 0), 1,2,3,4,5,6,7,8,9,10,11,12), A503)</f>
        <v>44788</v>
      </c>
      <c r="H503">
        <v>14</v>
      </c>
      <c r="I503">
        <v>48000</v>
      </c>
      <c r="J503" s="1">
        <f t="shared" si="15"/>
        <v>43968</v>
      </c>
      <c r="K503" s="2" t="e">
        <f t="shared" si="14"/>
        <v>#N/A</v>
      </c>
    </row>
    <row r="504" spans="1:11" x14ac:dyDescent="0.25">
      <c r="A504">
        <v>16</v>
      </c>
      <c r="B504" t="s">
        <v>17</v>
      </c>
      <c r="C504">
        <v>2022</v>
      </c>
      <c r="D504">
        <v>22.625</v>
      </c>
      <c r="E504">
        <v>20</v>
      </c>
      <c r="F504">
        <v>33.875</v>
      </c>
      <c r="G504" s="1">
        <f>DATE(C504, CHOOSE(MATCH(UPPER(B504), {"ENERO","FEBRERO","MARZO","ABRIL","MAYO","JUNIO","JULIO","AGOSTO","SEPTIEMBRE","OCTUBRE","NOVIEMBRE","DICIEMBRE"}, 0), 1,2,3,4,5,6,7,8,9,10,11,12), A504)</f>
        <v>44789</v>
      </c>
      <c r="H504">
        <v>8.75</v>
      </c>
      <c r="I504">
        <v>48000</v>
      </c>
      <c r="J504" s="1">
        <f t="shared" si="15"/>
        <v>43969</v>
      </c>
      <c r="K504" s="2" t="e">
        <f t="shared" si="14"/>
        <v>#N/A</v>
      </c>
    </row>
    <row r="505" spans="1:11" x14ac:dyDescent="0.25">
      <c r="A505">
        <v>17</v>
      </c>
      <c r="B505" t="s">
        <v>17</v>
      </c>
      <c r="C505">
        <v>2022</v>
      </c>
      <c r="D505">
        <v>33.875</v>
      </c>
      <c r="E505" t="s">
        <v>9</v>
      </c>
      <c r="F505">
        <v>30.875</v>
      </c>
      <c r="G505" s="1">
        <f>DATE(C505, CHOOSE(MATCH(UPPER(B505), {"ENERO","FEBRERO","MARZO","ABRIL","MAYO","JUNIO","JULIO","AGOSTO","SEPTIEMBRE","OCTUBRE","NOVIEMBRE","DICIEMBRE"}, 0), 1,2,3,4,5,6,7,8,9,10,11,12), A505)</f>
        <v>44790</v>
      </c>
      <c r="H505">
        <v>3</v>
      </c>
      <c r="I505">
        <v>48000</v>
      </c>
      <c r="J505" s="1">
        <f t="shared" si="15"/>
        <v>43970</v>
      </c>
      <c r="K505" s="2" t="e">
        <f t="shared" si="14"/>
        <v>#N/A</v>
      </c>
    </row>
    <row r="506" spans="1:11" x14ac:dyDescent="0.25">
      <c r="A506">
        <v>18</v>
      </c>
      <c r="B506" t="s">
        <v>17</v>
      </c>
      <c r="C506">
        <v>2022</v>
      </c>
      <c r="D506">
        <v>30.875</v>
      </c>
      <c r="E506" t="s">
        <v>9</v>
      </c>
      <c r="F506">
        <v>24.5</v>
      </c>
      <c r="G506" s="1">
        <f>DATE(C506, CHOOSE(MATCH(UPPER(B506), {"ENERO","FEBRERO","MARZO","ABRIL","MAYO","JUNIO","JULIO","AGOSTO","SEPTIEMBRE","OCTUBRE","NOVIEMBRE","DICIEMBRE"}, 0), 1,2,3,4,5,6,7,8,9,10,11,12), A506)</f>
        <v>44791</v>
      </c>
      <c r="H506">
        <v>6.375</v>
      </c>
      <c r="I506">
        <v>48000</v>
      </c>
      <c r="J506" s="1">
        <f t="shared" si="15"/>
        <v>43971</v>
      </c>
      <c r="K506" s="2" t="e">
        <f t="shared" si="14"/>
        <v>#N/A</v>
      </c>
    </row>
    <row r="507" spans="1:11" x14ac:dyDescent="0.25">
      <c r="A507">
        <v>19</v>
      </c>
      <c r="B507" t="s">
        <v>17</v>
      </c>
      <c r="C507">
        <v>2022</v>
      </c>
      <c r="D507">
        <v>24.5</v>
      </c>
      <c r="E507">
        <v>20</v>
      </c>
      <c r="F507">
        <v>35.875</v>
      </c>
      <c r="G507" s="1">
        <f>DATE(C507, CHOOSE(MATCH(UPPER(B507), {"ENERO","FEBRERO","MARZO","ABRIL","MAYO","JUNIO","JULIO","AGOSTO","SEPTIEMBRE","OCTUBRE","NOVIEMBRE","DICIEMBRE"}, 0), 1,2,3,4,5,6,7,8,9,10,11,12), A507)</f>
        <v>44792</v>
      </c>
      <c r="H507">
        <v>8.625</v>
      </c>
      <c r="I507">
        <v>48000</v>
      </c>
      <c r="J507" s="1">
        <f t="shared" si="15"/>
        <v>43972</v>
      </c>
      <c r="K507" s="2" t="e">
        <f t="shared" si="14"/>
        <v>#N/A</v>
      </c>
    </row>
    <row r="508" spans="1:11" x14ac:dyDescent="0.25">
      <c r="A508">
        <v>20</v>
      </c>
      <c r="B508" t="s">
        <v>17</v>
      </c>
      <c r="C508">
        <v>2022</v>
      </c>
      <c r="D508">
        <v>35.875</v>
      </c>
      <c r="E508" t="s">
        <v>9</v>
      </c>
      <c r="F508">
        <v>17</v>
      </c>
      <c r="G508" s="1">
        <f>DATE(C508, CHOOSE(MATCH(UPPER(B508), {"ENERO","FEBRERO","MARZO","ABRIL","MAYO","JUNIO","JULIO","AGOSTO","SEPTIEMBRE","OCTUBRE","NOVIEMBRE","DICIEMBRE"}, 0), 1,2,3,4,5,6,7,8,9,10,11,12), A508)</f>
        <v>44793</v>
      </c>
      <c r="H508">
        <v>18.875</v>
      </c>
      <c r="I508">
        <v>48000</v>
      </c>
      <c r="J508" s="1">
        <f t="shared" si="15"/>
        <v>43973</v>
      </c>
      <c r="K508" s="2" t="e">
        <f t="shared" si="14"/>
        <v>#N/A</v>
      </c>
    </row>
    <row r="509" spans="1:11" x14ac:dyDescent="0.25">
      <c r="A509">
        <v>21</v>
      </c>
      <c r="B509" t="s">
        <v>17</v>
      </c>
      <c r="C509">
        <v>2022</v>
      </c>
      <c r="D509">
        <v>17</v>
      </c>
      <c r="E509">
        <v>50</v>
      </c>
      <c r="F509">
        <v>55</v>
      </c>
      <c r="G509" s="1">
        <f>DATE(C509, CHOOSE(MATCH(UPPER(B509), {"ENERO","FEBRERO","MARZO","ABRIL","MAYO","JUNIO","JULIO","AGOSTO","SEPTIEMBRE","OCTUBRE","NOVIEMBRE","DICIEMBRE"}, 0), 1,2,3,4,5,6,7,8,9,10,11,12), A509)</f>
        <v>44794</v>
      </c>
      <c r="H509">
        <v>12</v>
      </c>
      <c r="I509">
        <v>48000</v>
      </c>
      <c r="J509" s="1">
        <f t="shared" si="15"/>
        <v>43974</v>
      </c>
      <c r="K509" s="2" t="e">
        <f t="shared" si="14"/>
        <v>#N/A</v>
      </c>
    </row>
    <row r="510" spans="1:11" x14ac:dyDescent="0.25">
      <c r="A510">
        <v>22</v>
      </c>
      <c r="B510" t="s">
        <v>17</v>
      </c>
      <c r="C510">
        <v>2022</v>
      </c>
      <c r="D510">
        <v>55</v>
      </c>
      <c r="E510" t="s">
        <v>9</v>
      </c>
      <c r="F510">
        <v>47.125</v>
      </c>
      <c r="G510" s="1">
        <f>DATE(C510, CHOOSE(MATCH(UPPER(B510), {"ENERO","FEBRERO","MARZO","ABRIL","MAYO","JUNIO","JULIO","AGOSTO","SEPTIEMBRE","OCTUBRE","NOVIEMBRE","DICIEMBRE"}, 0), 1,2,3,4,5,6,7,8,9,10,11,12), A510)</f>
        <v>44795</v>
      </c>
      <c r="H510">
        <v>7.875</v>
      </c>
      <c r="I510">
        <v>48000</v>
      </c>
      <c r="J510" s="1">
        <f t="shared" si="15"/>
        <v>43975</v>
      </c>
      <c r="K510" s="2" t="e">
        <f t="shared" si="14"/>
        <v>#N/A</v>
      </c>
    </row>
    <row r="511" spans="1:11" x14ac:dyDescent="0.25">
      <c r="A511">
        <v>23</v>
      </c>
      <c r="B511" t="s">
        <v>17</v>
      </c>
      <c r="C511">
        <v>2022</v>
      </c>
      <c r="D511">
        <v>47.125</v>
      </c>
      <c r="E511" t="s">
        <v>9</v>
      </c>
      <c r="F511">
        <v>40</v>
      </c>
      <c r="G511" s="1">
        <f>DATE(C511, CHOOSE(MATCH(UPPER(B511), {"ENERO","FEBRERO","MARZO","ABRIL","MAYO","JUNIO","JULIO","AGOSTO","SEPTIEMBRE","OCTUBRE","NOVIEMBRE","DICIEMBRE"}, 0), 1,2,3,4,5,6,7,8,9,10,11,12), A511)</f>
        <v>44796</v>
      </c>
      <c r="H511">
        <v>7.125</v>
      </c>
      <c r="I511">
        <v>48000</v>
      </c>
      <c r="J511" s="1">
        <f t="shared" si="15"/>
        <v>43976</v>
      </c>
      <c r="K511" s="2" t="e">
        <f t="shared" si="14"/>
        <v>#N/A</v>
      </c>
    </row>
    <row r="512" spans="1:11" x14ac:dyDescent="0.25">
      <c r="A512">
        <v>24</v>
      </c>
      <c r="B512" t="s">
        <v>17</v>
      </c>
      <c r="C512">
        <v>2022</v>
      </c>
      <c r="D512">
        <v>40</v>
      </c>
      <c r="E512" t="s">
        <v>9</v>
      </c>
      <c r="F512">
        <v>35.75</v>
      </c>
      <c r="G512" s="1">
        <f>DATE(C512, CHOOSE(MATCH(UPPER(B512), {"ENERO","FEBRERO","MARZO","ABRIL","MAYO","JUNIO","JULIO","AGOSTO","SEPTIEMBRE","OCTUBRE","NOVIEMBRE","DICIEMBRE"}, 0), 1,2,3,4,5,6,7,8,9,10,11,12), A512)</f>
        <v>44797</v>
      </c>
      <c r="H512">
        <v>4.25</v>
      </c>
      <c r="I512">
        <v>48000</v>
      </c>
      <c r="J512" s="1">
        <f t="shared" si="15"/>
        <v>43977</v>
      </c>
      <c r="K512" s="2" t="e">
        <f t="shared" si="14"/>
        <v>#N/A</v>
      </c>
    </row>
    <row r="513" spans="1:11" x14ac:dyDescent="0.25">
      <c r="A513">
        <v>25</v>
      </c>
      <c r="B513" t="s">
        <v>17</v>
      </c>
      <c r="C513">
        <v>2022</v>
      </c>
      <c r="D513">
        <v>35.75</v>
      </c>
      <c r="E513" t="s">
        <v>9</v>
      </c>
      <c r="F513">
        <v>28.625</v>
      </c>
      <c r="G513" s="1">
        <f>DATE(C513, CHOOSE(MATCH(UPPER(B513), {"ENERO","FEBRERO","MARZO","ABRIL","MAYO","JUNIO","JULIO","AGOSTO","SEPTIEMBRE","OCTUBRE","NOVIEMBRE","DICIEMBRE"}, 0), 1,2,3,4,5,6,7,8,9,10,11,12), A513)</f>
        <v>44798</v>
      </c>
      <c r="H513">
        <v>7.125</v>
      </c>
      <c r="I513">
        <v>48000</v>
      </c>
      <c r="J513" s="1">
        <f t="shared" si="15"/>
        <v>43978</v>
      </c>
      <c r="K513" s="2" t="e">
        <f t="shared" si="14"/>
        <v>#N/A</v>
      </c>
    </row>
    <row r="514" spans="1:11" x14ac:dyDescent="0.25">
      <c r="A514">
        <v>26</v>
      </c>
      <c r="B514" t="s">
        <v>17</v>
      </c>
      <c r="C514">
        <v>2022</v>
      </c>
      <c r="D514">
        <v>28.625</v>
      </c>
      <c r="E514" t="s">
        <v>9</v>
      </c>
      <c r="F514">
        <v>22.5</v>
      </c>
      <c r="G514" s="1">
        <f>DATE(C514, CHOOSE(MATCH(UPPER(B514), {"ENERO","FEBRERO","MARZO","ABRIL","MAYO","JUNIO","JULIO","AGOSTO","SEPTIEMBRE","OCTUBRE","NOVIEMBRE","DICIEMBRE"}, 0), 1,2,3,4,5,6,7,8,9,10,11,12), A514)</f>
        <v>44799</v>
      </c>
      <c r="H514">
        <v>6.125</v>
      </c>
      <c r="I514">
        <v>48000</v>
      </c>
      <c r="J514" s="1">
        <f t="shared" si="15"/>
        <v>43979</v>
      </c>
      <c r="K514" s="2" t="e">
        <f t="shared" si="14"/>
        <v>#N/A</v>
      </c>
    </row>
    <row r="515" spans="1:11" x14ac:dyDescent="0.25">
      <c r="A515">
        <v>27</v>
      </c>
      <c r="B515" t="s">
        <v>17</v>
      </c>
      <c r="C515">
        <v>2022</v>
      </c>
      <c r="D515">
        <v>22.5</v>
      </c>
      <c r="E515">
        <v>50</v>
      </c>
      <c r="F515">
        <v>60.5</v>
      </c>
      <c r="G515" s="1">
        <f>DATE(C515, CHOOSE(MATCH(UPPER(B515), {"ENERO","FEBRERO","MARZO","ABRIL","MAYO","JUNIO","JULIO","AGOSTO","SEPTIEMBRE","OCTUBRE","NOVIEMBRE","DICIEMBRE"}, 0), 1,2,3,4,5,6,7,8,9,10,11,12), A515)</f>
        <v>44800</v>
      </c>
      <c r="H515">
        <v>12</v>
      </c>
      <c r="I515">
        <v>48000</v>
      </c>
      <c r="J515" s="1">
        <f t="shared" si="15"/>
        <v>43980</v>
      </c>
      <c r="K515" s="2" t="e">
        <f t="shared" ref="K515:K578" si="16">VLOOKUP(J515, G:H, 2, FALSE)</f>
        <v>#N/A</v>
      </c>
    </row>
    <row r="516" spans="1:11" x14ac:dyDescent="0.25">
      <c r="A516">
        <v>28</v>
      </c>
      <c r="B516" t="s">
        <v>17</v>
      </c>
      <c r="C516">
        <v>2022</v>
      </c>
      <c r="D516">
        <v>60.5</v>
      </c>
      <c r="E516" t="s">
        <v>9</v>
      </c>
      <c r="F516">
        <v>50.375</v>
      </c>
      <c r="G516" s="1">
        <f>DATE(C516, CHOOSE(MATCH(UPPER(B516), {"ENERO","FEBRERO","MARZO","ABRIL","MAYO","JUNIO","JULIO","AGOSTO","SEPTIEMBRE","OCTUBRE","NOVIEMBRE","DICIEMBRE"}, 0), 1,2,3,4,5,6,7,8,9,10,11,12), A516)</f>
        <v>44801</v>
      </c>
      <c r="H516">
        <v>10.125</v>
      </c>
      <c r="I516">
        <v>48000</v>
      </c>
      <c r="J516" s="1">
        <f t="shared" si="15"/>
        <v>43981</v>
      </c>
      <c r="K516" s="2" t="e">
        <f t="shared" si="16"/>
        <v>#N/A</v>
      </c>
    </row>
    <row r="517" spans="1:11" x14ac:dyDescent="0.25">
      <c r="A517">
        <v>29</v>
      </c>
      <c r="B517" t="s">
        <v>17</v>
      </c>
      <c r="C517">
        <v>2022</v>
      </c>
      <c r="D517">
        <v>50.375</v>
      </c>
      <c r="E517" t="s">
        <v>9</v>
      </c>
      <c r="F517">
        <v>44.375</v>
      </c>
      <c r="G517" s="1">
        <f>DATE(C517, CHOOSE(MATCH(UPPER(B517), {"ENERO","FEBRERO","MARZO","ABRIL","MAYO","JUNIO","JULIO","AGOSTO","SEPTIEMBRE","OCTUBRE","NOVIEMBRE","DICIEMBRE"}, 0), 1,2,3,4,5,6,7,8,9,10,11,12), A517)</f>
        <v>44802</v>
      </c>
      <c r="H517">
        <v>6</v>
      </c>
      <c r="I517">
        <v>48000</v>
      </c>
      <c r="J517" s="1">
        <f t="shared" ref="J517:J580" si="17">DATE(2019,1,1) + ROW()-1</f>
        <v>43982</v>
      </c>
      <c r="K517" s="2" t="e">
        <f t="shared" si="16"/>
        <v>#N/A</v>
      </c>
    </row>
    <row r="518" spans="1:11" x14ac:dyDescent="0.25">
      <c r="A518">
        <v>30</v>
      </c>
      <c r="B518" t="s">
        <v>9</v>
      </c>
      <c r="C518" t="s">
        <v>9</v>
      </c>
      <c r="D518" t="s">
        <v>9</v>
      </c>
      <c r="E518" t="s">
        <v>9</v>
      </c>
      <c r="F518" t="s">
        <v>9</v>
      </c>
      <c r="G518" s="1" t="e">
        <f>DATE(C518, CHOOSE(MATCH(UPPER(B518), {"ENERO","FEBRERO","MARZO","ABRIL","MAYO","JUNIO","JULIO","AGOSTO","SEPTIEMBRE","OCTUBRE","NOVIEMBRE","DICIEMBRE"}, 0), 1,2,3,4,5,6,7,8,9,10,11,12), A518)</f>
        <v>#VALUE!</v>
      </c>
      <c r="H518" t="s">
        <v>9</v>
      </c>
      <c r="I518" t="s">
        <v>9</v>
      </c>
      <c r="J518" s="1">
        <f t="shared" si="17"/>
        <v>43983</v>
      </c>
      <c r="K518" s="2" t="e">
        <f t="shared" si="16"/>
        <v>#N/A</v>
      </c>
    </row>
    <row r="519" spans="1:11" x14ac:dyDescent="0.25">
      <c r="A519">
        <v>31</v>
      </c>
      <c r="B519" t="s">
        <v>9</v>
      </c>
      <c r="C519" t="s">
        <v>9</v>
      </c>
      <c r="D519">
        <v>38.75</v>
      </c>
      <c r="E519" t="s">
        <v>9</v>
      </c>
      <c r="F519">
        <v>25.375</v>
      </c>
      <c r="G519" s="1" t="e">
        <f>DATE(C519, CHOOSE(MATCH(UPPER(B519), {"ENERO","FEBRERO","MARZO","ABRIL","MAYO","JUNIO","JULIO","AGOSTO","SEPTIEMBRE","OCTUBRE","NOVIEMBRE","DICIEMBRE"}, 0), 1,2,3,4,5,6,7,8,9,10,11,12), A519)</f>
        <v>#VALUE!</v>
      </c>
      <c r="H519">
        <v>13.375</v>
      </c>
      <c r="I519">
        <v>48000</v>
      </c>
      <c r="J519" s="1">
        <f t="shared" si="17"/>
        <v>43984</v>
      </c>
      <c r="K519" s="2" t="e">
        <f t="shared" si="16"/>
        <v>#N/A</v>
      </c>
    </row>
    <row r="520" spans="1:11" x14ac:dyDescent="0.25">
      <c r="A520">
        <v>1</v>
      </c>
      <c r="B520" t="s">
        <v>10</v>
      </c>
      <c r="C520">
        <v>2022</v>
      </c>
      <c r="D520">
        <v>25.375</v>
      </c>
      <c r="E520" t="s">
        <v>9</v>
      </c>
      <c r="F520">
        <v>18.5</v>
      </c>
      <c r="G520" s="1">
        <f>DATE(C520, CHOOSE(MATCH(UPPER(B520), {"ENERO","FEBRERO","MARZO","ABRIL","MAYO","JUNIO","JULIO","AGOSTO","SEPTIEMBRE","OCTUBRE","NOVIEMBRE","DICIEMBRE"}, 0), 1,2,3,4,5,6,7,8,9,10,11,12), A520)</f>
        <v>44805</v>
      </c>
      <c r="H520">
        <v>6.875</v>
      </c>
      <c r="I520">
        <v>48000</v>
      </c>
      <c r="J520" s="1">
        <f t="shared" si="17"/>
        <v>43985</v>
      </c>
      <c r="K520" s="2" t="e">
        <f t="shared" si="16"/>
        <v>#N/A</v>
      </c>
    </row>
    <row r="521" spans="1:11" x14ac:dyDescent="0.25">
      <c r="A521">
        <v>2</v>
      </c>
      <c r="B521" t="s">
        <v>10</v>
      </c>
      <c r="C521">
        <v>2022</v>
      </c>
      <c r="D521">
        <v>18.5</v>
      </c>
      <c r="E521">
        <v>50</v>
      </c>
      <c r="F521">
        <v>55.625</v>
      </c>
      <c r="G521" s="1">
        <f>DATE(C521, CHOOSE(MATCH(UPPER(B521), {"ENERO","FEBRERO","MARZO","ABRIL","MAYO","JUNIO","JULIO","AGOSTO","SEPTIEMBRE","OCTUBRE","NOVIEMBRE","DICIEMBRE"}, 0), 1,2,3,4,5,6,7,8,9,10,11,12), A521)</f>
        <v>44806</v>
      </c>
      <c r="H521">
        <v>12.875</v>
      </c>
      <c r="I521">
        <v>48000</v>
      </c>
      <c r="J521" s="1">
        <f t="shared" si="17"/>
        <v>43986</v>
      </c>
      <c r="K521" s="2" t="e">
        <f t="shared" si="16"/>
        <v>#N/A</v>
      </c>
    </row>
    <row r="522" spans="1:11" x14ac:dyDescent="0.25">
      <c r="A522">
        <v>3</v>
      </c>
      <c r="B522" t="s">
        <v>10</v>
      </c>
      <c r="C522">
        <v>2022</v>
      </c>
      <c r="D522">
        <v>55.625</v>
      </c>
      <c r="E522" t="s">
        <v>9</v>
      </c>
      <c r="F522">
        <v>41.5</v>
      </c>
      <c r="G522" s="1">
        <f>DATE(C522, CHOOSE(MATCH(UPPER(B522), {"ENERO","FEBRERO","MARZO","ABRIL","MAYO","JUNIO","JULIO","AGOSTO","SEPTIEMBRE","OCTUBRE","NOVIEMBRE","DICIEMBRE"}, 0), 1,2,3,4,5,6,7,8,9,10,11,12), A522)</f>
        <v>44807</v>
      </c>
      <c r="H522">
        <v>14.125</v>
      </c>
      <c r="I522">
        <v>48000</v>
      </c>
      <c r="J522" s="1">
        <f t="shared" si="17"/>
        <v>43987</v>
      </c>
      <c r="K522" s="2" t="e">
        <f t="shared" si="16"/>
        <v>#N/A</v>
      </c>
    </row>
    <row r="523" spans="1:11" x14ac:dyDescent="0.25">
      <c r="A523">
        <v>4</v>
      </c>
      <c r="B523" t="s">
        <v>10</v>
      </c>
      <c r="C523">
        <v>2022</v>
      </c>
      <c r="D523">
        <v>41.5</v>
      </c>
      <c r="E523">
        <v>20</v>
      </c>
      <c r="F523">
        <v>42.5</v>
      </c>
      <c r="G523" s="1">
        <f>DATE(C523, CHOOSE(MATCH(UPPER(B523), {"ENERO","FEBRERO","MARZO","ABRIL","MAYO","JUNIO","JULIO","AGOSTO","SEPTIEMBRE","OCTUBRE","NOVIEMBRE","DICIEMBRE"}, 0), 1,2,3,4,5,6,7,8,9,10,11,12), A523)</f>
        <v>44808</v>
      </c>
      <c r="H523">
        <v>19</v>
      </c>
      <c r="I523">
        <v>48000</v>
      </c>
      <c r="J523" s="1">
        <f t="shared" si="17"/>
        <v>43988</v>
      </c>
      <c r="K523" s="2" t="e">
        <f t="shared" si="16"/>
        <v>#N/A</v>
      </c>
    </row>
    <row r="524" spans="1:11" x14ac:dyDescent="0.25">
      <c r="A524">
        <v>5</v>
      </c>
      <c r="B524" t="s">
        <v>10</v>
      </c>
      <c r="C524">
        <v>2022</v>
      </c>
      <c r="D524">
        <v>42.5</v>
      </c>
      <c r="E524" t="s">
        <v>9</v>
      </c>
      <c r="F524">
        <v>37.625</v>
      </c>
      <c r="G524" s="1">
        <f>DATE(C524, CHOOSE(MATCH(UPPER(B524), {"ENERO","FEBRERO","MARZO","ABRIL","MAYO","JUNIO","JULIO","AGOSTO","SEPTIEMBRE","OCTUBRE","NOVIEMBRE","DICIEMBRE"}, 0), 1,2,3,4,5,6,7,8,9,10,11,12), A524)</f>
        <v>44809</v>
      </c>
      <c r="H524">
        <v>4.875</v>
      </c>
      <c r="I524">
        <v>48000</v>
      </c>
      <c r="J524" s="1">
        <f t="shared" si="17"/>
        <v>43989</v>
      </c>
      <c r="K524" s="2" t="e">
        <f t="shared" si="16"/>
        <v>#N/A</v>
      </c>
    </row>
    <row r="525" spans="1:11" x14ac:dyDescent="0.25">
      <c r="A525">
        <v>6</v>
      </c>
      <c r="B525" t="s">
        <v>10</v>
      </c>
      <c r="C525">
        <v>2022</v>
      </c>
      <c r="D525">
        <v>37.625</v>
      </c>
      <c r="E525" t="s">
        <v>9</v>
      </c>
      <c r="F525">
        <v>28.5</v>
      </c>
      <c r="G525" s="1">
        <f>DATE(C525, CHOOSE(MATCH(UPPER(B525), {"ENERO","FEBRERO","MARZO","ABRIL","MAYO","JUNIO","JULIO","AGOSTO","SEPTIEMBRE","OCTUBRE","NOVIEMBRE","DICIEMBRE"}, 0), 1,2,3,4,5,6,7,8,9,10,11,12), A525)</f>
        <v>44810</v>
      </c>
      <c r="H525">
        <v>9.125</v>
      </c>
      <c r="I525">
        <v>52000</v>
      </c>
      <c r="J525" s="1">
        <f t="shared" si="17"/>
        <v>43990</v>
      </c>
      <c r="K525" s="2" t="e">
        <f t="shared" si="16"/>
        <v>#N/A</v>
      </c>
    </row>
    <row r="526" spans="1:11" x14ac:dyDescent="0.25">
      <c r="A526">
        <v>7</v>
      </c>
      <c r="B526" t="s">
        <v>10</v>
      </c>
      <c r="C526">
        <v>2022</v>
      </c>
      <c r="D526">
        <v>28.5</v>
      </c>
      <c r="E526" t="s">
        <v>9</v>
      </c>
      <c r="F526">
        <v>21.125</v>
      </c>
      <c r="G526" s="1">
        <f>DATE(C526, CHOOSE(MATCH(UPPER(B526), {"ENERO","FEBRERO","MARZO","ABRIL","MAYO","JUNIO","JULIO","AGOSTO","SEPTIEMBRE","OCTUBRE","NOVIEMBRE","DICIEMBRE"}, 0), 1,2,3,4,5,6,7,8,9,10,11,12), A526)</f>
        <v>44811</v>
      </c>
      <c r="H526">
        <v>7.375</v>
      </c>
      <c r="I526">
        <v>52000</v>
      </c>
      <c r="J526" s="1">
        <f t="shared" si="17"/>
        <v>43991</v>
      </c>
      <c r="K526" s="2" t="e">
        <f t="shared" si="16"/>
        <v>#N/A</v>
      </c>
    </row>
    <row r="527" spans="1:11" x14ac:dyDescent="0.25">
      <c r="A527">
        <v>8</v>
      </c>
      <c r="B527" t="s">
        <v>10</v>
      </c>
      <c r="C527">
        <v>2022</v>
      </c>
      <c r="D527">
        <v>21.125</v>
      </c>
      <c r="E527" t="s">
        <v>9</v>
      </c>
      <c r="F527">
        <v>13</v>
      </c>
      <c r="G527" s="1">
        <f>DATE(C527, CHOOSE(MATCH(UPPER(B527), {"ENERO","FEBRERO","MARZO","ABRIL","MAYO","JUNIO","JULIO","AGOSTO","SEPTIEMBRE","OCTUBRE","NOVIEMBRE","DICIEMBRE"}, 0), 1,2,3,4,5,6,7,8,9,10,11,12), A527)</f>
        <v>44812</v>
      </c>
      <c r="H527">
        <v>8.125</v>
      </c>
      <c r="I527">
        <v>52000</v>
      </c>
      <c r="J527" s="1">
        <f t="shared" si="17"/>
        <v>43992</v>
      </c>
      <c r="K527" s="2" t="e">
        <f t="shared" si="16"/>
        <v>#N/A</v>
      </c>
    </row>
    <row r="528" spans="1:11" x14ac:dyDescent="0.25">
      <c r="A528">
        <v>9</v>
      </c>
      <c r="B528" t="s">
        <v>10</v>
      </c>
      <c r="C528">
        <v>2022</v>
      </c>
      <c r="D528">
        <v>13</v>
      </c>
      <c r="E528">
        <v>50</v>
      </c>
      <c r="F528">
        <v>52.125</v>
      </c>
      <c r="G528" s="1">
        <f>DATE(C528, CHOOSE(MATCH(UPPER(B528), {"ENERO","FEBRERO","MARZO","ABRIL","MAYO","JUNIO","JULIO","AGOSTO","SEPTIEMBRE","OCTUBRE","NOVIEMBRE","DICIEMBRE"}, 0), 1,2,3,4,5,6,7,8,9,10,11,12), A528)</f>
        <v>44813</v>
      </c>
      <c r="H528">
        <v>10.875</v>
      </c>
      <c r="I528">
        <v>52000</v>
      </c>
      <c r="J528" s="1">
        <f t="shared" si="17"/>
        <v>43993</v>
      </c>
      <c r="K528" s="2" t="e">
        <f t="shared" si="16"/>
        <v>#N/A</v>
      </c>
    </row>
    <row r="529" spans="1:11" x14ac:dyDescent="0.25">
      <c r="A529">
        <v>10</v>
      </c>
      <c r="B529" t="s">
        <v>10</v>
      </c>
      <c r="C529">
        <v>2022</v>
      </c>
      <c r="D529">
        <v>52.125</v>
      </c>
      <c r="E529" t="s">
        <v>9</v>
      </c>
      <c r="F529">
        <v>40.25</v>
      </c>
      <c r="G529" s="1">
        <f>DATE(C529, CHOOSE(MATCH(UPPER(B529), {"ENERO","FEBRERO","MARZO","ABRIL","MAYO","JUNIO","JULIO","AGOSTO","SEPTIEMBRE","OCTUBRE","NOVIEMBRE","DICIEMBRE"}, 0), 1,2,3,4,5,6,7,8,9,10,11,12), A529)</f>
        <v>44814</v>
      </c>
      <c r="H529">
        <v>11.875</v>
      </c>
      <c r="I529">
        <v>52000</v>
      </c>
      <c r="J529" s="1">
        <f t="shared" si="17"/>
        <v>43994</v>
      </c>
      <c r="K529" s="2" t="e">
        <f t="shared" si="16"/>
        <v>#N/A</v>
      </c>
    </row>
    <row r="530" spans="1:11" x14ac:dyDescent="0.25">
      <c r="A530">
        <v>11</v>
      </c>
      <c r="B530" t="s">
        <v>10</v>
      </c>
      <c r="C530">
        <v>2022</v>
      </c>
      <c r="D530">
        <v>40.25</v>
      </c>
      <c r="E530" t="s">
        <v>9</v>
      </c>
      <c r="F530">
        <v>26.5</v>
      </c>
      <c r="G530" s="1">
        <f>DATE(C530, CHOOSE(MATCH(UPPER(B530), {"ENERO","FEBRERO","MARZO","ABRIL","MAYO","JUNIO","JULIO","AGOSTO","SEPTIEMBRE","OCTUBRE","NOVIEMBRE","DICIEMBRE"}, 0), 1,2,3,4,5,6,7,8,9,10,11,12), A530)</f>
        <v>44815</v>
      </c>
      <c r="H530">
        <v>13.75</v>
      </c>
      <c r="I530">
        <v>52000</v>
      </c>
      <c r="J530" s="1">
        <f t="shared" si="17"/>
        <v>43995</v>
      </c>
      <c r="K530" s="2" t="e">
        <f t="shared" si="16"/>
        <v>#N/A</v>
      </c>
    </row>
    <row r="531" spans="1:11" x14ac:dyDescent="0.25">
      <c r="A531">
        <v>12</v>
      </c>
      <c r="B531" t="s">
        <v>10</v>
      </c>
      <c r="C531">
        <v>2022</v>
      </c>
      <c r="D531">
        <v>26.5</v>
      </c>
      <c r="E531">
        <v>40</v>
      </c>
      <c r="F531">
        <v>60.5</v>
      </c>
      <c r="G531" s="1">
        <f>DATE(C531, CHOOSE(MATCH(UPPER(B531), {"ENERO","FEBRERO","MARZO","ABRIL","MAYO","JUNIO","JULIO","AGOSTO","SEPTIEMBRE","OCTUBRE","NOVIEMBRE","DICIEMBRE"}, 0), 1,2,3,4,5,6,7,8,9,10,11,12), A531)</f>
        <v>44816</v>
      </c>
      <c r="H531">
        <v>6</v>
      </c>
      <c r="I531">
        <v>52000</v>
      </c>
      <c r="J531" s="1">
        <f t="shared" si="17"/>
        <v>43996</v>
      </c>
      <c r="K531" s="2" t="e">
        <f t="shared" si="16"/>
        <v>#N/A</v>
      </c>
    </row>
    <row r="532" spans="1:11" x14ac:dyDescent="0.25">
      <c r="A532">
        <v>13</v>
      </c>
      <c r="B532" t="s">
        <v>10</v>
      </c>
      <c r="C532">
        <v>2022</v>
      </c>
      <c r="D532">
        <v>60.5</v>
      </c>
      <c r="E532" t="s">
        <v>9</v>
      </c>
      <c r="F532">
        <v>49.625</v>
      </c>
      <c r="G532" s="1">
        <f>DATE(C532, CHOOSE(MATCH(UPPER(B532), {"ENERO","FEBRERO","MARZO","ABRIL","MAYO","JUNIO","JULIO","AGOSTO","SEPTIEMBRE","OCTUBRE","NOVIEMBRE","DICIEMBRE"}, 0), 1,2,3,4,5,6,7,8,9,10,11,12), A532)</f>
        <v>44817</v>
      </c>
      <c r="H532">
        <v>10.875</v>
      </c>
      <c r="I532">
        <v>52000</v>
      </c>
      <c r="J532" s="1">
        <f t="shared" si="17"/>
        <v>43997</v>
      </c>
      <c r="K532" s="2" t="e">
        <f t="shared" si="16"/>
        <v>#N/A</v>
      </c>
    </row>
    <row r="533" spans="1:11" x14ac:dyDescent="0.25">
      <c r="A533">
        <v>14</v>
      </c>
      <c r="B533" t="s">
        <v>10</v>
      </c>
      <c r="C533">
        <v>2022</v>
      </c>
      <c r="D533">
        <v>49.625</v>
      </c>
      <c r="E533" t="s">
        <v>9</v>
      </c>
      <c r="F533">
        <v>43.625</v>
      </c>
      <c r="G533" s="1">
        <f>DATE(C533, CHOOSE(MATCH(UPPER(B533), {"ENERO","FEBRERO","MARZO","ABRIL","MAYO","JUNIO","JULIO","AGOSTO","SEPTIEMBRE","OCTUBRE","NOVIEMBRE","DICIEMBRE"}, 0), 1,2,3,4,5,6,7,8,9,10,11,12), A533)</f>
        <v>44818</v>
      </c>
      <c r="H533">
        <v>6</v>
      </c>
      <c r="I533">
        <v>52000</v>
      </c>
      <c r="J533" s="1">
        <f t="shared" si="17"/>
        <v>43998</v>
      </c>
      <c r="K533" s="2" t="e">
        <f t="shared" si="16"/>
        <v>#N/A</v>
      </c>
    </row>
    <row r="534" spans="1:11" x14ac:dyDescent="0.25">
      <c r="A534">
        <v>15</v>
      </c>
      <c r="B534" t="s">
        <v>10</v>
      </c>
      <c r="C534">
        <v>2022</v>
      </c>
      <c r="D534">
        <v>43.625</v>
      </c>
      <c r="E534">
        <v>61.375</v>
      </c>
      <c r="F534">
        <v>98.75</v>
      </c>
      <c r="G534" s="1">
        <f>DATE(C534, CHOOSE(MATCH(UPPER(B534), {"ENERO","FEBRERO","MARZO","ABRIL","MAYO","JUNIO","JULIO","AGOSTO","SEPTIEMBRE","OCTUBRE","NOVIEMBRE","DICIEMBRE"}, 0), 1,2,3,4,5,6,7,8,9,10,11,12), A534)</f>
        <v>44819</v>
      </c>
      <c r="H534">
        <v>6.25</v>
      </c>
      <c r="I534">
        <v>52000</v>
      </c>
      <c r="J534" s="1">
        <f t="shared" si="17"/>
        <v>43999</v>
      </c>
      <c r="K534" s="2" t="e">
        <f t="shared" si="16"/>
        <v>#N/A</v>
      </c>
    </row>
    <row r="535" spans="1:11" x14ac:dyDescent="0.25">
      <c r="A535">
        <v>16</v>
      </c>
      <c r="B535" t="s">
        <v>10</v>
      </c>
      <c r="C535">
        <v>2022</v>
      </c>
      <c r="D535">
        <v>98.75</v>
      </c>
      <c r="E535" t="s">
        <v>9</v>
      </c>
      <c r="F535">
        <v>92.125</v>
      </c>
      <c r="G535" s="1">
        <f>DATE(C535, CHOOSE(MATCH(UPPER(B535), {"ENERO","FEBRERO","MARZO","ABRIL","MAYO","JUNIO","JULIO","AGOSTO","SEPTIEMBRE","OCTUBRE","NOVIEMBRE","DICIEMBRE"}, 0), 1,2,3,4,5,6,7,8,9,10,11,12), A535)</f>
        <v>44820</v>
      </c>
      <c r="H535">
        <v>6.625</v>
      </c>
      <c r="I535">
        <v>52000</v>
      </c>
      <c r="J535" s="1">
        <f t="shared" si="17"/>
        <v>44000</v>
      </c>
      <c r="K535" s="2" t="e">
        <f t="shared" si="16"/>
        <v>#N/A</v>
      </c>
    </row>
    <row r="536" spans="1:11" x14ac:dyDescent="0.25">
      <c r="A536">
        <v>17</v>
      </c>
      <c r="B536" t="s">
        <v>10</v>
      </c>
      <c r="C536">
        <v>2022</v>
      </c>
      <c r="D536">
        <v>92.125</v>
      </c>
      <c r="E536" t="s">
        <v>9</v>
      </c>
      <c r="F536">
        <v>70.125</v>
      </c>
      <c r="G536" s="1">
        <f>DATE(C536, CHOOSE(MATCH(UPPER(B536), {"ENERO","FEBRERO","MARZO","ABRIL","MAYO","JUNIO","JULIO","AGOSTO","SEPTIEMBRE","OCTUBRE","NOVIEMBRE","DICIEMBRE"}, 0), 1,2,3,4,5,6,7,8,9,10,11,12), A536)</f>
        <v>44821</v>
      </c>
      <c r="H536">
        <v>22</v>
      </c>
      <c r="I536">
        <v>52000</v>
      </c>
      <c r="J536" s="1">
        <f t="shared" si="17"/>
        <v>44001</v>
      </c>
      <c r="K536" s="2" t="e">
        <f t="shared" si="16"/>
        <v>#N/A</v>
      </c>
    </row>
    <row r="537" spans="1:11" x14ac:dyDescent="0.25">
      <c r="A537">
        <v>18</v>
      </c>
      <c r="B537" t="s">
        <v>10</v>
      </c>
      <c r="C537">
        <v>2022</v>
      </c>
      <c r="D537">
        <v>70.125</v>
      </c>
      <c r="E537" t="s">
        <v>9</v>
      </c>
      <c r="F537">
        <v>55.375</v>
      </c>
      <c r="G537" s="1">
        <f>DATE(C537, CHOOSE(MATCH(UPPER(B537), {"ENERO","FEBRERO","MARZO","ABRIL","MAYO","JUNIO","JULIO","AGOSTO","SEPTIEMBRE","OCTUBRE","NOVIEMBRE","DICIEMBRE"}, 0), 1,2,3,4,5,6,7,8,9,10,11,12), A537)</f>
        <v>44822</v>
      </c>
      <c r="H537">
        <v>14.75</v>
      </c>
      <c r="I537">
        <v>52000</v>
      </c>
      <c r="J537" s="1">
        <f t="shared" si="17"/>
        <v>44002</v>
      </c>
      <c r="K537" s="2" t="e">
        <f t="shared" si="16"/>
        <v>#N/A</v>
      </c>
    </row>
    <row r="538" spans="1:11" x14ac:dyDescent="0.25">
      <c r="A538">
        <v>19</v>
      </c>
      <c r="B538" t="s">
        <v>10</v>
      </c>
      <c r="C538">
        <v>2022</v>
      </c>
      <c r="D538">
        <v>55.375</v>
      </c>
      <c r="E538" t="s">
        <v>9</v>
      </c>
      <c r="F538">
        <v>50.875</v>
      </c>
      <c r="G538" s="1">
        <f>DATE(C538, CHOOSE(MATCH(UPPER(B538), {"ENERO","FEBRERO","MARZO","ABRIL","MAYO","JUNIO","JULIO","AGOSTO","SEPTIEMBRE","OCTUBRE","NOVIEMBRE","DICIEMBRE"}, 0), 1,2,3,4,5,6,7,8,9,10,11,12), A538)</f>
        <v>44823</v>
      </c>
      <c r="H538">
        <v>4.5</v>
      </c>
      <c r="I538">
        <v>52000</v>
      </c>
      <c r="J538" s="1">
        <f t="shared" si="17"/>
        <v>44003</v>
      </c>
      <c r="K538" s="2" t="e">
        <f t="shared" si="16"/>
        <v>#N/A</v>
      </c>
    </row>
    <row r="539" spans="1:11" x14ac:dyDescent="0.25">
      <c r="A539">
        <v>20</v>
      </c>
      <c r="B539" t="s">
        <v>10</v>
      </c>
      <c r="C539">
        <v>2022</v>
      </c>
      <c r="D539">
        <v>50.875</v>
      </c>
      <c r="E539" t="s">
        <v>9</v>
      </c>
      <c r="F539">
        <v>43.25</v>
      </c>
      <c r="G539" s="1">
        <f>DATE(C539, CHOOSE(MATCH(UPPER(B539), {"ENERO","FEBRERO","MARZO","ABRIL","MAYO","JUNIO","JULIO","AGOSTO","SEPTIEMBRE","OCTUBRE","NOVIEMBRE","DICIEMBRE"}, 0), 1,2,3,4,5,6,7,8,9,10,11,12), A539)</f>
        <v>44824</v>
      </c>
      <c r="H539">
        <v>7.625</v>
      </c>
      <c r="I539">
        <v>52000</v>
      </c>
      <c r="J539" s="1">
        <f t="shared" si="17"/>
        <v>44004</v>
      </c>
      <c r="K539" s="2" t="e">
        <f t="shared" si="16"/>
        <v>#N/A</v>
      </c>
    </row>
    <row r="540" spans="1:11" x14ac:dyDescent="0.25">
      <c r="A540">
        <v>21</v>
      </c>
      <c r="B540" t="s">
        <v>10</v>
      </c>
      <c r="C540">
        <v>2022</v>
      </c>
      <c r="D540">
        <v>43.25</v>
      </c>
      <c r="E540" t="s">
        <v>9</v>
      </c>
      <c r="F540">
        <v>34.75</v>
      </c>
      <c r="G540" s="1">
        <f>DATE(C540, CHOOSE(MATCH(UPPER(B540), {"ENERO","FEBRERO","MARZO","ABRIL","MAYO","JUNIO","JULIO","AGOSTO","SEPTIEMBRE","OCTUBRE","NOVIEMBRE","DICIEMBRE"}, 0), 1,2,3,4,5,6,7,8,9,10,11,12), A540)</f>
        <v>44825</v>
      </c>
      <c r="H540">
        <v>8.5</v>
      </c>
      <c r="I540">
        <v>52000</v>
      </c>
      <c r="J540" s="1">
        <f t="shared" si="17"/>
        <v>44005</v>
      </c>
      <c r="K540" s="2" t="e">
        <f t="shared" si="16"/>
        <v>#N/A</v>
      </c>
    </row>
    <row r="541" spans="1:11" x14ac:dyDescent="0.25">
      <c r="A541">
        <v>22</v>
      </c>
      <c r="B541" t="s">
        <v>10</v>
      </c>
      <c r="C541">
        <v>2022</v>
      </c>
      <c r="D541">
        <v>34.75</v>
      </c>
      <c r="E541">
        <v>30</v>
      </c>
      <c r="F541">
        <v>60.375</v>
      </c>
      <c r="G541" s="1">
        <f>DATE(C541, CHOOSE(MATCH(UPPER(B541), {"ENERO","FEBRERO","MARZO","ABRIL","MAYO","JUNIO","JULIO","AGOSTO","SEPTIEMBRE","OCTUBRE","NOVIEMBRE","DICIEMBRE"}, 0), 1,2,3,4,5,6,7,8,9,10,11,12), A541)</f>
        <v>44826</v>
      </c>
      <c r="H541">
        <v>4.375</v>
      </c>
      <c r="I541">
        <v>52000</v>
      </c>
      <c r="J541" s="1">
        <f t="shared" si="17"/>
        <v>44006</v>
      </c>
      <c r="K541" s="2" t="e">
        <f t="shared" si="16"/>
        <v>#N/A</v>
      </c>
    </row>
    <row r="542" spans="1:11" x14ac:dyDescent="0.25">
      <c r="A542">
        <v>23</v>
      </c>
      <c r="B542" t="s">
        <v>10</v>
      </c>
      <c r="C542">
        <v>2022</v>
      </c>
      <c r="D542">
        <v>60.375</v>
      </c>
      <c r="E542" t="s">
        <v>9</v>
      </c>
      <c r="F542">
        <v>52.25</v>
      </c>
      <c r="G542" s="1">
        <f>DATE(C542, CHOOSE(MATCH(UPPER(B542), {"ENERO","FEBRERO","MARZO","ABRIL","MAYO","JUNIO","JULIO","AGOSTO","SEPTIEMBRE","OCTUBRE","NOVIEMBRE","DICIEMBRE"}, 0), 1,2,3,4,5,6,7,8,9,10,11,12), A542)</f>
        <v>44827</v>
      </c>
      <c r="H542">
        <v>8.125</v>
      </c>
      <c r="I542">
        <v>52000</v>
      </c>
      <c r="J542" s="1">
        <f t="shared" si="17"/>
        <v>44007</v>
      </c>
      <c r="K542" s="2" t="e">
        <f t="shared" si="16"/>
        <v>#N/A</v>
      </c>
    </row>
    <row r="543" spans="1:11" x14ac:dyDescent="0.25">
      <c r="A543">
        <v>24</v>
      </c>
      <c r="B543" t="s">
        <v>10</v>
      </c>
      <c r="C543">
        <v>2022</v>
      </c>
      <c r="D543">
        <v>52.25</v>
      </c>
      <c r="E543" t="s">
        <v>9</v>
      </c>
      <c r="F543">
        <v>39.75</v>
      </c>
      <c r="G543" s="1">
        <f>DATE(C543, CHOOSE(MATCH(UPPER(B543), {"ENERO","FEBRERO","MARZO","ABRIL","MAYO","JUNIO","JULIO","AGOSTO","SEPTIEMBRE","OCTUBRE","NOVIEMBRE","DICIEMBRE"}, 0), 1,2,3,4,5,6,7,8,9,10,11,12), A543)</f>
        <v>44828</v>
      </c>
      <c r="H543">
        <v>12.5</v>
      </c>
      <c r="I543">
        <v>52000</v>
      </c>
      <c r="J543" s="1">
        <f t="shared" si="17"/>
        <v>44008</v>
      </c>
      <c r="K543" s="2" t="e">
        <f t="shared" si="16"/>
        <v>#N/A</v>
      </c>
    </row>
    <row r="544" spans="1:11" x14ac:dyDescent="0.25">
      <c r="A544">
        <v>25</v>
      </c>
      <c r="B544" t="s">
        <v>10</v>
      </c>
      <c r="C544">
        <v>2022</v>
      </c>
      <c r="D544">
        <v>39.75</v>
      </c>
      <c r="E544" t="s">
        <v>9</v>
      </c>
      <c r="F544">
        <v>28</v>
      </c>
      <c r="G544" s="1">
        <f>DATE(C544, CHOOSE(MATCH(UPPER(B544), {"ENERO","FEBRERO","MARZO","ABRIL","MAYO","JUNIO","JULIO","AGOSTO","SEPTIEMBRE","OCTUBRE","NOVIEMBRE","DICIEMBRE"}, 0), 1,2,3,4,5,6,7,8,9,10,11,12), A544)</f>
        <v>44829</v>
      </c>
      <c r="H544">
        <v>11.75</v>
      </c>
      <c r="I544">
        <v>52000</v>
      </c>
      <c r="J544" s="1">
        <f t="shared" si="17"/>
        <v>44009</v>
      </c>
      <c r="K544" s="2" t="e">
        <f t="shared" si="16"/>
        <v>#N/A</v>
      </c>
    </row>
    <row r="545" spans="1:11" x14ac:dyDescent="0.25">
      <c r="A545">
        <v>26</v>
      </c>
      <c r="B545" t="s">
        <v>10</v>
      </c>
      <c r="C545">
        <v>2022</v>
      </c>
      <c r="D545">
        <v>28</v>
      </c>
      <c r="E545" t="s">
        <v>9</v>
      </c>
      <c r="F545">
        <v>20</v>
      </c>
      <c r="G545" s="1">
        <f>DATE(C545, CHOOSE(MATCH(UPPER(B545), {"ENERO","FEBRERO","MARZO","ABRIL","MAYO","JUNIO","JULIO","AGOSTO","SEPTIEMBRE","OCTUBRE","NOVIEMBRE","DICIEMBRE"}, 0), 1,2,3,4,5,6,7,8,9,10,11,12), A545)</f>
        <v>44830</v>
      </c>
      <c r="H545">
        <v>8</v>
      </c>
      <c r="I545">
        <v>52000</v>
      </c>
      <c r="J545" s="1">
        <f t="shared" si="17"/>
        <v>44010</v>
      </c>
      <c r="K545" s="2" t="e">
        <f t="shared" si="16"/>
        <v>#N/A</v>
      </c>
    </row>
    <row r="546" spans="1:11" x14ac:dyDescent="0.25">
      <c r="A546">
        <v>27</v>
      </c>
      <c r="B546" t="s">
        <v>10</v>
      </c>
      <c r="C546">
        <v>2022</v>
      </c>
      <c r="D546">
        <v>20</v>
      </c>
      <c r="E546" t="s">
        <v>9</v>
      </c>
      <c r="F546">
        <v>12.125</v>
      </c>
      <c r="G546" s="1">
        <f>DATE(C546, CHOOSE(MATCH(UPPER(B546), {"ENERO","FEBRERO","MARZO","ABRIL","MAYO","JUNIO","JULIO","AGOSTO","SEPTIEMBRE","OCTUBRE","NOVIEMBRE","DICIEMBRE"}, 0), 1,2,3,4,5,6,7,8,9,10,11,12), A546)</f>
        <v>44831</v>
      </c>
      <c r="H546">
        <v>7.875</v>
      </c>
      <c r="I546">
        <v>52000</v>
      </c>
      <c r="J546" s="1">
        <f t="shared" si="17"/>
        <v>44011</v>
      </c>
      <c r="K546" s="2" t="e">
        <f t="shared" si="16"/>
        <v>#N/A</v>
      </c>
    </row>
    <row r="547" spans="1:11" x14ac:dyDescent="0.25">
      <c r="A547">
        <v>28</v>
      </c>
      <c r="B547" t="s">
        <v>10</v>
      </c>
      <c r="C547">
        <v>2022</v>
      </c>
      <c r="D547">
        <v>12.125</v>
      </c>
      <c r="E547">
        <v>50</v>
      </c>
      <c r="F547">
        <v>57.625</v>
      </c>
      <c r="G547" s="1">
        <f>DATE(C547, CHOOSE(MATCH(UPPER(B547), {"ENERO","FEBRERO","MARZO","ABRIL","MAYO","JUNIO","JULIO","AGOSTO","SEPTIEMBRE","OCTUBRE","NOVIEMBRE","DICIEMBRE"}, 0), 1,2,3,4,5,6,7,8,9,10,11,12), A547)</f>
        <v>44832</v>
      </c>
      <c r="H547">
        <v>4.5</v>
      </c>
      <c r="I547">
        <v>52000</v>
      </c>
      <c r="J547" s="1">
        <f t="shared" si="17"/>
        <v>44012</v>
      </c>
      <c r="K547" s="2" t="e">
        <f t="shared" si="16"/>
        <v>#N/A</v>
      </c>
    </row>
    <row r="548" spans="1:11" x14ac:dyDescent="0.25">
      <c r="A548">
        <v>29</v>
      </c>
      <c r="B548" t="s">
        <v>10</v>
      </c>
      <c r="C548">
        <v>2022</v>
      </c>
      <c r="D548">
        <v>57.625</v>
      </c>
      <c r="E548" t="s">
        <v>9</v>
      </c>
      <c r="F548">
        <v>51.5</v>
      </c>
      <c r="G548" s="1">
        <f>DATE(C548, CHOOSE(MATCH(UPPER(B548), {"ENERO","FEBRERO","MARZO","ABRIL","MAYO","JUNIO","JULIO","AGOSTO","SEPTIEMBRE","OCTUBRE","NOVIEMBRE","DICIEMBRE"}, 0), 1,2,3,4,5,6,7,8,9,10,11,12), A548)</f>
        <v>44833</v>
      </c>
      <c r="H548">
        <v>6.125</v>
      </c>
      <c r="I548">
        <v>52000</v>
      </c>
      <c r="J548" s="1">
        <f t="shared" si="17"/>
        <v>44013</v>
      </c>
      <c r="K548" s="2" t="e">
        <f t="shared" si="16"/>
        <v>#N/A</v>
      </c>
    </row>
    <row r="549" spans="1:11" x14ac:dyDescent="0.25">
      <c r="A549">
        <v>30</v>
      </c>
      <c r="B549" t="s">
        <v>9</v>
      </c>
      <c r="C549" t="s">
        <v>9</v>
      </c>
      <c r="D549">
        <v>51.5</v>
      </c>
      <c r="E549" t="s">
        <v>9</v>
      </c>
      <c r="F549">
        <v>43.75</v>
      </c>
      <c r="G549" s="1" t="e">
        <f>DATE(C549, CHOOSE(MATCH(UPPER(B549), {"ENERO","FEBRERO","MARZO","ABRIL","MAYO","JUNIO","JULIO","AGOSTO","SEPTIEMBRE","OCTUBRE","NOVIEMBRE","DICIEMBRE"}, 0), 1,2,3,4,5,6,7,8,9,10,11,12), A549)</f>
        <v>#VALUE!</v>
      </c>
      <c r="H549">
        <v>7.75</v>
      </c>
      <c r="I549">
        <v>52000</v>
      </c>
      <c r="J549" s="1">
        <f t="shared" si="17"/>
        <v>44014</v>
      </c>
      <c r="K549" s="2" t="e">
        <f t="shared" si="16"/>
        <v>#N/A</v>
      </c>
    </row>
    <row r="550" spans="1:11" x14ac:dyDescent="0.25">
      <c r="A550">
        <v>1</v>
      </c>
      <c r="B550" t="s">
        <v>19</v>
      </c>
      <c r="C550">
        <v>2022</v>
      </c>
      <c r="D550">
        <v>60.375</v>
      </c>
      <c r="E550" t="s">
        <v>9</v>
      </c>
      <c r="F550">
        <v>54.125</v>
      </c>
      <c r="G550" s="1">
        <f>DATE(C550, CHOOSE(MATCH(UPPER(B550), {"ENERO","FEBRERO","MARZO","ABRIL","MAYO","JUNIO","JULIO","AGOSTO","SEPTIEMBRE","OCTUBRE","NOVIEMBRE","DICIEMBRE"}, 0), 1,2,3,4,5,6,7,8,9,10,11,12), A550)</f>
        <v>44866</v>
      </c>
      <c r="H550">
        <v>6.25</v>
      </c>
      <c r="I550">
        <v>52000</v>
      </c>
      <c r="J550" s="1">
        <f t="shared" si="17"/>
        <v>44015</v>
      </c>
      <c r="K550" s="2" t="e">
        <f t="shared" si="16"/>
        <v>#N/A</v>
      </c>
    </row>
    <row r="551" spans="1:11" x14ac:dyDescent="0.25">
      <c r="A551">
        <v>2</v>
      </c>
      <c r="B551" t="s">
        <v>19</v>
      </c>
      <c r="C551">
        <v>2022</v>
      </c>
      <c r="D551">
        <v>54.125</v>
      </c>
      <c r="E551" t="s">
        <v>9</v>
      </c>
      <c r="F551">
        <v>46.375</v>
      </c>
      <c r="G551" s="1">
        <f>DATE(C551, CHOOSE(MATCH(UPPER(B551), {"ENERO","FEBRERO","MARZO","ABRIL","MAYO","JUNIO","JULIO","AGOSTO","SEPTIEMBRE","OCTUBRE","NOVIEMBRE","DICIEMBRE"}, 0), 1,2,3,4,5,6,7,8,9,10,11,12), A551)</f>
        <v>44867</v>
      </c>
      <c r="H551">
        <v>7.75</v>
      </c>
      <c r="I551">
        <v>52000</v>
      </c>
      <c r="J551" s="1">
        <f t="shared" si="17"/>
        <v>44016</v>
      </c>
      <c r="K551" s="2" t="e">
        <f t="shared" si="16"/>
        <v>#N/A</v>
      </c>
    </row>
    <row r="552" spans="1:11" x14ac:dyDescent="0.25">
      <c r="A552">
        <v>3</v>
      </c>
      <c r="B552" t="s">
        <v>19</v>
      </c>
      <c r="C552">
        <v>2022</v>
      </c>
      <c r="D552">
        <v>46.375</v>
      </c>
      <c r="E552" t="s">
        <v>9</v>
      </c>
      <c r="F552">
        <v>39.75</v>
      </c>
      <c r="G552" s="1">
        <f>DATE(C552, CHOOSE(MATCH(UPPER(B552), {"ENERO","FEBRERO","MARZO","ABRIL","MAYO","JUNIO","JULIO","AGOSTO","SEPTIEMBRE","OCTUBRE","NOVIEMBRE","DICIEMBRE"}, 0), 1,2,3,4,5,6,7,8,9,10,11,12), A552)</f>
        <v>44868</v>
      </c>
      <c r="H552">
        <v>6.625</v>
      </c>
      <c r="I552">
        <v>52000</v>
      </c>
      <c r="J552" s="1">
        <f t="shared" si="17"/>
        <v>44017</v>
      </c>
      <c r="K552" s="2" t="e">
        <f t="shared" si="16"/>
        <v>#N/A</v>
      </c>
    </row>
    <row r="553" spans="1:11" x14ac:dyDescent="0.25">
      <c r="A553">
        <v>4</v>
      </c>
      <c r="B553" t="s">
        <v>19</v>
      </c>
      <c r="C553">
        <v>2022</v>
      </c>
      <c r="D553">
        <v>39.75</v>
      </c>
      <c r="E553" t="s">
        <v>9</v>
      </c>
      <c r="F553">
        <v>29.75</v>
      </c>
      <c r="G553" s="1">
        <f>DATE(C553, CHOOSE(MATCH(UPPER(B553), {"ENERO","FEBRERO","MARZO","ABRIL","MAYO","JUNIO","JULIO","AGOSTO","SEPTIEMBRE","OCTUBRE","NOVIEMBRE","DICIEMBRE"}, 0), 1,2,3,4,5,6,7,8,9,10,11,12), A553)</f>
        <v>44869</v>
      </c>
      <c r="H553">
        <v>10</v>
      </c>
      <c r="I553">
        <v>52000</v>
      </c>
      <c r="J553" s="1">
        <f t="shared" si="17"/>
        <v>44018</v>
      </c>
      <c r="K553" s="2" t="e">
        <f t="shared" si="16"/>
        <v>#N/A</v>
      </c>
    </row>
    <row r="554" spans="1:11" x14ac:dyDescent="0.25">
      <c r="A554">
        <v>5</v>
      </c>
      <c r="B554" t="s">
        <v>19</v>
      </c>
      <c r="C554">
        <v>2022</v>
      </c>
      <c r="D554">
        <v>29.75</v>
      </c>
      <c r="E554">
        <v>40</v>
      </c>
      <c r="F554">
        <v>54.375</v>
      </c>
      <c r="G554" s="1">
        <f>DATE(C554, CHOOSE(MATCH(UPPER(B554), {"ENERO","FEBRERO","MARZO","ABRIL","MAYO","JUNIO","JULIO","AGOSTO","SEPTIEMBRE","OCTUBRE","NOVIEMBRE","DICIEMBRE"}, 0), 1,2,3,4,5,6,7,8,9,10,11,12), A554)</f>
        <v>44870</v>
      </c>
      <c r="H554">
        <v>15.375</v>
      </c>
      <c r="I554">
        <v>52000</v>
      </c>
      <c r="J554" s="1">
        <f t="shared" si="17"/>
        <v>44019</v>
      </c>
      <c r="K554" s="2" t="e">
        <f t="shared" si="16"/>
        <v>#N/A</v>
      </c>
    </row>
    <row r="555" spans="1:11" x14ac:dyDescent="0.25">
      <c r="A555">
        <v>6</v>
      </c>
      <c r="B555" t="s">
        <v>19</v>
      </c>
      <c r="C555">
        <v>2022</v>
      </c>
      <c r="D555">
        <v>54.375</v>
      </c>
      <c r="E555" t="s">
        <v>9</v>
      </c>
      <c r="F555">
        <v>42.25</v>
      </c>
      <c r="G555" s="1">
        <f>DATE(C555, CHOOSE(MATCH(UPPER(B555), {"ENERO","FEBRERO","MARZO","ABRIL","MAYO","JUNIO","JULIO","AGOSTO","SEPTIEMBRE","OCTUBRE","NOVIEMBRE","DICIEMBRE"}, 0), 1,2,3,4,5,6,7,8,9,10,11,12), A555)</f>
        <v>44871</v>
      </c>
      <c r="H555">
        <v>12.125</v>
      </c>
      <c r="I555">
        <v>52000</v>
      </c>
      <c r="J555" s="1">
        <f t="shared" si="17"/>
        <v>44020</v>
      </c>
      <c r="K555" s="2" t="e">
        <f t="shared" si="16"/>
        <v>#N/A</v>
      </c>
    </row>
    <row r="556" spans="1:11" x14ac:dyDescent="0.25">
      <c r="A556">
        <v>7</v>
      </c>
      <c r="B556" t="s">
        <v>19</v>
      </c>
      <c r="C556">
        <v>2022</v>
      </c>
      <c r="D556">
        <v>42.25</v>
      </c>
      <c r="E556" t="s">
        <v>9</v>
      </c>
      <c r="F556">
        <v>27.5</v>
      </c>
      <c r="G556" s="1">
        <f>DATE(C556, CHOOSE(MATCH(UPPER(B556), {"ENERO","FEBRERO","MARZO","ABRIL","MAYO","JUNIO","JULIO","AGOSTO","SEPTIEMBRE","OCTUBRE","NOVIEMBRE","DICIEMBRE"}, 0), 1,2,3,4,5,6,7,8,9,10,11,12), A556)</f>
        <v>44872</v>
      </c>
      <c r="H556">
        <v>14.75</v>
      </c>
      <c r="I556">
        <v>52000</v>
      </c>
      <c r="J556" s="1">
        <f t="shared" si="17"/>
        <v>44021</v>
      </c>
      <c r="K556" s="2" t="e">
        <f t="shared" si="16"/>
        <v>#N/A</v>
      </c>
    </row>
    <row r="557" spans="1:11" x14ac:dyDescent="0.25">
      <c r="A557">
        <v>8</v>
      </c>
      <c r="B557" t="s">
        <v>19</v>
      </c>
      <c r="C557">
        <v>2022</v>
      </c>
      <c r="D557">
        <v>27.5</v>
      </c>
      <c r="E557" t="s">
        <v>9</v>
      </c>
      <c r="F557">
        <v>15.375</v>
      </c>
      <c r="G557" s="1">
        <f>DATE(C557, CHOOSE(MATCH(UPPER(B557), {"ENERO","FEBRERO","MARZO","ABRIL","MAYO","JUNIO","JULIO","AGOSTO","SEPTIEMBRE","OCTUBRE","NOVIEMBRE","DICIEMBRE"}, 0), 1,2,3,4,5,6,7,8,9,10,11,12), A557)</f>
        <v>44873</v>
      </c>
      <c r="H557">
        <v>12.125</v>
      </c>
      <c r="I557">
        <v>52000</v>
      </c>
      <c r="J557" s="1">
        <f t="shared" si="17"/>
        <v>44022</v>
      </c>
      <c r="K557" s="2" t="e">
        <f t="shared" si="16"/>
        <v>#N/A</v>
      </c>
    </row>
    <row r="558" spans="1:11" x14ac:dyDescent="0.25">
      <c r="A558">
        <v>9</v>
      </c>
      <c r="B558" t="s">
        <v>19</v>
      </c>
      <c r="C558">
        <v>2022</v>
      </c>
      <c r="D558">
        <v>15.375</v>
      </c>
      <c r="E558">
        <v>30</v>
      </c>
      <c r="F558">
        <v>41</v>
      </c>
      <c r="G558" s="1">
        <f>DATE(C558, CHOOSE(MATCH(UPPER(B558), {"ENERO","FEBRERO","MARZO","ABRIL","MAYO","JUNIO","JULIO","AGOSTO","SEPTIEMBRE","OCTUBRE","NOVIEMBRE","DICIEMBRE"}, 0), 1,2,3,4,5,6,7,8,9,10,11,12), A558)</f>
        <v>44874</v>
      </c>
      <c r="H558">
        <v>4.375</v>
      </c>
      <c r="I558">
        <v>52000</v>
      </c>
      <c r="J558" s="1">
        <f t="shared" si="17"/>
        <v>44023</v>
      </c>
      <c r="K558" s="2" t="e">
        <f t="shared" si="16"/>
        <v>#N/A</v>
      </c>
    </row>
    <row r="559" spans="1:11" x14ac:dyDescent="0.25">
      <c r="A559">
        <v>10</v>
      </c>
      <c r="B559" t="s">
        <v>19</v>
      </c>
      <c r="C559">
        <v>2022</v>
      </c>
      <c r="D559">
        <v>41</v>
      </c>
      <c r="E559" t="s">
        <v>9</v>
      </c>
      <c r="F559">
        <v>34.125</v>
      </c>
      <c r="G559" s="1">
        <f>DATE(C559, CHOOSE(MATCH(UPPER(B559), {"ENERO","FEBRERO","MARZO","ABRIL","MAYO","JUNIO","JULIO","AGOSTO","SEPTIEMBRE","OCTUBRE","NOVIEMBRE","DICIEMBRE"}, 0), 1,2,3,4,5,6,7,8,9,10,11,12), A559)</f>
        <v>44875</v>
      </c>
      <c r="H559">
        <v>6.875</v>
      </c>
      <c r="I559">
        <v>52000</v>
      </c>
      <c r="J559" s="1">
        <f t="shared" si="17"/>
        <v>44024</v>
      </c>
      <c r="K559" s="2" t="e">
        <f t="shared" si="16"/>
        <v>#N/A</v>
      </c>
    </row>
    <row r="560" spans="1:11" x14ac:dyDescent="0.25">
      <c r="A560">
        <v>11</v>
      </c>
      <c r="B560" t="s">
        <v>19</v>
      </c>
      <c r="C560">
        <v>2022</v>
      </c>
      <c r="D560">
        <v>34.125</v>
      </c>
      <c r="E560" t="s">
        <v>9</v>
      </c>
      <c r="F560">
        <v>25.875</v>
      </c>
      <c r="G560" s="1">
        <f>DATE(C560, CHOOSE(MATCH(UPPER(B560), {"ENERO","FEBRERO","MARZO","ABRIL","MAYO","JUNIO","JULIO","AGOSTO","SEPTIEMBRE","OCTUBRE","NOVIEMBRE","DICIEMBRE"}, 0), 1,2,3,4,5,6,7,8,9,10,11,12), A560)</f>
        <v>44876</v>
      </c>
      <c r="H560">
        <v>8.25</v>
      </c>
      <c r="I560">
        <v>52000</v>
      </c>
      <c r="J560" s="1">
        <f t="shared" si="17"/>
        <v>44025</v>
      </c>
      <c r="K560" s="2" t="e">
        <f t="shared" si="16"/>
        <v>#N/A</v>
      </c>
    </row>
    <row r="561" spans="1:11" x14ac:dyDescent="0.25">
      <c r="A561">
        <v>12</v>
      </c>
      <c r="B561" t="s">
        <v>19</v>
      </c>
      <c r="C561">
        <v>2022</v>
      </c>
      <c r="D561">
        <v>25.875</v>
      </c>
      <c r="E561" t="s">
        <v>9</v>
      </c>
      <c r="F561">
        <v>15.75</v>
      </c>
      <c r="G561" s="1">
        <f>DATE(C561, CHOOSE(MATCH(UPPER(B561), {"ENERO","FEBRERO","MARZO","ABRIL","MAYO","JUNIO","JULIO","AGOSTO","SEPTIEMBRE","OCTUBRE","NOVIEMBRE","DICIEMBRE"}, 0), 1,2,3,4,5,6,7,8,9,10,11,12), A561)</f>
        <v>44877</v>
      </c>
      <c r="H561">
        <v>10.125</v>
      </c>
      <c r="I561">
        <v>52000</v>
      </c>
      <c r="J561" s="1">
        <f t="shared" si="17"/>
        <v>44026</v>
      </c>
      <c r="K561" s="2" t="e">
        <f t="shared" si="16"/>
        <v>#N/A</v>
      </c>
    </row>
    <row r="562" spans="1:11" x14ac:dyDescent="0.25">
      <c r="A562">
        <v>13</v>
      </c>
      <c r="B562" t="s">
        <v>19</v>
      </c>
      <c r="C562">
        <v>2022</v>
      </c>
      <c r="D562">
        <v>15.75</v>
      </c>
      <c r="E562">
        <v>30</v>
      </c>
      <c r="F562">
        <v>35.5</v>
      </c>
      <c r="G562" s="1">
        <f>DATE(C562, CHOOSE(MATCH(UPPER(B562), {"ENERO","FEBRERO","MARZO","ABRIL","MAYO","JUNIO","JULIO","AGOSTO","SEPTIEMBRE","OCTUBRE","NOVIEMBRE","DICIEMBRE"}, 0), 1,2,3,4,5,6,7,8,9,10,11,12), A562)</f>
        <v>44878</v>
      </c>
      <c r="H562">
        <v>10.25</v>
      </c>
      <c r="I562">
        <v>52000</v>
      </c>
      <c r="J562" s="1">
        <f t="shared" si="17"/>
        <v>44027</v>
      </c>
      <c r="K562" s="2" t="e">
        <f t="shared" si="16"/>
        <v>#N/A</v>
      </c>
    </row>
    <row r="563" spans="1:11" x14ac:dyDescent="0.25">
      <c r="A563">
        <v>14</v>
      </c>
      <c r="B563" t="s">
        <v>19</v>
      </c>
      <c r="C563">
        <v>2022</v>
      </c>
      <c r="D563">
        <v>35.5</v>
      </c>
      <c r="E563" t="s">
        <v>9</v>
      </c>
      <c r="F563">
        <v>25.25</v>
      </c>
      <c r="G563" s="1">
        <f>DATE(C563, CHOOSE(MATCH(UPPER(B563), {"ENERO","FEBRERO","MARZO","ABRIL","MAYO","JUNIO","JULIO","AGOSTO","SEPTIEMBRE","OCTUBRE","NOVIEMBRE","DICIEMBRE"}, 0), 1,2,3,4,5,6,7,8,9,10,11,12), A563)</f>
        <v>44879</v>
      </c>
      <c r="H563">
        <v>10.25</v>
      </c>
      <c r="I563">
        <v>52000</v>
      </c>
      <c r="J563" s="1">
        <f t="shared" si="17"/>
        <v>44028</v>
      </c>
      <c r="K563" s="2" t="e">
        <f t="shared" si="16"/>
        <v>#N/A</v>
      </c>
    </row>
    <row r="564" spans="1:11" x14ac:dyDescent="0.25">
      <c r="A564">
        <v>15</v>
      </c>
      <c r="B564" t="s">
        <v>19</v>
      </c>
      <c r="C564">
        <v>2022</v>
      </c>
      <c r="D564">
        <v>25.25</v>
      </c>
      <c r="E564" t="s">
        <v>9</v>
      </c>
      <c r="F564">
        <v>18.875</v>
      </c>
      <c r="G564" s="1">
        <f>DATE(C564, CHOOSE(MATCH(UPPER(B564), {"ENERO","FEBRERO","MARZO","ABRIL","MAYO","JUNIO","JULIO","AGOSTO","SEPTIEMBRE","OCTUBRE","NOVIEMBRE","DICIEMBRE"}, 0), 1,2,3,4,5,6,7,8,9,10,11,12), A564)</f>
        <v>44880</v>
      </c>
      <c r="H564">
        <v>6.375</v>
      </c>
      <c r="I564">
        <v>52000</v>
      </c>
      <c r="J564" s="1">
        <f t="shared" si="17"/>
        <v>44029</v>
      </c>
      <c r="K564" s="2" t="e">
        <f t="shared" si="16"/>
        <v>#N/A</v>
      </c>
    </row>
    <row r="565" spans="1:11" x14ac:dyDescent="0.25">
      <c r="A565">
        <v>16</v>
      </c>
      <c r="B565" t="s">
        <v>19</v>
      </c>
      <c r="C565">
        <v>2022</v>
      </c>
      <c r="D565">
        <v>18.875</v>
      </c>
      <c r="E565">
        <v>30</v>
      </c>
      <c r="F565">
        <v>45.875</v>
      </c>
      <c r="G565" s="1">
        <f>DATE(C565, CHOOSE(MATCH(UPPER(B565), {"ENERO","FEBRERO","MARZO","ABRIL","MAYO","JUNIO","JULIO","AGOSTO","SEPTIEMBRE","OCTUBRE","NOVIEMBRE","DICIEMBRE"}, 0), 1,2,3,4,5,6,7,8,9,10,11,12), A565)</f>
        <v>44881</v>
      </c>
      <c r="H565">
        <v>3</v>
      </c>
      <c r="I565">
        <v>52000</v>
      </c>
      <c r="J565" s="1">
        <f t="shared" si="17"/>
        <v>44030</v>
      </c>
      <c r="K565" s="2" t="e">
        <f t="shared" si="16"/>
        <v>#N/A</v>
      </c>
    </row>
    <row r="566" spans="1:11" x14ac:dyDescent="0.25">
      <c r="A566">
        <v>17</v>
      </c>
      <c r="B566" t="s">
        <v>19</v>
      </c>
      <c r="C566">
        <v>2022</v>
      </c>
      <c r="D566">
        <v>45.875</v>
      </c>
      <c r="E566" t="s">
        <v>9</v>
      </c>
      <c r="F566">
        <v>40.125</v>
      </c>
      <c r="G566" s="1">
        <f>DATE(C566, CHOOSE(MATCH(UPPER(B566), {"ENERO","FEBRERO","MARZO","ABRIL","MAYO","JUNIO","JULIO","AGOSTO","SEPTIEMBRE","OCTUBRE","NOVIEMBRE","DICIEMBRE"}, 0), 1,2,3,4,5,6,7,8,9,10,11,12), A566)</f>
        <v>44882</v>
      </c>
      <c r="H566">
        <v>5.75</v>
      </c>
      <c r="I566">
        <v>52000</v>
      </c>
      <c r="J566" s="1">
        <f t="shared" si="17"/>
        <v>44031</v>
      </c>
      <c r="K566" s="2" t="e">
        <f t="shared" si="16"/>
        <v>#N/A</v>
      </c>
    </row>
    <row r="567" spans="1:11" x14ac:dyDescent="0.25">
      <c r="A567">
        <v>18</v>
      </c>
      <c r="B567" t="s">
        <v>19</v>
      </c>
      <c r="C567">
        <v>2022</v>
      </c>
      <c r="D567">
        <v>40.125</v>
      </c>
      <c r="E567" t="s">
        <v>9</v>
      </c>
      <c r="F567">
        <v>29.625</v>
      </c>
      <c r="G567" s="1">
        <f>DATE(C567, CHOOSE(MATCH(UPPER(B567), {"ENERO","FEBRERO","MARZO","ABRIL","MAYO","JUNIO","JULIO","AGOSTO","SEPTIEMBRE","OCTUBRE","NOVIEMBRE","DICIEMBRE"}, 0), 1,2,3,4,5,6,7,8,9,10,11,12), A567)</f>
        <v>44883</v>
      </c>
      <c r="H567">
        <v>10.5</v>
      </c>
      <c r="I567">
        <v>52000</v>
      </c>
      <c r="J567" s="1">
        <f t="shared" si="17"/>
        <v>44032</v>
      </c>
      <c r="K567" s="2" t="e">
        <f t="shared" si="16"/>
        <v>#N/A</v>
      </c>
    </row>
    <row r="568" spans="1:11" x14ac:dyDescent="0.25">
      <c r="A568">
        <v>19</v>
      </c>
      <c r="B568" t="s">
        <v>19</v>
      </c>
      <c r="C568">
        <v>2022</v>
      </c>
      <c r="D568">
        <v>29.625</v>
      </c>
      <c r="E568" t="s">
        <v>9</v>
      </c>
      <c r="F568">
        <v>15.5</v>
      </c>
      <c r="G568" s="1">
        <f>DATE(C568, CHOOSE(MATCH(UPPER(B568), {"ENERO","FEBRERO","MARZO","ABRIL","MAYO","JUNIO","JULIO","AGOSTO","SEPTIEMBRE","OCTUBRE","NOVIEMBRE","DICIEMBRE"}, 0), 1,2,3,4,5,6,7,8,9,10,11,12), A568)</f>
        <v>44884</v>
      </c>
      <c r="H568">
        <v>14.125</v>
      </c>
      <c r="I568">
        <v>52000</v>
      </c>
      <c r="J568" s="1">
        <f t="shared" si="17"/>
        <v>44033</v>
      </c>
      <c r="K568" s="2" t="e">
        <f t="shared" si="16"/>
        <v>#N/A</v>
      </c>
    </row>
    <row r="569" spans="1:11" x14ac:dyDescent="0.25">
      <c r="A569">
        <v>20</v>
      </c>
      <c r="B569" t="s">
        <v>19</v>
      </c>
      <c r="C569">
        <v>2022</v>
      </c>
      <c r="D569">
        <v>15.5</v>
      </c>
      <c r="E569">
        <v>20</v>
      </c>
      <c r="F569">
        <v>22.125</v>
      </c>
      <c r="G569" s="1">
        <f>DATE(C569, CHOOSE(MATCH(UPPER(B569), {"ENERO","FEBRERO","MARZO","ABRIL","MAYO","JUNIO","JULIO","AGOSTO","SEPTIEMBRE","OCTUBRE","NOVIEMBRE","DICIEMBRE"}, 0), 1,2,3,4,5,6,7,8,9,10,11,12), A569)</f>
        <v>44885</v>
      </c>
      <c r="H569">
        <v>13.375</v>
      </c>
      <c r="I569">
        <v>52000</v>
      </c>
      <c r="J569" s="1">
        <f t="shared" si="17"/>
        <v>44034</v>
      </c>
      <c r="K569" s="2" t="e">
        <f t="shared" si="16"/>
        <v>#N/A</v>
      </c>
    </row>
    <row r="570" spans="1:11" x14ac:dyDescent="0.25">
      <c r="A570">
        <v>21</v>
      </c>
      <c r="B570" t="s">
        <v>19</v>
      </c>
      <c r="C570">
        <v>2022</v>
      </c>
      <c r="D570">
        <v>22.125</v>
      </c>
      <c r="E570" t="s">
        <v>9</v>
      </c>
      <c r="F570">
        <v>18.375</v>
      </c>
      <c r="G570" s="1">
        <f>DATE(C570, CHOOSE(MATCH(UPPER(B570), {"ENERO","FEBRERO","MARZO","ABRIL","MAYO","JUNIO","JULIO","AGOSTO","SEPTIEMBRE","OCTUBRE","NOVIEMBRE","DICIEMBRE"}, 0), 1,2,3,4,5,6,7,8,9,10,11,12), A570)</f>
        <v>44886</v>
      </c>
      <c r="H570">
        <v>3.75</v>
      </c>
      <c r="I570">
        <v>52000</v>
      </c>
      <c r="J570" s="1">
        <f t="shared" si="17"/>
        <v>44035</v>
      </c>
      <c r="K570" s="2" t="e">
        <f t="shared" si="16"/>
        <v>#N/A</v>
      </c>
    </row>
    <row r="571" spans="1:11" x14ac:dyDescent="0.25">
      <c r="A571">
        <v>22</v>
      </c>
      <c r="B571" t="s">
        <v>19</v>
      </c>
      <c r="C571">
        <v>2022</v>
      </c>
      <c r="D571">
        <v>18.375</v>
      </c>
      <c r="E571" t="s">
        <v>9</v>
      </c>
      <c r="F571">
        <v>13.875</v>
      </c>
      <c r="G571" s="1">
        <f>DATE(C571, CHOOSE(MATCH(UPPER(B571), {"ENERO","FEBRERO","MARZO","ABRIL","MAYO","JUNIO","JULIO","AGOSTO","SEPTIEMBRE","OCTUBRE","NOVIEMBRE","DICIEMBRE"}, 0), 1,2,3,4,5,6,7,8,9,10,11,12), A571)</f>
        <v>44887</v>
      </c>
      <c r="H571">
        <v>4.5</v>
      </c>
      <c r="I571">
        <v>52000</v>
      </c>
      <c r="J571" s="1">
        <f t="shared" si="17"/>
        <v>44036</v>
      </c>
      <c r="K571" s="2" t="e">
        <f t="shared" si="16"/>
        <v>#N/A</v>
      </c>
    </row>
    <row r="572" spans="1:11" x14ac:dyDescent="0.25">
      <c r="A572">
        <v>23</v>
      </c>
      <c r="B572" t="s">
        <v>19</v>
      </c>
      <c r="C572">
        <v>2022</v>
      </c>
      <c r="D572">
        <v>13.875</v>
      </c>
      <c r="E572">
        <v>20</v>
      </c>
      <c r="F572">
        <v>27.625</v>
      </c>
      <c r="G572" s="1">
        <f>DATE(C572, CHOOSE(MATCH(UPPER(B572), {"ENERO","FEBRERO","MARZO","ABRIL","MAYO","JUNIO","JULIO","AGOSTO","SEPTIEMBRE","OCTUBRE","NOVIEMBRE","DICIEMBRE"}, 0), 1,2,3,4,5,6,7,8,9,10,11,12), A572)</f>
        <v>44888</v>
      </c>
      <c r="H572">
        <v>6.25</v>
      </c>
      <c r="I572">
        <v>52000</v>
      </c>
      <c r="J572" s="1">
        <f t="shared" si="17"/>
        <v>44037</v>
      </c>
      <c r="K572" s="2" t="e">
        <f t="shared" si="16"/>
        <v>#N/A</v>
      </c>
    </row>
    <row r="573" spans="1:11" x14ac:dyDescent="0.25">
      <c r="A573">
        <v>24</v>
      </c>
      <c r="B573" t="s">
        <v>19</v>
      </c>
      <c r="C573">
        <v>2022</v>
      </c>
      <c r="D573">
        <v>27.625</v>
      </c>
      <c r="E573" t="s">
        <v>9</v>
      </c>
      <c r="F573">
        <v>19.375</v>
      </c>
      <c r="G573" s="1">
        <f>DATE(C573, CHOOSE(MATCH(UPPER(B573), {"ENERO","FEBRERO","MARZO","ABRIL","MAYO","JUNIO","JULIO","AGOSTO","SEPTIEMBRE","OCTUBRE","NOVIEMBRE","DICIEMBRE"}, 0), 1,2,3,4,5,6,7,8,9,10,11,12), A573)</f>
        <v>44889</v>
      </c>
      <c r="H573">
        <v>8.25</v>
      </c>
      <c r="I573">
        <v>52000</v>
      </c>
      <c r="J573" s="1">
        <f t="shared" si="17"/>
        <v>44038</v>
      </c>
      <c r="K573" s="2" t="e">
        <f t="shared" si="16"/>
        <v>#N/A</v>
      </c>
    </row>
    <row r="574" spans="1:11" x14ac:dyDescent="0.25">
      <c r="A574">
        <v>25</v>
      </c>
      <c r="B574" t="s">
        <v>19</v>
      </c>
      <c r="C574">
        <v>2022</v>
      </c>
      <c r="D574">
        <v>19.375</v>
      </c>
      <c r="E574" t="s">
        <v>9</v>
      </c>
      <c r="F574">
        <v>11.125</v>
      </c>
      <c r="G574" s="1">
        <f>DATE(C574, CHOOSE(MATCH(UPPER(B574), {"ENERO","FEBRERO","MARZO","ABRIL","MAYO","JUNIO","JULIO","AGOSTO","SEPTIEMBRE","OCTUBRE","NOVIEMBRE","DICIEMBRE"}, 0), 1,2,3,4,5,6,7,8,9,10,11,12), A574)</f>
        <v>44890</v>
      </c>
      <c r="H574">
        <v>8.25</v>
      </c>
      <c r="I574">
        <v>52000</v>
      </c>
      <c r="J574" s="1">
        <f t="shared" si="17"/>
        <v>44039</v>
      </c>
      <c r="K574" s="2" t="e">
        <f t="shared" si="16"/>
        <v>#N/A</v>
      </c>
    </row>
    <row r="575" spans="1:11" x14ac:dyDescent="0.25">
      <c r="A575">
        <v>26</v>
      </c>
      <c r="B575" t="s">
        <v>19</v>
      </c>
      <c r="C575">
        <v>2022</v>
      </c>
      <c r="D575">
        <v>11.125</v>
      </c>
      <c r="E575">
        <v>30</v>
      </c>
      <c r="F575">
        <v>28.75</v>
      </c>
      <c r="G575" s="1">
        <f>DATE(C575, CHOOSE(MATCH(UPPER(B575), {"ENERO","FEBRERO","MARZO","ABRIL","MAYO","JUNIO","JULIO","AGOSTO","SEPTIEMBRE","OCTUBRE","NOVIEMBRE","DICIEMBRE"}, 0), 1,2,3,4,5,6,7,8,9,10,11,12), A575)</f>
        <v>44891</v>
      </c>
      <c r="H575">
        <v>12.375</v>
      </c>
      <c r="I575">
        <v>52000</v>
      </c>
      <c r="J575" s="1">
        <f t="shared" si="17"/>
        <v>44040</v>
      </c>
      <c r="K575" s="2" t="e">
        <f t="shared" si="16"/>
        <v>#N/A</v>
      </c>
    </row>
    <row r="576" spans="1:11" x14ac:dyDescent="0.25">
      <c r="A576">
        <v>27</v>
      </c>
      <c r="B576" t="s">
        <v>19</v>
      </c>
      <c r="C576">
        <v>2022</v>
      </c>
      <c r="D576">
        <v>28.75</v>
      </c>
      <c r="E576" t="s">
        <v>9</v>
      </c>
      <c r="F576">
        <v>15.625</v>
      </c>
      <c r="G576" s="1">
        <f>DATE(C576, CHOOSE(MATCH(UPPER(B576), {"ENERO","FEBRERO","MARZO","ABRIL","MAYO","JUNIO","JULIO","AGOSTO","SEPTIEMBRE","OCTUBRE","NOVIEMBRE","DICIEMBRE"}, 0), 1,2,3,4,5,6,7,8,9,10,11,12), A576)</f>
        <v>44892</v>
      </c>
      <c r="H576">
        <v>13.125</v>
      </c>
      <c r="I576">
        <v>52000</v>
      </c>
      <c r="J576" s="1">
        <f t="shared" si="17"/>
        <v>44041</v>
      </c>
      <c r="K576" s="2" t="e">
        <f t="shared" si="16"/>
        <v>#N/A</v>
      </c>
    </row>
    <row r="577" spans="1:11" x14ac:dyDescent="0.25">
      <c r="A577">
        <v>28</v>
      </c>
      <c r="B577" t="s">
        <v>19</v>
      </c>
      <c r="C577">
        <v>2022</v>
      </c>
      <c r="D577">
        <v>15.625</v>
      </c>
      <c r="E577">
        <v>20</v>
      </c>
      <c r="F577">
        <v>29.625</v>
      </c>
      <c r="G577" s="1">
        <f>DATE(C577, CHOOSE(MATCH(UPPER(B577), {"ENERO","FEBRERO","MARZO","ABRIL","MAYO","JUNIO","JULIO","AGOSTO","SEPTIEMBRE","OCTUBRE","NOVIEMBRE","DICIEMBRE"}, 0), 1,2,3,4,5,6,7,8,9,10,11,12), A577)</f>
        <v>44893</v>
      </c>
      <c r="H577">
        <v>6</v>
      </c>
      <c r="I577">
        <v>52000</v>
      </c>
      <c r="J577" s="1">
        <f t="shared" si="17"/>
        <v>44042</v>
      </c>
      <c r="K577" s="2" t="e">
        <f t="shared" si="16"/>
        <v>#N/A</v>
      </c>
    </row>
    <row r="578" spans="1:11" x14ac:dyDescent="0.25">
      <c r="A578">
        <v>29</v>
      </c>
      <c r="B578" t="s">
        <v>19</v>
      </c>
      <c r="C578">
        <v>2022</v>
      </c>
      <c r="D578">
        <v>29.625</v>
      </c>
      <c r="E578" t="s">
        <v>9</v>
      </c>
      <c r="F578">
        <v>26</v>
      </c>
      <c r="G578" s="1">
        <f>DATE(C578, CHOOSE(MATCH(UPPER(B578), {"ENERO","FEBRERO","MARZO","ABRIL","MAYO","JUNIO","JULIO","AGOSTO","SEPTIEMBRE","OCTUBRE","NOVIEMBRE","DICIEMBRE"}, 0), 1,2,3,4,5,6,7,8,9,10,11,12), A578)</f>
        <v>44894</v>
      </c>
      <c r="H578">
        <v>3.625</v>
      </c>
      <c r="I578">
        <v>52000</v>
      </c>
      <c r="J578" s="1">
        <f t="shared" si="17"/>
        <v>44043</v>
      </c>
      <c r="K578" s="2" t="e">
        <f t="shared" si="16"/>
        <v>#N/A</v>
      </c>
    </row>
    <row r="579" spans="1:11" x14ac:dyDescent="0.25">
      <c r="A579">
        <v>30</v>
      </c>
      <c r="B579" t="s">
        <v>9</v>
      </c>
      <c r="C579" t="s">
        <v>9</v>
      </c>
      <c r="D579" t="s">
        <v>9</v>
      </c>
      <c r="E579" t="s">
        <v>9</v>
      </c>
      <c r="F579" t="s">
        <v>9</v>
      </c>
      <c r="G579" s="1" t="e">
        <f>DATE(C579, CHOOSE(MATCH(UPPER(B579), {"ENERO","FEBRERO","MARZO","ABRIL","MAYO","JUNIO","JULIO","AGOSTO","SEPTIEMBRE","OCTUBRE","NOVIEMBRE","DICIEMBRE"}, 0), 1,2,3,4,5,6,7,8,9,10,11,12), A579)</f>
        <v>#VALUE!</v>
      </c>
      <c r="H579" t="s">
        <v>9</v>
      </c>
      <c r="I579" t="s">
        <v>9</v>
      </c>
      <c r="J579" s="1">
        <f t="shared" si="17"/>
        <v>44044</v>
      </c>
      <c r="K579" s="2" t="e">
        <f t="shared" ref="K579:K642" si="18">VLOOKUP(J579, G:H, 2, FALSE)</f>
        <v>#N/A</v>
      </c>
    </row>
    <row r="580" spans="1:11" x14ac:dyDescent="0.25">
      <c r="A580">
        <v>31</v>
      </c>
      <c r="B580" t="s">
        <v>9</v>
      </c>
      <c r="C580" t="s">
        <v>9</v>
      </c>
      <c r="D580" t="s">
        <v>9</v>
      </c>
      <c r="E580" t="s">
        <v>9</v>
      </c>
      <c r="F580" t="s">
        <v>9</v>
      </c>
      <c r="G580" s="1" t="e">
        <f>DATE(C580, CHOOSE(MATCH(UPPER(B580), {"ENERO","FEBRERO","MARZO","ABRIL","MAYO","JUNIO","JULIO","AGOSTO","SEPTIEMBRE","OCTUBRE","NOVIEMBRE","DICIEMBRE"}, 0), 1,2,3,4,5,6,7,8,9,10,11,12), A580)</f>
        <v>#VALUE!</v>
      </c>
      <c r="H580" t="s">
        <v>9</v>
      </c>
      <c r="I580" t="s">
        <v>9</v>
      </c>
      <c r="J580" s="1">
        <f t="shared" si="17"/>
        <v>44045</v>
      </c>
      <c r="K580" s="2" t="e">
        <f t="shared" si="18"/>
        <v>#N/A</v>
      </c>
    </row>
    <row r="581" spans="1:11" x14ac:dyDescent="0.25">
      <c r="A581">
        <v>1</v>
      </c>
      <c r="B581" t="s">
        <v>20</v>
      </c>
      <c r="C581">
        <v>2022</v>
      </c>
      <c r="D581">
        <v>16.75</v>
      </c>
      <c r="E581" t="s">
        <v>9</v>
      </c>
      <c r="F581">
        <v>6.5</v>
      </c>
      <c r="G581" s="1">
        <f>DATE(C581, CHOOSE(MATCH(UPPER(B581), {"ENERO","FEBRERO","MARZO","ABRIL","MAYO","JUNIO","JULIO","AGOSTO","SEPTIEMBRE","OCTUBRE","NOVIEMBRE","DICIEMBRE"}, 0), 1,2,3,4,5,6,7,8,9,10,11,12), A581)</f>
        <v>44896</v>
      </c>
      <c r="H581">
        <v>10.25</v>
      </c>
      <c r="I581">
        <v>52000</v>
      </c>
      <c r="J581" s="1">
        <f t="shared" ref="J581:J644" si="19">DATE(2019,1,1) + ROW()-1</f>
        <v>44046</v>
      </c>
      <c r="K581" s="2" t="e">
        <f t="shared" si="18"/>
        <v>#N/A</v>
      </c>
    </row>
    <row r="582" spans="1:11" x14ac:dyDescent="0.25">
      <c r="A582">
        <v>2</v>
      </c>
      <c r="B582" t="s">
        <v>20</v>
      </c>
      <c r="C582">
        <v>2022</v>
      </c>
      <c r="D582">
        <v>6.5</v>
      </c>
      <c r="E582">
        <v>70</v>
      </c>
      <c r="F582">
        <v>45.625</v>
      </c>
      <c r="G582" s="1">
        <f>DATE(C582, CHOOSE(MATCH(UPPER(B582), {"ENERO","FEBRERO","MARZO","ABRIL","MAYO","JUNIO","JULIO","AGOSTO","SEPTIEMBRE","OCTUBRE","NOVIEMBRE","DICIEMBRE"}, 0), 1,2,3,4,5,6,7,8,9,10,11,12), A582)</f>
        <v>44897</v>
      </c>
      <c r="H582">
        <v>30.875</v>
      </c>
      <c r="I582">
        <v>52000</v>
      </c>
      <c r="J582" s="1">
        <f t="shared" si="19"/>
        <v>44047</v>
      </c>
      <c r="K582" s="2" t="e">
        <f t="shared" si="18"/>
        <v>#N/A</v>
      </c>
    </row>
    <row r="583" spans="1:11" x14ac:dyDescent="0.25">
      <c r="A583">
        <v>3</v>
      </c>
      <c r="B583" t="s">
        <v>20</v>
      </c>
      <c r="C583">
        <v>2022</v>
      </c>
      <c r="D583">
        <v>45.625</v>
      </c>
      <c r="E583" t="s">
        <v>9</v>
      </c>
      <c r="F583">
        <v>35.125</v>
      </c>
      <c r="G583" s="1">
        <f>DATE(C583, CHOOSE(MATCH(UPPER(B583), {"ENERO","FEBRERO","MARZO","ABRIL","MAYO","JUNIO","JULIO","AGOSTO","SEPTIEMBRE","OCTUBRE","NOVIEMBRE","DICIEMBRE"}, 0), 1,2,3,4,5,6,7,8,9,10,11,12), A583)</f>
        <v>44898</v>
      </c>
      <c r="H583">
        <v>10.5</v>
      </c>
      <c r="I583">
        <v>52000</v>
      </c>
      <c r="J583" s="1">
        <f t="shared" si="19"/>
        <v>44048</v>
      </c>
      <c r="K583" s="2" t="e">
        <f t="shared" si="18"/>
        <v>#N/A</v>
      </c>
    </row>
    <row r="584" spans="1:11" x14ac:dyDescent="0.25">
      <c r="A584">
        <v>4</v>
      </c>
      <c r="B584" t="s">
        <v>20</v>
      </c>
      <c r="C584">
        <v>2022</v>
      </c>
      <c r="D584">
        <v>35.125</v>
      </c>
      <c r="E584" t="s">
        <v>9</v>
      </c>
      <c r="F584">
        <v>24.25</v>
      </c>
      <c r="G584" s="1">
        <f>DATE(C584, CHOOSE(MATCH(UPPER(B584), {"ENERO","FEBRERO","MARZO","ABRIL","MAYO","JUNIO","JULIO","AGOSTO","SEPTIEMBRE","OCTUBRE","NOVIEMBRE","DICIEMBRE"}, 0), 1,2,3,4,5,6,7,8,9,10,11,12), A584)</f>
        <v>44899</v>
      </c>
      <c r="H584">
        <v>10.875</v>
      </c>
      <c r="I584">
        <v>52000</v>
      </c>
      <c r="J584" s="1">
        <f t="shared" si="19"/>
        <v>44049</v>
      </c>
      <c r="K584" s="2" t="e">
        <f t="shared" si="18"/>
        <v>#N/A</v>
      </c>
    </row>
    <row r="585" spans="1:11" x14ac:dyDescent="0.25">
      <c r="A585">
        <v>5</v>
      </c>
      <c r="B585" t="s">
        <v>20</v>
      </c>
      <c r="C585">
        <v>2022</v>
      </c>
      <c r="D585">
        <v>24.25</v>
      </c>
      <c r="E585" t="s">
        <v>9</v>
      </c>
      <c r="F585">
        <v>17.875</v>
      </c>
      <c r="G585" s="1">
        <f>DATE(C585, CHOOSE(MATCH(UPPER(B585), {"ENERO","FEBRERO","MARZO","ABRIL","MAYO","JUNIO","JULIO","AGOSTO","SEPTIEMBRE","OCTUBRE","NOVIEMBRE","DICIEMBRE"}, 0), 1,2,3,4,5,6,7,8,9,10,11,12), A585)</f>
        <v>44900</v>
      </c>
      <c r="H585">
        <v>6.375</v>
      </c>
      <c r="I585">
        <v>52000</v>
      </c>
      <c r="J585" s="1">
        <f t="shared" si="19"/>
        <v>44050</v>
      </c>
      <c r="K585" s="2" t="e">
        <f t="shared" si="18"/>
        <v>#N/A</v>
      </c>
    </row>
    <row r="586" spans="1:11" x14ac:dyDescent="0.25">
      <c r="A586">
        <v>6</v>
      </c>
      <c r="B586" t="s">
        <v>20</v>
      </c>
      <c r="C586">
        <v>2022</v>
      </c>
      <c r="D586">
        <v>17.875</v>
      </c>
      <c r="E586" t="s">
        <v>9</v>
      </c>
      <c r="F586">
        <v>10</v>
      </c>
      <c r="G586" s="1">
        <f>DATE(C586, CHOOSE(MATCH(UPPER(B586), {"ENERO","FEBRERO","MARZO","ABRIL","MAYO","JUNIO","JULIO","AGOSTO","SEPTIEMBRE","OCTUBRE","NOVIEMBRE","DICIEMBRE"}, 0), 1,2,3,4,5,6,7,8,9,10,11,12), A586)</f>
        <v>44901</v>
      </c>
      <c r="H586">
        <v>7.875</v>
      </c>
      <c r="I586">
        <v>52000</v>
      </c>
      <c r="J586" s="1">
        <f t="shared" si="19"/>
        <v>44051</v>
      </c>
      <c r="K586" s="2" t="e">
        <f t="shared" si="18"/>
        <v>#N/A</v>
      </c>
    </row>
    <row r="587" spans="1:11" x14ac:dyDescent="0.25">
      <c r="A587">
        <v>7</v>
      </c>
      <c r="B587" t="s">
        <v>20</v>
      </c>
      <c r="C587">
        <v>2022</v>
      </c>
      <c r="D587">
        <v>10</v>
      </c>
      <c r="E587">
        <v>40</v>
      </c>
      <c r="F587">
        <v>30.625</v>
      </c>
      <c r="G587" s="1">
        <f>DATE(C587, CHOOSE(MATCH(UPPER(B587), {"ENERO","FEBRERO","MARZO","ABRIL","MAYO","JUNIO","JULIO","AGOSTO","SEPTIEMBRE","OCTUBRE","NOVIEMBRE","DICIEMBRE"}, 0), 1,2,3,4,5,6,7,8,9,10,11,12), A587)</f>
        <v>44902</v>
      </c>
      <c r="H587">
        <v>19.375</v>
      </c>
      <c r="I587">
        <v>52000</v>
      </c>
      <c r="J587" s="1">
        <f t="shared" si="19"/>
        <v>44052</v>
      </c>
      <c r="K587" s="2" t="e">
        <f t="shared" si="18"/>
        <v>#N/A</v>
      </c>
    </row>
    <row r="588" spans="1:11" x14ac:dyDescent="0.25">
      <c r="A588">
        <v>8</v>
      </c>
      <c r="B588" t="s">
        <v>20</v>
      </c>
      <c r="C588">
        <v>2022</v>
      </c>
      <c r="D588">
        <v>30.625</v>
      </c>
      <c r="E588" t="s">
        <v>9</v>
      </c>
      <c r="F588">
        <v>18.375</v>
      </c>
      <c r="G588" s="1">
        <f>DATE(C588, CHOOSE(MATCH(UPPER(B588), {"ENERO","FEBRERO","MARZO","ABRIL","MAYO","JUNIO","JULIO","AGOSTO","SEPTIEMBRE","OCTUBRE","NOVIEMBRE","DICIEMBRE"}, 0), 1,2,3,4,5,6,7,8,9,10,11,12), A588)</f>
        <v>44903</v>
      </c>
      <c r="H588">
        <v>12.25</v>
      </c>
      <c r="I588">
        <v>52000</v>
      </c>
      <c r="J588" s="1">
        <f t="shared" si="19"/>
        <v>44053</v>
      </c>
      <c r="K588" s="2" t="e">
        <f t="shared" si="18"/>
        <v>#N/A</v>
      </c>
    </row>
    <row r="589" spans="1:11" x14ac:dyDescent="0.25">
      <c r="A589">
        <v>9</v>
      </c>
      <c r="B589" t="s">
        <v>20</v>
      </c>
      <c r="C589">
        <v>2022</v>
      </c>
      <c r="D589">
        <v>18.375</v>
      </c>
      <c r="E589">
        <v>50</v>
      </c>
      <c r="F589">
        <v>58</v>
      </c>
      <c r="G589" s="1">
        <f>DATE(C589, CHOOSE(MATCH(UPPER(B589), {"ENERO","FEBRERO","MARZO","ABRIL","MAYO","JUNIO","JULIO","AGOSTO","SEPTIEMBRE","OCTUBRE","NOVIEMBRE","DICIEMBRE"}, 0), 1,2,3,4,5,6,7,8,9,10,11,12), A589)</f>
        <v>44904</v>
      </c>
      <c r="H589">
        <v>10.375</v>
      </c>
      <c r="I589">
        <v>52000</v>
      </c>
      <c r="J589" s="1">
        <f t="shared" si="19"/>
        <v>44054</v>
      </c>
      <c r="K589" s="2" t="e">
        <f t="shared" si="18"/>
        <v>#N/A</v>
      </c>
    </row>
    <row r="590" spans="1:11" x14ac:dyDescent="0.25">
      <c r="A590">
        <v>10</v>
      </c>
      <c r="B590" t="s">
        <v>20</v>
      </c>
      <c r="C590">
        <v>2022</v>
      </c>
      <c r="D590">
        <v>58</v>
      </c>
      <c r="E590" t="s">
        <v>9</v>
      </c>
      <c r="F590">
        <v>47.875</v>
      </c>
      <c r="G590" s="1">
        <f>DATE(C590, CHOOSE(MATCH(UPPER(B590), {"ENERO","FEBRERO","MARZO","ABRIL","MAYO","JUNIO","JULIO","AGOSTO","SEPTIEMBRE","OCTUBRE","NOVIEMBRE","DICIEMBRE"}, 0), 1,2,3,4,5,6,7,8,9,10,11,12), A590)</f>
        <v>44905</v>
      </c>
      <c r="H590">
        <v>10.125</v>
      </c>
      <c r="I590">
        <v>52000</v>
      </c>
      <c r="J590" s="1">
        <f t="shared" si="19"/>
        <v>44055</v>
      </c>
      <c r="K590" s="2" t="e">
        <f t="shared" si="18"/>
        <v>#N/A</v>
      </c>
    </row>
    <row r="591" spans="1:11" x14ac:dyDescent="0.25">
      <c r="A591">
        <v>11</v>
      </c>
      <c r="B591" t="s">
        <v>20</v>
      </c>
      <c r="C591">
        <v>2022</v>
      </c>
      <c r="D591">
        <v>47.875</v>
      </c>
      <c r="E591" t="s">
        <v>9</v>
      </c>
      <c r="F591">
        <v>40.25</v>
      </c>
      <c r="G591" s="1">
        <f>DATE(C591, CHOOSE(MATCH(UPPER(B591), {"ENERO","FEBRERO","MARZO","ABRIL","MAYO","JUNIO","JULIO","AGOSTO","SEPTIEMBRE","OCTUBRE","NOVIEMBRE","DICIEMBRE"}, 0), 1,2,3,4,5,6,7,8,9,10,11,12), A591)</f>
        <v>44906</v>
      </c>
      <c r="H591">
        <v>7.625</v>
      </c>
      <c r="I591">
        <v>52000</v>
      </c>
      <c r="J591" s="1">
        <f t="shared" si="19"/>
        <v>44056</v>
      </c>
      <c r="K591" s="2" t="e">
        <f t="shared" si="18"/>
        <v>#N/A</v>
      </c>
    </row>
    <row r="592" spans="1:11" x14ac:dyDescent="0.25">
      <c r="A592">
        <v>12</v>
      </c>
      <c r="B592" t="s">
        <v>20</v>
      </c>
      <c r="C592">
        <v>2022</v>
      </c>
      <c r="D592">
        <v>40.25</v>
      </c>
      <c r="E592" t="s">
        <v>9</v>
      </c>
      <c r="F592">
        <v>33.25</v>
      </c>
      <c r="G592" s="1">
        <f>DATE(C592, CHOOSE(MATCH(UPPER(B592), {"ENERO","FEBRERO","MARZO","ABRIL","MAYO","JUNIO","JULIO","AGOSTO","SEPTIEMBRE","OCTUBRE","NOVIEMBRE","DICIEMBRE"}, 0), 1,2,3,4,5,6,7,8,9,10,11,12), A592)</f>
        <v>44907</v>
      </c>
      <c r="H592">
        <v>7</v>
      </c>
      <c r="I592">
        <v>52000</v>
      </c>
      <c r="J592" s="1">
        <f t="shared" si="19"/>
        <v>44057</v>
      </c>
      <c r="K592" s="2" t="e">
        <f t="shared" si="18"/>
        <v>#N/A</v>
      </c>
    </row>
    <row r="593" spans="1:11" x14ac:dyDescent="0.25">
      <c r="A593">
        <v>13</v>
      </c>
      <c r="B593" t="s">
        <v>20</v>
      </c>
      <c r="C593">
        <v>2022</v>
      </c>
      <c r="D593">
        <v>33.25</v>
      </c>
      <c r="E593" t="s">
        <v>9</v>
      </c>
      <c r="F593">
        <v>23.875</v>
      </c>
      <c r="G593" s="1">
        <f>DATE(C593, CHOOSE(MATCH(UPPER(B593), {"ENERO","FEBRERO","MARZO","ABRIL","MAYO","JUNIO","JULIO","AGOSTO","SEPTIEMBRE","OCTUBRE","NOVIEMBRE","DICIEMBRE"}, 0), 1,2,3,4,5,6,7,8,9,10,11,12), A593)</f>
        <v>44908</v>
      </c>
      <c r="H593">
        <v>9.375</v>
      </c>
      <c r="I593">
        <v>52000</v>
      </c>
      <c r="J593" s="1">
        <f t="shared" si="19"/>
        <v>44058</v>
      </c>
      <c r="K593" s="2" t="e">
        <f t="shared" si="18"/>
        <v>#N/A</v>
      </c>
    </row>
    <row r="594" spans="1:11" x14ac:dyDescent="0.25">
      <c r="A594">
        <v>14</v>
      </c>
      <c r="B594" t="s">
        <v>20</v>
      </c>
      <c r="C594">
        <v>2022</v>
      </c>
      <c r="D594">
        <v>23.875</v>
      </c>
      <c r="E594">
        <v>50</v>
      </c>
      <c r="F594">
        <v>67.375</v>
      </c>
      <c r="G594" s="1">
        <f>DATE(C594, CHOOSE(MATCH(UPPER(B594), {"ENERO","FEBRERO","MARZO","ABRIL","MAYO","JUNIO","JULIO","AGOSTO","SEPTIEMBRE","OCTUBRE","NOVIEMBRE","DICIEMBRE"}, 0), 1,2,3,4,5,6,7,8,9,10,11,12), A594)</f>
        <v>44909</v>
      </c>
      <c r="H594">
        <v>6.5</v>
      </c>
      <c r="I594">
        <v>52000</v>
      </c>
      <c r="J594" s="1">
        <f t="shared" si="19"/>
        <v>44059</v>
      </c>
      <c r="K594" s="2" t="e">
        <f t="shared" si="18"/>
        <v>#N/A</v>
      </c>
    </row>
    <row r="595" spans="1:11" x14ac:dyDescent="0.25">
      <c r="A595">
        <v>15</v>
      </c>
      <c r="B595" t="s">
        <v>20</v>
      </c>
      <c r="C595">
        <v>2022</v>
      </c>
      <c r="D595">
        <v>67.375</v>
      </c>
      <c r="E595" t="s">
        <v>9</v>
      </c>
      <c r="F595">
        <v>59.875</v>
      </c>
      <c r="G595" s="1">
        <f>DATE(C595, CHOOSE(MATCH(UPPER(B595), {"ENERO","FEBRERO","MARZO","ABRIL","MAYO","JUNIO","JULIO","AGOSTO","SEPTIEMBRE","OCTUBRE","NOVIEMBRE","DICIEMBRE"}, 0), 1,2,3,4,5,6,7,8,9,10,11,12), A595)</f>
        <v>44910</v>
      </c>
      <c r="H595">
        <v>7.5</v>
      </c>
      <c r="I595">
        <v>52000</v>
      </c>
      <c r="J595" s="1">
        <f t="shared" si="19"/>
        <v>44060</v>
      </c>
      <c r="K595" s="2" t="e">
        <f t="shared" si="18"/>
        <v>#N/A</v>
      </c>
    </row>
    <row r="596" spans="1:11" x14ac:dyDescent="0.25">
      <c r="A596">
        <v>16</v>
      </c>
      <c r="B596" t="s">
        <v>20</v>
      </c>
      <c r="C596">
        <v>2022</v>
      </c>
      <c r="D596">
        <v>59.875</v>
      </c>
      <c r="E596" t="s">
        <v>9</v>
      </c>
      <c r="F596">
        <v>46.5</v>
      </c>
      <c r="G596" s="1">
        <f>DATE(C596, CHOOSE(MATCH(UPPER(B596), {"ENERO","FEBRERO","MARZO","ABRIL","MAYO","JUNIO","JULIO","AGOSTO","SEPTIEMBRE","OCTUBRE","NOVIEMBRE","DICIEMBRE"}, 0), 1,2,3,4,5,6,7,8,9,10,11,12), A596)</f>
        <v>44911</v>
      </c>
      <c r="H596">
        <v>13.375</v>
      </c>
      <c r="I596">
        <v>52000</v>
      </c>
      <c r="J596" s="1">
        <f t="shared" si="19"/>
        <v>44061</v>
      </c>
      <c r="K596" s="2" t="e">
        <f t="shared" si="18"/>
        <v>#N/A</v>
      </c>
    </row>
    <row r="597" spans="1:11" x14ac:dyDescent="0.25">
      <c r="A597">
        <v>17</v>
      </c>
      <c r="B597" t="s">
        <v>20</v>
      </c>
      <c r="C597">
        <v>2022</v>
      </c>
      <c r="D597">
        <v>46.5</v>
      </c>
      <c r="E597" t="s">
        <v>9</v>
      </c>
      <c r="F597">
        <v>37.25</v>
      </c>
      <c r="G597" s="1">
        <f>DATE(C597, CHOOSE(MATCH(UPPER(B597), {"ENERO","FEBRERO","MARZO","ABRIL","MAYO","JUNIO","JULIO","AGOSTO","SEPTIEMBRE","OCTUBRE","NOVIEMBRE","DICIEMBRE"}, 0), 1,2,3,4,5,6,7,8,9,10,11,12), A597)</f>
        <v>44912</v>
      </c>
      <c r="H597">
        <v>9.25</v>
      </c>
      <c r="I597">
        <v>52000</v>
      </c>
      <c r="J597" s="1">
        <f t="shared" si="19"/>
        <v>44062</v>
      </c>
      <c r="K597" s="2" t="e">
        <f t="shared" si="18"/>
        <v>#N/A</v>
      </c>
    </row>
    <row r="598" spans="1:11" x14ac:dyDescent="0.25">
      <c r="A598">
        <v>18</v>
      </c>
      <c r="B598" t="s">
        <v>20</v>
      </c>
      <c r="C598">
        <v>2022</v>
      </c>
      <c r="D598">
        <v>37.25</v>
      </c>
      <c r="E598" t="s">
        <v>9</v>
      </c>
      <c r="F598">
        <v>27.625</v>
      </c>
      <c r="G598" s="1">
        <f>DATE(C598, CHOOSE(MATCH(UPPER(B598), {"ENERO","FEBRERO","MARZO","ABRIL","MAYO","JUNIO","JULIO","AGOSTO","SEPTIEMBRE","OCTUBRE","NOVIEMBRE","DICIEMBRE"}, 0), 1,2,3,4,5,6,7,8,9,10,11,12), A598)</f>
        <v>44913</v>
      </c>
      <c r="H598">
        <v>9.625</v>
      </c>
      <c r="I598">
        <v>52000</v>
      </c>
      <c r="J598" s="1">
        <f t="shared" si="19"/>
        <v>44063</v>
      </c>
      <c r="K598" s="2" t="e">
        <f t="shared" si="18"/>
        <v>#N/A</v>
      </c>
    </row>
    <row r="599" spans="1:11" x14ac:dyDescent="0.25">
      <c r="A599">
        <v>19</v>
      </c>
      <c r="B599" t="s">
        <v>20</v>
      </c>
      <c r="C599">
        <v>2022</v>
      </c>
      <c r="D599">
        <v>27.625</v>
      </c>
      <c r="E599" t="s">
        <v>9</v>
      </c>
      <c r="F599">
        <v>22</v>
      </c>
      <c r="G599" s="1">
        <f>DATE(C599, CHOOSE(MATCH(UPPER(B599), {"ENERO","FEBRERO","MARZO","ABRIL","MAYO","JUNIO","JULIO","AGOSTO","SEPTIEMBRE","OCTUBRE","NOVIEMBRE","DICIEMBRE"}, 0), 1,2,3,4,5,6,7,8,9,10,11,12), A599)</f>
        <v>44914</v>
      </c>
      <c r="H599">
        <v>5.625</v>
      </c>
      <c r="I599">
        <v>52000</v>
      </c>
      <c r="J599" s="1">
        <f t="shared" si="19"/>
        <v>44064</v>
      </c>
      <c r="K599" s="2" t="e">
        <f t="shared" si="18"/>
        <v>#N/A</v>
      </c>
    </row>
    <row r="600" spans="1:11" x14ac:dyDescent="0.25">
      <c r="A600">
        <v>20</v>
      </c>
      <c r="B600" t="s">
        <v>20</v>
      </c>
      <c r="C600">
        <v>2022</v>
      </c>
      <c r="D600">
        <v>22</v>
      </c>
      <c r="E600" t="s">
        <v>9</v>
      </c>
      <c r="F600">
        <v>16.125</v>
      </c>
      <c r="G600" s="1">
        <f>DATE(C600, CHOOSE(MATCH(UPPER(B600), {"ENERO","FEBRERO","MARZO","ABRIL","MAYO","JUNIO","JULIO","AGOSTO","SEPTIEMBRE","OCTUBRE","NOVIEMBRE","DICIEMBRE"}, 0), 1,2,3,4,5,6,7,8,9,10,11,12), A600)</f>
        <v>44915</v>
      </c>
      <c r="H600">
        <v>5.875</v>
      </c>
      <c r="I600">
        <v>52000</v>
      </c>
      <c r="J600" s="1">
        <f t="shared" si="19"/>
        <v>44065</v>
      </c>
      <c r="K600" s="2" t="e">
        <f t="shared" si="18"/>
        <v>#N/A</v>
      </c>
    </row>
    <row r="601" spans="1:11" x14ac:dyDescent="0.25">
      <c r="A601">
        <v>21</v>
      </c>
      <c r="B601" t="s">
        <v>20</v>
      </c>
      <c r="C601">
        <v>2022</v>
      </c>
      <c r="D601">
        <v>16.125</v>
      </c>
      <c r="E601">
        <v>50</v>
      </c>
      <c r="F601">
        <v>57.5</v>
      </c>
      <c r="G601" s="1">
        <f>DATE(C601, CHOOSE(MATCH(UPPER(B601), {"ENERO","FEBRERO","MARZO","ABRIL","MAYO","JUNIO","JULIO","AGOSTO","SEPTIEMBRE","OCTUBRE","NOVIEMBRE","DICIEMBRE"}, 0), 1,2,3,4,5,6,7,8,9,10,11,12), A601)</f>
        <v>44916</v>
      </c>
      <c r="H601">
        <v>8.625</v>
      </c>
      <c r="I601">
        <v>52000</v>
      </c>
      <c r="J601" s="1">
        <f t="shared" si="19"/>
        <v>44066</v>
      </c>
      <c r="K601" s="2" t="e">
        <f t="shared" si="18"/>
        <v>#N/A</v>
      </c>
    </row>
    <row r="602" spans="1:11" x14ac:dyDescent="0.25">
      <c r="A602">
        <v>22</v>
      </c>
      <c r="B602" t="s">
        <v>20</v>
      </c>
      <c r="C602">
        <v>2022</v>
      </c>
      <c r="D602">
        <v>57.5</v>
      </c>
      <c r="E602" t="s">
        <v>9</v>
      </c>
      <c r="F602">
        <v>45.625</v>
      </c>
      <c r="G602" s="1">
        <f>DATE(C602, CHOOSE(MATCH(UPPER(B602), {"ENERO","FEBRERO","MARZO","ABRIL","MAYO","JUNIO","JULIO","AGOSTO","SEPTIEMBRE","OCTUBRE","NOVIEMBRE","DICIEMBRE"}, 0), 1,2,3,4,5,6,7,8,9,10,11,12), A602)</f>
        <v>44917</v>
      </c>
      <c r="H602">
        <v>11.875</v>
      </c>
      <c r="I602">
        <v>52000</v>
      </c>
      <c r="J602" s="1">
        <f t="shared" si="19"/>
        <v>44067</v>
      </c>
      <c r="K602" s="2" t="e">
        <f t="shared" si="18"/>
        <v>#N/A</v>
      </c>
    </row>
    <row r="603" spans="1:11" x14ac:dyDescent="0.25">
      <c r="A603">
        <v>23</v>
      </c>
      <c r="B603" t="s">
        <v>20</v>
      </c>
      <c r="C603">
        <v>2022</v>
      </c>
      <c r="D603">
        <v>45.625</v>
      </c>
      <c r="E603" t="s">
        <v>9</v>
      </c>
      <c r="F603">
        <v>34.625</v>
      </c>
      <c r="G603" s="1">
        <f>DATE(C603, CHOOSE(MATCH(UPPER(B603), {"ENERO","FEBRERO","MARZO","ABRIL","MAYO","JUNIO","JULIO","AGOSTO","SEPTIEMBRE","OCTUBRE","NOVIEMBRE","DICIEMBRE"}, 0), 1,2,3,4,5,6,7,8,9,10,11,12), A603)</f>
        <v>44918</v>
      </c>
      <c r="H603">
        <v>11</v>
      </c>
      <c r="I603">
        <v>52000</v>
      </c>
      <c r="J603" s="1">
        <f t="shared" si="19"/>
        <v>44068</v>
      </c>
      <c r="K603" s="2" t="e">
        <f t="shared" si="18"/>
        <v>#N/A</v>
      </c>
    </row>
    <row r="604" spans="1:11" x14ac:dyDescent="0.25">
      <c r="A604">
        <v>24</v>
      </c>
      <c r="B604" t="s">
        <v>20</v>
      </c>
      <c r="C604">
        <v>2022</v>
      </c>
      <c r="D604">
        <v>34.625</v>
      </c>
      <c r="E604" t="s">
        <v>9</v>
      </c>
      <c r="F604">
        <v>21.625</v>
      </c>
      <c r="G604" s="1">
        <f>DATE(C604, CHOOSE(MATCH(UPPER(B604), {"ENERO","FEBRERO","MARZO","ABRIL","MAYO","JUNIO","JULIO","AGOSTO","SEPTIEMBRE","OCTUBRE","NOVIEMBRE","DICIEMBRE"}, 0), 1,2,3,4,5,6,7,8,9,10,11,12), A604)</f>
        <v>44919</v>
      </c>
      <c r="H604">
        <v>13</v>
      </c>
      <c r="I604">
        <v>52000</v>
      </c>
      <c r="J604" s="1">
        <f t="shared" si="19"/>
        <v>44069</v>
      </c>
      <c r="K604" s="2" t="e">
        <f t="shared" si="18"/>
        <v>#N/A</v>
      </c>
    </row>
    <row r="605" spans="1:11" x14ac:dyDescent="0.25">
      <c r="A605">
        <v>25</v>
      </c>
      <c r="B605" t="s">
        <v>20</v>
      </c>
      <c r="C605">
        <v>2022</v>
      </c>
      <c r="D605">
        <v>21.625</v>
      </c>
      <c r="E605" t="s">
        <v>9</v>
      </c>
      <c r="F605">
        <v>1.625</v>
      </c>
      <c r="G605" s="1">
        <f>DATE(C605, CHOOSE(MATCH(UPPER(B605), {"ENERO","FEBRERO","MARZO","ABRIL","MAYO","JUNIO","JULIO","AGOSTO","SEPTIEMBRE","OCTUBRE","NOVIEMBRE","DICIEMBRE"}, 0), 1,2,3,4,5,6,7,8,9,10,11,12), A605)</f>
        <v>44920</v>
      </c>
      <c r="H605">
        <v>20</v>
      </c>
      <c r="I605">
        <v>52000</v>
      </c>
      <c r="J605" s="1">
        <f t="shared" si="19"/>
        <v>44070</v>
      </c>
      <c r="K605" s="2" t="e">
        <f t="shared" si="18"/>
        <v>#N/A</v>
      </c>
    </row>
    <row r="606" spans="1:11" x14ac:dyDescent="0.25">
      <c r="A606">
        <v>26</v>
      </c>
      <c r="B606" t="s">
        <v>20</v>
      </c>
      <c r="C606">
        <v>2022</v>
      </c>
      <c r="D606">
        <v>1.625</v>
      </c>
      <c r="E606">
        <v>40</v>
      </c>
      <c r="F606">
        <v>34.875</v>
      </c>
      <c r="G606" s="1">
        <f>DATE(C606, CHOOSE(MATCH(UPPER(B606), {"ENERO","FEBRERO","MARZO","ABRIL","MAYO","JUNIO","JULIO","AGOSTO","SEPTIEMBRE","OCTUBRE","NOVIEMBRE","DICIEMBRE"}, 0), 1,2,3,4,5,6,7,8,9,10,11,12), A606)</f>
        <v>44921</v>
      </c>
      <c r="H606">
        <v>6.75</v>
      </c>
      <c r="I606">
        <v>52000</v>
      </c>
      <c r="J606" s="1">
        <f t="shared" si="19"/>
        <v>44071</v>
      </c>
      <c r="K606" s="2" t="e">
        <f t="shared" si="18"/>
        <v>#N/A</v>
      </c>
    </row>
    <row r="607" spans="1:11" x14ac:dyDescent="0.25">
      <c r="A607">
        <v>27</v>
      </c>
      <c r="B607" t="s">
        <v>20</v>
      </c>
      <c r="C607">
        <v>2022</v>
      </c>
      <c r="D607">
        <v>34.875</v>
      </c>
      <c r="E607" t="s">
        <v>9</v>
      </c>
      <c r="F607">
        <v>27.125</v>
      </c>
      <c r="G607" s="1">
        <f>DATE(C607, CHOOSE(MATCH(UPPER(B607), {"ENERO","FEBRERO","MARZO","ABRIL","MAYO","JUNIO","JULIO","AGOSTO","SEPTIEMBRE","OCTUBRE","NOVIEMBRE","DICIEMBRE"}, 0), 1,2,3,4,5,6,7,8,9,10,11,12), A607)</f>
        <v>44922</v>
      </c>
      <c r="H607">
        <v>7.75</v>
      </c>
      <c r="I607">
        <v>52000</v>
      </c>
      <c r="J607" s="1">
        <f t="shared" si="19"/>
        <v>44072</v>
      </c>
      <c r="K607" s="2" t="e">
        <f t="shared" si="18"/>
        <v>#N/A</v>
      </c>
    </row>
    <row r="608" spans="1:11" x14ac:dyDescent="0.25">
      <c r="A608">
        <v>28</v>
      </c>
      <c r="B608" t="s">
        <v>20</v>
      </c>
      <c r="C608">
        <v>2022</v>
      </c>
      <c r="D608">
        <v>27.125</v>
      </c>
      <c r="E608" t="s">
        <v>9</v>
      </c>
      <c r="F608">
        <v>16.125</v>
      </c>
      <c r="G608" s="1">
        <f>DATE(C608, CHOOSE(MATCH(UPPER(B608), {"ENERO","FEBRERO","MARZO","ABRIL","MAYO","JUNIO","JULIO","AGOSTO","SEPTIEMBRE","OCTUBRE","NOVIEMBRE","DICIEMBRE"}, 0), 1,2,3,4,5,6,7,8,9,10,11,12), A608)</f>
        <v>44923</v>
      </c>
      <c r="H608">
        <v>11</v>
      </c>
      <c r="I608">
        <v>52000</v>
      </c>
      <c r="J608" s="1">
        <f t="shared" si="19"/>
        <v>44073</v>
      </c>
      <c r="K608" s="2" t="e">
        <f t="shared" si="18"/>
        <v>#N/A</v>
      </c>
    </row>
    <row r="609" spans="1:11" x14ac:dyDescent="0.25">
      <c r="A609">
        <v>29</v>
      </c>
      <c r="B609" t="s">
        <v>20</v>
      </c>
      <c r="C609">
        <v>2022</v>
      </c>
      <c r="D609">
        <v>16.125</v>
      </c>
      <c r="E609" t="s">
        <v>9</v>
      </c>
      <c r="F609">
        <v>5.5</v>
      </c>
      <c r="G609" s="1">
        <f>DATE(C609, CHOOSE(MATCH(UPPER(B609), {"ENERO","FEBRERO","MARZO","ABRIL","MAYO","JUNIO","JULIO","AGOSTO","SEPTIEMBRE","OCTUBRE","NOVIEMBRE","DICIEMBRE"}, 0), 1,2,3,4,5,6,7,8,9,10,11,12), A609)</f>
        <v>44924</v>
      </c>
      <c r="H609">
        <v>10.625</v>
      </c>
      <c r="I609">
        <v>52000</v>
      </c>
      <c r="J609" s="1">
        <f t="shared" si="19"/>
        <v>44074</v>
      </c>
      <c r="K609" s="2" t="e">
        <f t="shared" si="18"/>
        <v>#N/A</v>
      </c>
    </row>
    <row r="610" spans="1:11" x14ac:dyDescent="0.25">
      <c r="A610">
        <v>30</v>
      </c>
      <c r="B610" t="s">
        <v>20</v>
      </c>
      <c r="C610">
        <v>2022</v>
      </c>
      <c r="D610">
        <v>5.5</v>
      </c>
      <c r="E610">
        <v>50</v>
      </c>
      <c r="F610">
        <v>42.375</v>
      </c>
      <c r="G610" s="1">
        <f>DATE(C610, CHOOSE(MATCH(UPPER(B610), {"ENERO","FEBRERO","MARZO","ABRIL","MAYO","JUNIO","JULIO","AGOSTO","SEPTIEMBRE","OCTUBRE","NOVIEMBRE","DICIEMBRE"}, 0), 1,2,3,4,5,6,7,8,9,10,11,12), A610)</f>
        <v>44925</v>
      </c>
      <c r="H610">
        <v>13.125</v>
      </c>
      <c r="I610">
        <v>52000</v>
      </c>
      <c r="J610" s="1">
        <f t="shared" si="19"/>
        <v>44075</v>
      </c>
      <c r="K610" s="2" t="e">
        <f t="shared" si="18"/>
        <v>#N/A</v>
      </c>
    </row>
    <row r="611" spans="1:11" x14ac:dyDescent="0.25">
      <c r="A611">
        <v>31</v>
      </c>
      <c r="B611" t="s">
        <v>20</v>
      </c>
      <c r="C611">
        <v>2022</v>
      </c>
      <c r="D611">
        <v>42.375</v>
      </c>
      <c r="E611" t="s">
        <v>9</v>
      </c>
      <c r="F611">
        <v>25</v>
      </c>
      <c r="G611" s="1">
        <f>DATE(C611, CHOOSE(MATCH(UPPER(B611), {"ENERO","FEBRERO","MARZO","ABRIL","MAYO","JUNIO","JULIO","AGOSTO","SEPTIEMBRE","OCTUBRE","NOVIEMBRE","DICIEMBRE"}, 0), 1,2,3,4,5,6,7,8,9,10,11,12), A611)</f>
        <v>44926</v>
      </c>
      <c r="H611">
        <v>17.375</v>
      </c>
      <c r="I611">
        <v>52000</v>
      </c>
      <c r="J611" s="1">
        <f t="shared" si="19"/>
        <v>44076</v>
      </c>
      <c r="K611" s="2" t="e">
        <f t="shared" si="18"/>
        <v>#N/A</v>
      </c>
    </row>
    <row r="612" spans="1:11" x14ac:dyDescent="0.25">
      <c r="A612">
        <v>1</v>
      </c>
      <c r="B612" t="s">
        <v>26</v>
      </c>
      <c r="C612">
        <v>2023</v>
      </c>
      <c r="D612">
        <v>25</v>
      </c>
      <c r="E612" t="s">
        <v>9</v>
      </c>
      <c r="F612">
        <v>4</v>
      </c>
      <c r="G612" s="1">
        <f>DATE(C612, CHOOSE(MATCH(UPPER(B612), {"ENERO","FEBRERO","MARZO","ABRIL","MAYO","JUNIO","JULIO","AGOSTO","SEPTIEMBRE","OCTUBRE","NOVIEMBRE","DICIEMBRE"}, 0), 1,2,3,4,5,6,7,8,9,10,11,12), A612)</f>
        <v>44927</v>
      </c>
      <c r="H612">
        <v>21</v>
      </c>
      <c r="I612">
        <v>56000</v>
      </c>
      <c r="J612" s="1">
        <f t="shared" si="19"/>
        <v>44077</v>
      </c>
      <c r="K612" s="2" t="e">
        <f t="shared" si="18"/>
        <v>#N/A</v>
      </c>
    </row>
    <row r="613" spans="1:11" x14ac:dyDescent="0.25">
      <c r="A613">
        <v>2</v>
      </c>
      <c r="B613" t="s">
        <v>26</v>
      </c>
      <c r="C613">
        <v>2023</v>
      </c>
      <c r="D613">
        <v>4</v>
      </c>
      <c r="E613">
        <v>40</v>
      </c>
      <c r="F613">
        <v>35.125</v>
      </c>
      <c r="G613" s="1">
        <f>DATE(C613, CHOOSE(MATCH(UPPER(B613), {"ENERO","FEBRERO","MARZO","ABRIL","MAYO","JUNIO","JULIO","AGOSTO","SEPTIEMBRE","OCTUBRE","NOVIEMBRE","DICIEMBRE"}, 0), 1,2,3,4,5,6,7,8,9,10,11,12), A613)</f>
        <v>44928</v>
      </c>
      <c r="H613">
        <v>8.875</v>
      </c>
      <c r="I613">
        <v>56000</v>
      </c>
      <c r="J613" s="1">
        <f t="shared" si="19"/>
        <v>44078</v>
      </c>
      <c r="K613" s="2" t="e">
        <f t="shared" si="18"/>
        <v>#N/A</v>
      </c>
    </row>
    <row r="614" spans="1:11" x14ac:dyDescent="0.25">
      <c r="A614">
        <v>3</v>
      </c>
      <c r="B614" t="s">
        <v>26</v>
      </c>
      <c r="C614">
        <v>2023</v>
      </c>
      <c r="D614">
        <v>35.125</v>
      </c>
      <c r="E614" t="s">
        <v>9</v>
      </c>
      <c r="F614">
        <v>22.625</v>
      </c>
      <c r="G614" s="1">
        <f>DATE(C614, CHOOSE(MATCH(UPPER(B614), {"ENERO","FEBRERO","MARZO","ABRIL","MAYO","JUNIO","JULIO","AGOSTO","SEPTIEMBRE","OCTUBRE","NOVIEMBRE","DICIEMBRE"}, 0), 1,2,3,4,5,6,7,8,9,10,11,12), A614)</f>
        <v>44929</v>
      </c>
      <c r="H614">
        <v>12.5</v>
      </c>
      <c r="I614">
        <v>56000</v>
      </c>
      <c r="J614" s="1">
        <f t="shared" si="19"/>
        <v>44079</v>
      </c>
      <c r="K614" s="2" t="e">
        <f t="shared" si="18"/>
        <v>#N/A</v>
      </c>
    </row>
    <row r="615" spans="1:11" x14ac:dyDescent="0.25">
      <c r="A615">
        <v>4</v>
      </c>
      <c r="B615" t="s">
        <v>26</v>
      </c>
      <c r="C615">
        <v>2023</v>
      </c>
      <c r="D615">
        <v>22.625</v>
      </c>
      <c r="E615" t="s">
        <v>9</v>
      </c>
      <c r="F615">
        <v>8.125</v>
      </c>
      <c r="G615" s="1">
        <f>DATE(C615, CHOOSE(MATCH(UPPER(B615), {"ENERO","FEBRERO","MARZO","ABRIL","MAYO","JUNIO","JULIO","AGOSTO","SEPTIEMBRE","OCTUBRE","NOVIEMBRE","DICIEMBRE"}, 0), 1,2,3,4,5,6,7,8,9,10,11,12), A615)</f>
        <v>44930</v>
      </c>
      <c r="H615">
        <v>14.5</v>
      </c>
      <c r="I615">
        <v>56000</v>
      </c>
      <c r="J615" s="1">
        <f t="shared" si="19"/>
        <v>44080</v>
      </c>
      <c r="K615" s="2" t="e">
        <f t="shared" si="18"/>
        <v>#N/A</v>
      </c>
    </row>
    <row r="616" spans="1:11" x14ac:dyDescent="0.25">
      <c r="A616">
        <v>5</v>
      </c>
      <c r="B616" t="s">
        <v>26</v>
      </c>
      <c r="C616">
        <v>2023</v>
      </c>
      <c r="D616">
        <v>8.125</v>
      </c>
      <c r="E616">
        <v>20</v>
      </c>
      <c r="F616">
        <v>15.75</v>
      </c>
      <c r="G616" s="1">
        <f>DATE(C616, CHOOSE(MATCH(UPPER(B616), {"ENERO","FEBRERO","MARZO","ABRIL","MAYO","JUNIO","JULIO","AGOSTO","SEPTIEMBRE","OCTUBRE","NOVIEMBRE","DICIEMBRE"}, 0), 1,2,3,4,5,6,7,8,9,10,11,12), A616)</f>
        <v>44931</v>
      </c>
      <c r="H616">
        <v>12.375</v>
      </c>
      <c r="I616">
        <v>56000</v>
      </c>
      <c r="J616" s="1">
        <f t="shared" si="19"/>
        <v>44081</v>
      </c>
      <c r="K616" s="2" t="e">
        <f t="shared" si="18"/>
        <v>#N/A</v>
      </c>
    </row>
    <row r="617" spans="1:11" x14ac:dyDescent="0.25">
      <c r="A617">
        <v>6</v>
      </c>
      <c r="B617" t="s">
        <v>26</v>
      </c>
      <c r="C617">
        <v>2023</v>
      </c>
      <c r="D617">
        <v>15.75</v>
      </c>
      <c r="E617">
        <v>30</v>
      </c>
      <c r="F617">
        <v>32.375</v>
      </c>
      <c r="G617" s="1">
        <f>DATE(C617, CHOOSE(MATCH(UPPER(B617), {"ENERO","FEBRERO","MARZO","ABRIL","MAYO","JUNIO","JULIO","AGOSTO","SEPTIEMBRE","OCTUBRE","NOVIEMBRE","DICIEMBRE"}, 0), 1,2,3,4,5,6,7,8,9,10,11,12), A617)</f>
        <v>44932</v>
      </c>
      <c r="H617">
        <v>13.375</v>
      </c>
      <c r="I617">
        <v>56000</v>
      </c>
      <c r="J617" s="1">
        <f t="shared" si="19"/>
        <v>44082</v>
      </c>
      <c r="K617" s="2" t="e">
        <f t="shared" si="18"/>
        <v>#N/A</v>
      </c>
    </row>
    <row r="618" spans="1:11" x14ac:dyDescent="0.25">
      <c r="A618">
        <v>7</v>
      </c>
      <c r="B618" t="s">
        <v>26</v>
      </c>
      <c r="C618">
        <v>2023</v>
      </c>
      <c r="D618">
        <v>32.375</v>
      </c>
      <c r="E618" t="s">
        <v>9</v>
      </c>
      <c r="F618">
        <v>10.125</v>
      </c>
      <c r="G618" s="1">
        <f>DATE(C618, CHOOSE(MATCH(UPPER(B618), {"ENERO","FEBRERO","MARZO","ABRIL","MAYO","JUNIO","JULIO","AGOSTO","SEPTIEMBRE","OCTUBRE","NOVIEMBRE","DICIEMBRE"}, 0), 1,2,3,4,5,6,7,8,9,10,11,12), A618)</f>
        <v>44933</v>
      </c>
      <c r="H618">
        <v>22.25</v>
      </c>
      <c r="I618">
        <v>56000</v>
      </c>
      <c r="J618" s="1">
        <f t="shared" si="19"/>
        <v>44083</v>
      </c>
      <c r="K618" s="2" t="e">
        <f t="shared" si="18"/>
        <v>#N/A</v>
      </c>
    </row>
    <row r="619" spans="1:11" x14ac:dyDescent="0.25">
      <c r="A619">
        <v>8</v>
      </c>
      <c r="B619" t="s">
        <v>26</v>
      </c>
      <c r="C619">
        <v>2023</v>
      </c>
      <c r="D619">
        <v>10.125</v>
      </c>
      <c r="E619">
        <v>30</v>
      </c>
      <c r="F619">
        <v>24.375</v>
      </c>
      <c r="G619" s="1">
        <f>DATE(C619, CHOOSE(MATCH(UPPER(B619), {"ENERO","FEBRERO","MARZO","ABRIL","MAYO","JUNIO","JULIO","AGOSTO","SEPTIEMBRE","OCTUBRE","NOVIEMBRE","DICIEMBRE"}, 0), 1,2,3,4,5,6,7,8,9,10,11,12), A619)</f>
        <v>44934</v>
      </c>
      <c r="H619">
        <v>15.75</v>
      </c>
      <c r="I619">
        <v>56000</v>
      </c>
      <c r="J619" s="1">
        <f t="shared" si="19"/>
        <v>44084</v>
      </c>
      <c r="K619" s="2" t="e">
        <f t="shared" si="18"/>
        <v>#N/A</v>
      </c>
    </row>
    <row r="620" spans="1:11" x14ac:dyDescent="0.25">
      <c r="A620">
        <v>9</v>
      </c>
      <c r="B620" t="s">
        <v>26</v>
      </c>
      <c r="C620">
        <v>2023</v>
      </c>
      <c r="D620">
        <v>24.375</v>
      </c>
      <c r="E620">
        <v>10</v>
      </c>
      <c r="F620">
        <v>15.5</v>
      </c>
      <c r="G620" s="1">
        <f>DATE(C620, CHOOSE(MATCH(UPPER(B620), {"ENERO","FEBRERO","MARZO","ABRIL","MAYO","JUNIO","JULIO","AGOSTO","SEPTIEMBRE","OCTUBRE","NOVIEMBRE","DICIEMBRE"}, 0), 1,2,3,4,5,6,7,8,9,10,11,12), A620)</f>
        <v>44935</v>
      </c>
      <c r="H620">
        <v>18.875</v>
      </c>
      <c r="I620">
        <v>56000</v>
      </c>
      <c r="J620" s="1">
        <f t="shared" si="19"/>
        <v>44085</v>
      </c>
      <c r="K620" s="2" t="e">
        <f t="shared" si="18"/>
        <v>#N/A</v>
      </c>
    </row>
    <row r="621" spans="1:11" x14ac:dyDescent="0.25">
      <c r="A621">
        <v>10</v>
      </c>
      <c r="B621" t="s">
        <v>26</v>
      </c>
      <c r="C621">
        <v>2023</v>
      </c>
      <c r="D621">
        <v>15.5</v>
      </c>
      <c r="E621" t="s">
        <v>9</v>
      </c>
      <c r="F621">
        <v>9.5</v>
      </c>
      <c r="G621" s="1">
        <f>DATE(C621, CHOOSE(MATCH(UPPER(B621), {"ENERO","FEBRERO","MARZO","ABRIL","MAYO","JUNIO","JULIO","AGOSTO","SEPTIEMBRE","OCTUBRE","NOVIEMBRE","DICIEMBRE"}, 0), 1,2,3,4,5,6,7,8,9,10,11,12), A621)</f>
        <v>44936</v>
      </c>
      <c r="H621">
        <v>6</v>
      </c>
      <c r="I621">
        <v>56000</v>
      </c>
      <c r="J621" s="1">
        <f t="shared" si="19"/>
        <v>44086</v>
      </c>
      <c r="K621" s="2" t="e">
        <f t="shared" si="18"/>
        <v>#N/A</v>
      </c>
    </row>
    <row r="622" spans="1:11" x14ac:dyDescent="0.25">
      <c r="A622">
        <v>11</v>
      </c>
      <c r="B622" t="s">
        <v>26</v>
      </c>
      <c r="C622">
        <v>2023</v>
      </c>
      <c r="D622">
        <v>9.5</v>
      </c>
      <c r="E622">
        <v>30</v>
      </c>
      <c r="F622">
        <v>25.25</v>
      </c>
      <c r="G622" s="1">
        <f>DATE(C622, CHOOSE(MATCH(UPPER(B622), {"ENERO","FEBRERO","MARZO","ABRIL","MAYO","JUNIO","JULIO","AGOSTO","SEPTIEMBRE","OCTUBRE","NOVIEMBRE","DICIEMBRE"}, 0), 1,2,3,4,5,6,7,8,9,10,11,12), A622)</f>
        <v>44937</v>
      </c>
      <c r="H622">
        <v>14.25</v>
      </c>
      <c r="I622">
        <v>56000</v>
      </c>
      <c r="J622" s="1">
        <f t="shared" si="19"/>
        <v>44087</v>
      </c>
      <c r="K622" s="2" t="e">
        <f t="shared" si="18"/>
        <v>#N/A</v>
      </c>
    </row>
    <row r="623" spans="1:11" x14ac:dyDescent="0.25">
      <c r="A623">
        <v>12</v>
      </c>
      <c r="B623" t="s">
        <v>26</v>
      </c>
      <c r="C623">
        <v>2023</v>
      </c>
      <c r="D623">
        <v>25.25</v>
      </c>
      <c r="E623" t="s">
        <v>9</v>
      </c>
      <c r="F623">
        <v>16.625</v>
      </c>
      <c r="G623" s="1">
        <f>DATE(C623, CHOOSE(MATCH(UPPER(B623), {"ENERO","FEBRERO","MARZO","ABRIL","MAYO","JUNIO","JULIO","AGOSTO","SEPTIEMBRE","OCTUBRE","NOVIEMBRE","DICIEMBRE"}, 0), 1,2,3,4,5,6,7,8,9,10,11,12), A623)</f>
        <v>44938</v>
      </c>
      <c r="H623">
        <v>8.625</v>
      </c>
      <c r="I623">
        <v>56000</v>
      </c>
      <c r="J623" s="1">
        <f t="shared" si="19"/>
        <v>44088</v>
      </c>
      <c r="K623" s="2" t="e">
        <f t="shared" si="18"/>
        <v>#N/A</v>
      </c>
    </row>
    <row r="624" spans="1:11" x14ac:dyDescent="0.25">
      <c r="A624">
        <v>13</v>
      </c>
      <c r="B624" t="s">
        <v>26</v>
      </c>
      <c r="C624">
        <v>2023</v>
      </c>
      <c r="D624">
        <v>16.625</v>
      </c>
      <c r="E624" t="s">
        <v>9</v>
      </c>
      <c r="F624">
        <v>6.375</v>
      </c>
      <c r="G624" s="1">
        <f>DATE(C624, CHOOSE(MATCH(UPPER(B624), {"ENERO","FEBRERO","MARZO","ABRIL","MAYO","JUNIO","JULIO","AGOSTO","SEPTIEMBRE","OCTUBRE","NOVIEMBRE","DICIEMBRE"}, 0), 1,2,3,4,5,6,7,8,9,10,11,12), A624)</f>
        <v>44939</v>
      </c>
      <c r="H624">
        <v>10.25</v>
      </c>
      <c r="I624">
        <v>56000</v>
      </c>
      <c r="J624" s="1">
        <f t="shared" si="19"/>
        <v>44089</v>
      </c>
      <c r="K624" s="2" t="e">
        <f t="shared" si="18"/>
        <v>#N/A</v>
      </c>
    </row>
    <row r="625" spans="1:11" x14ac:dyDescent="0.25">
      <c r="A625">
        <v>14</v>
      </c>
      <c r="B625" t="s">
        <v>26</v>
      </c>
      <c r="C625">
        <v>2023</v>
      </c>
      <c r="D625">
        <v>6.375</v>
      </c>
      <c r="E625">
        <v>20</v>
      </c>
      <c r="F625">
        <v>17.625</v>
      </c>
      <c r="G625" s="1">
        <f>DATE(C625, CHOOSE(MATCH(UPPER(B625), {"ENERO","FEBRERO","MARZO","ABRIL","MAYO","JUNIO","JULIO","AGOSTO","SEPTIEMBRE","OCTUBRE","NOVIEMBRE","DICIEMBRE"}, 0), 1,2,3,4,5,6,7,8,9,10,11,12), A625)</f>
        <v>44940</v>
      </c>
      <c r="H625">
        <v>8.75</v>
      </c>
      <c r="I625">
        <v>56000</v>
      </c>
      <c r="J625" s="1">
        <f t="shared" si="19"/>
        <v>44090</v>
      </c>
      <c r="K625" s="2" t="e">
        <f t="shared" si="18"/>
        <v>#N/A</v>
      </c>
    </row>
    <row r="626" spans="1:11" x14ac:dyDescent="0.25">
      <c r="A626">
        <v>15</v>
      </c>
      <c r="B626" t="s">
        <v>26</v>
      </c>
      <c r="C626">
        <v>2023</v>
      </c>
      <c r="D626">
        <v>17.625</v>
      </c>
      <c r="E626" t="s">
        <v>9</v>
      </c>
      <c r="F626">
        <v>0.75</v>
      </c>
      <c r="G626" s="1">
        <f>DATE(C626, CHOOSE(MATCH(UPPER(B626), {"ENERO","FEBRERO","MARZO","ABRIL","MAYO","JUNIO","JULIO","AGOSTO","SEPTIEMBRE","OCTUBRE","NOVIEMBRE","DICIEMBRE"}, 0), 1,2,3,4,5,6,7,8,9,10,11,12), A626)</f>
        <v>44941</v>
      </c>
      <c r="H626">
        <v>16.875</v>
      </c>
      <c r="I626">
        <v>56000</v>
      </c>
      <c r="J626" s="1">
        <f t="shared" si="19"/>
        <v>44091</v>
      </c>
      <c r="K626" s="2" t="e">
        <f t="shared" si="18"/>
        <v>#N/A</v>
      </c>
    </row>
    <row r="627" spans="1:11" x14ac:dyDescent="0.25">
      <c r="A627">
        <v>16</v>
      </c>
      <c r="B627" t="s">
        <v>26</v>
      </c>
      <c r="C627">
        <v>2023</v>
      </c>
      <c r="D627">
        <v>0.75</v>
      </c>
      <c r="E627">
        <v>30</v>
      </c>
      <c r="F627">
        <v>25</v>
      </c>
      <c r="G627" s="1">
        <f>DATE(C627, CHOOSE(MATCH(UPPER(B627), {"ENERO","FEBRERO","MARZO","ABRIL","MAYO","JUNIO","JULIO","AGOSTO","SEPTIEMBRE","OCTUBRE","NOVIEMBRE","DICIEMBRE"}, 0), 1,2,3,4,5,6,7,8,9,10,11,12), A627)</f>
        <v>44942</v>
      </c>
      <c r="H627">
        <v>5.75</v>
      </c>
      <c r="I627">
        <v>56000</v>
      </c>
      <c r="J627" s="1">
        <f t="shared" si="19"/>
        <v>44092</v>
      </c>
      <c r="K627" s="2" t="e">
        <f t="shared" si="18"/>
        <v>#N/A</v>
      </c>
    </row>
    <row r="628" spans="1:11" x14ac:dyDescent="0.25">
      <c r="A628">
        <v>17</v>
      </c>
      <c r="B628" t="s">
        <v>26</v>
      </c>
      <c r="C628">
        <v>2023</v>
      </c>
      <c r="D628">
        <v>25</v>
      </c>
      <c r="E628" t="s">
        <v>9</v>
      </c>
      <c r="F628">
        <v>14.375</v>
      </c>
      <c r="G628" s="1">
        <f>DATE(C628, CHOOSE(MATCH(UPPER(B628), {"ENERO","FEBRERO","MARZO","ABRIL","MAYO","JUNIO","JULIO","AGOSTO","SEPTIEMBRE","OCTUBRE","NOVIEMBRE","DICIEMBRE"}, 0), 1,2,3,4,5,6,7,8,9,10,11,12), A628)</f>
        <v>44943</v>
      </c>
      <c r="H628">
        <v>10.625</v>
      </c>
      <c r="I628">
        <v>56000</v>
      </c>
      <c r="J628" s="1">
        <f t="shared" si="19"/>
        <v>44093</v>
      </c>
      <c r="K628" s="2" t="e">
        <f t="shared" si="18"/>
        <v>#N/A</v>
      </c>
    </row>
    <row r="629" spans="1:11" x14ac:dyDescent="0.25">
      <c r="A629">
        <v>18</v>
      </c>
      <c r="B629" t="s">
        <v>26</v>
      </c>
      <c r="C629">
        <v>2023</v>
      </c>
      <c r="D629">
        <v>14.375</v>
      </c>
      <c r="E629">
        <v>20</v>
      </c>
      <c r="F629">
        <v>25</v>
      </c>
      <c r="G629" s="1">
        <f>DATE(C629, CHOOSE(MATCH(UPPER(B629), {"ENERO","FEBRERO","MARZO","ABRIL","MAYO","JUNIO","JULIO","AGOSTO","SEPTIEMBRE","OCTUBRE","NOVIEMBRE","DICIEMBRE"}, 0), 1,2,3,4,5,6,7,8,9,10,11,12), A629)</f>
        <v>44944</v>
      </c>
      <c r="H629">
        <v>9.375</v>
      </c>
      <c r="I629">
        <v>56000</v>
      </c>
      <c r="J629" s="1">
        <f t="shared" si="19"/>
        <v>44094</v>
      </c>
      <c r="K629" s="2" t="e">
        <f t="shared" si="18"/>
        <v>#N/A</v>
      </c>
    </row>
    <row r="630" spans="1:11" x14ac:dyDescent="0.25">
      <c r="A630">
        <v>19</v>
      </c>
      <c r="B630" t="s">
        <v>26</v>
      </c>
      <c r="C630">
        <v>2023</v>
      </c>
      <c r="D630">
        <v>25</v>
      </c>
      <c r="E630">
        <v>20</v>
      </c>
      <c r="F630">
        <v>36.25</v>
      </c>
      <c r="G630" s="1">
        <f>DATE(C630, CHOOSE(MATCH(UPPER(B630), {"ENERO","FEBRERO","MARZO","ABRIL","MAYO","JUNIO","JULIO","AGOSTO","SEPTIEMBRE","OCTUBRE","NOVIEMBRE","DICIEMBRE"}, 0), 1,2,3,4,5,6,7,8,9,10,11,12), A630)</f>
        <v>44945</v>
      </c>
      <c r="H630">
        <v>8.75</v>
      </c>
      <c r="I630">
        <v>56000</v>
      </c>
      <c r="J630" s="1">
        <f t="shared" si="19"/>
        <v>44095</v>
      </c>
      <c r="K630" s="2" t="e">
        <f t="shared" si="18"/>
        <v>#N/A</v>
      </c>
    </row>
    <row r="631" spans="1:11" x14ac:dyDescent="0.25">
      <c r="A631">
        <v>20</v>
      </c>
      <c r="B631" t="s">
        <v>26</v>
      </c>
      <c r="C631">
        <v>2023</v>
      </c>
      <c r="D631">
        <v>36.25</v>
      </c>
      <c r="E631" t="s">
        <v>9</v>
      </c>
      <c r="F631">
        <v>28</v>
      </c>
      <c r="G631" s="1">
        <f>DATE(C631, CHOOSE(MATCH(UPPER(B631), {"ENERO","FEBRERO","MARZO","ABRIL","MAYO","JUNIO","JULIO","AGOSTO","SEPTIEMBRE","OCTUBRE","NOVIEMBRE","DICIEMBRE"}, 0), 1,2,3,4,5,6,7,8,9,10,11,12), A631)</f>
        <v>44946</v>
      </c>
      <c r="H631">
        <v>8.25</v>
      </c>
      <c r="I631">
        <v>56000</v>
      </c>
      <c r="J631" s="1">
        <f t="shared" si="19"/>
        <v>44096</v>
      </c>
      <c r="K631" s="2" t="e">
        <f t="shared" si="18"/>
        <v>#N/A</v>
      </c>
    </row>
    <row r="632" spans="1:11" x14ac:dyDescent="0.25">
      <c r="A632">
        <v>21</v>
      </c>
      <c r="B632" t="s">
        <v>26</v>
      </c>
      <c r="C632">
        <v>2023</v>
      </c>
      <c r="D632">
        <v>28</v>
      </c>
      <c r="E632" t="s">
        <v>9</v>
      </c>
      <c r="F632">
        <v>16.5</v>
      </c>
      <c r="G632" s="1">
        <f>DATE(C632, CHOOSE(MATCH(UPPER(B632), {"ENERO","FEBRERO","MARZO","ABRIL","MAYO","JUNIO","JULIO","AGOSTO","SEPTIEMBRE","OCTUBRE","NOVIEMBRE","DICIEMBRE"}, 0), 1,2,3,4,5,6,7,8,9,10,11,12), A632)</f>
        <v>44947</v>
      </c>
      <c r="H632">
        <v>11.5</v>
      </c>
      <c r="I632">
        <v>56000</v>
      </c>
      <c r="J632" s="1">
        <f t="shared" si="19"/>
        <v>44097</v>
      </c>
      <c r="K632" s="2" t="e">
        <f t="shared" si="18"/>
        <v>#N/A</v>
      </c>
    </row>
    <row r="633" spans="1:11" x14ac:dyDescent="0.25">
      <c r="A633">
        <v>22</v>
      </c>
      <c r="B633" t="s">
        <v>26</v>
      </c>
      <c r="C633">
        <v>2023</v>
      </c>
      <c r="D633">
        <v>16.5</v>
      </c>
      <c r="E633">
        <v>30</v>
      </c>
      <c r="F633">
        <v>30.625</v>
      </c>
      <c r="G633" s="1">
        <f>DATE(C633, CHOOSE(MATCH(UPPER(B633), {"ENERO","FEBRERO","MARZO","ABRIL","MAYO","JUNIO","JULIO","AGOSTO","SEPTIEMBRE","OCTUBRE","NOVIEMBRE","DICIEMBRE"}, 0), 1,2,3,4,5,6,7,8,9,10,11,12), A633)</f>
        <v>44948</v>
      </c>
      <c r="H633">
        <v>15.875</v>
      </c>
      <c r="I633">
        <v>56000</v>
      </c>
      <c r="J633" s="1">
        <f t="shared" si="19"/>
        <v>44098</v>
      </c>
      <c r="K633" s="2" t="e">
        <f t="shared" si="18"/>
        <v>#N/A</v>
      </c>
    </row>
    <row r="634" spans="1:11" x14ac:dyDescent="0.25">
      <c r="A634">
        <v>23</v>
      </c>
      <c r="B634" t="s">
        <v>26</v>
      </c>
      <c r="C634">
        <v>2023</v>
      </c>
      <c r="D634">
        <v>30.625</v>
      </c>
      <c r="E634" t="s">
        <v>9</v>
      </c>
      <c r="F634">
        <v>27.5</v>
      </c>
      <c r="G634" s="1">
        <f>DATE(C634, CHOOSE(MATCH(UPPER(B634), {"ENERO","FEBRERO","MARZO","ABRIL","MAYO","JUNIO","JULIO","AGOSTO","SEPTIEMBRE","OCTUBRE","NOVIEMBRE","DICIEMBRE"}, 0), 1,2,3,4,5,6,7,8,9,10,11,12), A634)</f>
        <v>44949</v>
      </c>
      <c r="H634">
        <v>3.125</v>
      </c>
      <c r="I634">
        <v>56000</v>
      </c>
      <c r="J634" s="1">
        <f t="shared" si="19"/>
        <v>44099</v>
      </c>
      <c r="K634" s="2" t="e">
        <f t="shared" si="18"/>
        <v>#N/A</v>
      </c>
    </row>
    <row r="635" spans="1:11" x14ac:dyDescent="0.25">
      <c r="A635">
        <v>24</v>
      </c>
      <c r="B635" t="s">
        <v>26</v>
      </c>
      <c r="C635">
        <v>2023</v>
      </c>
      <c r="D635">
        <v>27.5</v>
      </c>
      <c r="E635" t="s">
        <v>9</v>
      </c>
      <c r="F635">
        <v>19.625</v>
      </c>
      <c r="G635" s="1">
        <f>DATE(C635, CHOOSE(MATCH(UPPER(B635), {"ENERO","FEBRERO","MARZO","ABRIL","MAYO","JUNIO","JULIO","AGOSTO","SEPTIEMBRE","OCTUBRE","NOVIEMBRE","DICIEMBRE"}, 0), 1,2,3,4,5,6,7,8,9,10,11,12), A635)</f>
        <v>44950</v>
      </c>
      <c r="H635">
        <v>7.875</v>
      </c>
      <c r="I635">
        <v>56000</v>
      </c>
      <c r="J635" s="1">
        <f t="shared" si="19"/>
        <v>44100</v>
      </c>
      <c r="K635" s="2" t="e">
        <f t="shared" si="18"/>
        <v>#N/A</v>
      </c>
    </row>
    <row r="636" spans="1:11" x14ac:dyDescent="0.25">
      <c r="A636">
        <v>25</v>
      </c>
      <c r="B636" t="s">
        <v>26</v>
      </c>
      <c r="C636">
        <v>2023</v>
      </c>
      <c r="D636">
        <v>19.625</v>
      </c>
      <c r="E636" t="s">
        <v>9</v>
      </c>
      <c r="F636">
        <v>14.375</v>
      </c>
      <c r="G636" s="1">
        <f>DATE(C636, CHOOSE(MATCH(UPPER(B636), {"ENERO","FEBRERO","MARZO","ABRIL","MAYO","JUNIO","JULIO","AGOSTO","SEPTIEMBRE","OCTUBRE","NOVIEMBRE","DICIEMBRE"}, 0), 1,2,3,4,5,6,7,8,9,10,11,12), A636)</f>
        <v>44951</v>
      </c>
      <c r="H636">
        <v>5.25</v>
      </c>
      <c r="I636">
        <v>56000</v>
      </c>
      <c r="J636" s="1">
        <f t="shared" si="19"/>
        <v>44101</v>
      </c>
      <c r="K636" s="2" t="e">
        <f t="shared" si="18"/>
        <v>#N/A</v>
      </c>
    </row>
    <row r="637" spans="1:11" x14ac:dyDescent="0.25">
      <c r="A637">
        <v>26</v>
      </c>
      <c r="B637" t="s">
        <v>26</v>
      </c>
      <c r="C637">
        <v>2023</v>
      </c>
      <c r="D637">
        <v>14.375</v>
      </c>
      <c r="E637">
        <v>50</v>
      </c>
      <c r="F637">
        <v>58</v>
      </c>
      <c r="G637" s="1">
        <f>DATE(C637, CHOOSE(MATCH(UPPER(B637), {"ENERO","FEBRERO","MARZO","ABRIL","MAYO","JUNIO","JULIO","AGOSTO","SEPTIEMBRE","OCTUBRE","NOVIEMBRE","DICIEMBRE"}, 0), 1,2,3,4,5,6,7,8,9,10,11,12), A637)</f>
        <v>44952</v>
      </c>
      <c r="H637">
        <v>6.375</v>
      </c>
      <c r="I637">
        <v>56000</v>
      </c>
      <c r="J637" s="1">
        <f t="shared" si="19"/>
        <v>44102</v>
      </c>
      <c r="K637" s="2" t="e">
        <f t="shared" si="18"/>
        <v>#N/A</v>
      </c>
    </row>
    <row r="638" spans="1:11" x14ac:dyDescent="0.25">
      <c r="A638">
        <v>27</v>
      </c>
      <c r="B638" t="s">
        <v>26</v>
      </c>
      <c r="C638">
        <v>2023</v>
      </c>
      <c r="D638">
        <v>58</v>
      </c>
      <c r="E638" t="s">
        <v>9</v>
      </c>
      <c r="F638">
        <v>49.375</v>
      </c>
      <c r="G638" s="1">
        <f>DATE(C638, CHOOSE(MATCH(UPPER(B638), {"ENERO","FEBRERO","MARZO","ABRIL","MAYO","JUNIO","JULIO","AGOSTO","SEPTIEMBRE","OCTUBRE","NOVIEMBRE","DICIEMBRE"}, 0), 1,2,3,4,5,6,7,8,9,10,11,12), A638)</f>
        <v>44953</v>
      </c>
      <c r="H638">
        <v>8.625</v>
      </c>
      <c r="I638">
        <v>56000</v>
      </c>
      <c r="J638" s="1">
        <f t="shared" si="19"/>
        <v>44103</v>
      </c>
      <c r="K638" s="2" t="e">
        <f t="shared" si="18"/>
        <v>#N/A</v>
      </c>
    </row>
    <row r="639" spans="1:11" x14ac:dyDescent="0.25">
      <c r="A639">
        <v>28</v>
      </c>
      <c r="B639" t="s">
        <v>26</v>
      </c>
      <c r="C639">
        <v>2023</v>
      </c>
      <c r="D639">
        <v>49.375</v>
      </c>
      <c r="E639" t="s">
        <v>9</v>
      </c>
      <c r="F639">
        <v>37.25</v>
      </c>
      <c r="G639" s="1">
        <f>DATE(C639, CHOOSE(MATCH(UPPER(B639), {"ENERO","FEBRERO","MARZO","ABRIL","MAYO","JUNIO","JULIO","AGOSTO","SEPTIEMBRE","OCTUBRE","NOVIEMBRE","DICIEMBRE"}, 0), 1,2,3,4,5,6,7,8,9,10,11,12), A639)</f>
        <v>44954</v>
      </c>
      <c r="H639">
        <v>12.125</v>
      </c>
      <c r="I639">
        <v>56000</v>
      </c>
      <c r="J639" s="1">
        <f t="shared" si="19"/>
        <v>44104</v>
      </c>
      <c r="K639" s="2" t="e">
        <f t="shared" si="18"/>
        <v>#N/A</v>
      </c>
    </row>
    <row r="640" spans="1:11" x14ac:dyDescent="0.25">
      <c r="A640">
        <v>29</v>
      </c>
      <c r="B640" t="s">
        <v>26</v>
      </c>
      <c r="C640">
        <v>2023</v>
      </c>
      <c r="D640">
        <v>37.25</v>
      </c>
      <c r="E640">
        <v>20</v>
      </c>
      <c r="F640">
        <v>48.375</v>
      </c>
      <c r="G640" s="1">
        <f>DATE(C640, CHOOSE(MATCH(UPPER(B640), {"ENERO","FEBRERO","MARZO","ABRIL","MAYO","JUNIO","JULIO","AGOSTO","SEPTIEMBRE","OCTUBRE","NOVIEMBRE","DICIEMBRE"}, 0), 1,2,3,4,5,6,7,8,9,10,11,12), A640)</f>
        <v>44955</v>
      </c>
      <c r="H640">
        <v>8.875</v>
      </c>
      <c r="I640">
        <v>56000</v>
      </c>
      <c r="J640" s="1">
        <f t="shared" si="19"/>
        <v>44105</v>
      </c>
      <c r="K640" s="2" t="e">
        <f t="shared" si="18"/>
        <v>#N/A</v>
      </c>
    </row>
    <row r="641" spans="1:11" x14ac:dyDescent="0.25">
      <c r="A641">
        <v>30</v>
      </c>
      <c r="B641" t="s">
        <v>26</v>
      </c>
      <c r="C641">
        <v>2023</v>
      </c>
      <c r="D641">
        <v>48.375</v>
      </c>
      <c r="E641" t="s">
        <v>9</v>
      </c>
      <c r="F641">
        <v>39.625</v>
      </c>
      <c r="G641" s="1">
        <f>DATE(C641, CHOOSE(MATCH(UPPER(B641), {"ENERO","FEBRERO","MARZO","ABRIL","MAYO","JUNIO","JULIO","AGOSTO","SEPTIEMBRE","OCTUBRE","NOVIEMBRE","DICIEMBRE"}, 0), 1,2,3,4,5,6,7,8,9,10,11,12), A641)</f>
        <v>44956</v>
      </c>
      <c r="H641">
        <v>8.75</v>
      </c>
      <c r="I641">
        <v>56000</v>
      </c>
      <c r="J641" s="1">
        <f t="shared" si="19"/>
        <v>44106</v>
      </c>
      <c r="K641" s="2" t="e">
        <f t="shared" si="18"/>
        <v>#N/A</v>
      </c>
    </row>
    <row r="642" spans="1:11" x14ac:dyDescent="0.25">
      <c r="A642">
        <v>31</v>
      </c>
      <c r="B642" t="s">
        <v>26</v>
      </c>
      <c r="C642">
        <v>2023</v>
      </c>
      <c r="D642">
        <v>39.625</v>
      </c>
      <c r="E642" t="s">
        <v>9</v>
      </c>
      <c r="F642">
        <v>31.125</v>
      </c>
      <c r="G642" s="1">
        <f>DATE(C642, CHOOSE(MATCH(UPPER(B642), {"ENERO","FEBRERO","MARZO","ABRIL","MAYO","JUNIO","JULIO","AGOSTO","SEPTIEMBRE","OCTUBRE","NOVIEMBRE","DICIEMBRE"}, 0), 1,2,3,4,5,6,7,8,9,10,11,12), A642)</f>
        <v>44957</v>
      </c>
      <c r="H642">
        <v>8.5</v>
      </c>
      <c r="I642">
        <v>56000</v>
      </c>
      <c r="J642" s="1">
        <f t="shared" si="19"/>
        <v>44107</v>
      </c>
      <c r="K642" s="2" t="e">
        <f t="shared" si="18"/>
        <v>#N/A</v>
      </c>
    </row>
    <row r="643" spans="1:11" x14ac:dyDescent="0.25">
      <c r="A643">
        <v>1</v>
      </c>
      <c r="B643" t="s">
        <v>27</v>
      </c>
      <c r="C643">
        <v>2023</v>
      </c>
      <c r="D643">
        <v>31.125</v>
      </c>
      <c r="E643" t="s">
        <v>9</v>
      </c>
      <c r="F643">
        <v>24</v>
      </c>
      <c r="G643" s="1">
        <f>DATE(C643, CHOOSE(MATCH(UPPER(B643), {"ENERO","FEBRERO","MARZO","ABRIL","MAYO","JUNIO","JULIO","AGOSTO","SEPTIEMBRE","OCTUBRE","NOVIEMBRE","DICIEMBRE"}, 0), 1,2,3,4,5,6,7,8,9,10,11,12), A643)</f>
        <v>44958</v>
      </c>
      <c r="H643">
        <v>7.125</v>
      </c>
      <c r="I643">
        <v>56000</v>
      </c>
      <c r="J643" s="1">
        <f t="shared" si="19"/>
        <v>44108</v>
      </c>
      <c r="K643" s="2" t="e">
        <f t="shared" ref="K643:K706" si="20">VLOOKUP(J643, G:H, 2, FALSE)</f>
        <v>#N/A</v>
      </c>
    </row>
    <row r="644" spans="1:11" x14ac:dyDescent="0.25">
      <c r="A644">
        <v>2</v>
      </c>
      <c r="B644" t="s">
        <v>27</v>
      </c>
      <c r="C644">
        <v>2023</v>
      </c>
      <c r="D644">
        <v>24</v>
      </c>
      <c r="E644" t="s">
        <v>9</v>
      </c>
      <c r="F644">
        <v>10.75</v>
      </c>
      <c r="G644" s="1">
        <f>DATE(C644, CHOOSE(MATCH(UPPER(B644), {"ENERO","FEBRERO","MARZO","ABRIL","MAYO","JUNIO","JULIO","AGOSTO","SEPTIEMBRE","OCTUBRE","NOVIEMBRE","DICIEMBRE"}, 0), 1,2,3,4,5,6,7,8,9,10,11,12), A644)</f>
        <v>44959</v>
      </c>
      <c r="H644">
        <v>13.25</v>
      </c>
      <c r="I644">
        <v>56000</v>
      </c>
      <c r="J644" s="1">
        <f t="shared" si="19"/>
        <v>44109</v>
      </c>
      <c r="K644" s="2" t="e">
        <f t="shared" si="20"/>
        <v>#N/A</v>
      </c>
    </row>
    <row r="645" spans="1:11" x14ac:dyDescent="0.25">
      <c r="A645">
        <v>3</v>
      </c>
      <c r="B645" t="s">
        <v>27</v>
      </c>
      <c r="C645">
        <v>2023</v>
      </c>
      <c r="D645">
        <v>10.75</v>
      </c>
      <c r="E645">
        <v>50</v>
      </c>
      <c r="F645">
        <v>49.75</v>
      </c>
      <c r="G645" s="1">
        <f>DATE(C645, CHOOSE(MATCH(UPPER(B645), {"ENERO","FEBRERO","MARZO","ABRIL","MAYO","JUNIO","JULIO","AGOSTO","SEPTIEMBRE","OCTUBRE","NOVIEMBRE","DICIEMBRE"}, 0), 1,2,3,4,5,6,7,8,9,10,11,12), A645)</f>
        <v>44960</v>
      </c>
      <c r="H645">
        <v>11</v>
      </c>
      <c r="I645">
        <v>56000</v>
      </c>
      <c r="J645" s="1">
        <f t="shared" ref="J645:J708" si="21">DATE(2019,1,1) + ROW()-1</f>
        <v>44110</v>
      </c>
      <c r="K645" s="2" t="e">
        <f t="shared" si="20"/>
        <v>#N/A</v>
      </c>
    </row>
    <row r="646" spans="1:11" x14ac:dyDescent="0.25">
      <c r="A646">
        <v>4</v>
      </c>
      <c r="B646" t="s">
        <v>27</v>
      </c>
      <c r="C646">
        <v>2023</v>
      </c>
      <c r="D646">
        <v>49.75</v>
      </c>
      <c r="E646" t="s">
        <v>9</v>
      </c>
      <c r="F646">
        <v>30</v>
      </c>
      <c r="G646" s="1">
        <f>DATE(C646, CHOOSE(MATCH(UPPER(B646), {"ENERO","FEBRERO","MARZO","ABRIL","MAYO","JUNIO","JULIO","AGOSTO","SEPTIEMBRE","OCTUBRE","NOVIEMBRE","DICIEMBRE"}, 0), 1,2,3,4,5,6,7,8,9,10,11,12), A646)</f>
        <v>44961</v>
      </c>
      <c r="H646">
        <v>19.75</v>
      </c>
      <c r="I646">
        <v>56000</v>
      </c>
      <c r="J646" s="1">
        <f t="shared" si="21"/>
        <v>44111</v>
      </c>
      <c r="K646" s="2" t="e">
        <f t="shared" si="20"/>
        <v>#N/A</v>
      </c>
    </row>
    <row r="647" spans="1:11" x14ac:dyDescent="0.25">
      <c r="A647">
        <v>5</v>
      </c>
      <c r="B647" t="s">
        <v>27</v>
      </c>
      <c r="C647">
        <v>2023</v>
      </c>
      <c r="D647">
        <v>30</v>
      </c>
      <c r="E647" t="s">
        <v>9</v>
      </c>
      <c r="F647">
        <v>20.875</v>
      </c>
      <c r="G647" s="1">
        <f>DATE(C647, CHOOSE(MATCH(UPPER(B647), {"ENERO","FEBRERO","MARZO","ABRIL","MAYO","JUNIO","JULIO","AGOSTO","SEPTIEMBRE","OCTUBRE","NOVIEMBRE","DICIEMBRE"}, 0), 1,2,3,4,5,6,7,8,9,10,11,12), A647)</f>
        <v>44962</v>
      </c>
      <c r="H647">
        <v>9.125</v>
      </c>
      <c r="I647">
        <v>56000</v>
      </c>
      <c r="J647" s="1">
        <f t="shared" si="21"/>
        <v>44112</v>
      </c>
      <c r="K647" s="2" t="e">
        <f t="shared" si="20"/>
        <v>#N/A</v>
      </c>
    </row>
    <row r="648" spans="1:11" x14ac:dyDescent="0.25">
      <c r="A648">
        <v>6</v>
      </c>
      <c r="B648" t="s">
        <v>27</v>
      </c>
      <c r="C648">
        <v>2023</v>
      </c>
      <c r="D648">
        <v>20.875</v>
      </c>
      <c r="E648" t="s">
        <v>9</v>
      </c>
      <c r="F648">
        <v>11.125</v>
      </c>
      <c r="G648" s="1">
        <f>DATE(C648, CHOOSE(MATCH(UPPER(B648), {"ENERO","FEBRERO","MARZO","ABRIL","MAYO","JUNIO","JULIO","AGOSTO","SEPTIEMBRE","OCTUBRE","NOVIEMBRE","DICIEMBRE"}, 0), 1,2,3,4,5,6,7,8,9,10,11,12), A648)</f>
        <v>44963</v>
      </c>
      <c r="H648">
        <v>9.75</v>
      </c>
      <c r="I648">
        <v>56000</v>
      </c>
      <c r="J648" s="1">
        <f t="shared" si="21"/>
        <v>44113</v>
      </c>
      <c r="K648" s="2" t="e">
        <f t="shared" si="20"/>
        <v>#N/A</v>
      </c>
    </row>
    <row r="649" spans="1:11" x14ac:dyDescent="0.25">
      <c r="A649">
        <v>7</v>
      </c>
      <c r="B649" t="s">
        <v>27</v>
      </c>
      <c r="C649">
        <v>2023</v>
      </c>
      <c r="D649">
        <v>11.125</v>
      </c>
      <c r="E649">
        <v>30</v>
      </c>
      <c r="F649">
        <v>34.75</v>
      </c>
      <c r="G649" s="1">
        <f>DATE(C649, CHOOSE(MATCH(UPPER(B649), {"ENERO","FEBRERO","MARZO","ABRIL","MAYO","JUNIO","JULIO","AGOSTO","SEPTIEMBRE","OCTUBRE","NOVIEMBRE","DICIEMBRE"}, 0), 1,2,3,4,5,6,7,8,9,10,11,12), A649)</f>
        <v>44964</v>
      </c>
      <c r="H649">
        <v>6.375</v>
      </c>
      <c r="I649">
        <v>56000</v>
      </c>
      <c r="J649" s="1">
        <f t="shared" si="21"/>
        <v>44114</v>
      </c>
      <c r="K649" s="2" t="e">
        <f t="shared" si="20"/>
        <v>#N/A</v>
      </c>
    </row>
    <row r="650" spans="1:11" x14ac:dyDescent="0.25">
      <c r="A650">
        <v>8</v>
      </c>
      <c r="B650" t="s">
        <v>27</v>
      </c>
      <c r="C650">
        <v>2023</v>
      </c>
      <c r="D650">
        <v>34.75</v>
      </c>
      <c r="E650" t="s">
        <v>9</v>
      </c>
      <c r="F650">
        <v>26.125</v>
      </c>
      <c r="G650" s="1">
        <f>DATE(C650, CHOOSE(MATCH(UPPER(B650), {"ENERO","FEBRERO","MARZO","ABRIL","MAYO","JUNIO","JULIO","AGOSTO","SEPTIEMBRE","OCTUBRE","NOVIEMBRE","DICIEMBRE"}, 0), 1,2,3,4,5,6,7,8,9,10,11,12), A650)</f>
        <v>44965</v>
      </c>
      <c r="H650">
        <v>8.625</v>
      </c>
      <c r="I650">
        <v>56000</v>
      </c>
      <c r="J650" s="1">
        <f t="shared" si="21"/>
        <v>44115</v>
      </c>
      <c r="K650" s="2" t="e">
        <f t="shared" si="20"/>
        <v>#N/A</v>
      </c>
    </row>
    <row r="651" spans="1:11" x14ac:dyDescent="0.25">
      <c r="A651">
        <v>9</v>
      </c>
      <c r="B651" t="s">
        <v>27</v>
      </c>
      <c r="C651">
        <v>2023</v>
      </c>
      <c r="D651">
        <v>26.125</v>
      </c>
      <c r="E651" t="s">
        <v>9</v>
      </c>
      <c r="F651">
        <v>22.875</v>
      </c>
      <c r="G651" s="1">
        <f>DATE(C651, CHOOSE(MATCH(UPPER(B651), {"ENERO","FEBRERO","MARZO","ABRIL","MAYO","JUNIO","JULIO","AGOSTO","SEPTIEMBRE","OCTUBRE","NOVIEMBRE","DICIEMBRE"}, 0), 1,2,3,4,5,6,7,8,9,10,11,12), A651)</f>
        <v>44966</v>
      </c>
      <c r="H651">
        <v>3.25</v>
      </c>
      <c r="I651">
        <v>56000</v>
      </c>
      <c r="J651" s="1">
        <f t="shared" si="21"/>
        <v>44116</v>
      </c>
      <c r="K651" s="2" t="e">
        <f t="shared" si="20"/>
        <v>#N/A</v>
      </c>
    </row>
    <row r="652" spans="1:11" x14ac:dyDescent="0.25">
      <c r="A652">
        <v>10</v>
      </c>
      <c r="B652" t="s">
        <v>27</v>
      </c>
      <c r="C652">
        <v>2023</v>
      </c>
      <c r="D652">
        <v>22.875</v>
      </c>
      <c r="E652" t="s">
        <v>9</v>
      </c>
      <c r="F652">
        <v>9.375</v>
      </c>
      <c r="G652" s="1">
        <f>DATE(C652, CHOOSE(MATCH(UPPER(B652), {"ENERO","FEBRERO","MARZO","ABRIL","MAYO","JUNIO","JULIO","AGOSTO","SEPTIEMBRE","OCTUBRE","NOVIEMBRE","DICIEMBRE"}, 0), 1,2,3,4,5,6,7,8,9,10,11,12), A652)</f>
        <v>44967</v>
      </c>
      <c r="H652">
        <v>13.5</v>
      </c>
      <c r="I652">
        <v>56000</v>
      </c>
      <c r="J652" s="1">
        <f t="shared" si="21"/>
        <v>44117</v>
      </c>
      <c r="K652" s="2" t="e">
        <f t="shared" si="20"/>
        <v>#N/A</v>
      </c>
    </row>
    <row r="653" spans="1:11" x14ac:dyDescent="0.25">
      <c r="A653">
        <v>11</v>
      </c>
      <c r="B653" t="s">
        <v>27</v>
      </c>
      <c r="C653">
        <v>2023</v>
      </c>
      <c r="D653">
        <v>9.375</v>
      </c>
      <c r="E653">
        <v>50</v>
      </c>
      <c r="F653">
        <v>41.875</v>
      </c>
      <c r="G653" s="1">
        <f>DATE(C653, CHOOSE(MATCH(UPPER(B653), {"ENERO","FEBRERO","MARZO","ABRIL","MAYO","JUNIO","JULIO","AGOSTO","SEPTIEMBRE","OCTUBRE","NOVIEMBRE","DICIEMBRE"}, 0), 1,2,3,4,5,6,7,8,9,10,11,12), A653)</f>
        <v>44968</v>
      </c>
      <c r="H653">
        <v>17.5</v>
      </c>
      <c r="I653">
        <v>56000</v>
      </c>
      <c r="J653" s="1">
        <f t="shared" si="21"/>
        <v>44118</v>
      </c>
      <c r="K653" s="2" t="e">
        <f t="shared" si="20"/>
        <v>#N/A</v>
      </c>
    </row>
    <row r="654" spans="1:11" x14ac:dyDescent="0.25">
      <c r="A654">
        <v>12</v>
      </c>
      <c r="B654" t="s">
        <v>27</v>
      </c>
      <c r="C654">
        <v>2023</v>
      </c>
      <c r="D654">
        <v>41.875</v>
      </c>
      <c r="E654" t="s">
        <v>9</v>
      </c>
      <c r="F654">
        <v>30.375</v>
      </c>
      <c r="G654" s="1">
        <f>DATE(C654, CHOOSE(MATCH(UPPER(B654), {"ENERO","FEBRERO","MARZO","ABRIL","MAYO","JUNIO","JULIO","AGOSTO","SEPTIEMBRE","OCTUBRE","NOVIEMBRE","DICIEMBRE"}, 0), 1,2,3,4,5,6,7,8,9,10,11,12), A654)</f>
        <v>44969</v>
      </c>
      <c r="H654">
        <v>11.5</v>
      </c>
      <c r="I654">
        <v>56000</v>
      </c>
      <c r="J654" s="1">
        <f t="shared" si="21"/>
        <v>44119</v>
      </c>
      <c r="K654" s="2" t="e">
        <f t="shared" si="20"/>
        <v>#N/A</v>
      </c>
    </row>
    <row r="655" spans="1:11" x14ac:dyDescent="0.25">
      <c r="A655">
        <v>13</v>
      </c>
      <c r="B655" t="s">
        <v>27</v>
      </c>
      <c r="C655">
        <v>2023</v>
      </c>
      <c r="D655">
        <v>30.375</v>
      </c>
      <c r="E655" t="s">
        <v>9</v>
      </c>
      <c r="F655">
        <v>19.625</v>
      </c>
      <c r="G655" s="1">
        <f>DATE(C655, CHOOSE(MATCH(UPPER(B655), {"ENERO","FEBRERO","MARZO","ABRIL","MAYO","JUNIO","JULIO","AGOSTO","SEPTIEMBRE","OCTUBRE","NOVIEMBRE","DICIEMBRE"}, 0), 1,2,3,4,5,6,7,8,9,10,11,12), A655)</f>
        <v>44970</v>
      </c>
      <c r="H655">
        <v>10.75</v>
      </c>
      <c r="I655">
        <v>56000</v>
      </c>
      <c r="J655" s="1">
        <f t="shared" si="21"/>
        <v>44120</v>
      </c>
      <c r="K655" s="2" t="e">
        <f t="shared" si="20"/>
        <v>#N/A</v>
      </c>
    </row>
    <row r="656" spans="1:11" x14ac:dyDescent="0.25">
      <c r="A656">
        <v>14</v>
      </c>
      <c r="B656" t="s">
        <v>27</v>
      </c>
      <c r="C656">
        <v>2023</v>
      </c>
      <c r="D656">
        <v>19.625</v>
      </c>
      <c r="E656">
        <v>30</v>
      </c>
      <c r="F656">
        <v>44.25</v>
      </c>
      <c r="G656" s="1">
        <f>DATE(C656, CHOOSE(MATCH(UPPER(B656), {"ENERO","FEBRERO","MARZO","ABRIL","MAYO","JUNIO","JULIO","AGOSTO","SEPTIEMBRE","OCTUBRE","NOVIEMBRE","DICIEMBRE"}, 0), 1,2,3,4,5,6,7,8,9,10,11,12), A656)</f>
        <v>44971</v>
      </c>
      <c r="H656">
        <v>5.375</v>
      </c>
      <c r="I656">
        <v>56000</v>
      </c>
      <c r="J656" s="1">
        <f t="shared" si="21"/>
        <v>44121</v>
      </c>
      <c r="K656" s="2" t="e">
        <f t="shared" si="20"/>
        <v>#N/A</v>
      </c>
    </row>
    <row r="657" spans="1:11" x14ac:dyDescent="0.25">
      <c r="A657">
        <v>15</v>
      </c>
      <c r="B657" t="s">
        <v>27</v>
      </c>
      <c r="C657">
        <v>2023</v>
      </c>
      <c r="D657">
        <v>44.25</v>
      </c>
      <c r="E657" t="s">
        <v>9</v>
      </c>
      <c r="F657">
        <v>36.5</v>
      </c>
      <c r="G657" s="1">
        <f>DATE(C657, CHOOSE(MATCH(UPPER(B657), {"ENERO","FEBRERO","MARZO","ABRIL","MAYO","JUNIO","JULIO","AGOSTO","SEPTIEMBRE","OCTUBRE","NOVIEMBRE","DICIEMBRE"}, 0), 1,2,3,4,5,6,7,8,9,10,11,12), A657)</f>
        <v>44972</v>
      </c>
      <c r="H657">
        <v>7.75</v>
      </c>
      <c r="I657">
        <v>56000</v>
      </c>
      <c r="J657" s="1">
        <f t="shared" si="21"/>
        <v>44122</v>
      </c>
      <c r="K657" s="2" t="e">
        <f t="shared" si="20"/>
        <v>#N/A</v>
      </c>
    </row>
    <row r="658" spans="1:11" x14ac:dyDescent="0.25">
      <c r="A658">
        <v>16</v>
      </c>
      <c r="B658" t="s">
        <v>27</v>
      </c>
      <c r="C658">
        <v>2023</v>
      </c>
      <c r="D658">
        <v>36.5</v>
      </c>
      <c r="E658" t="s">
        <v>9</v>
      </c>
      <c r="F658">
        <v>24</v>
      </c>
      <c r="G658" s="1">
        <f>DATE(C658, CHOOSE(MATCH(UPPER(B658), {"ENERO","FEBRERO","MARZO","ABRIL","MAYO","JUNIO","JULIO","AGOSTO","SEPTIEMBRE","OCTUBRE","NOVIEMBRE","DICIEMBRE"}, 0), 1,2,3,4,5,6,7,8,9,10,11,12), A658)</f>
        <v>44973</v>
      </c>
      <c r="H658">
        <v>12.5</v>
      </c>
      <c r="I658">
        <v>56000</v>
      </c>
      <c r="J658" s="1">
        <f t="shared" si="21"/>
        <v>44123</v>
      </c>
      <c r="K658" s="2" t="e">
        <f t="shared" si="20"/>
        <v>#N/A</v>
      </c>
    </row>
    <row r="659" spans="1:11" x14ac:dyDescent="0.25">
      <c r="A659">
        <v>17</v>
      </c>
      <c r="B659" t="s">
        <v>27</v>
      </c>
      <c r="C659">
        <v>2023</v>
      </c>
      <c r="D659">
        <v>24</v>
      </c>
      <c r="E659" t="s">
        <v>9</v>
      </c>
      <c r="F659">
        <v>19.125</v>
      </c>
      <c r="G659" s="1">
        <f>DATE(C659, CHOOSE(MATCH(UPPER(B659), {"ENERO","FEBRERO","MARZO","ABRIL","MAYO","JUNIO","JULIO","AGOSTO","SEPTIEMBRE","OCTUBRE","NOVIEMBRE","DICIEMBRE"}, 0), 1,2,3,4,5,6,7,8,9,10,11,12), A659)</f>
        <v>44974</v>
      </c>
      <c r="H659">
        <v>4.875</v>
      </c>
      <c r="I659">
        <v>56000</v>
      </c>
      <c r="J659" s="1">
        <f t="shared" si="21"/>
        <v>44124</v>
      </c>
      <c r="K659" s="2" t="e">
        <f t="shared" si="20"/>
        <v>#N/A</v>
      </c>
    </row>
    <row r="660" spans="1:11" x14ac:dyDescent="0.25">
      <c r="A660">
        <v>18</v>
      </c>
      <c r="B660" t="s">
        <v>27</v>
      </c>
      <c r="C660">
        <v>2023</v>
      </c>
      <c r="D660">
        <v>19.125</v>
      </c>
      <c r="E660">
        <v>50</v>
      </c>
      <c r="F660">
        <v>52.125</v>
      </c>
      <c r="G660" s="1">
        <f>DATE(C660, CHOOSE(MATCH(UPPER(B660), {"ENERO","FEBRERO","MARZO","ABRIL","MAYO","JUNIO","JULIO","AGOSTO","SEPTIEMBRE","OCTUBRE","NOVIEMBRE","DICIEMBRE"}, 0), 1,2,3,4,5,6,7,8,9,10,11,12), A660)</f>
        <v>44975</v>
      </c>
      <c r="H660">
        <v>17</v>
      </c>
      <c r="I660">
        <v>56000</v>
      </c>
      <c r="J660" s="1">
        <f t="shared" si="21"/>
        <v>44125</v>
      </c>
      <c r="K660" s="2" t="e">
        <f t="shared" si="20"/>
        <v>#N/A</v>
      </c>
    </row>
    <row r="661" spans="1:11" x14ac:dyDescent="0.25">
      <c r="A661">
        <v>19</v>
      </c>
      <c r="B661" t="s">
        <v>27</v>
      </c>
      <c r="C661">
        <v>2023</v>
      </c>
      <c r="D661">
        <v>52.125</v>
      </c>
      <c r="E661" t="s">
        <v>9</v>
      </c>
      <c r="F661">
        <v>38.125</v>
      </c>
      <c r="G661" s="1">
        <f>DATE(C661, CHOOSE(MATCH(UPPER(B661), {"ENERO","FEBRERO","MARZO","ABRIL","MAYO","JUNIO","JULIO","AGOSTO","SEPTIEMBRE","OCTUBRE","NOVIEMBRE","DICIEMBRE"}, 0), 1,2,3,4,5,6,7,8,9,10,11,12), A661)</f>
        <v>44976</v>
      </c>
      <c r="H661">
        <v>14</v>
      </c>
      <c r="I661">
        <v>56000</v>
      </c>
      <c r="J661" s="1">
        <f t="shared" si="21"/>
        <v>44126</v>
      </c>
      <c r="K661" s="2" t="e">
        <f t="shared" si="20"/>
        <v>#N/A</v>
      </c>
    </row>
    <row r="662" spans="1:11" x14ac:dyDescent="0.25">
      <c r="A662">
        <v>20</v>
      </c>
      <c r="B662" t="s">
        <v>27</v>
      </c>
      <c r="C662">
        <v>2023</v>
      </c>
      <c r="D662">
        <v>38.125</v>
      </c>
      <c r="E662" t="s">
        <v>9</v>
      </c>
      <c r="F662">
        <v>26.25</v>
      </c>
      <c r="G662" s="1">
        <f>DATE(C662, CHOOSE(MATCH(UPPER(B662), {"ENERO","FEBRERO","MARZO","ABRIL","MAYO","JUNIO","JULIO","AGOSTO","SEPTIEMBRE","OCTUBRE","NOVIEMBRE","DICIEMBRE"}, 0), 1,2,3,4,5,6,7,8,9,10,11,12), A662)</f>
        <v>44977</v>
      </c>
      <c r="H662">
        <v>11.875</v>
      </c>
      <c r="I662">
        <v>56000</v>
      </c>
      <c r="J662" s="1">
        <f t="shared" si="21"/>
        <v>44127</v>
      </c>
      <c r="K662" s="2" t="e">
        <f t="shared" si="20"/>
        <v>#N/A</v>
      </c>
    </row>
    <row r="663" spans="1:11" x14ac:dyDescent="0.25">
      <c r="A663">
        <v>21</v>
      </c>
      <c r="B663" t="s">
        <v>27</v>
      </c>
      <c r="C663">
        <v>2023</v>
      </c>
      <c r="D663">
        <v>26.25</v>
      </c>
      <c r="E663">
        <v>30</v>
      </c>
      <c r="F663">
        <v>46.25</v>
      </c>
      <c r="G663" s="1">
        <f>DATE(C663, CHOOSE(MATCH(UPPER(B663), {"ENERO","FEBRERO","MARZO","ABRIL","MAYO","JUNIO","JULIO","AGOSTO","SEPTIEMBRE","OCTUBRE","NOVIEMBRE","DICIEMBRE"}, 0), 1,2,3,4,5,6,7,8,9,10,11,12), A663)</f>
        <v>44978</v>
      </c>
      <c r="H663">
        <v>10</v>
      </c>
      <c r="I663">
        <v>56000</v>
      </c>
      <c r="J663" s="1">
        <f t="shared" si="21"/>
        <v>44128</v>
      </c>
      <c r="K663" s="2" t="e">
        <f t="shared" si="20"/>
        <v>#N/A</v>
      </c>
    </row>
    <row r="664" spans="1:11" x14ac:dyDescent="0.25">
      <c r="A664">
        <v>22</v>
      </c>
      <c r="B664" t="s">
        <v>27</v>
      </c>
      <c r="C664">
        <v>2023</v>
      </c>
      <c r="D664">
        <v>46.25</v>
      </c>
      <c r="E664" t="s">
        <v>9</v>
      </c>
      <c r="F664">
        <v>38.25</v>
      </c>
      <c r="G664" s="1">
        <f>DATE(C664, CHOOSE(MATCH(UPPER(B664), {"ENERO","FEBRERO","MARZO","ABRIL","MAYO","JUNIO","JULIO","AGOSTO","SEPTIEMBRE","OCTUBRE","NOVIEMBRE","DICIEMBRE"}, 0), 1,2,3,4,5,6,7,8,9,10,11,12), A664)</f>
        <v>44979</v>
      </c>
      <c r="H664">
        <v>8</v>
      </c>
      <c r="I664">
        <v>56000</v>
      </c>
      <c r="J664" s="1">
        <f t="shared" si="21"/>
        <v>44129</v>
      </c>
      <c r="K664" s="2" t="e">
        <f t="shared" si="20"/>
        <v>#N/A</v>
      </c>
    </row>
    <row r="665" spans="1:11" x14ac:dyDescent="0.25">
      <c r="A665">
        <v>23</v>
      </c>
      <c r="B665" t="s">
        <v>27</v>
      </c>
      <c r="C665">
        <v>2023</v>
      </c>
      <c r="D665">
        <v>38.25</v>
      </c>
      <c r="E665" t="s">
        <v>9</v>
      </c>
      <c r="F665">
        <v>32.25</v>
      </c>
      <c r="G665" s="1">
        <f>DATE(C665, CHOOSE(MATCH(UPPER(B665), {"ENERO","FEBRERO","MARZO","ABRIL","MAYO","JUNIO","JULIO","AGOSTO","SEPTIEMBRE","OCTUBRE","NOVIEMBRE","DICIEMBRE"}, 0), 1,2,3,4,5,6,7,8,9,10,11,12), A665)</f>
        <v>44980</v>
      </c>
      <c r="H665">
        <v>6</v>
      </c>
      <c r="I665">
        <v>56000</v>
      </c>
      <c r="J665" s="1">
        <f t="shared" si="21"/>
        <v>44130</v>
      </c>
      <c r="K665" s="2" t="e">
        <f t="shared" si="20"/>
        <v>#N/A</v>
      </c>
    </row>
    <row r="666" spans="1:11" x14ac:dyDescent="0.25">
      <c r="A666">
        <v>24</v>
      </c>
      <c r="B666" t="s">
        <v>27</v>
      </c>
      <c r="C666">
        <v>2023</v>
      </c>
      <c r="D666">
        <v>32.25</v>
      </c>
      <c r="E666" t="s">
        <v>9</v>
      </c>
      <c r="F666">
        <v>22.875</v>
      </c>
      <c r="G666" s="1">
        <f>DATE(C666, CHOOSE(MATCH(UPPER(B666), {"ENERO","FEBRERO","MARZO","ABRIL","MAYO","JUNIO","JULIO","AGOSTO","SEPTIEMBRE","OCTUBRE","NOVIEMBRE","DICIEMBRE"}, 0), 1,2,3,4,5,6,7,8,9,10,11,12), A666)</f>
        <v>44981</v>
      </c>
      <c r="H666">
        <v>9.375</v>
      </c>
      <c r="I666">
        <v>56000</v>
      </c>
      <c r="J666" s="1">
        <f t="shared" si="21"/>
        <v>44131</v>
      </c>
      <c r="K666" s="2" t="e">
        <f t="shared" si="20"/>
        <v>#N/A</v>
      </c>
    </row>
    <row r="667" spans="1:11" x14ac:dyDescent="0.25">
      <c r="A667">
        <v>25</v>
      </c>
      <c r="B667" t="s">
        <v>27</v>
      </c>
      <c r="C667">
        <v>2023</v>
      </c>
      <c r="D667">
        <v>22.875</v>
      </c>
      <c r="E667" t="s">
        <v>9</v>
      </c>
      <c r="F667">
        <v>9.625</v>
      </c>
      <c r="G667" s="1">
        <f>DATE(C667, CHOOSE(MATCH(UPPER(B667), {"ENERO","FEBRERO","MARZO","ABRIL","MAYO","JUNIO","JULIO","AGOSTO","SEPTIEMBRE","OCTUBRE","NOVIEMBRE","DICIEMBRE"}, 0), 1,2,3,4,5,6,7,8,9,10,11,12), A667)</f>
        <v>44982</v>
      </c>
      <c r="H667">
        <v>13.25</v>
      </c>
      <c r="I667">
        <v>56000</v>
      </c>
      <c r="J667" s="1">
        <f t="shared" si="21"/>
        <v>44132</v>
      </c>
      <c r="K667" s="2" t="e">
        <f t="shared" si="20"/>
        <v>#N/A</v>
      </c>
    </row>
    <row r="668" spans="1:11" x14ac:dyDescent="0.25">
      <c r="A668">
        <v>26</v>
      </c>
      <c r="B668" t="s">
        <v>27</v>
      </c>
      <c r="C668">
        <v>2023</v>
      </c>
      <c r="D668">
        <v>9.625</v>
      </c>
      <c r="E668">
        <v>50</v>
      </c>
      <c r="F668">
        <v>48.25</v>
      </c>
      <c r="G668" s="1">
        <f>DATE(C668, CHOOSE(MATCH(UPPER(B668), {"ENERO","FEBRERO","MARZO","ABRIL","MAYO","JUNIO","JULIO","AGOSTO","SEPTIEMBRE","OCTUBRE","NOVIEMBRE","DICIEMBRE"}, 0), 1,2,3,4,5,6,7,8,9,10,11,12), A668)</f>
        <v>44983</v>
      </c>
      <c r="H668">
        <v>11.375</v>
      </c>
      <c r="I668">
        <v>56000</v>
      </c>
      <c r="J668" s="1">
        <f t="shared" si="21"/>
        <v>44133</v>
      </c>
      <c r="K668" s="2" t="e">
        <f t="shared" si="20"/>
        <v>#N/A</v>
      </c>
    </row>
    <row r="669" spans="1:11" x14ac:dyDescent="0.25">
      <c r="A669">
        <v>27</v>
      </c>
      <c r="B669" t="s">
        <v>27</v>
      </c>
      <c r="C669">
        <v>2023</v>
      </c>
      <c r="D669">
        <v>48.25</v>
      </c>
      <c r="E669" t="s">
        <v>9</v>
      </c>
      <c r="F669">
        <v>43.125</v>
      </c>
      <c r="G669" s="1">
        <f>DATE(C669, CHOOSE(MATCH(UPPER(B669), {"ENERO","FEBRERO","MARZO","ABRIL","MAYO","JUNIO","JULIO","AGOSTO","SEPTIEMBRE","OCTUBRE","NOVIEMBRE","DICIEMBRE"}, 0), 1,2,3,4,5,6,7,8,9,10,11,12), A669)</f>
        <v>44984</v>
      </c>
      <c r="H669">
        <v>5.125</v>
      </c>
      <c r="I669">
        <v>56000</v>
      </c>
      <c r="J669" s="1">
        <f t="shared" si="21"/>
        <v>44134</v>
      </c>
      <c r="K669" s="2" t="e">
        <f t="shared" si="20"/>
        <v>#N/A</v>
      </c>
    </row>
    <row r="670" spans="1:11" x14ac:dyDescent="0.25">
      <c r="A670">
        <v>28</v>
      </c>
      <c r="B670" t="s">
        <v>27</v>
      </c>
      <c r="C670">
        <v>2023</v>
      </c>
      <c r="D670">
        <v>43.125</v>
      </c>
      <c r="E670" t="s">
        <v>9</v>
      </c>
      <c r="F670">
        <v>34.875</v>
      </c>
      <c r="G670" s="1">
        <f>DATE(C670, CHOOSE(MATCH(UPPER(B670), {"ENERO","FEBRERO","MARZO","ABRIL","MAYO","JUNIO","JULIO","AGOSTO","SEPTIEMBRE","OCTUBRE","NOVIEMBRE","DICIEMBRE"}, 0), 1,2,3,4,5,6,7,8,9,10,11,12), A670)</f>
        <v>44985</v>
      </c>
      <c r="H670">
        <v>8.25</v>
      </c>
      <c r="I670">
        <v>56000</v>
      </c>
      <c r="J670" s="1">
        <f t="shared" si="21"/>
        <v>44135</v>
      </c>
      <c r="K670" s="2" t="e">
        <f t="shared" si="20"/>
        <v>#N/A</v>
      </c>
    </row>
    <row r="671" spans="1:11" x14ac:dyDescent="0.25">
      <c r="A671">
        <v>1</v>
      </c>
      <c r="B671" t="s">
        <v>28</v>
      </c>
      <c r="C671">
        <v>2023</v>
      </c>
      <c r="D671">
        <v>34.875</v>
      </c>
      <c r="E671" t="s">
        <v>9</v>
      </c>
      <c r="F671">
        <v>26.875</v>
      </c>
      <c r="G671" s="1">
        <f>DATE(C671, CHOOSE(MATCH(UPPER(B671), {"ENERO","FEBRERO","MARZO","ABRIL","MAYO","JUNIO","JULIO","AGOSTO","SEPTIEMBRE","OCTUBRE","NOVIEMBRE","DICIEMBRE"}, 0), 1,2,3,4,5,6,7,8,9,10,11,12), A671)</f>
        <v>44986</v>
      </c>
      <c r="H671">
        <v>8</v>
      </c>
      <c r="I671">
        <v>56000</v>
      </c>
      <c r="J671" s="1">
        <f t="shared" si="21"/>
        <v>44136</v>
      </c>
      <c r="K671" s="2" t="e">
        <f t="shared" si="20"/>
        <v>#N/A</v>
      </c>
    </row>
    <row r="672" spans="1:11" x14ac:dyDescent="0.25">
      <c r="A672">
        <v>2</v>
      </c>
      <c r="B672" t="s">
        <v>28</v>
      </c>
      <c r="C672">
        <v>2023</v>
      </c>
      <c r="D672">
        <v>26.875</v>
      </c>
      <c r="E672" t="s">
        <v>9</v>
      </c>
      <c r="F672">
        <v>24.375</v>
      </c>
      <c r="G672" s="1">
        <f>DATE(C672, CHOOSE(MATCH(UPPER(B672), {"ENERO","FEBRERO","MARZO","ABRIL","MAYO","JUNIO","JULIO","AGOSTO","SEPTIEMBRE","OCTUBRE","NOVIEMBRE","DICIEMBRE"}, 0), 1,2,3,4,5,6,7,8,9,10,11,12), A672)</f>
        <v>44987</v>
      </c>
      <c r="H672">
        <v>2.5</v>
      </c>
      <c r="I672">
        <v>56000</v>
      </c>
      <c r="J672" s="1">
        <f t="shared" si="21"/>
        <v>44137</v>
      </c>
      <c r="K672" s="2" t="e">
        <f t="shared" si="20"/>
        <v>#N/A</v>
      </c>
    </row>
    <row r="673" spans="1:11" x14ac:dyDescent="0.25">
      <c r="A673">
        <v>3</v>
      </c>
      <c r="B673" t="s">
        <v>28</v>
      </c>
      <c r="C673">
        <v>2023</v>
      </c>
      <c r="D673">
        <v>24.375</v>
      </c>
      <c r="E673" t="s">
        <v>9</v>
      </c>
      <c r="F673">
        <v>14.75</v>
      </c>
      <c r="G673" s="1">
        <f>DATE(C673, CHOOSE(MATCH(UPPER(B673), {"ENERO","FEBRERO","MARZO","ABRIL","MAYO","JUNIO","JULIO","AGOSTO","SEPTIEMBRE","OCTUBRE","NOVIEMBRE","DICIEMBRE"}, 0), 1,2,3,4,5,6,7,8,9,10,11,12), A673)</f>
        <v>44988</v>
      </c>
      <c r="H673">
        <v>9.625</v>
      </c>
      <c r="I673">
        <v>56000</v>
      </c>
      <c r="J673" s="1">
        <f t="shared" si="21"/>
        <v>44138</v>
      </c>
      <c r="K673" s="2" t="e">
        <f t="shared" si="20"/>
        <v>#N/A</v>
      </c>
    </row>
    <row r="674" spans="1:11" x14ac:dyDescent="0.25">
      <c r="A674">
        <v>4</v>
      </c>
      <c r="B674" t="s">
        <v>28</v>
      </c>
      <c r="C674">
        <v>2023</v>
      </c>
      <c r="D674">
        <v>14.75</v>
      </c>
      <c r="E674">
        <v>50</v>
      </c>
      <c r="F674">
        <v>51.375</v>
      </c>
      <c r="G674" s="1">
        <f>DATE(C674, CHOOSE(MATCH(UPPER(B674), {"ENERO","FEBRERO","MARZO","ABRIL","MAYO","JUNIO","JULIO","AGOSTO","SEPTIEMBRE","OCTUBRE","NOVIEMBRE","DICIEMBRE"}, 0), 1,2,3,4,5,6,7,8,9,10,11,12), A674)</f>
        <v>44989</v>
      </c>
      <c r="H674">
        <v>13.375</v>
      </c>
      <c r="I674">
        <v>56000</v>
      </c>
      <c r="J674" s="1">
        <f t="shared" si="21"/>
        <v>44139</v>
      </c>
      <c r="K674" s="2" t="e">
        <f t="shared" si="20"/>
        <v>#N/A</v>
      </c>
    </row>
    <row r="675" spans="1:11" x14ac:dyDescent="0.25">
      <c r="A675">
        <v>5</v>
      </c>
      <c r="B675" t="s">
        <v>28</v>
      </c>
      <c r="C675">
        <v>2023</v>
      </c>
      <c r="D675">
        <v>51.375</v>
      </c>
      <c r="E675" t="s">
        <v>9</v>
      </c>
      <c r="F675">
        <v>39.75</v>
      </c>
      <c r="G675" s="1">
        <f>DATE(C675, CHOOSE(MATCH(UPPER(B675), {"ENERO","FEBRERO","MARZO","ABRIL","MAYO","JUNIO","JULIO","AGOSTO","SEPTIEMBRE","OCTUBRE","NOVIEMBRE","DICIEMBRE"}, 0), 1,2,3,4,5,6,7,8,9,10,11,12), A675)</f>
        <v>44990</v>
      </c>
      <c r="H675">
        <v>11.625</v>
      </c>
      <c r="I675">
        <v>56000</v>
      </c>
      <c r="J675" s="1">
        <f t="shared" si="21"/>
        <v>44140</v>
      </c>
      <c r="K675" s="2" t="e">
        <f t="shared" si="20"/>
        <v>#N/A</v>
      </c>
    </row>
    <row r="676" spans="1:11" x14ac:dyDescent="0.25">
      <c r="A676">
        <v>6</v>
      </c>
      <c r="B676" t="s">
        <v>28</v>
      </c>
      <c r="C676">
        <v>2023</v>
      </c>
      <c r="D676">
        <v>39.75</v>
      </c>
      <c r="E676" t="s">
        <v>9</v>
      </c>
      <c r="F676">
        <v>35.5</v>
      </c>
      <c r="G676" s="1">
        <f>DATE(C676, CHOOSE(MATCH(UPPER(B676), {"ENERO","FEBRERO","MARZO","ABRIL","MAYO","JUNIO","JULIO","AGOSTO","SEPTIEMBRE","OCTUBRE","NOVIEMBRE","DICIEMBRE"}, 0), 1,2,3,4,5,6,7,8,9,10,11,12), A676)</f>
        <v>44991</v>
      </c>
      <c r="H676">
        <v>4.25</v>
      </c>
      <c r="I676">
        <v>56000</v>
      </c>
      <c r="J676" s="1">
        <f t="shared" si="21"/>
        <v>44141</v>
      </c>
      <c r="K676" s="2" t="e">
        <f t="shared" si="20"/>
        <v>#N/A</v>
      </c>
    </row>
    <row r="677" spans="1:11" x14ac:dyDescent="0.25">
      <c r="A677">
        <v>7</v>
      </c>
      <c r="B677" t="s">
        <v>28</v>
      </c>
      <c r="C677">
        <v>2023</v>
      </c>
      <c r="D677">
        <v>35.5</v>
      </c>
      <c r="E677" t="s">
        <v>9</v>
      </c>
      <c r="F677">
        <v>29</v>
      </c>
      <c r="G677" s="1">
        <f>DATE(C677, CHOOSE(MATCH(UPPER(B677), {"ENERO","FEBRERO","MARZO","ABRIL","MAYO","JUNIO","JULIO","AGOSTO","SEPTIEMBRE","OCTUBRE","NOVIEMBRE","DICIEMBRE"}, 0), 1,2,3,4,5,6,7,8,9,10,11,12), A677)</f>
        <v>44992</v>
      </c>
      <c r="H677">
        <v>6.5</v>
      </c>
      <c r="I677">
        <v>56000</v>
      </c>
      <c r="J677" s="1">
        <f t="shared" si="21"/>
        <v>44142</v>
      </c>
      <c r="K677" s="2" t="e">
        <f t="shared" si="20"/>
        <v>#N/A</v>
      </c>
    </row>
    <row r="678" spans="1:11" x14ac:dyDescent="0.25">
      <c r="A678">
        <v>8</v>
      </c>
      <c r="B678" t="s">
        <v>28</v>
      </c>
      <c r="C678">
        <v>2023</v>
      </c>
      <c r="D678">
        <v>29</v>
      </c>
      <c r="E678">
        <v>30</v>
      </c>
      <c r="F678">
        <v>42.25</v>
      </c>
      <c r="G678" s="1">
        <f>DATE(C678, CHOOSE(MATCH(UPPER(B678), {"ENERO","FEBRERO","MARZO","ABRIL","MAYO","JUNIO","JULIO","AGOSTO","SEPTIEMBRE","OCTUBRE","NOVIEMBRE","DICIEMBRE"}, 0), 1,2,3,4,5,6,7,8,9,10,11,12), A678)</f>
        <v>44993</v>
      </c>
      <c r="H678">
        <v>16.75</v>
      </c>
      <c r="I678">
        <v>56000</v>
      </c>
      <c r="J678" s="1">
        <f t="shared" si="21"/>
        <v>44143</v>
      </c>
      <c r="K678" s="2" t="e">
        <f t="shared" si="20"/>
        <v>#N/A</v>
      </c>
    </row>
    <row r="679" spans="1:11" x14ac:dyDescent="0.25">
      <c r="A679">
        <v>9</v>
      </c>
      <c r="B679" t="s">
        <v>28</v>
      </c>
      <c r="C679">
        <v>2023</v>
      </c>
      <c r="D679">
        <v>42.25</v>
      </c>
      <c r="E679" t="s">
        <v>9</v>
      </c>
      <c r="F679">
        <v>36.125</v>
      </c>
      <c r="G679" s="1">
        <f>DATE(C679, CHOOSE(MATCH(UPPER(B679), {"ENERO","FEBRERO","MARZO","ABRIL","MAYO","JUNIO","JULIO","AGOSTO","SEPTIEMBRE","OCTUBRE","NOVIEMBRE","DICIEMBRE"}, 0), 1,2,3,4,5,6,7,8,9,10,11,12), A679)</f>
        <v>44994</v>
      </c>
      <c r="H679">
        <v>6.125</v>
      </c>
      <c r="I679">
        <v>56000</v>
      </c>
      <c r="J679" s="1">
        <f t="shared" si="21"/>
        <v>44144</v>
      </c>
      <c r="K679" s="2" t="e">
        <f t="shared" si="20"/>
        <v>#N/A</v>
      </c>
    </row>
    <row r="680" spans="1:11" x14ac:dyDescent="0.25">
      <c r="A680">
        <v>10</v>
      </c>
      <c r="B680" t="s">
        <v>28</v>
      </c>
      <c r="C680">
        <v>2023</v>
      </c>
      <c r="D680">
        <v>36.125</v>
      </c>
      <c r="E680" t="s">
        <v>9</v>
      </c>
      <c r="F680">
        <v>29.5</v>
      </c>
      <c r="G680" s="1">
        <f>DATE(C680, CHOOSE(MATCH(UPPER(B680), {"ENERO","FEBRERO","MARZO","ABRIL","MAYO","JUNIO","JULIO","AGOSTO","SEPTIEMBRE","OCTUBRE","NOVIEMBRE","DICIEMBRE"}, 0), 1,2,3,4,5,6,7,8,9,10,11,12), A680)</f>
        <v>44995</v>
      </c>
      <c r="H680">
        <v>6.625</v>
      </c>
      <c r="I680">
        <v>56000</v>
      </c>
      <c r="J680" s="1">
        <f t="shared" si="21"/>
        <v>44145</v>
      </c>
      <c r="K680" s="2" t="e">
        <f t="shared" si="20"/>
        <v>#N/A</v>
      </c>
    </row>
    <row r="681" spans="1:11" x14ac:dyDescent="0.25">
      <c r="A681">
        <v>11</v>
      </c>
      <c r="B681" t="s">
        <v>28</v>
      </c>
      <c r="C681">
        <v>2023</v>
      </c>
      <c r="D681">
        <v>29.5</v>
      </c>
      <c r="E681" t="s">
        <v>9</v>
      </c>
      <c r="F681">
        <v>11</v>
      </c>
      <c r="G681" s="1">
        <f>DATE(C681, CHOOSE(MATCH(UPPER(B681), {"ENERO","FEBRERO","MARZO","ABRIL","MAYO","JUNIO","JULIO","AGOSTO","SEPTIEMBRE","OCTUBRE","NOVIEMBRE","DICIEMBRE"}, 0), 1,2,3,4,5,6,7,8,9,10,11,12), A681)</f>
        <v>44996</v>
      </c>
      <c r="H681">
        <v>18.5</v>
      </c>
      <c r="I681">
        <v>56000</v>
      </c>
      <c r="J681" s="1">
        <f t="shared" si="21"/>
        <v>44146</v>
      </c>
      <c r="K681" s="2" t="e">
        <f t="shared" si="20"/>
        <v>#N/A</v>
      </c>
    </row>
    <row r="682" spans="1:11" x14ac:dyDescent="0.25">
      <c r="A682">
        <v>12</v>
      </c>
      <c r="B682" t="s">
        <v>28</v>
      </c>
      <c r="C682">
        <v>2023</v>
      </c>
      <c r="D682">
        <v>11</v>
      </c>
      <c r="E682">
        <v>50</v>
      </c>
      <c r="F682">
        <v>45.875</v>
      </c>
      <c r="G682" s="1">
        <f>DATE(C682, CHOOSE(MATCH(UPPER(B682), {"ENERO","FEBRERO","MARZO","ABRIL","MAYO","JUNIO","JULIO","AGOSTO","SEPTIEMBRE","OCTUBRE","NOVIEMBRE","DICIEMBRE"}, 0), 1,2,3,4,5,6,7,8,9,10,11,12), A682)</f>
        <v>44997</v>
      </c>
      <c r="H682">
        <v>15.125</v>
      </c>
      <c r="I682">
        <v>56000</v>
      </c>
      <c r="J682" s="1">
        <f t="shared" si="21"/>
        <v>44147</v>
      </c>
      <c r="K682" s="2" t="e">
        <f t="shared" si="20"/>
        <v>#N/A</v>
      </c>
    </row>
    <row r="683" spans="1:11" x14ac:dyDescent="0.25">
      <c r="A683">
        <v>13</v>
      </c>
      <c r="B683" t="s">
        <v>28</v>
      </c>
      <c r="C683">
        <v>2023</v>
      </c>
      <c r="D683">
        <v>45.875</v>
      </c>
      <c r="E683" t="s">
        <v>9</v>
      </c>
      <c r="F683">
        <v>40.75</v>
      </c>
      <c r="G683" s="1">
        <f>DATE(C683, CHOOSE(MATCH(UPPER(B683), {"ENERO","FEBRERO","MARZO","ABRIL","MAYO","JUNIO","JULIO","AGOSTO","SEPTIEMBRE","OCTUBRE","NOVIEMBRE","DICIEMBRE"}, 0), 1,2,3,4,5,6,7,8,9,10,11,12), A683)</f>
        <v>44998</v>
      </c>
      <c r="H683">
        <v>5.125</v>
      </c>
      <c r="I683">
        <v>56000</v>
      </c>
      <c r="J683" s="1">
        <f t="shared" si="21"/>
        <v>44148</v>
      </c>
      <c r="K683" s="2" t="e">
        <f t="shared" si="20"/>
        <v>#N/A</v>
      </c>
    </row>
    <row r="684" spans="1:11" x14ac:dyDescent="0.25">
      <c r="A684">
        <v>14</v>
      </c>
      <c r="B684" t="s">
        <v>28</v>
      </c>
      <c r="C684">
        <v>2023</v>
      </c>
      <c r="D684">
        <v>40.75</v>
      </c>
      <c r="E684" t="s">
        <v>9</v>
      </c>
      <c r="F684">
        <v>34</v>
      </c>
      <c r="G684" s="1">
        <f>DATE(C684, CHOOSE(MATCH(UPPER(B684), {"ENERO","FEBRERO","MARZO","ABRIL","MAYO","JUNIO","JULIO","AGOSTO","SEPTIEMBRE","OCTUBRE","NOVIEMBRE","DICIEMBRE"}, 0), 1,2,3,4,5,6,7,8,9,10,11,12), A684)</f>
        <v>44999</v>
      </c>
      <c r="H684">
        <v>6.75</v>
      </c>
      <c r="I684">
        <v>56000</v>
      </c>
      <c r="J684" s="1">
        <f t="shared" si="21"/>
        <v>44149</v>
      </c>
      <c r="K684" s="2" t="e">
        <f t="shared" si="20"/>
        <v>#N/A</v>
      </c>
    </row>
    <row r="685" spans="1:11" x14ac:dyDescent="0.25">
      <c r="A685">
        <v>15</v>
      </c>
      <c r="B685" t="s">
        <v>28</v>
      </c>
      <c r="C685">
        <v>2023</v>
      </c>
      <c r="D685">
        <v>34</v>
      </c>
      <c r="E685" t="s">
        <v>9</v>
      </c>
      <c r="F685">
        <v>28.5</v>
      </c>
      <c r="G685" s="1">
        <f>DATE(C685, CHOOSE(MATCH(UPPER(B685), {"ENERO","FEBRERO","MARZO","ABRIL","MAYO","JUNIO","JULIO","AGOSTO","SEPTIEMBRE","OCTUBRE","NOVIEMBRE","DICIEMBRE"}, 0), 1,2,3,4,5,6,7,8,9,10,11,12), A685)</f>
        <v>45000</v>
      </c>
      <c r="H685">
        <v>5.5</v>
      </c>
      <c r="I685">
        <v>56000</v>
      </c>
      <c r="J685" s="1">
        <f t="shared" si="21"/>
        <v>44150</v>
      </c>
      <c r="K685" s="2" t="e">
        <f t="shared" si="20"/>
        <v>#N/A</v>
      </c>
    </row>
    <row r="686" spans="1:11" x14ac:dyDescent="0.25">
      <c r="A686">
        <v>16</v>
      </c>
      <c r="B686" t="s">
        <v>28</v>
      </c>
      <c r="C686">
        <v>2023</v>
      </c>
      <c r="D686">
        <v>28.5</v>
      </c>
      <c r="E686" t="s">
        <v>9</v>
      </c>
      <c r="F686">
        <v>21.875</v>
      </c>
      <c r="G686" s="1">
        <f>DATE(C686, CHOOSE(MATCH(UPPER(B686), {"ENERO","FEBRERO","MARZO","ABRIL","MAYO","JUNIO","JULIO","AGOSTO","SEPTIEMBRE","OCTUBRE","NOVIEMBRE","DICIEMBRE"}, 0), 1,2,3,4,5,6,7,8,9,10,11,12), A686)</f>
        <v>45001</v>
      </c>
      <c r="H686">
        <v>6.625</v>
      </c>
      <c r="I686">
        <v>56000</v>
      </c>
      <c r="J686" s="1">
        <f t="shared" si="21"/>
        <v>44151</v>
      </c>
      <c r="K686" s="2" t="e">
        <f t="shared" si="20"/>
        <v>#N/A</v>
      </c>
    </row>
    <row r="687" spans="1:11" x14ac:dyDescent="0.25">
      <c r="A687">
        <v>17</v>
      </c>
      <c r="B687" t="s">
        <v>28</v>
      </c>
      <c r="C687">
        <v>2023</v>
      </c>
      <c r="D687">
        <v>21.875</v>
      </c>
      <c r="E687" t="s">
        <v>9</v>
      </c>
      <c r="F687">
        <v>17.5</v>
      </c>
      <c r="G687" s="1">
        <f>DATE(C687, CHOOSE(MATCH(UPPER(B687), {"ENERO","FEBRERO","MARZO","ABRIL","MAYO","JUNIO","JULIO","AGOSTO","SEPTIEMBRE","OCTUBRE","NOVIEMBRE","DICIEMBRE"}, 0), 1,2,3,4,5,6,7,8,9,10,11,12), A687)</f>
        <v>45002</v>
      </c>
      <c r="H687">
        <v>4.375</v>
      </c>
      <c r="I687">
        <v>56000</v>
      </c>
      <c r="J687" s="1">
        <f t="shared" si="21"/>
        <v>44152</v>
      </c>
      <c r="K687" s="2" t="e">
        <f t="shared" si="20"/>
        <v>#N/A</v>
      </c>
    </row>
    <row r="688" spans="1:11" x14ac:dyDescent="0.25">
      <c r="A688">
        <v>18</v>
      </c>
      <c r="B688" t="s">
        <v>28</v>
      </c>
      <c r="C688">
        <v>2023</v>
      </c>
      <c r="D688">
        <v>17.5</v>
      </c>
      <c r="E688" t="s">
        <v>9</v>
      </c>
      <c r="F688">
        <v>5</v>
      </c>
      <c r="G688" s="1">
        <f>DATE(C688, CHOOSE(MATCH(UPPER(B688), {"ENERO","FEBRERO","MARZO","ABRIL","MAYO","JUNIO","JULIO","AGOSTO","SEPTIEMBRE","OCTUBRE","NOVIEMBRE","DICIEMBRE"}, 0), 1,2,3,4,5,6,7,8,9,10,11,12), A688)</f>
        <v>45003</v>
      </c>
      <c r="H688">
        <v>12.5</v>
      </c>
      <c r="I688">
        <v>56000</v>
      </c>
      <c r="J688" s="1">
        <f t="shared" si="21"/>
        <v>44153</v>
      </c>
      <c r="K688" s="2" t="e">
        <f t="shared" si="20"/>
        <v>#N/A</v>
      </c>
    </row>
    <row r="689" spans="1:11" x14ac:dyDescent="0.25">
      <c r="A689">
        <v>19</v>
      </c>
      <c r="B689" t="s">
        <v>28</v>
      </c>
      <c r="C689">
        <v>2023</v>
      </c>
      <c r="D689">
        <v>5</v>
      </c>
      <c r="E689">
        <v>50</v>
      </c>
      <c r="F689">
        <v>38.625</v>
      </c>
      <c r="G689" s="1">
        <f>DATE(C689, CHOOSE(MATCH(UPPER(B689), {"ENERO","FEBRERO","MARZO","ABRIL","MAYO","JUNIO","JULIO","AGOSTO","SEPTIEMBRE","OCTUBRE","NOVIEMBRE","DICIEMBRE"}, 0), 1,2,3,4,5,6,7,8,9,10,11,12), A689)</f>
        <v>45004</v>
      </c>
      <c r="H689">
        <v>16.375</v>
      </c>
      <c r="I689">
        <v>56000</v>
      </c>
      <c r="J689" s="1">
        <f t="shared" si="21"/>
        <v>44154</v>
      </c>
      <c r="K689" s="2" t="e">
        <f t="shared" si="20"/>
        <v>#N/A</v>
      </c>
    </row>
    <row r="690" spans="1:11" x14ac:dyDescent="0.25">
      <c r="A690">
        <v>20</v>
      </c>
      <c r="B690" t="s">
        <v>28</v>
      </c>
      <c r="C690">
        <v>2023</v>
      </c>
      <c r="D690">
        <v>38.625</v>
      </c>
      <c r="E690" t="s">
        <v>9</v>
      </c>
      <c r="F690">
        <v>23.75</v>
      </c>
      <c r="G690" s="1">
        <f>DATE(C690, CHOOSE(MATCH(UPPER(B690), {"ENERO","FEBRERO","MARZO","ABRIL","MAYO","JUNIO","JULIO","AGOSTO","SEPTIEMBRE","OCTUBRE","NOVIEMBRE","DICIEMBRE"}, 0), 1,2,3,4,5,6,7,8,9,10,11,12), A690)</f>
        <v>45005</v>
      </c>
      <c r="H690">
        <v>14.875</v>
      </c>
      <c r="I690">
        <v>56000</v>
      </c>
      <c r="J690" s="1">
        <f t="shared" si="21"/>
        <v>44155</v>
      </c>
      <c r="K690" s="2" t="e">
        <f t="shared" si="20"/>
        <v>#N/A</v>
      </c>
    </row>
    <row r="691" spans="1:11" x14ac:dyDescent="0.25">
      <c r="A691">
        <v>21</v>
      </c>
      <c r="B691" t="s">
        <v>28</v>
      </c>
      <c r="C691">
        <v>2023</v>
      </c>
      <c r="D691">
        <v>23.75</v>
      </c>
      <c r="E691" t="s">
        <v>9</v>
      </c>
      <c r="F691">
        <v>10.25</v>
      </c>
      <c r="G691" s="1">
        <f>DATE(C691, CHOOSE(MATCH(UPPER(B691), {"ENERO","FEBRERO","MARZO","ABRIL","MAYO","JUNIO","JULIO","AGOSTO","SEPTIEMBRE","OCTUBRE","NOVIEMBRE","DICIEMBRE"}, 0), 1,2,3,4,5,6,7,8,9,10,11,12), A691)</f>
        <v>45006</v>
      </c>
      <c r="H691">
        <v>13.5</v>
      </c>
      <c r="I691">
        <v>56000</v>
      </c>
      <c r="J691" s="1">
        <f t="shared" si="21"/>
        <v>44156</v>
      </c>
      <c r="K691" s="2" t="e">
        <f t="shared" si="20"/>
        <v>#N/A</v>
      </c>
    </row>
    <row r="692" spans="1:11" x14ac:dyDescent="0.25">
      <c r="A692">
        <v>22</v>
      </c>
      <c r="B692" t="s">
        <v>28</v>
      </c>
      <c r="C692">
        <v>2023</v>
      </c>
      <c r="D692">
        <v>10.25</v>
      </c>
      <c r="E692" t="s">
        <v>9</v>
      </c>
      <c r="F692">
        <v>1.625</v>
      </c>
      <c r="G692" s="1">
        <f>DATE(C692, CHOOSE(MATCH(UPPER(B692), {"ENERO","FEBRERO","MARZO","ABRIL","MAYO","JUNIO","JULIO","AGOSTO","SEPTIEMBRE","OCTUBRE","NOVIEMBRE","DICIEMBRE"}, 0), 1,2,3,4,5,6,7,8,9,10,11,12), A692)</f>
        <v>45007</v>
      </c>
      <c r="H692">
        <v>8.625</v>
      </c>
      <c r="I692">
        <v>56000</v>
      </c>
      <c r="J692" s="1">
        <f t="shared" si="21"/>
        <v>44157</v>
      </c>
      <c r="K692" s="2" t="e">
        <f t="shared" si="20"/>
        <v>#N/A</v>
      </c>
    </row>
    <row r="693" spans="1:11" x14ac:dyDescent="0.25">
      <c r="A693">
        <v>23</v>
      </c>
      <c r="B693" t="s">
        <v>28</v>
      </c>
      <c r="C693">
        <v>2023</v>
      </c>
      <c r="D693">
        <v>1.625</v>
      </c>
      <c r="E693">
        <v>50</v>
      </c>
      <c r="F693">
        <v>42.875</v>
      </c>
      <c r="G693" s="1">
        <f>DATE(C693, CHOOSE(MATCH(UPPER(B693), {"ENERO","FEBRERO","MARZO","ABRIL","MAYO","JUNIO","JULIO","AGOSTO","SEPTIEMBRE","OCTUBRE","NOVIEMBRE","DICIEMBRE"}, 0), 1,2,3,4,5,6,7,8,9,10,11,12), A693)</f>
        <v>45008</v>
      </c>
      <c r="H693">
        <v>8.75</v>
      </c>
      <c r="I693">
        <v>56000</v>
      </c>
      <c r="J693" s="1">
        <f t="shared" si="21"/>
        <v>44158</v>
      </c>
      <c r="K693" s="2" t="e">
        <f t="shared" si="20"/>
        <v>#N/A</v>
      </c>
    </row>
    <row r="694" spans="1:11" x14ac:dyDescent="0.25">
      <c r="A694">
        <v>24</v>
      </c>
      <c r="B694" t="s">
        <v>28</v>
      </c>
      <c r="C694">
        <v>2023</v>
      </c>
      <c r="D694">
        <v>42.875</v>
      </c>
      <c r="E694" t="s">
        <v>9</v>
      </c>
      <c r="F694">
        <v>38.125</v>
      </c>
      <c r="G694" s="1">
        <f>DATE(C694, CHOOSE(MATCH(UPPER(B694), {"ENERO","FEBRERO","MARZO","ABRIL","MAYO","JUNIO","JULIO","AGOSTO","SEPTIEMBRE","OCTUBRE","NOVIEMBRE","DICIEMBRE"}, 0), 1,2,3,4,5,6,7,8,9,10,11,12), A694)</f>
        <v>45009</v>
      </c>
      <c r="H694">
        <v>4.75</v>
      </c>
      <c r="I694">
        <v>56000</v>
      </c>
      <c r="J694" s="1">
        <f t="shared" si="21"/>
        <v>44159</v>
      </c>
      <c r="K694" s="2" t="e">
        <f t="shared" si="20"/>
        <v>#N/A</v>
      </c>
    </row>
    <row r="695" spans="1:11" x14ac:dyDescent="0.25">
      <c r="A695">
        <v>25</v>
      </c>
      <c r="B695" t="s">
        <v>28</v>
      </c>
      <c r="C695">
        <v>2023</v>
      </c>
      <c r="D695">
        <v>38.125</v>
      </c>
      <c r="E695" t="s">
        <v>9</v>
      </c>
      <c r="F695">
        <v>24.875</v>
      </c>
      <c r="G695" s="1">
        <f>DATE(C695, CHOOSE(MATCH(UPPER(B695), {"ENERO","FEBRERO","MARZO","ABRIL","MAYO","JUNIO","JULIO","AGOSTO","SEPTIEMBRE","OCTUBRE","NOVIEMBRE","DICIEMBRE"}, 0), 1,2,3,4,5,6,7,8,9,10,11,12), A695)</f>
        <v>45010</v>
      </c>
      <c r="H695">
        <v>13.25</v>
      </c>
      <c r="I695">
        <v>56000</v>
      </c>
      <c r="J695" s="1">
        <f t="shared" si="21"/>
        <v>44160</v>
      </c>
      <c r="K695" s="2" t="e">
        <f t="shared" si="20"/>
        <v>#N/A</v>
      </c>
    </row>
    <row r="696" spans="1:11" x14ac:dyDescent="0.25">
      <c r="A696">
        <v>26</v>
      </c>
      <c r="B696" t="s">
        <v>28</v>
      </c>
      <c r="C696">
        <v>2023</v>
      </c>
      <c r="D696">
        <v>24.875</v>
      </c>
      <c r="E696" t="s">
        <v>9</v>
      </c>
      <c r="F696">
        <v>14.75</v>
      </c>
      <c r="G696" s="1">
        <f>DATE(C696, CHOOSE(MATCH(UPPER(B696), {"ENERO","FEBRERO","MARZO","ABRIL","MAYO","JUNIO","JULIO","AGOSTO","SEPTIEMBRE","OCTUBRE","NOVIEMBRE","DICIEMBRE"}, 0), 1,2,3,4,5,6,7,8,9,10,11,12), A696)</f>
        <v>45011</v>
      </c>
      <c r="H696">
        <v>10.125</v>
      </c>
      <c r="I696">
        <v>56000</v>
      </c>
      <c r="J696" s="1">
        <f t="shared" si="21"/>
        <v>44161</v>
      </c>
      <c r="K696" s="2" t="e">
        <f t="shared" si="20"/>
        <v>#N/A</v>
      </c>
    </row>
    <row r="697" spans="1:11" x14ac:dyDescent="0.25">
      <c r="A697">
        <v>27</v>
      </c>
      <c r="B697" t="s">
        <v>28</v>
      </c>
      <c r="C697">
        <v>2023</v>
      </c>
      <c r="D697">
        <v>14.75</v>
      </c>
      <c r="E697" t="s">
        <v>9</v>
      </c>
      <c r="F697">
        <v>7.25</v>
      </c>
      <c r="G697" s="1">
        <f>DATE(C697, CHOOSE(MATCH(UPPER(B697), {"ENERO","FEBRERO","MARZO","ABRIL","MAYO","JUNIO","JULIO","AGOSTO","SEPTIEMBRE","OCTUBRE","NOVIEMBRE","DICIEMBRE"}, 0), 1,2,3,4,5,6,7,8,9,10,11,12), A697)</f>
        <v>45012</v>
      </c>
      <c r="H697">
        <v>7.5</v>
      </c>
      <c r="I697">
        <v>56000</v>
      </c>
      <c r="J697" s="1">
        <f t="shared" si="21"/>
        <v>44162</v>
      </c>
      <c r="K697" s="2" t="e">
        <f t="shared" si="20"/>
        <v>#N/A</v>
      </c>
    </row>
    <row r="698" spans="1:11" x14ac:dyDescent="0.25">
      <c r="A698">
        <v>28</v>
      </c>
      <c r="B698" t="s">
        <v>28</v>
      </c>
      <c r="C698">
        <v>2023</v>
      </c>
      <c r="D698">
        <v>7.25</v>
      </c>
      <c r="E698">
        <v>40</v>
      </c>
      <c r="F698">
        <v>37.875</v>
      </c>
      <c r="G698" s="1">
        <f>DATE(C698, CHOOSE(MATCH(UPPER(B698), {"ENERO","FEBRERO","MARZO","ABRIL","MAYO","JUNIO","JULIO","AGOSTO","SEPTIEMBRE","OCTUBRE","NOVIEMBRE","DICIEMBRE"}, 0), 1,2,3,4,5,6,7,8,9,10,11,12), A698)</f>
        <v>45013</v>
      </c>
      <c r="H698">
        <v>9.375</v>
      </c>
      <c r="I698">
        <v>56000</v>
      </c>
      <c r="J698" s="1">
        <f t="shared" si="21"/>
        <v>44163</v>
      </c>
      <c r="K698" s="2" t="e">
        <f t="shared" si="20"/>
        <v>#N/A</v>
      </c>
    </row>
    <row r="699" spans="1:11" x14ac:dyDescent="0.25">
      <c r="A699">
        <v>29</v>
      </c>
      <c r="B699" t="s">
        <v>28</v>
      </c>
      <c r="C699">
        <v>2023</v>
      </c>
      <c r="D699">
        <v>37.875</v>
      </c>
      <c r="E699" t="s">
        <v>9</v>
      </c>
      <c r="F699">
        <v>34.25</v>
      </c>
      <c r="G699" s="1">
        <f>DATE(C699, CHOOSE(MATCH(UPPER(B699), {"ENERO","FEBRERO","MARZO","ABRIL","MAYO","JUNIO","JULIO","AGOSTO","SEPTIEMBRE","OCTUBRE","NOVIEMBRE","DICIEMBRE"}, 0), 1,2,3,4,5,6,7,8,9,10,11,12), A699)</f>
        <v>45014</v>
      </c>
      <c r="H699">
        <v>3.625</v>
      </c>
      <c r="I699">
        <v>56000</v>
      </c>
      <c r="J699" s="1">
        <f t="shared" si="21"/>
        <v>44164</v>
      </c>
      <c r="K699" s="2" t="e">
        <f t="shared" si="20"/>
        <v>#N/A</v>
      </c>
    </row>
    <row r="700" spans="1:11" x14ac:dyDescent="0.25">
      <c r="A700">
        <v>30</v>
      </c>
      <c r="B700" t="s">
        <v>28</v>
      </c>
      <c r="C700">
        <v>2023</v>
      </c>
      <c r="D700">
        <v>34.25</v>
      </c>
      <c r="E700" t="s">
        <v>9</v>
      </c>
      <c r="F700">
        <v>18</v>
      </c>
      <c r="G700" s="1">
        <f>DATE(C700, CHOOSE(MATCH(UPPER(B700), {"ENERO","FEBRERO","MARZO","ABRIL","MAYO","JUNIO","JULIO","AGOSTO","SEPTIEMBRE","OCTUBRE","NOVIEMBRE","DICIEMBRE"}, 0), 1,2,3,4,5,6,7,8,9,10,11,12), A700)</f>
        <v>45015</v>
      </c>
      <c r="H700">
        <v>16.25</v>
      </c>
      <c r="I700">
        <v>56000</v>
      </c>
      <c r="J700" s="1">
        <f t="shared" si="21"/>
        <v>44165</v>
      </c>
      <c r="K700" s="2" t="e">
        <f t="shared" si="20"/>
        <v>#N/A</v>
      </c>
    </row>
    <row r="701" spans="1:11" x14ac:dyDescent="0.25">
      <c r="A701">
        <v>31</v>
      </c>
      <c r="B701" t="s">
        <v>28</v>
      </c>
      <c r="C701">
        <v>2023</v>
      </c>
      <c r="D701">
        <v>18</v>
      </c>
      <c r="E701">
        <v>30</v>
      </c>
      <c r="F701">
        <v>41</v>
      </c>
      <c r="G701" s="1">
        <f>DATE(C701, CHOOSE(MATCH(UPPER(B701), {"ENERO","FEBRERO","MARZO","ABRIL","MAYO","JUNIO","JULIO","AGOSTO","SEPTIEMBRE","OCTUBRE","NOVIEMBRE","DICIEMBRE"}, 0), 1,2,3,4,5,6,7,8,9,10,11,12), A701)</f>
        <v>45016</v>
      </c>
      <c r="H701">
        <v>7</v>
      </c>
      <c r="I701">
        <v>56000</v>
      </c>
      <c r="J701" s="1">
        <f t="shared" si="21"/>
        <v>44166</v>
      </c>
      <c r="K701" s="2" t="e">
        <f t="shared" si="20"/>
        <v>#N/A</v>
      </c>
    </row>
    <row r="702" spans="1:11" x14ac:dyDescent="0.25">
      <c r="A702">
        <v>1</v>
      </c>
      <c r="B702" t="s">
        <v>29</v>
      </c>
      <c r="C702">
        <v>2023</v>
      </c>
      <c r="D702">
        <v>18.125</v>
      </c>
      <c r="E702" t="s">
        <v>9</v>
      </c>
      <c r="F702">
        <v>7.25</v>
      </c>
      <c r="G702" s="1">
        <f>DATE(C702, CHOOSE(MATCH(UPPER(B702), {"ENERO","FEBRERO","MARZO","ABRIL","MAYO","JUNIO","JULIO","AGOSTO","SEPTIEMBRE","OCTUBRE","NOVIEMBRE","DICIEMBRE"}, 0), 1,2,3,4,5,6,7,8,9,10,11,12), A702)</f>
        <v>45047</v>
      </c>
      <c r="H702">
        <v>10.875</v>
      </c>
      <c r="I702">
        <v>56000</v>
      </c>
      <c r="J702" s="1">
        <f t="shared" si="21"/>
        <v>44167</v>
      </c>
      <c r="K702" s="2" t="e">
        <f t="shared" si="20"/>
        <v>#N/A</v>
      </c>
    </row>
    <row r="703" spans="1:11" x14ac:dyDescent="0.25">
      <c r="A703">
        <v>2</v>
      </c>
      <c r="B703" t="s">
        <v>29</v>
      </c>
      <c r="C703">
        <v>2023</v>
      </c>
      <c r="D703">
        <v>7.25</v>
      </c>
      <c r="E703">
        <v>25</v>
      </c>
      <c r="F703">
        <v>24.875</v>
      </c>
      <c r="G703" s="1">
        <f>DATE(C703, CHOOSE(MATCH(UPPER(B703), {"ENERO","FEBRERO","MARZO","ABRIL","MAYO","JUNIO","JULIO","AGOSTO","SEPTIEMBRE","OCTUBRE","NOVIEMBRE","DICIEMBRE"}, 0), 1,2,3,4,5,6,7,8,9,10,11,12), A703)</f>
        <v>45048</v>
      </c>
      <c r="H703">
        <v>7.375</v>
      </c>
      <c r="I703">
        <v>56000</v>
      </c>
      <c r="J703" s="1">
        <f t="shared" si="21"/>
        <v>44168</v>
      </c>
      <c r="K703" s="2" t="e">
        <f t="shared" si="20"/>
        <v>#N/A</v>
      </c>
    </row>
    <row r="704" spans="1:11" x14ac:dyDescent="0.25">
      <c r="A704">
        <v>3</v>
      </c>
      <c r="B704" t="s">
        <v>29</v>
      </c>
      <c r="C704">
        <v>2023</v>
      </c>
      <c r="D704">
        <v>24.875</v>
      </c>
      <c r="E704" t="s">
        <v>9</v>
      </c>
      <c r="F704">
        <v>21.25</v>
      </c>
      <c r="G704" s="1">
        <f>DATE(C704, CHOOSE(MATCH(UPPER(B704), {"ENERO","FEBRERO","MARZO","ABRIL","MAYO","JUNIO","JULIO","AGOSTO","SEPTIEMBRE","OCTUBRE","NOVIEMBRE","DICIEMBRE"}, 0), 1,2,3,4,5,6,7,8,9,10,11,12), A704)</f>
        <v>45049</v>
      </c>
      <c r="H704">
        <v>3.625</v>
      </c>
      <c r="I704">
        <v>56000</v>
      </c>
      <c r="J704" s="1">
        <f t="shared" si="21"/>
        <v>44169</v>
      </c>
      <c r="K704" s="2" t="e">
        <f t="shared" si="20"/>
        <v>#N/A</v>
      </c>
    </row>
    <row r="705" spans="1:11" x14ac:dyDescent="0.25">
      <c r="A705">
        <v>4</v>
      </c>
      <c r="B705" t="s">
        <v>29</v>
      </c>
      <c r="C705">
        <v>2023</v>
      </c>
      <c r="D705">
        <v>21.25</v>
      </c>
      <c r="E705">
        <v>1.375</v>
      </c>
      <c r="F705">
        <v>19.375</v>
      </c>
      <c r="G705" s="1">
        <f>DATE(C705, CHOOSE(MATCH(UPPER(B705), {"ENERO","FEBRERO","MARZO","ABRIL","MAYO","JUNIO","JULIO","AGOSTO","SEPTIEMBRE","OCTUBRE","NOVIEMBRE","DICIEMBRE"}, 0), 1,2,3,4,5,6,7,8,9,10,11,12), A705)</f>
        <v>45050</v>
      </c>
      <c r="H705">
        <v>3.25</v>
      </c>
      <c r="I705">
        <v>56000</v>
      </c>
      <c r="J705" s="1">
        <f t="shared" si="21"/>
        <v>44170</v>
      </c>
      <c r="K705" s="2" t="e">
        <f t="shared" si="20"/>
        <v>#N/A</v>
      </c>
    </row>
    <row r="706" spans="1:11" x14ac:dyDescent="0.25">
      <c r="A706">
        <v>5</v>
      </c>
      <c r="B706" t="s">
        <v>29</v>
      </c>
      <c r="C706">
        <v>2023</v>
      </c>
      <c r="D706">
        <v>19.375</v>
      </c>
      <c r="E706">
        <v>13.375</v>
      </c>
      <c r="F706">
        <v>24.5</v>
      </c>
      <c r="G706" s="1">
        <f>DATE(C706, CHOOSE(MATCH(UPPER(B706), {"ENERO","FEBRERO","MARZO","ABRIL","MAYO","JUNIO","JULIO","AGOSTO","SEPTIEMBRE","OCTUBRE","NOVIEMBRE","DICIEMBRE"}, 0), 1,2,3,4,5,6,7,8,9,10,11,12), A706)</f>
        <v>45051</v>
      </c>
      <c r="H706">
        <v>8.25</v>
      </c>
      <c r="I706">
        <v>56000</v>
      </c>
      <c r="J706" s="1">
        <f t="shared" si="21"/>
        <v>44171</v>
      </c>
      <c r="K706" s="2" t="e">
        <f t="shared" si="20"/>
        <v>#N/A</v>
      </c>
    </row>
    <row r="707" spans="1:11" x14ac:dyDescent="0.25">
      <c r="A707">
        <v>6</v>
      </c>
      <c r="B707" t="s">
        <v>29</v>
      </c>
      <c r="C707">
        <v>2023</v>
      </c>
      <c r="D707">
        <v>24.5</v>
      </c>
      <c r="E707">
        <v>20</v>
      </c>
      <c r="F707">
        <v>28.875</v>
      </c>
      <c r="G707" s="1">
        <f>DATE(C707, CHOOSE(MATCH(UPPER(B707), {"ENERO","FEBRERO","MARZO","ABRIL","MAYO","JUNIO","JULIO","AGOSTO","SEPTIEMBRE","OCTUBRE","NOVIEMBRE","DICIEMBRE"}, 0), 1,2,3,4,5,6,7,8,9,10,11,12), A707)</f>
        <v>45052</v>
      </c>
      <c r="H707">
        <v>15.625</v>
      </c>
      <c r="I707">
        <v>56000</v>
      </c>
      <c r="J707" s="1">
        <f t="shared" si="21"/>
        <v>44172</v>
      </c>
      <c r="K707" s="2" t="e">
        <f t="shared" ref="K707:K770" si="22">VLOOKUP(J707, G:H, 2, FALSE)</f>
        <v>#N/A</v>
      </c>
    </row>
    <row r="708" spans="1:11" x14ac:dyDescent="0.25">
      <c r="A708">
        <v>7</v>
      </c>
      <c r="B708" t="s">
        <v>29</v>
      </c>
      <c r="C708">
        <v>2023</v>
      </c>
      <c r="D708">
        <v>28.875</v>
      </c>
      <c r="E708" t="s">
        <v>9</v>
      </c>
      <c r="F708">
        <v>14.75</v>
      </c>
      <c r="G708" s="1">
        <f>DATE(C708, CHOOSE(MATCH(UPPER(B708), {"ENERO","FEBRERO","MARZO","ABRIL","MAYO","JUNIO","JULIO","AGOSTO","SEPTIEMBRE","OCTUBRE","NOVIEMBRE","DICIEMBRE"}, 0), 1,2,3,4,5,6,7,8,9,10,11,12), A708)</f>
        <v>45053</v>
      </c>
      <c r="H708">
        <v>14.125</v>
      </c>
      <c r="I708">
        <v>56000</v>
      </c>
      <c r="J708" s="1">
        <f t="shared" si="21"/>
        <v>44173</v>
      </c>
      <c r="K708" s="2" t="e">
        <f t="shared" si="22"/>
        <v>#N/A</v>
      </c>
    </row>
    <row r="709" spans="1:11" x14ac:dyDescent="0.25">
      <c r="A709">
        <v>8</v>
      </c>
      <c r="B709" t="s">
        <v>29</v>
      </c>
      <c r="C709">
        <v>2023</v>
      </c>
      <c r="D709">
        <v>14.75</v>
      </c>
      <c r="E709" t="s">
        <v>9</v>
      </c>
      <c r="F709">
        <v>9.875</v>
      </c>
      <c r="G709" s="1">
        <f>DATE(C709, CHOOSE(MATCH(UPPER(B709), {"ENERO","FEBRERO","MARZO","ABRIL","MAYO","JUNIO","JULIO","AGOSTO","SEPTIEMBRE","OCTUBRE","NOVIEMBRE","DICIEMBRE"}, 0), 1,2,3,4,5,6,7,8,9,10,11,12), A709)</f>
        <v>45054</v>
      </c>
      <c r="H709">
        <v>4.875</v>
      </c>
      <c r="I709">
        <v>56000</v>
      </c>
      <c r="J709" s="1">
        <f t="shared" ref="J709:J772" si="23">DATE(2019,1,1) + ROW()-1</f>
        <v>44174</v>
      </c>
      <c r="K709" s="2" t="e">
        <f t="shared" si="22"/>
        <v>#N/A</v>
      </c>
    </row>
    <row r="710" spans="1:11" x14ac:dyDescent="0.25">
      <c r="A710">
        <v>9</v>
      </c>
      <c r="B710" t="s">
        <v>29</v>
      </c>
      <c r="C710">
        <v>2023</v>
      </c>
      <c r="D710">
        <v>9.875</v>
      </c>
      <c r="E710">
        <v>84</v>
      </c>
      <c r="F710">
        <v>92</v>
      </c>
      <c r="G710" s="1">
        <f>DATE(C710, CHOOSE(MATCH(UPPER(B710), {"ENERO","FEBRERO","MARZO","ABRIL","MAYO","JUNIO","JULIO","AGOSTO","SEPTIEMBRE","OCTUBRE","NOVIEMBRE","DICIEMBRE"}, 0), 1,2,3,4,5,6,7,8,9,10,11,12), A710)</f>
        <v>45055</v>
      </c>
      <c r="H710">
        <v>1.875</v>
      </c>
      <c r="I710">
        <v>56000</v>
      </c>
      <c r="J710" s="1">
        <f t="shared" si="23"/>
        <v>44175</v>
      </c>
      <c r="K710" s="2" t="e">
        <f t="shared" si="22"/>
        <v>#N/A</v>
      </c>
    </row>
    <row r="711" spans="1:11" x14ac:dyDescent="0.25">
      <c r="A711">
        <v>10</v>
      </c>
      <c r="B711" t="s">
        <v>29</v>
      </c>
      <c r="C711">
        <v>2023</v>
      </c>
      <c r="D711">
        <v>92</v>
      </c>
      <c r="E711" t="s">
        <v>9</v>
      </c>
      <c r="F711">
        <v>87.5</v>
      </c>
      <c r="G711" s="1">
        <f>DATE(C711, CHOOSE(MATCH(UPPER(B711), {"ENERO","FEBRERO","MARZO","ABRIL","MAYO","JUNIO","JULIO","AGOSTO","SEPTIEMBRE","OCTUBRE","NOVIEMBRE","DICIEMBRE"}, 0), 1,2,3,4,5,6,7,8,9,10,11,12), A711)</f>
        <v>45056</v>
      </c>
      <c r="H711">
        <v>4.5</v>
      </c>
      <c r="I711">
        <v>56000</v>
      </c>
      <c r="J711" s="1">
        <f t="shared" si="23"/>
        <v>44176</v>
      </c>
      <c r="K711" s="2" t="e">
        <f t="shared" si="22"/>
        <v>#N/A</v>
      </c>
    </row>
    <row r="712" spans="1:11" x14ac:dyDescent="0.25">
      <c r="A712">
        <v>11</v>
      </c>
      <c r="B712" t="s">
        <v>29</v>
      </c>
      <c r="C712">
        <v>2023</v>
      </c>
      <c r="D712">
        <v>87.5</v>
      </c>
      <c r="E712">
        <v>-30</v>
      </c>
      <c r="F712">
        <v>48.25</v>
      </c>
      <c r="G712" s="1">
        <f>DATE(C712, CHOOSE(MATCH(UPPER(B712), {"ENERO","FEBRERO","MARZO","ABRIL","MAYO","JUNIO","JULIO","AGOSTO","SEPTIEMBRE","OCTUBRE","NOVIEMBRE","DICIEMBRE"}, 0), 1,2,3,4,5,6,7,8,9,10,11,12), A712)</f>
        <v>45057</v>
      </c>
      <c r="H712">
        <v>9.25</v>
      </c>
      <c r="I712">
        <v>56000</v>
      </c>
      <c r="J712" s="1">
        <f t="shared" si="23"/>
        <v>44177</v>
      </c>
      <c r="K712" s="2" t="e">
        <f t="shared" si="22"/>
        <v>#N/A</v>
      </c>
    </row>
    <row r="713" spans="1:11" x14ac:dyDescent="0.25">
      <c r="A713">
        <v>12</v>
      </c>
      <c r="B713" t="s">
        <v>29</v>
      </c>
      <c r="C713">
        <v>2023</v>
      </c>
      <c r="D713">
        <v>48.25</v>
      </c>
      <c r="E713" t="s">
        <v>9</v>
      </c>
      <c r="F713">
        <v>36</v>
      </c>
      <c r="G713" s="1">
        <f>DATE(C713, CHOOSE(MATCH(UPPER(B713), {"ENERO","FEBRERO","MARZO","ABRIL","MAYO","JUNIO","JULIO","AGOSTO","SEPTIEMBRE","OCTUBRE","NOVIEMBRE","DICIEMBRE"}, 0), 1,2,3,4,5,6,7,8,9,10,11,12), A713)</f>
        <v>45058</v>
      </c>
      <c r="H713">
        <v>12.25</v>
      </c>
      <c r="I713">
        <v>56000</v>
      </c>
      <c r="J713" s="1">
        <f t="shared" si="23"/>
        <v>44178</v>
      </c>
      <c r="K713" s="2" t="e">
        <f t="shared" si="22"/>
        <v>#N/A</v>
      </c>
    </row>
    <row r="714" spans="1:11" x14ac:dyDescent="0.25">
      <c r="A714">
        <v>13</v>
      </c>
      <c r="B714" t="s">
        <v>29</v>
      </c>
      <c r="C714">
        <v>2023</v>
      </c>
      <c r="D714">
        <v>36</v>
      </c>
      <c r="E714" t="s">
        <v>9</v>
      </c>
      <c r="F714">
        <v>25.625</v>
      </c>
      <c r="G714" s="1">
        <f>DATE(C714, CHOOSE(MATCH(UPPER(B714), {"ENERO","FEBRERO","MARZO","ABRIL","MAYO","JUNIO","JULIO","AGOSTO","SEPTIEMBRE","OCTUBRE","NOVIEMBRE","DICIEMBRE"}, 0), 1,2,3,4,5,6,7,8,9,10,11,12), A714)</f>
        <v>45059</v>
      </c>
      <c r="H714">
        <v>10.375</v>
      </c>
      <c r="I714">
        <v>56000</v>
      </c>
      <c r="J714" s="1">
        <f t="shared" si="23"/>
        <v>44179</v>
      </c>
      <c r="K714" s="2" t="e">
        <f t="shared" si="22"/>
        <v>#N/A</v>
      </c>
    </row>
    <row r="715" spans="1:11" x14ac:dyDescent="0.25">
      <c r="A715">
        <v>14</v>
      </c>
      <c r="B715" t="s">
        <v>29</v>
      </c>
      <c r="C715">
        <v>2023</v>
      </c>
      <c r="D715">
        <v>25.625</v>
      </c>
      <c r="E715" t="s">
        <v>9</v>
      </c>
      <c r="F715">
        <v>11.375</v>
      </c>
      <c r="G715" s="1">
        <f>DATE(C715, CHOOSE(MATCH(UPPER(B715), {"ENERO","FEBRERO","MARZO","ABRIL","MAYO","JUNIO","JULIO","AGOSTO","SEPTIEMBRE","OCTUBRE","NOVIEMBRE","DICIEMBRE"}, 0), 1,2,3,4,5,6,7,8,9,10,11,12), A715)</f>
        <v>45060</v>
      </c>
      <c r="H715">
        <v>14.25</v>
      </c>
      <c r="I715">
        <v>56000</v>
      </c>
      <c r="J715" s="1">
        <f t="shared" si="23"/>
        <v>44180</v>
      </c>
      <c r="K715" s="2" t="e">
        <f t="shared" si="22"/>
        <v>#N/A</v>
      </c>
    </row>
    <row r="716" spans="1:11" x14ac:dyDescent="0.25">
      <c r="A716">
        <v>15</v>
      </c>
      <c r="B716" t="s">
        <v>29</v>
      </c>
      <c r="C716">
        <v>2023</v>
      </c>
      <c r="D716">
        <v>11.375</v>
      </c>
      <c r="E716">
        <v>20</v>
      </c>
      <c r="F716">
        <v>24.75</v>
      </c>
      <c r="G716" s="1">
        <f>DATE(C716, CHOOSE(MATCH(UPPER(B716), {"ENERO","FEBRERO","MARZO","ABRIL","MAYO","JUNIO","JULIO","AGOSTO","SEPTIEMBRE","OCTUBRE","NOVIEMBRE","DICIEMBRE"}, 0), 1,2,3,4,5,6,7,8,9,10,11,12), A716)</f>
        <v>45061</v>
      </c>
      <c r="H716">
        <v>6.625</v>
      </c>
      <c r="I716">
        <v>56000</v>
      </c>
      <c r="J716" s="1">
        <f t="shared" si="23"/>
        <v>44181</v>
      </c>
      <c r="K716" s="2" t="e">
        <f t="shared" si="22"/>
        <v>#N/A</v>
      </c>
    </row>
    <row r="717" spans="1:11" x14ac:dyDescent="0.25">
      <c r="A717">
        <v>16</v>
      </c>
      <c r="B717" t="s">
        <v>29</v>
      </c>
      <c r="C717">
        <v>2023</v>
      </c>
      <c r="D717">
        <v>24.75</v>
      </c>
      <c r="E717">
        <v>20</v>
      </c>
      <c r="F717">
        <v>41.125</v>
      </c>
      <c r="G717" s="1">
        <f>DATE(C717, CHOOSE(MATCH(UPPER(B717), {"ENERO","FEBRERO","MARZO","ABRIL","MAYO","JUNIO","JULIO","AGOSTO","SEPTIEMBRE","OCTUBRE","NOVIEMBRE","DICIEMBRE"}, 0), 1,2,3,4,5,6,7,8,9,10,11,12), A717)</f>
        <v>45062</v>
      </c>
      <c r="H717">
        <v>3.625</v>
      </c>
      <c r="I717">
        <v>56000</v>
      </c>
      <c r="J717" s="1">
        <f t="shared" si="23"/>
        <v>44182</v>
      </c>
      <c r="K717" s="2" t="e">
        <f t="shared" si="22"/>
        <v>#N/A</v>
      </c>
    </row>
    <row r="718" spans="1:11" x14ac:dyDescent="0.25">
      <c r="A718">
        <v>17</v>
      </c>
      <c r="B718" t="s">
        <v>29</v>
      </c>
      <c r="C718">
        <v>2023</v>
      </c>
      <c r="D718">
        <v>41.125</v>
      </c>
      <c r="E718" t="s">
        <v>9</v>
      </c>
      <c r="F718">
        <v>34.875</v>
      </c>
      <c r="G718" s="1">
        <f>DATE(C718, CHOOSE(MATCH(UPPER(B718), {"ENERO","FEBRERO","MARZO","ABRIL","MAYO","JUNIO","JULIO","AGOSTO","SEPTIEMBRE","OCTUBRE","NOVIEMBRE","DICIEMBRE"}, 0), 1,2,3,4,5,6,7,8,9,10,11,12), A718)</f>
        <v>45063</v>
      </c>
      <c r="H718">
        <v>6.25</v>
      </c>
      <c r="I718">
        <v>56000</v>
      </c>
      <c r="J718" s="1">
        <f t="shared" si="23"/>
        <v>44183</v>
      </c>
      <c r="K718" s="2" t="e">
        <f t="shared" si="22"/>
        <v>#N/A</v>
      </c>
    </row>
    <row r="719" spans="1:11" x14ac:dyDescent="0.25">
      <c r="A719">
        <v>18</v>
      </c>
      <c r="B719" t="s">
        <v>29</v>
      </c>
      <c r="C719">
        <v>2023</v>
      </c>
      <c r="D719">
        <v>34.875</v>
      </c>
      <c r="E719" t="s">
        <v>9</v>
      </c>
      <c r="F719">
        <v>28</v>
      </c>
      <c r="G719" s="1">
        <f>DATE(C719, CHOOSE(MATCH(UPPER(B719), {"ENERO","FEBRERO","MARZO","ABRIL","MAYO","JUNIO","JULIO","AGOSTO","SEPTIEMBRE","OCTUBRE","NOVIEMBRE","DICIEMBRE"}, 0), 1,2,3,4,5,6,7,8,9,10,11,12), A719)</f>
        <v>45064</v>
      </c>
      <c r="H719">
        <v>6.875</v>
      </c>
      <c r="I719">
        <v>56000</v>
      </c>
      <c r="J719" s="1">
        <f t="shared" si="23"/>
        <v>44184</v>
      </c>
      <c r="K719" s="2" t="e">
        <f t="shared" si="22"/>
        <v>#N/A</v>
      </c>
    </row>
    <row r="720" spans="1:11" x14ac:dyDescent="0.25">
      <c r="A720">
        <v>19</v>
      </c>
      <c r="B720" t="s">
        <v>29</v>
      </c>
      <c r="C720">
        <v>2023</v>
      </c>
      <c r="D720">
        <v>28</v>
      </c>
      <c r="E720">
        <v>15</v>
      </c>
      <c r="F720">
        <v>29</v>
      </c>
      <c r="G720" s="1">
        <f>DATE(C720, CHOOSE(MATCH(UPPER(B720), {"ENERO","FEBRERO","MARZO","ABRIL","MAYO","JUNIO","JULIO","AGOSTO","SEPTIEMBRE","OCTUBRE","NOVIEMBRE","DICIEMBRE"}, 0), 1,2,3,4,5,6,7,8,9,10,11,12), A720)</f>
        <v>45065</v>
      </c>
      <c r="H720">
        <v>14</v>
      </c>
      <c r="I720">
        <v>56000</v>
      </c>
      <c r="J720" s="1">
        <f t="shared" si="23"/>
        <v>44185</v>
      </c>
      <c r="K720" s="2" t="e">
        <f t="shared" si="22"/>
        <v>#N/A</v>
      </c>
    </row>
    <row r="721" spans="1:11" x14ac:dyDescent="0.25">
      <c r="A721">
        <v>20</v>
      </c>
      <c r="B721" t="s">
        <v>29</v>
      </c>
      <c r="C721">
        <v>2023</v>
      </c>
      <c r="D721">
        <v>29</v>
      </c>
      <c r="E721" t="s">
        <v>9</v>
      </c>
      <c r="F721">
        <v>14</v>
      </c>
      <c r="G721" s="1">
        <f>DATE(C721, CHOOSE(MATCH(UPPER(B721), {"ENERO","FEBRERO","MARZO","ABRIL","MAYO","JUNIO","JULIO","AGOSTO","SEPTIEMBRE","OCTUBRE","NOVIEMBRE","DICIEMBRE"}, 0), 1,2,3,4,5,6,7,8,9,10,11,12), A721)</f>
        <v>45066</v>
      </c>
      <c r="H721">
        <v>15</v>
      </c>
      <c r="I721">
        <v>56000</v>
      </c>
      <c r="J721" s="1">
        <f t="shared" si="23"/>
        <v>44186</v>
      </c>
      <c r="K721" s="2" t="e">
        <f t="shared" si="22"/>
        <v>#N/A</v>
      </c>
    </row>
    <row r="722" spans="1:11" x14ac:dyDescent="0.25">
      <c r="A722">
        <v>21</v>
      </c>
      <c r="B722" t="s">
        <v>29</v>
      </c>
      <c r="C722">
        <v>2023</v>
      </c>
      <c r="D722">
        <v>14</v>
      </c>
      <c r="E722">
        <v>25</v>
      </c>
      <c r="F722">
        <v>30.625</v>
      </c>
      <c r="G722" s="1">
        <f>DATE(C722, CHOOSE(MATCH(UPPER(B722), {"ENERO","FEBRERO","MARZO","ABRIL","MAYO","JUNIO","JULIO","AGOSTO","SEPTIEMBRE","OCTUBRE","NOVIEMBRE","DICIEMBRE"}, 0), 1,2,3,4,5,6,7,8,9,10,11,12), A722)</f>
        <v>45067</v>
      </c>
      <c r="H722">
        <v>8.375</v>
      </c>
      <c r="I722">
        <v>56000</v>
      </c>
      <c r="J722" s="1">
        <f t="shared" si="23"/>
        <v>44187</v>
      </c>
      <c r="K722" s="2" t="e">
        <f t="shared" si="22"/>
        <v>#N/A</v>
      </c>
    </row>
    <row r="723" spans="1:11" x14ac:dyDescent="0.25">
      <c r="A723">
        <v>22</v>
      </c>
      <c r="B723" t="s">
        <v>29</v>
      </c>
      <c r="C723">
        <v>2023</v>
      </c>
      <c r="D723">
        <v>30.625</v>
      </c>
      <c r="E723" t="s">
        <v>9</v>
      </c>
      <c r="F723">
        <v>15.625</v>
      </c>
      <c r="G723" s="1">
        <f>DATE(C723, CHOOSE(MATCH(UPPER(B723), {"ENERO","FEBRERO","MARZO","ABRIL","MAYO","JUNIO","JULIO","AGOSTO","SEPTIEMBRE","OCTUBRE","NOVIEMBRE","DICIEMBRE"}, 0), 1,2,3,4,5,6,7,8,9,10,11,12), A723)</f>
        <v>45068</v>
      </c>
      <c r="H723">
        <v>15</v>
      </c>
      <c r="I723">
        <v>56000</v>
      </c>
      <c r="J723" s="1">
        <f t="shared" si="23"/>
        <v>44188</v>
      </c>
      <c r="K723" s="2" t="e">
        <f t="shared" si="22"/>
        <v>#N/A</v>
      </c>
    </row>
    <row r="724" spans="1:11" x14ac:dyDescent="0.25">
      <c r="A724">
        <v>23</v>
      </c>
      <c r="B724" t="s">
        <v>29</v>
      </c>
      <c r="C724">
        <v>2023</v>
      </c>
      <c r="D724">
        <v>15.625</v>
      </c>
      <c r="E724">
        <v>27</v>
      </c>
      <c r="F724">
        <v>40</v>
      </c>
      <c r="G724" s="1">
        <f>DATE(C724, CHOOSE(MATCH(UPPER(B724), {"ENERO","FEBRERO","MARZO","ABRIL","MAYO","JUNIO","JULIO","AGOSTO","SEPTIEMBRE","OCTUBRE","NOVIEMBRE","DICIEMBRE"}, 0), 1,2,3,4,5,6,7,8,9,10,11,12), A724)</f>
        <v>45069</v>
      </c>
      <c r="H724">
        <v>2.625</v>
      </c>
      <c r="I724">
        <v>56000</v>
      </c>
      <c r="J724" s="1">
        <f t="shared" si="23"/>
        <v>44189</v>
      </c>
      <c r="K724" s="2" t="e">
        <f t="shared" si="22"/>
        <v>#N/A</v>
      </c>
    </row>
    <row r="725" spans="1:11" x14ac:dyDescent="0.25">
      <c r="A725">
        <v>24</v>
      </c>
      <c r="B725" t="s">
        <v>29</v>
      </c>
      <c r="C725">
        <v>2023</v>
      </c>
      <c r="D725">
        <v>40</v>
      </c>
      <c r="E725" t="s">
        <v>9</v>
      </c>
      <c r="F725">
        <v>35</v>
      </c>
      <c r="G725" s="1">
        <f>DATE(C725, CHOOSE(MATCH(UPPER(B725), {"ENERO","FEBRERO","MARZO","ABRIL","MAYO","JUNIO","JULIO","AGOSTO","SEPTIEMBRE","OCTUBRE","NOVIEMBRE","DICIEMBRE"}, 0), 1,2,3,4,5,6,7,8,9,10,11,12), A725)</f>
        <v>45070</v>
      </c>
      <c r="H725">
        <v>5</v>
      </c>
      <c r="I725">
        <v>56000</v>
      </c>
      <c r="J725" s="1">
        <f t="shared" si="23"/>
        <v>44190</v>
      </c>
      <c r="K725" s="2" t="e">
        <f t="shared" si="22"/>
        <v>#N/A</v>
      </c>
    </row>
    <row r="726" spans="1:11" x14ac:dyDescent="0.25">
      <c r="A726">
        <v>25</v>
      </c>
      <c r="B726" t="s">
        <v>29</v>
      </c>
      <c r="C726">
        <v>2023</v>
      </c>
      <c r="D726">
        <v>35</v>
      </c>
      <c r="E726" t="s">
        <v>9</v>
      </c>
      <c r="F726">
        <v>26.625</v>
      </c>
      <c r="G726" s="1">
        <f>DATE(C726, CHOOSE(MATCH(UPPER(B726), {"ENERO","FEBRERO","MARZO","ABRIL","MAYO","JUNIO","JULIO","AGOSTO","SEPTIEMBRE","OCTUBRE","NOVIEMBRE","DICIEMBRE"}, 0), 1,2,3,4,5,6,7,8,9,10,11,12), A726)</f>
        <v>45071</v>
      </c>
      <c r="H726">
        <v>8.375</v>
      </c>
      <c r="I726">
        <v>56000</v>
      </c>
      <c r="J726" s="1">
        <f t="shared" si="23"/>
        <v>44191</v>
      </c>
      <c r="K726" s="2" t="e">
        <f t="shared" si="22"/>
        <v>#N/A</v>
      </c>
    </row>
    <row r="727" spans="1:11" x14ac:dyDescent="0.25">
      <c r="A727">
        <v>26</v>
      </c>
      <c r="B727" t="s">
        <v>29</v>
      </c>
      <c r="C727">
        <v>2023</v>
      </c>
      <c r="D727">
        <v>26.625</v>
      </c>
      <c r="E727" t="s">
        <v>9</v>
      </c>
      <c r="F727">
        <v>16.75</v>
      </c>
      <c r="G727" s="1">
        <f>DATE(C727, CHOOSE(MATCH(UPPER(B727), {"ENERO","FEBRERO","MARZO","ABRIL","MAYO","JUNIO","JULIO","AGOSTO","SEPTIEMBRE","OCTUBRE","NOVIEMBRE","DICIEMBRE"}, 0), 1,2,3,4,5,6,7,8,9,10,11,12), A727)</f>
        <v>45072</v>
      </c>
      <c r="H727">
        <v>9.875</v>
      </c>
      <c r="I727">
        <v>56000</v>
      </c>
      <c r="J727" s="1">
        <f t="shared" si="23"/>
        <v>44192</v>
      </c>
      <c r="K727" s="2" t="e">
        <f t="shared" si="22"/>
        <v>#N/A</v>
      </c>
    </row>
    <row r="728" spans="1:11" x14ac:dyDescent="0.25">
      <c r="A728">
        <v>27</v>
      </c>
      <c r="B728" t="s">
        <v>29</v>
      </c>
      <c r="C728">
        <v>2023</v>
      </c>
      <c r="D728">
        <v>16.75</v>
      </c>
      <c r="E728">
        <v>30</v>
      </c>
      <c r="F728">
        <v>34</v>
      </c>
      <c r="G728" s="1">
        <f>DATE(C728, CHOOSE(MATCH(UPPER(B728), {"ENERO","FEBRERO","MARZO","ABRIL","MAYO","JUNIO","JULIO","AGOSTO","SEPTIEMBRE","OCTUBRE","NOVIEMBRE","DICIEMBRE"}, 0), 1,2,3,4,5,6,7,8,9,10,11,12), A728)</f>
        <v>45073</v>
      </c>
      <c r="H728">
        <v>12.75</v>
      </c>
      <c r="I728">
        <v>56000</v>
      </c>
      <c r="J728" s="1">
        <f t="shared" si="23"/>
        <v>44193</v>
      </c>
      <c r="K728" s="2" t="e">
        <f t="shared" si="22"/>
        <v>#N/A</v>
      </c>
    </row>
    <row r="729" spans="1:11" x14ac:dyDescent="0.25">
      <c r="A729">
        <v>28</v>
      </c>
      <c r="B729" t="s">
        <v>29</v>
      </c>
      <c r="C729">
        <v>2023</v>
      </c>
      <c r="D729">
        <v>34</v>
      </c>
      <c r="E729" t="s">
        <v>9</v>
      </c>
      <c r="F729">
        <v>23.75</v>
      </c>
      <c r="G729" s="1">
        <f>DATE(C729, CHOOSE(MATCH(UPPER(B729), {"ENERO","FEBRERO","MARZO","ABRIL","MAYO","JUNIO","JULIO","AGOSTO","SEPTIEMBRE","OCTUBRE","NOVIEMBRE","DICIEMBRE"}, 0), 1,2,3,4,5,6,7,8,9,10,11,12), A729)</f>
        <v>45074</v>
      </c>
      <c r="H729">
        <v>10.25</v>
      </c>
      <c r="I729">
        <v>56000</v>
      </c>
      <c r="J729" s="1">
        <f t="shared" si="23"/>
        <v>44194</v>
      </c>
      <c r="K729" s="2" t="e">
        <f t="shared" si="22"/>
        <v>#N/A</v>
      </c>
    </row>
    <row r="730" spans="1:11" x14ac:dyDescent="0.25">
      <c r="A730">
        <v>29</v>
      </c>
      <c r="B730" t="s">
        <v>29</v>
      </c>
      <c r="C730">
        <v>2023</v>
      </c>
      <c r="D730">
        <v>23.75</v>
      </c>
      <c r="E730" t="s">
        <v>9</v>
      </c>
      <c r="F730">
        <v>15.875</v>
      </c>
      <c r="G730" s="1">
        <f>DATE(C730, CHOOSE(MATCH(UPPER(B730), {"ENERO","FEBRERO","MARZO","ABRIL","MAYO","JUNIO","JULIO","AGOSTO","SEPTIEMBRE","OCTUBRE","NOVIEMBRE","DICIEMBRE"}, 0), 1,2,3,4,5,6,7,8,9,10,11,12), A730)</f>
        <v>45075</v>
      </c>
      <c r="H730">
        <v>7.875</v>
      </c>
      <c r="I730">
        <v>56000</v>
      </c>
      <c r="J730" s="1">
        <f t="shared" si="23"/>
        <v>44195</v>
      </c>
      <c r="K730" s="2" t="e">
        <f t="shared" si="22"/>
        <v>#N/A</v>
      </c>
    </row>
    <row r="731" spans="1:11" x14ac:dyDescent="0.25">
      <c r="A731">
        <v>30</v>
      </c>
      <c r="B731" t="s">
        <v>29</v>
      </c>
      <c r="C731">
        <v>2023</v>
      </c>
      <c r="D731">
        <v>15.875</v>
      </c>
      <c r="E731">
        <v>32</v>
      </c>
      <c r="F731">
        <v>43.75</v>
      </c>
      <c r="G731" s="1">
        <f>DATE(C731, CHOOSE(MATCH(UPPER(B731), {"ENERO","FEBRERO","MARZO","ABRIL","MAYO","JUNIO","JULIO","AGOSTO","SEPTIEMBRE","OCTUBRE","NOVIEMBRE","DICIEMBRE"}, 0), 1,2,3,4,5,6,7,8,9,10,11,12), A731)</f>
        <v>45076</v>
      </c>
      <c r="H731">
        <v>4.125</v>
      </c>
      <c r="I731">
        <v>56000</v>
      </c>
      <c r="J731" s="1">
        <f t="shared" si="23"/>
        <v>44196</v>
      </c>
      <c r="K731" s="2" t="e">
        <f t="shared" si="22"/>
        <v>#N/A</v>
      </c>
    </row>
    <row r="732" spans="1:11" x14ac:dyDescent="0.25">
      <c r="A732">
        <v>31</v>
      </c>
      <c r="B732" t="s">
        <v>29</v>
      </c>
      <c r="C732">
        <v>2023</v>
      </c>
      <c r="D732">
        <v>43.75</v>
      </c>
      <c r="E732" t="s">
        <v>9</v>
      </c>
      <c r="F732">
        <v>29.875</v>
      </c>
      <c r="G732" s="1">
        <f>DATE(C732, CHOOSE(MATCH(UPPER(B732), {"ENERO","FEBRERO","MARZO","ABRIL","MAYO","JUNIO","JULIO","AGOSTO","SEPTIEMBRE","OCTUBRE","NOVIEMBRE","DICIEMBRE"}, 0), 1,2,3,4,5,6,7,8,9,10,11,12), A732)</f>
        <v>45077</v>
      </c>
      <c r="H732">
        <v>13.875</v>
      </c>
      <c r="I732">
        <v>56000</v>
      </c>
      <c r="J732" s="1">
        <f t="shared" si="23"/>
        <v>44197</v>
      </c>
      <c r="K732" s="2" t="e">
        <f t="shared" si="22"/>
        <v>#N/A</v>
      </c>
    </row>
    <row r="733" spans="1:11" x14ac:dyDescent="0.25">
      <c r="A733">
        <v>1</v>
      </c>
      <c r="B733" t="s">
        <v>30</v>
      </c>
      <c r="C733">
        <v>2023</v>
      </c>
      <c r="D733">
        <v>29.875</v>
      </c>
      <c r="E733" t="s">
        <v>9</v>
      </c>
      <c r="F733">
        <v>20.5</v>
      </c>
      <c r="G733" s="1">
        <f>DATE(C733, CHOOSE(MATCH(UPPER(B733), {"ENERO","FEBRERO","MARZO","ABRIL","MAYO","JUNIO","JULIO","AGOSTO","SEPTIEMBRE","OCTUBRE","NOVIEMBRE","DICIEMBRE"}, 0), 1,2,3,4,5,6,7,8,9,10,11,12), A733)</f>
        <v>45078</v>
      </c>
      <c r="H733">
        <v>9.375</v>
      </c>
      <c r="I733">
        <v>56000</v>
      </c>
      <c r="J733" s="1">
        <f t="shared" si="23"/>
        <v>44198</v>
      </c>
      <c r="K733" s="2" t="e">
        <f t="shared" si="22"/>
        <v>#N/A</v>
      </c>
    </row>
    <row r="734" spans="1:11" x14ac:dyDescent="0.25">
      <c r="A734">
        <v>2</v>
      </c>
      <c r="B734" t="s">
        <v>30</v>
      </c>
      <c r="C734">
        <v>2023</v>
      </c>
      <c r="D734">
        <v>20.5</v>
      </c>
      <c r="E734" t="s">
        <v>9</v>
      </c>
      <c r="F734">
        <v>10.75</v>
      </c>
      <c r="G734" s="1">
        <f>DATE(C734, CHOOSE(MATCH(UPPER(B734), {"ENERO","FEBRERO","MARZO","ABRIL","MAYO","JUNIO","JULIO","AGOSTO","SEPTIEMBRE","OCTUBRE","NOVIEMBRE","DICIEMBRE"}, 0), 1,2,3,4,5,6,7,8,9,10,11,12), A734)</f>
        <v>45079</v>
      </c>
      <c r="H734">
        <v>9.75</v>
      </c>
      <c r="I734">
        <v>56000</v>
      </c>
      <c r="J734" s="1">
        <f t="shared" si="23"/>
        <v>44199</v>
      </c>
      <c r="K734" s="2" t="e">
        <f t="shared" si="22"/>
        <v>#N/A</v>
      </c>
    </row>
    <row r="735" spans="1:11" x14ac:dyDescent="0.25">
      <c r="A735">
        <v>3</v>
      </c>
      <c r="B735" t="s">
        <v>30</v>
      </c>
      <c r="C735">
        <v>2023</v>
      </c>
      <c r="D735">
        <v>10.75</v>
      </c>
      <c r="E735">
        <v>30</v>
      </c>
      <c r="F735">
        <v>27.125</v>
      </c>
      <c r="G735" s="1">
        <f>DATE(C735, CHOOSE(MATCH(UPPER(B735), {"ENERO","FEBRERO","MARZO","ABRIL","MAYO","JUNIO","JULIO","AGOSTO","SEPTIEMBRE","OCTUBRE","NOVIEMBRE","DICIEMBRE"}, 0), 1,2,3,4,5,6,7,8,9,10,11,12), A735)</f>
        <v>45080</v>
      </c>
      <c r="H735">
        <v>13.625</v>
      </c>
      <c r="I735">
        <v>56000</v>
      </c>
      <c r="J735" s="1">
        <f t="shared" si="23"/>
        <v>44200</v>
      </c>
      <c r="K735" s="2" t="e">
        <f t="shared" si="22"/>
        <v>#N/A</v>
      </c>
    </row>
    <row r="736" spans="1:11" x14ac:dyDescent="0.25">
      <c r="A736">
        <v>4</v>
      </c>
      <c r="B736" t="s">
        <v>30</v>
      </c>
      <c r="C736">
        <v>2023</v>
      </c>
      <c r="D736">
        <v>27.125</v>
      </c>
      <c r="E736">
        <v>56.25</v>
      </c>
      <c r="F736">
        <v>71.25</v>
      </c>
      <c r="G736" s="1">
        <f>DATE(C736, CHOOSE(MATCH(UPPER(B736), {"ENERO","FEBRERO","MARZO","ABRIL","MAYO","JUNIO","JULIO","AGOSTO","SEPTIEMBRE","OCTUBRE","NOVIEMBRE","DICIEMBRE"}, 0), 1,2,3,4,5,6,7,8,9,10,11,12), A736)</f>
        <v>45081</v>
      </c>
      <c r="H736">
        <v>12.125</v>
      </c>
      <c r="I736">
        <v>56000</v>
      </c>
      <c r="J736" s="1">
        <f t="shared" si="23"/>
        <v>44201</v>
      </c>
      <c r="K736" s="2" t="e">
        <f t="shared" si="22"/>
        <v>#N/A</v>
      </c>
    </row>
    <row r="737" spans="1:11" x14ac:dyDescent="0.25">
      <c r="A737">
        <v>5</v>
      </c>
      <c r="B737" t="s">
        <v>30</v>
      </c>
      <c r="C737">
        <v>2023</v>
      </c>
      <c r="D737">
        <v>71.25</v>
      </c>
      <c r="E737" t="s">
        <v>9</v>
      </c>
      <c r="F737">
        <v>65.125</v>
      </c>
      <c r="G737" s="1">
        <f>DATE(C737, CHOOSE(MATCH(UPPER(B737), {"ENERO","FEBRERO","MARZO","ABRIL","MAYO","JUNIO","JULIO","AGOSTO","SEPTIEMBRE","OCTUBRE","NOVIEMBRE","DICIEMBRE"}, 0), 1,2,3,4,5,6,7,8,9,10,11,12), A737)</f>
        <v>45082</v>
      </c>
      <c r="H737">
        <v>6.125</v>
      </c>
      <c r="I737">
        <v>56000</v>
      </c>
      <c r="J737" s="1">
        <f t="shared" si="23"/>
        <v>44202</v>
      </c>
      <c r="K737" s="2" t="e">
        <f t="shared" si="22"/>
        <v>#N/A</v>
      </c>
    </row>
    <row r="738" spans="1:11" x14ac:dyDescent="0.25">
      <c r="A738">
        <v>6</v>
      </c>
      <c r="B738" t="s">
        <v>30</v>
      </c>
      <c r="C738">
        <v>2023</v>
      </c>
      <c r="D738">
        <v>65.125</v>
      </c>
      <c r="E738" t="s">
        <v>9</v>
      </c>
      <c r="F738">
        <v>60.75</v>
      </c>
      <c r="G738" s="1">
        <f>DATE(C738, CHOOSE(MATCH(UPPER(B738), {"ENERO","FEBRERO","MARZO","ABRIL","MAYO","JUNIO","JULIO","AGOSTO","SEPTIEMBRE","OCTUBRE","NOVIEMBRE","DICIEMBRE"}, 0), 1,2,3,4,5,6,7,8,9,10,11,12), A738)</f>
        <v>45083</v>
      </c>
      <c r="H738">
        <v>4.375</v>
      </c>
      <c r="I738">
        <v>56000</v>
      </c>
      <c r="J738" s="1">
        <f t="shared" si="23"/>
        <v>44203</v>
      </c>
      <c r="K738" s="2" t="e">
        <f t="shared" si="22"/>
        <v>#N/A</v>
      </c>
    </row>
    <row r="739" spans="1:11" x14ac:dyDescent="0.25">
      <c r="A739">
        <v>7</v>
      </c>
      <c r="B739" t="s">
        <v>30</v>
      </c>
      <c r="C739">
        <v>2023</v>
      </c>
      <c r="D739">
        <v>60.75</v>
      </c>
      <c r="E739" t="s">
        <v>9</v>
      </c>
      <c r="F739">
        <v>50.5</v>
      </c>
      <c r="G739" s="1">
        <f>DATE(C739, CHOOSE(MATCH(UPPER(B739), {"ENERO","FEBRERO","MARZO","ABRIL","MAYO","JUNIO","JULIO","AGOSTO","SEPTIEMBRE","OCTUBRE","NOVIEMBRE","DICIEMBRE"}, 0), 1,2,3,4,5,6,7,8,9,10,11,12), A739)</f>
        <v>45084</v>
      </c>
      <c r="H739">
        <v>10.25</v>
      </c>
      <c r="I739">
        <v>56000</v>
      </c>
      <c r="J739" s="1">
        <f t="shared" si="23"/>
        <v>44204</v>
      </c>
      <c r="K739" s="2" t="e">
        <f t="shared" si="22"/>
        <v>#N/A</v>
      </c>
    </row>
    <row r="740" spans="1:11" x14ac:dyDescent="0.25">
      <c r="A740">
        <v>8</v>
      </c>
      <c r="B740" t="s">
        <v>30</v>
      </c>
      <c r="C740">
        <v>2023</v>
      </c>
      <c r="D740">
        <v>50.5</v>
      </c>
      <c r="E740" t="s">
        <v>9</v>
      </c>
      <c r="F740">
        <v>40.875</v>
      </c>
      <c r="G740" s="1">
        <f>DATE(C740, CHOOSE(MATCH(UPPER(B740), {"ENERO","FEBRERO","MARZO","ABRIL","MAYO","JUNIO","JULIO","AGOSTO","SEPTIEMBRE","OCTUBRE","NOVIEMBRE","DICIEMBRE"}, 0), 1,2,3,4,5,6,7,8,9,10,11,12), A740)</f>
        <v>45085</v>
      </c>
      <c r="H740">
        <v>9.625</v>
      </c>
      <c r="I740">
        <v>56000</v>
      </c>
      <c r="J740" s="1">
        <f t="shared" si="23"/>
        <v>44205</v>
      </c>
      <c r="K740" s="2" t="e">
        <f t="shared" si="22"/>
        <v>#N/A</v>
      </c>
    </row>
    <row r="741" spans="1:11" x14ac:dyDescent="0.25">
      <c r="A741">
        <v>9</v>
      </c>
      <c r="B741" t="s">
        <v>30</v>
      </c>
      <c r="C741">
        <v>2023</v>
      </c>
      <c r="D741">
        <v>40.875</v>
      </c>
      <c r="E741" t="s">
        <v>9</v>
      </c>
      <c r="F741">
        <v>31.625</v>
      </c>
      <c r="G741" s="1">
        <f>DATE(C741, CHOOSE(MATCH(UPPER(B741), {"ENERO","FEBRERO","MARZO","ABRIL","MAYO","JUNIO","JULIO","AGOSTO","SEPTIEMBRE","OCTUBRE","NOVIEMBRE","DICIEMBRE"}, 0), 1,2,3,4,5,6,7,8,9,10,11,12), A741)</f>
        <v>45086</v>
      </c>
      <c r="H741">
        <v>9.25</v>
      </c>
      <c r="I741">
        <v>56000</v>
      </c>
      <c r="J741" s="1">
        <f t="shared" si="23"/>
        <v>44206</v>
      </c>
      <c r="K741" s="2" t="e">
        <f t="shared" si="22"/>
        <v>#N/A</v>
      </c>
    </row>
    <row r="742" spans="1:11" x14ac:dyDescent="0.25">
      <c r="A742">
        <v>10</v>
      </c>
      <c r="B742" t="s">
        <v>30</v>
      </c>
      <c r="C742">
        <v>2023</v>
      </c>
      <c r="D742">
        <v>31.625</v>
      </c>
      <c r="E742" t="s">
        <v>9</v>
      </c>
      <c r="F742">
        <v>18.875</v>
      </c>
      <c r="G742" s="1">
        <f>DATE(C742, CHOOSE(MATCH(UPPER(B742), {"ENERO","FEBRERO","MARZO","ABRIL","MAYO","JUNIO","JULIO","AGOSTO","SEPTIEMBRE","OCTUBRE","NOVIEMBRE","DICIEMBRE"}, 0), 1,2,3,4,5,6,7,8,9,10,11,12), A742)</f>
        <v>45087</v>
      </c>
      <c r="H742">
        <v>12.75</v>
      </c>
      <c r="I742">
        <v>56000</v>
      </c>
      <c r="J742" s="1">
        <f t="shared" si="23"/>
        <v>44207</v>
      </c>
      <c r="K742" s="2" t="e">
        <f t="shared" si="22"/>
        <v>#N/A</v>
      </c>
    </row>
    <row r="743" spans="1:11" x14ac:dyDescent="0.25">
      <c r="A743">
        <v>11</v>
      </c>
      <c r="B743" t="s">
        <v>30</v>
      </c>
      <c r="C743">
        <v>2023</v>
      </c>
      <c r="D743">
        <v>18.875</v>
      </c>
      <c r="E743">
        <v>0.375</v>
      </c>
      <c r="F743">
        <v>2.875</v>
      </c>
      <c r="G743" s="1">
        <f>DATE(C743, CHOOSE(MATCH(UPPER(B743), {"ENERO","FEBRERO","MARZO","ABRIL","MAYO","JUNIO","JULIO","AGOSTO","SEPTIEMBRE","OCTUBRE","NOVIEMBRE","DICIEMBRE"}, 0), 1,2,3,4,5,6,7,8,9,10,11,12), A743)</f>
        <v>45088</v>
      </c>
      <c r="H743">
        <v>16.375</v>
      </c>
      <c r="I743">
        <v>56000</v>
      </c>
      <c r="J743" s="1">
        <f t="shared" si="23"/>
        <v>44208</v>
      </c>
      <c r="K743" s="2" t="e">
        <f t="shared" si="22"/>
        <v>#N/A</v>
      </c>
    </row>
    <row r="744" spans="1:11" x14ac:dyDescent="0.25">
      <c r="A744">
        <v>12</v>
      </c>
      <c r="B744" t="s">
        <v>30</v>
      </c>
      <c r="C744">
        <v>2023</v>
      </c>
      <c r="D744">
        <v>2.875</v>
      </c>
      <c r="E744">
        <v>40</v>
      </c>
      <c r="F744">
        <v>34.625</v>
      </c>
      <c r="G744" s="1">
        <f>DATE(C744, CHOOSE(MATCH(UPPER(B744), {"ENERO","FEBRERO","MARZO","ABRIL","MAYO","JUNIO","JULIO","AGOSTO","SEPTIEMBRE","OCTUBRE","NOVIEMBRE","DICIEMBRE"}, 0), 1,2,3,4,5,6,7,8,9,10,11,12), A744)</f>
        <v>45089</v>
      </c>
      <c r="H744">
        <v>8.25</v>
      </c>
      <c r="I744">
        <v>56000</v>
      </c>
      <c r="J744" s="1">
        <f t="shared" si="23"/>
        <v>44209</v>
      </c>
      <c r="K744" s="2" t="e">
        <f t="shared" si="22"/>
        <v>#N/A</v>
      </c>
    </row>
    <row r="745" spans="1:11" x14ac:dyDescent="0.25">
      <c r="A745">
        <v>13</v>
      </c>
      <c r="B745" t="s">
        <v>30</v>
      </c>
      <c r="C745">
        <v>2023</v>
      </c>
      <c r="D745">
        <v>34.625</v>
      </c>
      <c r="E745" t="s">
        <v>9</v>
      </c>
      <c r="F745">
        <v>28.625</v>
      </c>
      <c r="G745" s="1">
        <f>DATE(C745, CHOOSE(MATCH(UPPER(B745), {"ENERO","FEBRERO","MARZO","ABRIL","MAYO","JUNIO","JULIO","AGOSTO","SEPTIEMBRE","OCTUBRE","NOVIEMBRE","DICIEMBRE"}, 0), 1,2,3,4,5,6,7,8,9,10,11,12), A745)</f>
        <v>45090</v>
      </c>
      <c r="H745">
        <v>6</v>
      </c>
      <c r="I745">
        <v>56000</v>
      </c>
      <c r="J745" s="1">
        <f t="shared" si="23"/>
        <v>44210</v>
      </c>
      <c r="K745" s="2" t="e">
        <f t="shared" si="22"/>
        <v>#N/A</v>
      </c>
    </row>
    <row r="746" spans="1:11" x14ac:dyDescent="0.25">
      <c r="A746">
        <v>14</v>
      </c>
      <c r="B746" t="s">
        <v>30</v>
      </c>
      <c r="C746">
        <v>2023</v>
      </c>
      <c r="D746">
        <v>28.625</v>
      </c>
      <c r="E746" t="s">
        <v>9</v>
      </c>
      <c r="F746">
        <v>23.375</v>
      </c>
      <c r="G746" s="1">
        <f>DATE(C746, CHOOSE(MATCH(UPPER(B746), {"ENERO","FEBRERO","MARZO","ABRIL","MAYO","JUNIO","JULIO","AGOSTO","SEPTIEMBRE","OCTUBRE","NOVIEMBRE","DICIEMBRE"}, 0), 1,2,3,4,5,6,7,8,9,10,11,12), A746)</f>
        <v>45091</v>
      </c>
      <c r="H746">
        <v>5.25</v>
      </c>
      <c r="I746">
        <v>56000</v>
      </c>
      <c r="J746" s="1">
        <f t="shared" si="23"/>
        <v>44211</v>
      </c>
      <c r="K746" s="2" t="e">
        <f t="shared" si="22"/>
        <v>#N/A</v>
      </c>
    </row>
    <row r="747" spans="1:11" x14ac:dyDescent="0.25">
      <c r="A747">
        <v>15</v>
      </c>
      <c r="B747" t="s">
        <v>30</v>
      </c>
      <c r="C747">
        <v>2023</v>
      </c>
      <c r="D747">
        <v>23.375</v>
      </c>
      <c r="E747">
        <v>50</v>
      </c>
      <c r="F747">
        <v>65.75</v>
      </c>
      <c r="G747" s="1">
        <f>DATE(C747, CHOOSE(MATCH(UPPER(B747), {"ENERO","FEBRERO","MARZO","ABRIL","MAYO","JUNIO","JULIO","AGOSTO","SEPTIEMBRE","OCTUBRE","NOVIEMBRE","DICIEMBRE"}, 0), 1,2,3,4,5,6,7,8,9,10,11,12), A747)</f>
        <v>45092</v>
      </c>
      <c r="H747">
        <v>7.625</v>
      </c>
      <c r="I747">
        <v>56000</v>
      </c>
      <c r="J747" s="1">
        <f t="shared" si="23"/>
        <v>44212</v>
      </c>
      <c r="K747" s="2" t="e">
        <f t="shared" si="22"/>
        <v>#N/A</v>
      </c>
    </row>
    <row r="748" spans="1:11" x14ac:dyDescent="0.25">
      <c r="A748">
        <v>16</v>
      </c>
      <c r="B748" t="s">
        <v>30</v>
      </c>
      <c r="C748">
        <v>2023</v>
      </c>
      <c r="D748">
        <v>65.75</v>
      </c>
      <c r="E748" t="s">
        <v>9</v>
      </c>
      <c r="F748">
        <v>54.75</v>
      </c>
      <c r="G748" s="1">
        <f>DATE(C748, CHOOSE(MATCH(UPPER(B748), {"ENERO","FEBRERO","MARZO","ABRIL","MAYO","JUNIO","JULIO","AGOSTO","SEPTIEMBRE","OCTUBRE","NOVIEMBRE","DICIEMBRE"}, 0), 1,2,3,4,5,6,7,8,9,10,11,12), A748)</f>
        <v>45093</v>
      </c>
      <c r="H748">
        <v>11</v>
      </c>
      <c r="I748">
        <v>56000</v>
      </c>
      <c r="J748" s="1">
        <f t="shared" si="23"/>
        <v>44213</v>
      </c>
      <c r="K748" s="2" t="e">
        <f t="shared" si="22"/>
        <v>#N/A</v>
      </c>
    </row>
    <row r="749" spans="1:11" x14ac:dyDescent="0.25">
      <c r="A749">
        <v>17</v>
      </c>
      <c r="B749" t="s">
        <v>30</v>
      </c>
      <c r="C749">
        <v>2023</v>
      </c>
      <c r="D749">
        <v>54.75</v>
      </c>
      <c r="E749" t="s">
        <v>9</v>
      </c>
      <c r="F749">
        <v>39.375</v>
      </c>
      <c r="G749" s="1">
        <f>DATE(C749, CHOOSE(MATCH(UPPER(B749), {"ENERO","FEBRERO","MARZO","ABRIL","MAYO","JUNIO","JULIO","AGOSTO","SEPTIEMBRE","OCTUBRE","NOVIEMBRE","DICIEMBRE"}, 0), 1,2,3,4,5,6,7,8,9,10,11,12), A749)</f>
        <v>45094</v>
      </c>
      <c r="H749">
        <v>15.375</v>
      </c>
      <c r="I749">
        <v>56000</v>
      </c>
      <c r="J749" s="1">
        <f t="shared" si="23"/>
        <v>44214</v>
      </c>
      <c r="K749" s="2" t="e">
        <f t="shared" si="22"/>
        <v>#N/A</v>
      </c>
    </row>
    <row r="750" spans="1:11" x14ac:dyDescent="0.25">
      <c r="A750">
        <v>18</v>
      </c>
      <c r="B750" t="s">
        <v>30</v>
      </c>
      <c r="C750">
        <v>2023</v>
      </c>
      <c r="D750">
        <v>39.375</v>
      </c>
      <c r="E750" t="s">
        <v>9</v>
      </c>
      <c r="F750">
        <v>23.375</v>
      </c>
      <c r="G750" s="1">
        <f>DATE(C750, CHOOSE(MATCH(UPPER(B750), {"ENERO","FEBRERO","MARZO","ABRIL","MAYO","JUNIO","JULIO","AGOSTO","SEPTIEMBRE","OCTUBRE","NOVIEMBRE","DICIEMBRE"}, 0), 1,2,3,4,5,6,7,8,9,10,11,12), A750)</f>
        <v>45095</v>
      </c>
      <c r="H750">
        <v>16</v>
      </c>
      <c r="I750">
        <v>56000</v>
      </c>
      <c r="J750" s="1">
        <f t="shared" si="23"/>
        <v>44215</v>
      </c>
      <c r="K750" s="2" t="e">
        <f t="shared" si="22"/>
        <v>#N/A</v>
      </c>
    </row>
    <row r="751" spans="1:11" x14ac:dyDescent="0.25">
      <c r="A751">
        <v>19</v>
      </c>
      <c r="B751" t="s">
        <v>30</v>
      </c>
      <c r="C751">
        <v>2023</v>
      </c>
      <c r="D751">
        <v>23.375</v>
      </c>
      <c r="E751" t="s">
        <v>9</v>
      </c>
      <c r="F751">
        <v>11.25</v>
      </c>
      <c r="G751" s="1">
        <f>DATE(C751, CHOOSE(MATCH(UPPER(B751), {"ENERO","FEBRERO","MARZO","ABRIL","MAYO","JUNIO","JULIO","AGOSTO","SEPTIEMBRE","OCTUBRE","NOVIEMBRE","DICIEMBRE"}, 0), 1,2,3,4,5,6,7,8,9,10,11,12), A751)</f>
        <v>45096</v>
      </c>
      <c r="H751">
        <v>12.125</v>
      </c>
      <c r="I751">
        <v>56000</v>
      </c>
      <c r="J751" s="1">
        <f t="shared" si="23"/>
        <v>44216</v>
      </c>
      <c r="K751" s="2" t="e">
        <f t="shared" si="22"/>
        <v>#N/A</v>
      </c>
    </row>
    <row r="752" spans="1:11" x14ac:dyDescent="0.25">
      <c r="A752">
        <v>20</v>
      </c>
      <c r="B752" t="s">
        <v>30</v>
      </c>
      <c r="C752">
        <v>2023</v>
      </c>
      <c r="D752">
        <v>11.25</v>
      </c>
      <c r="E752" t="s">
        <v>9</v>
      </c>
      <c r="F752">
        <v>4</v>
      </c>
      <c r="G752" s="1">
        <f>DATE(C752, CHOOSE(MATCH(UPPER(B752), {"ENERO","FEBRERO","MARZO","ABRIL","MAYO","JUNIO","JULIO","AGOSTO","SEPTIEMBRE","OCTUBRE","NOVIEMBRE","DICIEMBRE"}, 0), 1,2,3,4,5,6,7,8,9,10,11,12), A752)</f>
        <v>45097</v>
      </c>
      <c r="H752">
        <v>7.25</v>
      </c>
      <c r="I752">
        <v>56000</v>
      </c>
      <c r="J752" s="1">
        <f t="shared" si="23"/>
        <v>44217</v>
      </c>
      <c r="K752" s="2" t="e">
        <f t="shared" si="22"/>
        <v>#N/A</v>
      </c>
    </row>
    <row r="753" spans="1:11" x14ac:dyDescent="0.25">
      <c r="A753">
        <v>21</v>
      </c>
      <c r="B753" t="s">
        <v>30</v>
      </c>
      <c r="C753">
        <v>2023</v>
      </c>
      <c r="D753">
        <v>4</v>
      </c>
      <c r="E753">
        <v>30</v>
      </c>
      <c r="F753">
        <v>28</v>
      </c>
      <c r="G753" s="1">
        <f>DATE(C753, CHOOSE(MATCH(UPPER(B753), {"ENERO","FEBRERO","MARZO","ABRIL","MAYO","JUNIO","JULIO","AGOSTO","SEPTIEMBRE","OCTUBRE","NOVIEMBRE","DICIEMBRE"}, 0), 1,2,3,4,5,6,7,8,9,10,11,12), A753)</f>
        <v>45098</v>
      </c>
      <c r="H753">
        <v>6</v>
      </c>
      <c r="I753">
        <v>56000</v>
      </c>
      <c r="J753" s="1">
        <f t="shared" si="23"/>
        <v>44218</v>
      </c>
      <c r="K753" s="2" t="e">
        <f t="shared" si="22"/>
        <v>#N/A</v>
      </c>
    </row>
    <row r="754" spans="1:11" x14ac:dyDescent="0.25">
      <c r="A754">
        <v>22</v>
      </c>
      <c r="B754" t="s">
        <v>30</v>
      </c>
      <c r="C754">
        <v>2023</v>
      </c>
      <c r="D754">
        <v>28</v>
      </c>
      <c r="E754" t="s">
        <v>9</v>
      </c>
      <c r="F754">
        <v>18.625</v>
      </c>
      <c r="G754" s="1">
        <f>DATE(C754, CHOOSE(MATCH(UPPER(B754), {"ENERO","FEBRERO","MARZO","ABRIL","MAYO","JUNIO","JULIO","AGOSTO","SEPTIEMBRE","OCTUBRE","NOVIEMBRE","DICIEMBRE"}, 0), 1,2,3,4,5,6,7,8,9,10,11,12), A754)</f>
        <v>45099</v>
      </c>
      <c r="H754">
        <v>9.375</v>
      </c>
      <c r="I754">
        <v>56000</v>
      </c>
      <c r="J754" s="1">
        <f t="shared" si="23"/>
        <v>44219</v>
      </c>
      <c r="K754" s="2" t="e">
        <f t="shared" si="22"/>
        <v>#N/A</v>
      </c>
    </row>
    <row r="755" spans="1:11" x14ac:dyDescent="0.25">
      <c r="A755">
        <v>23</v>
      </c>
      <c r="B755" t="s">
        <v>30</v>
      </c>
      <c r="C755">
        <v>2023</v>
      </c>
      <c r="D755">
        <v>18.625</v>
      </c>
      <c r="E755" t="s">
        <v>9</v>
      </c>
      <c r="F755">
        <v>8.75</v>
      </c>
      <c r="G755" s="1">
        <f>DATE(C755, CHOOSE(MATCH(UPPER(B755), {"ENERO","FEBRERO","MARZO","ABRIL","MAYO","JUNIO","JULIO","AGOSTO","SEPTIEMBRE","OCTUBRE","NOVIEMBRE","DICIEMBRE"}, 0), 1,2,3,4,5,6,7,8,9,10,11,12), A755)</f>
        <v>45100</v>
      </c>
      <c r="H755">
        <v>9.875</v>
      </c>
      <c r="I755">
        <v>56000</v>
      </c>
      <c r="J755" s="1">
        <f t="shared" si="23"/>
        <v>44220</v>
      </c>
      <c r="K755" s="2" t="e">
        <f t="shared" si="22"/>
        <v>#N/A</v>
      </c>
    </row>
    <row r="756" spans="1:11" x14ac:dyDescent="0.25">
      <c r="A756">
        <v>24</v>
      </c>
      <c r="B756" t="s">
        <v>30</v>
      </c>
      <c r="C756">
        <v>2023</v>
      </c>
      <c r="D756">
        <v>8.75</v>
      </c>
      <c r="E756">
        <v>50</v>
      </c>
      <c r="F756">
        <v>48</v>
      </c>
      <c r="G756" s="1">
        <f>DATE(C756, CHOOSE(MATCH(UPPER(B756), {"ENERO","FEBRERO","MARZO","ABRIL","MAYO","JUNIO","JULIO","AGOSTO","SEPTIEMBRE","OCTUBRE","NOVIEMBRE","DICIEMBRE"}, 0), 1,2,3,4,5,6,7,8,9,10,11,12), A756)</f>
        <v>45101</v>
      </c>
      <c r="H756">
        <v>10.75</v>
      </c>
      <c r="I756">
        <v>56000</v>
      </c>
      <c r="J756" s="1">
        <f t="shared" si="23"/>
        <v>44221</v>
      </c>
      <c r="K756" s="2" t="e">
        <f t="shared" si="22"/>
        <v>#N/A</v>
      </c>
    </row>
    <row r="757" spans="1:11" x14ac:dyDescent="0.25">
      <c r="A757">
        <v>25</v>
      </c>
      <c r="B757" t="s">
        <v>30</v>
      </c>
      <c r="C757">
        <v>2023</v>
      </c>
      <c r="D757">
        <v>48</v>
      </c>
      <c r="E757">
        <v>7</v>
      </c>
      <c r="F757">
        <v>40.75</v>
      </c>
      <c r="G757" s="1">
        <f>DATE(C757, CHOOSE(MATCH(UPPER(B757), {"ENERO","FEBRERO","MARZO","ABRIL","MAYO","JUNIO","JULIO","AGOSTO","SEPTIEMBRE","OCTUBRE","NOVIEMBRE","DICIEMBRE"}, 0), 1,2,3,4,5,6,7,8,9,10,11,12), A757)</f>
        <v>45102</v>
      </c>
      <c r="H757">
        <v>14.25</v>
      </c>
      <c r="I757">
        <v>56000</v>
      </c>
      <c r="J757" s="1">
        <f t="shared" si="23"/>
        <v>44222</v>
      </c>
      <c r="K757" s="2" t="e">
        <f t="shared" si="22"/>
        <v>#N/A</v>
      </c>
    </row>
    <row r="758" spans="1:11" x14ac:dyDescent="0.25">
      <c r="A758">
        <v>26</v>
      </c>
      <c r="B758" t="s">
        <v>30</v>
      </c>
      <c r="C758">
        <v>2023</v>
      </c>
      <c r="D758">
        <v>40.75</v>
      </c>
      <c r="E758" t="s">
        <v>9</v>
      </c>
      <c r="F758">
        <v>34.875</v>
      </c>
      <c r="G758" s="1">
        <f>DATE(C758, CHOOSE(MATCH(UPPER(B758), {"ENERO","FEBRERO","MARZO","ABRIL","MAYO","JUNIO","JULIO","AGOSTO","SEPTIEMBRE","OCTUBRE","NOVIEMBRE","DICIEMBRE"}, 0), 1,2,3,4,5,6,7,8,9,10,11,12), A758)</f>
        <v>45103</v>
      </c>
      <c r="H758">
        <v>5.875</v>
      </c>
      <c r="I758">
        <v>56000</v>
      </c>
      <c r="J758" s="1">
        <f t="shared" si="23"/>
        <v>44223</v>
      </c>
      <c r="K758" s="2" t="e">
        <f t="shared" si="22"/>
        <v>#N/A</v>
      </c>
    </row>
    <row r="759" spans="1:11" x14ac:dyDescent="0.25">
      <c r="A759">
        <v>27</v>
      </c>
      <c r="B759" t="s">
        <v>30</v>
      </c>
      <c r="C759">
        <v>2023</v>
      </c>
      <c r="D759">
        <v>34.875</v>
      </c>
      <c r="E759" t="s">
        <v>9</v>
      </c>
      <c r="F759">
        <v>28.625</v>
      </c>
      <c r="G759" s="1">
        <f>DATE(C759, CHOOSE(MATCH(UPPER(B759), {"ENERO","FEBRERO","MARZO","ABRIL","MAYO","JUNIO","JULIO","AGOSTO","SEPTIEMBRE","OCTUBRE","NOVIEMBRE","DICIEMBRE"}, 0), 1,2,3,4,5,6,7,8,9,10,11,12), A759)</f>
        <v>45104</v>
      </c>
      <c r="H759">
        <v>6.25</v>
      </c>
      <c r="I759">
        <v>56000</v>
      </c>
      <c r="J759" s="1">
        <f t="shared" si="23"/>
        <v>44224</v>
      </c>
      <c r="K759" s="2" t="e">
        <f t="shared" si="22"/>
        <v>#N/A</v>
      </c>
    </row>
    <row r="760" spans="1:11" x14ac:dyDescent="0.25">
      <c r="A760">
        <v>28</v>
      </c>
      <c r="B760" t="s">
        <v>30</v>
      </c>
      <c r="C760">
        <v>2023</v>
      </c>
      <c r="D760">
        <v>28.625</v>
      </c>
      <c r="E760" t="s">
        <v>9</v>
      </c>
      <c r="F760">
        <v>25.375</v>
      </c>
      <c r="G760" s="1">
        <f>DATE(C760, CHOOSE(MATCH(UPPER(B760), {"ENERO","FEBRERO","MARZO","ABRIL","MAYO","JUNIO","JULIO","AGOSTO","SEPTIEMBRE","OCTUBRE","NOVIEMBRE","DICIEMBRE"}, 0), 1,2,3,4,5,6,7,8,9,10,11,12), A760)</f>
        <v>45105</v>
      </c>
      <c r="H760">
        <v>3.25</v>
      </c>
      <c r="I760">
        <v>56000</v>
      </c>
      <c r="J760" s="1">
        <f t="shared" si="23"/>
        <v>44225</v>
      </c>
      <c r="K760" s="2" t="e">
        <f t="shared" si="22"/>
        <v>#N/A</v>
      </c>
    </row>
    <row r="761" spans="1:11" x14ac:dyDescent="0.25">
      <c r="A761">
        <v>29</v>
      </c>
      <c r="B761" t="s">
        <v>30</v>
      </c>
      <c r="C761">
        <v>2023</v>
      </c>
      <c r="D761">
        <v>25.375</v>
      </c>
      <c r="E761" t="s">
        <v>9</v>
      </c>
      <c r="F761">
        <v>12.375</v>
      </c>
      <c r="G761" s="1">
        <f>DATE(C761, CHOOSE(MATCH(UPPER(B761), {"ENERO","FEBRERO","MARZO","ABRIL","MAYO","JUNIO","JULIO","AGOSTO","SEPTIEMBRE","OCTUBRE","NOVIEMBRE","DICIEMBRE"}, 0), 1,2,3,4,5,6,7,8,9,10,11,12), A761)</f>
        <v>45106</v>
      </c>
      <c r="H761">
        <v>13</v>
      </c>
      <c r="I761">
        <v>56000</v>
      </c>
      <c r="J761" s="1">
        <f t="shared" si="23"/>
        <v>44226</v>
      </c>
      <c r="K761" s="2" t="e">
        <f t="shared" si="22"/>
        <v>#N/A</v>
      </c>
    </row>
    <row r="762" spans="1:11" x14ac:dyDescent="0.25">
      <c r="A762">
        <v>30</v>
      </c>
      <c r="B762" t="s">
        <v>30</v>
      </c>
      <c r="C762">
        <v>2023</v>
      </c>
      <c r="D762">
        <v>12.375</v>
      </c>
      <c r="E762">
        <v>40</v>
      </c>
      <c r="F762">
        <v>42.25</v>
      </c>
      <c r="G762" s="1">
        <f>DATE(C762, CHOOSE(MATCH(UPPER(B762), {"ENERO","FEBRERO","MARZO","ABRIL","MAYO","JUNIO","JULIO","AGOSTO","SEPTIEMBRE","OCTUBRE","NOVIEMBRE","DICIEMBRE"}, 0), 1,2,3,4,5,6,7,8,9,10,11,12), A762)</f>
        <v>45107</v>
      </c>
      <c r="H762">
        <v>10.125</v>
      </c>
      <c r="I762">
        <v>56000</v>
      </c>
      <c r="J762" s="1">
        <f t="shared" si="23"/>
        <v>44227</v>
      </c>
      <c r="K762" s="2" t="e">
        <f t="shared" si="22"/>
        <v>#N/A</v>
      </c>
    </row>
    <row r="763" spans="1:11" x14ac:dyDescent="0.25">
      <c r="A763">
        <v>31</v>
      </c>
      <c r="B763" t="s">
        <v>30</v>
      </c>
      <c r="C763">
        <v>2023</v>
      </c>
      <c r="D763">
        <v>42.25</v>
      </c>
      <c r="E763" t="s">
        <v>9</v>
      </c>
      <c r="F763" t="s">
        <v>9</v>
      </c>
      <c r="G763" s="1">
        <f>DATE(C763, CHOOSE(MATCH(UPPER(B763), {"ENERO","FEBRERO","MARZO","ABRIL","MAYO","JUNIO","JULIO","AGOSTO","SEPTIEMBRE","OCTUBRE","NOVIEMBRE","DICIEMBRE"}, 0), 1,2,3,4,5,6,7,8,9,10,11,12), A763)</f>
        <v>45108</v>
      </c>
      <c r="H763">
        <v>42.25</v>
      </c>
      <c r="I763">
        <v>56000</v>
      </c>
      <c r="J763" s="1">
        <f t="shared" si="23"/>
        <v>44228</v>
      </c>
      <c r="K763" s="2" t="e">
        <f t="shared" si="22"/>
        <v>#N/A</v>
      </c>
    </row>
    <row r="764" spans="1:11" x14ac:dyDescent="0.25">
      <c r="A764">
        <v>1</v>
      </c>
      <c r="B764" t="s">
        <v>31</v>
      </c>
      <c r="C764">
        <v>2023</v>
      </c>
      <c r="D764">
        <v>42.25</v>
      </c>
      <c r="E764">
        <v>25</v>
      </c>
      <c r="F764">
        <v>52.5</v>
      </c>
      <c r="G764" s="1">
        <f>DATE(C764, CHOOSE(MATCH(UPPER(B764), {"ENERO","FEBRERO","MARZO","ABRIL","MAYO","JUNIO","JULIO","AGOSTO","SEPTIEMBRE","OCTUBRE","NOVIEMBRE","DICIEMBRE"}, 0), 1,2,3,4,5,6,7,8,9,10,11,12), A764)</f>
        <v>45108</v>
      </c>
      <c r="H764">
        <v>14.75</v>
      </c>
      <c r="I764">
        <v>56000</v>
      </c>
      <c r="J764" s="1">
        <f t="shared" si="23"/>
        <v>44229</v>
      </c>
      <c r="K764" s="2" t="e">
        <f t="shared" si="22"/>
        <v>#N/A</v>
      </c>
    </row>
    <row r="765" spans="1:11" x14ac:dyDescent="0.25">
      <c r="A765">
        <v>2</v>
      </c>
      <c r="B765" t="s">
        <v>31</v>
      </c>
      <c r="C765">
        <v>2023</v>
      </c>
      <c r="D765">
        <v>52.5</v>
      </c>
      <c r="E765" t="s">
        <v>9</v>
      </c>
      <c r="F765">
        <v>38.625</v>
      </c>
      <c r="G765" s="1">
        <f>DATE(C765, CHOOSE(MATCH(UPPER(B765), {"ENERO","FEBRERO","MARZO","ABRIL","MAYO","JUNIO","JULIO","AGOSTO","SEPTIEMBRE","OCTUBRE","NOVIEMBRE","DICIEMBRE"}, 0), 1,2,3,4,5,6,7,8,9,10,11,12), A765)</f>
        <v>45109</v>
      </c>
      <c r="H765">
        <v>13.875</v>
      </c>
      <c r="I765">
        <v>56000</v>
      </c>
      <c r="J765" s="1">
        <f t="shared" si="23"/>
        <v>44230</v>
      </c>
      <c r="K765" s="2" t="e">
        <f t="shared" si="22"/>
        <v>#N/A</v>
      </c>
    </row>
    <row r="766" spans="1:11" x14ac:dyDescent="0.25">
      <c r="A766">
        <v>3</v>
      </c>
      <c r="B766" t="s">
        <v>31</v>
      </c>
      <c r="C766">
        <v>2023</v>
      </c>
      <c r="D766">
        <v>38.625</v>
      </c>
      <c r="E766" t="s">
        <v>9</v>
      </c>
      <c r="F766">
        <v>23.875</v>
      </c>
      <c r="G766" s="1">
        <f>DATE(C766, CHOOSE(MATCH(UPPER(B766), {"ENERO","FEBRERO","MARZO","ABRIL","MAYO","JUNIO","JULIO","AGOSTO","SEPTIEMBRE","OCTUBRE","NOVIEMBRE","DICIEMBRE"}, 0), 1,2,3,4,5,6,7,8,9,10,11,12), A766)</f>
        <v>45110</v>
      </c>
      <c r="H766">
        <v>14.75</v>
      </c>
      <c r="I766">
        <v>56000</v>
      </c>
      <c r="J766" s="1">
        <f t="shared" si="23"/>
        <v>44231</v>
      </c>
      <c r="K766" s="2" t="e">
        <f t="shared" si="22"/>
        <v>#N/A</v>
      </c>
    </row>
    <row r="767" spans="1:11" x14ac:dyDescent="0.25">
      <c r="A767">
        <v>4</v>
      </c>
      <c r="B767" t="s">
        <v>31</v>
      </c>
      <c r="C767">
        <v>2023</v>
      </c>
      <c r="D767">
        <v>23.875</v>
      </c>
      <c r="E767" t="s">
        <v>9</v>
      </c>
      <c r="F767">
        <v>12.375</v>
      </c>
      <c r="G767" s="1">
        <f>DATE(C767, CHOOSE(MATCH(UPPER(B767), {"ENERO","FEBRERO","MARZO","ABRIL","MAYO","JUNIO","JULIO","AGOSTO","SEPTIEMBRE","OCTUBRE","NOVIEMBRE","DICIEMBRE"}, 0), 1,2,3,4,5,6,7,8,9,10,11,12), A767)</f>
        <v>45111</v>
      </c>
      <c r="H767">
        <v>11.5</v>
      </c>
      <c r="I767">
        <v>56000</v>
      </c>
      <c r="J767" s="1">
        <f t="shared" si="23"/>
        <v>44232</v>
      </c>
      <c r="K767" s="2" t="e">
        <f t="shared" si="22"/>
        <v>#N/A</v>
      </c>
    </row>
    <row r="768" spans="1:11" x14ac:dyDescent="0.25">
      <c r="A768">
        <v>5</v>
      </c>
      <c r="B768" t="s">
        <v>31</v>
      </c>
      <c r="C768">
        <v>2023</v>
      </c>
      <c r="D768">
        <v>12.375</v>
      </c>
      <c r="E768" t="s">
        <v>9</v>
      </c>
      <c r="F768">
        <v>5.5</v>
      </c>
      <c r="G768" s="1">
        <f>DATE(C768, CHOOSE(MATCH(UPPER(B768), {"ENERO","FEBRERO","MARZO","ABRIL","MAYO","JUNIO","JULIO","AGOSTO","SEPTIEMBRE","OCTUBRE","NOVIEMBRE","DICIEMBRE"}, 0), 1,2,3,4,5,6,7,8,9,10,11,12), A768)</f>
        <v>45112</v>
      </c>
      <c r="H768">
        <v>6.875</v>
      </c>
      <c r="I768">
        <v>56000</v>
      </c>
      <c r="J768" s="1">
        <f t="shared" si="23"/>
        <v>44233</v>
      </c>
      <c r="K768" s="2" t="e">
        <f t="shared" si="22"/>
        <v>#N/A</v>
      </c>
    </row>
    <row r="769" spans="1:11" x14ac:dyDescent="0.25">
      <c r="A769">
        <v>6</v>
      </c>
      <c r="B769" t="s">
        <v>31</v>
      </c>
      <c r="C769">
        <v>2023</v>
      </c>
      <c r="D769">
        <v>5.5</v>
      </c>
      <c r="E769">
        <v>40</v>
      </c>
      <c r="F769">
        <v>32.375</v>
      </c>
      <c r="G769" s="1">
        <f>DATE(C769, CHOOSE(MATCH(UPPER(B769), {"ENERO","FEBRERO","MARZO","ABRIL","MAYO","JUNIO","JULIO","AGOSTO","SEPTIEMBRE","OCTUBRE","NOVIEMBRE","DICIEMBRE"}, 0), 1,2,3,4,5,6,7,8,9,10,11,12), A769)</f>
        <v>45113</v>
      </c>
      <c r="H769">
        <v>13.125</v>
      </c>
      <c r="I769">
        <v>56000</v>
      </c>
      <c r="J769" s="1">
        <f t="shared" si="23"/>
        <v>44234</v>
      </c>
      <c r="K769" s="2" t="e">
        <f t="shared" si="22"/>
        <v>#N/A</v>
      </c>
    </row>
    <row r="770" spans="1:11" x14ac:dyDescent="0.25">
      <c r="A770">
        <v>7</v>
      </c>
      <c r="B770" t="s">
        <v>31</v>
      </c>
      <c r="C770">
        <v>2023</v>
      </c>
      <c r="D770">
        <v>32.375</v>
      </c>
      <c r="E770" t="s">
        <v>9</v>
      </c>
      <c r="F770">
        <v>21.5</v>
      </c>
      <c r="G770" s="1">
        <f>DATE(C770, CHOOSE(MATCH(UPPER(B770), {"ENERO","FEBRERO","MARZO","ABRIL","MAYO","JUNIO","JULIO","AGOSTO","SEPTIEMBRE","OCTUBRE","NOVIEMBRE","DICIEMBRE"}, 0), 1,2,3,4,5,6,7,8,9,10,11,12), A770)</f>
        <v>45114</v>
      </c>
      <c r="H770">
        <v>10.875</v>
      </c>
      <c r="I770">
        <v>56000</v>
      </c>
      <c r="J770" s="1">
        <f t="shared" si="23"/>
        <v>44235</v>
      </c>
      <c r="K770" s="2" t="e">
        <f t="shared" si="22"/>
        <v>#N/A</v>
      </c>
    </row>
    <row r="771" spans="1:11" x14ac:dyDescent="0.25">
      <c r="A771">
        <v>8</v>
      </c>
      <c r="B771" t="s">
        <v>31</v>
      </c>
      <c r="C771">
        <v>2023</v>
      </c>
      <c r="D771">
        <v>21.5</v>
      </c>
      <c r="E771" t="s">
        <v>9</v>
      </c>
      <c r="F771">
        <v>3.875</v>
      </c>
      <c r="G771" s="1">
        <f>DATE(C771, CHOOSE(MATCH(UPPER(B771), {"ENERO","FEBRERO","MARZO","ABRIL","MAYO","JUNIO","JULIO","AGOSTO","SEPTIEMBRE","OCTUBRE","NOVIEMBRE","DICIEMBRE"}, 0), 1,2,3,4,5,6,7,8,9,10,11,12), A771)</f>
        <v>45115</v>
      </c>
      <c r="H771">
        <v>17.625</v>
      </c>
      <c r="I771">
        <v>56000</v>
      </c>
      <c r="J771" s="1">
        <f t="shared" si="23"/>
        <v>44236</v>
      </c>
      <c r="K771" s="2" t="e">
        <f t="shared" ref="K771:K834" si="24">VLOOKUP(J771, G:H, 2, FALSE)</f>
        <v>#N/A</v>
      </c>
    </row>
    <row r="772" spans="1:11" x14ac:dyDescent="0.25">
      <c r="A772">
        <v>9</v>
      </c>
      <c r="B772" t="s">
        <v>31</v>
      </c>
      <c r="C772">
        <v>2023</v>
      </c>
      <c r="D772">
        <v>3.875</v>
      </c>
      <c r="E772">
        <v>40</v>
      </c>
      <c r="F772">
        <v>32.75</v>
      </c>
      <c r="G772" s="1">
        <f>DATE(C772, CHOOSE(MATCH(UPPER(B772), {"ENERO","FEBRERO","MARZO","ABRIL","MAYO","JUNIO","JULIO","AGOSTO","SEPTIEMBRE","OCTUBRE","NOVIEMBRE","DICIEMBRE"}, 0), 1,2,3,4,5,6,7,8,9,10,11,12), A772)</f>
        <v>45116</v>
      </c>
      <c r="H772">
        <v>11.125</v>
      </c>
      <c r="I772">
        <v>56000</v>
      </c>
      <c r="J772" s="1">
        <f t="shared" si="23"/>
        <v>44237</v>
      </c>
      <c r="K772" s="2" t="e">
        <f t="shared" si="24"/>
        <v>#N/A</v>
      </c>
    </row>
    <row r="773" spans="1:11" x14ac:dyDescent="0.25">
      <c r="A773">
        <v>10</v>
      </c>
      <c r="B773" t="s">
        <v>31</v>
      </c>
      <c r="C773">
        <v>2023</v>
      </c>
      <c r="D773">
        <v>32.75</v>
      </c>
      <c r="E773" t="s">
        <v>9</v>
      </c>
      <c r="F773">
        <v>25.125</v>
      </c>
      <c r="G773" s="1">
        <f>DATE(C773, CHOOSE(MATCH(UPPER(B773), {"ENERO","FEBRERO","MARZO","ABRIL","MAYO","JUNIO","JULIO","AGOSTO","SEPTIEMBRE","OCTUBRE","NOVIEMBRE","DICIEMBRE"}, 0), 1,2,3,4,5,6,7,8,9,10,11,12), A773)</f>
        <v>45117</v>
      </c>
      <c r="H773">
        <v>7.625</v>
      </c>
      <c r="I773">
        <v>56000</v>
      </c>
      <c r="J773" s="1">
        <f t="shared" ref="J773:J836" si="25">DATE(2019,1,1) + ROW()-1</f>
        <v>44238</v>
      </c>
      <c r="K773" s="2" t="e">
        <f t="shared" si="24"/>
        <v>#N/A</v>
      </c>
    </row>
    <row r="774" spans="1:11" x14ac:dyDescent="0.25">
      <c r="A774">
        <v>11</v>
      </c>
      <c r="B774" t="s">
        <v>31</v>
      </c>
      <c r="C774">
        <v>2023</v>
      </c>
      <c r="D774">
        <v>25.125</v>
      </c>
      <c r="E774" t="s">
        <v>9</v>
      </c>
      <c r="F774">
        <v>15.375</v>
      </c>
      <c r="G774" s="1">
        <f>DATE(C774, CHOOSE(MATCH(UPPER(B774), {"ENERO","FEBRERO","MARZO","ABRIL","MAYO","JUNIO","JULIO","AGOSTO","SEPTIEMBRE","OCTUBRE","NOVIEMBRE","DICIEMBRE"}, 0), 1,2,3,4,5,6,7,8,9,10,11,12), A774)</f>
        <v>45118</v>
      </c>
      <c r="H774">
        <v>9.75</v>
      </c>
      <c r="I774">
        <v>56000</v>
      </c>
      <c r="J774" s="1">
        <f t="shared" si="25"/>
        <v>44239</v>
      </c>
      <c r="K774" s="2" t="e">
        <f t="shared" si="24"/>
        <v>#N/A</v>
      </c>
    </row>
    <row r="775" spans="1:11" x14ac:dyDescent="0.25">
      <c r="A775">
        <v>12</v>
      </c>
      <c r="B775" t="s">
        <v>31</v>
      </c>
      <c r="C775">
        <v>2023</v>
      </c>
      <c r="D775">
        <v>15.375</v>
      </c>
      <c r="E775" t="s">
        <v>9</v>
      </c>
      <c r="F775">
        <v>9.75</v>
      </c>
      <c r="G775" s="1">
        <f>DATE(C775, CHOOSE(MATCH(UPPER(B775), {"ENERO","FEBRERO","MARZO","ABRIL","MAYO","JUNIO","JULIO","AGOSTO","SEPTIEMBRE","OCTUBRE","NOVIEMBRE","DICIEMBRE"}, 0), 1,2,3,4,5,6,7,8,9,10,11,12), A775)</f>
        <v>45119</v>
      </c>
      <c r="H775">
        <v>5.625</v>
      </c>
      <c r="I775">
        <v>56000</v>
      </c>
      <c r="J775" s="1">
        <f t="shared" si="25"/>
        <v>44240</v>
      </c>
      <c r="K775" s="2" t="e">
        <f t="shared" si="24"/>
        <v>#N/A</v>
      </c>
    </row>
    <row r="776" spans="1:11" x14ac:dyDescent="0.25">
      <c r="A776">
        <v>13</v>
      </c>
      <c r="B776" t="s">
        <v>31</v>
      </c>
      <c r="C776">
        <v>2023</v>
      </c>
      <c r="D776">
        <v>9.75</v>
      </c>
      <c r="E776" t="s">
        <v>9</v>
      </c>
      <c r="F776">
        <v>2.625</v>
      </c>
      <c r="G776" s="1">
        <f>DATE(C776, CHOOSE(MATCH(UPPER(B776), {"ENERO","FEBRERO","MARZO","ABRIL","MAYO","JUNIO","JULIO","AGOSTO","SEPTIEMBRE","OCTUBRE","NOVIEMBRE","DICIEMBRE"}, 0), 1,2,3,4,5,6,7,8,9,10,11,12), A776)</f>
        <v>45120</v>
      </c>
      <c r="H776">
        <v>7.125</v>
      </c>
      <c r="I776">
        <v>56000</v>
      </c>
      <c r="J776" s="1">
        <f t="shared" si="25"/>
        <v>44241</v>
      </c>
      <c r="K776" s="2" t="e">
        <f t="shared" si="24"/>
        <v>#N/A</v>
      </c>
    </row>
    <row r="777" spans="1:11" x14ac:dyDescent="0.25">
      <c r="A777">
        <v>14</v>
      </c>
      <c r="B777" t="s">
        <v>31</v>
      </c>
      <c r="C777">
        <v>2023</v>
      </c>
      <c r="D777">
        <v>2.625</v>
      </c>
      <c r="E777">
        <v>40</v>
      </c>
      <c r="F777">
        <v>32.375</v>
      </c>
      <c r="G777" s="1">
        <f>DATE(C777, CHOOSE(MATCH(UPPER(B777), {"ENERO","FEBRERO","MARZO","ABRIL","MAYO","JUNIO","JULIO","AGOSTO","SEPTIEMBRE","OCTUBRE","NOVIEMBRE","DICIEMBRE"}, 0), 1,2,3,4,5,6,7,8,9,10,11,12), A777)</f>
        <v>45121</v>
      </c>
      <c r="H777">
        <v>10.25</v>
      </c>
      <c r="I777">
        <v>56000</v>
      </c>
      <c r="J777" s="1">
        <f t="shared" si="25"/>
        <v>44242</v>
      </c>
      <c r="K777" s="2" t="e">
        <f t="shared" si="24"/>
        <v>#N/A</v>
      </c>
    </row>
    <row r="778" spans="1:11" x14ac:dyDescent="0.25">
      <c r="A778">
        <v>15</v>
      </c>
      <c r="B778" t="s">
        <v>31</v>
      </c>
      <c r="C778">
        <v>2023</v>
      </c>
      <c r="D778">
        <v>32.375</v>
      </c>
      <c r="E778" t="s">
        <v>9</v>
      </c>
      <c r="F778">
        <v>15.5</v>
      </c>
      <c r="G778" s="1">
        <f>DATE(C778, CHOOSE(MATCH(UPPER(B778), {"ENERO","FEBRERO","MARZO","ABRIL","MAYO","JUNIO","JULIO","AGOSTO","SEPTIEMBRE","OCTUBRE","NOVIEMBRE","DICIEMBRE"}, 0), 1,2,3,4,5,6,7,8,9,10,11,12), A778)</f>
        <v>45122</v>
      </c>
      <c r="H778">
        <v>16.875</v>
      </c>
      <c r="I778">
        <v>56000</v>
      </c>
      <c r="J778" s="1">
        <f t="shared" si="25"/>
        <v>44243</v>
      </c>
      <c r="K778" s="2" t="e">
        <f t="shared" si="24"/>
        <v>#N/A</v>
      </c>
    </row>
    <row r="779" spans="1:11" x14ac:dyDescent="0.25">
      <c r="A779">
        <v>16</v>
      </c>
      <c r="B779" t="s">
        <v>31</v>
      </c>
      <c r="C779">
        <v>2023</v>
      </c>
      <c r="D779">
        <v>15.5</v>
      </c>
      <c r="E779">
        <v>40</v>
      </c>
      <c r="F779">
        <v>37.625</v>
      </c>
      <c r="G779" s="1">
        <f>DATE(C779, CHOOSE(MATCH(UPPER(B779), {"ENERO","FEBRERO","MARZO","ABRIL","MAYO","JUNIO","JULIO","AGOSTO","SEPTIEMBRE","OCTUBRE","NOVIEMBRE","DICIEMBRE"}, 0), 1,2,3,4,5,6,7,8,9,10,11,12), A779)</f>
        <v>45123</v>
      </c>
      <c r="H779">
        <v>17.875</v>
      </c>
      <c r="I779">
        <v>56000</v>
      </c>
      <c r="J779" s="1">
        <f t="shared" si="25"/>
        <v>44244</v>
      </c>
      <c r="K779" s="2" t="e">
        <f t="shared" si="24"/>
        <v>#N/A</v>
      </c>
    </row>
    <row r="780" spans="1:11" x14ac:dyDescent="0.25">
      <c r="A780">
        <v>17</v>
      </c>
      <c r="B780" t="s">
        <v>31</v>
      </c>
      <c r="C780">
        <v>2023</v>
      </c>
      <c r="D780">
        <v>37.625</v>
      </c>
      <c r="E780" t="s">
        <v>9</v>
      </c>
      <c r="F780">
        <v>32.5</v>
      </c>
      <c r="G780" s="1">
        <f>DATE(C780, CHOOSE(MATCH(UPPER(B780), {"ENERO","FEBRERO","MARZO","ABRIL","MAYO","JUNIO","JULIO","AGOSTO","SEPTIEMBRE","OCTUBRE","NOVIEMBRE","DICIEMBRE"}, 0), 1,2,3,4,5,6,7,8,9,10,11,12), A780)</f>
        <v>45124</v>
      </c>
      <c r="H780">
        <v>5.125</v>
      </c>
      <c r="I780">
        <v>56000</v>
      </c>
      <c r="J780" s="1">
        <f t="shared" si="25"/>
        <v>44245</v>
      </c>
      <c r="K780" s="2" t="e">
        <f t="shared" si="24"/>
        <v>#N/A</v>
      </c>
    </row>
    <row r="781" spans="1:11" x14ac:dyDescent="0.25">
      <c r="A781">
        <v>18</v>
      </c>
      <c r="B781" t="s">
        <v>31</v>
      </c>
      <c r="C781">
        <v>2023</v>
      </c>
      <c r="D781">
        <v>32.5</v>
      </c>
      <c r="E781" t="s">
        <v>9</v>
      </c>
      <c r="F781">
        <v>26.25</v>
      </c>
      <c r="G781" s="1">
        <f>DATE(C781, CHOOSE(MATCH(UPPER(B781), {"ENERO","FEBRERO","MARZO","ABRIL","MAYO","JUNIO","JULIO","AGOSTO","SEPTIEMBRE","OCTUBRE","NOVIEMBRE","DICIEMBRE"}, 0), 1,2,3,4,5,6,7,8,9,10,11,12), A781)</f>
        <v>45125</v>
      </c>
      <c r="H781">
        <v>6.25</v>
      </c>
      <c r="I781">
        <v>56000</v>
      </c>
      <c r="J781" s="1">
        <f t="shared" si="25"/>
        <v>44246</v>
      </c>
      <c r="K781" s="2" t="e">
        <f t="shared" si="24"/>
        <v>#N/A</v>
      </c>
    </row>
    <row r="782" spans="1:11" x14ac:dyDescent="0.25">
      <c r="A782">
        <v>19</v>
      </c>
      <c r="B782" t="s">
        <v>31</v>
      </c>
      <c r="C782">
        <v>2023</v>
      </c>
      <c r="D782">
        <v>26.25</v>
      </c>
      <c r="E782">
        <v>30</v>
      </c>
      <c r="F782">
        <v>48</v>
      </c>
      <c r="G782" s="1">
        <f>DATE(C782, CHOOSE(MATCH(UPPER(B782), {"ENERO","FEBRERO","MARZO","ABRIL","MAYO","JUNIO","JULIO","AGOSTO","SEPTIEMBRE","OCTUBRE","NOVIEMBRE","DICIEMBRE"}, 0), 1,2,3,4,5,6,7,8,9,10,11,12), A782)</f>
        <v>45126</v>
      </c>
      <c r="H782">
        <v>8.25</v>
      </c>
      <c r="I782">
        <v>56000</v>
      </c>
      <c r="J782" s="1">
        <f t="shared" si="25"/>
        <v>44247</v>
      </c>
      <c r="K782" s="2" t="e">
        <f t="shared" si="24"/>
        <v>#N/A</v>
      </c>
    </row>
    <row r="783" spans="1:11" x14ac:dyDescent="0.25">
      <c r="A783">
        <v>20</v>
      </c>
      <c r="B783" t="s">
        <v>31</v>
      </c>
      <c r="C783">
        <v>2023</v>
      </c>
      <c r="D783">
        <v>48</v>
      </c>
      <c r="E783" t="s">
        <v>9</v>
      </c>
      <c r="F783">
        <v>40.875</v>
      </c>
      <c r="G783" s="1">
        <f>DATE(C783, CHOOSE(MATCH(UPPER(B783), {"ENERO","FEBRERO","MARZO","ABRIL","MAYO","JUNIO","JULIO","AGOSTO","SEPTIEMBRE","OCTUBRE","NOVIEMBRE","DICIEMBRE"}, 0), 1,2,3,4,5,6,7,8,9,10,11,12), A783)</f>
        <v>45127</v>
      </c>
      <c r="H783">
        <v>7.125</v>
      </c>
      <c r="I783">
        <v>56000</v>
      </c>
      <c r="J783" s="1">
        <f t="shared" si="25"/>
        <v>44248</v>
      </c>
      <c r="K783" s="2" t="e">
        <f t="shared" si="24"/>
        <v>#N/A</v>
      </c>
    </row>
    <row r="784" spans="1:11" x14ac:dyDescent="0.25">
      <c r="A784">
        <v>21</v>
      </c>
      <c r="B784" t="s">
        <v>31</v>
      </c>
      <c r="C784">
        <v>2023</v>
      </c>
      <c r="D784">
        <v>40.875</v>
      </c>
      <c r="E784">
        <v>15</v>
      </c>
      <c r="F784">
        <v>48.5</v>
      </c>
      <c r="G784" s="1">
        <f>DATE(C784, CHOOSE(MATCH(UPPER(B784), {"ENERO","FEBRERO","MARZO","ABRIL","MAYO","JUNIO","JULIO","AGOSTO","SEPTIEMBRE","OCTUBRE","NOVIEMBRE","DICIEMBRE"}, 0), 1,2,3,4,5,6,7,8,9,10,11,12), A784)</f>
        <v>45128</v>
      </c>
      <c r="H784">
        <v>7.375</v>
      </c>
      <c r="I784">
        <v>56000</v>
      </c>
      <c r="J784" s="1">
        <f t="shared" si="25"/>
        <v>44249</v>
      </c>
      <c r="K784" s="2" t="e">
        <f t="shared" si="24"/>
        <v>#N/A</v>
      </c>
    </row>
    <row r="785" spans="1:11" x14ac:dyDescent="0.25">
      <c r="A785">
        <v>22</v>
      </c>
      <c r="B785" t="s">
        <v>31</v>
      </c>
      <c r="C785">
        <v>2023</v>
      </c>
      <c r="D785">
        <v>48.5</v>
      </c>
      <c r="E785" t="s">
        <v>9</v>
      </c>
      <c r="F785">
        <v>35</v>
      </c>
      <c r="G785" s="1">
        <f>DATE(C785, CHOOSE(MATCH(UPPER(B785), {"ENERO","FEBRERO","MARZO","ABRIL","MAYO","JUNIO","JULIO","AGOSTO","SEPTIEMBRE","OCTUBRE","NOVIEMBRE","DICIEMBRE"}, 0), 1,2,3,4,5,6,7,8,9,10,11,12), A785)</f>
        <v>45129</v>
      </c>
      <c r="H785">
        <v>13.5</v>
      </c>
      <c r="I785">
        <v>56000</v>
      </c>
      <c r="J785" s="1">
        <f t="shared" si="25"/>
        <v>44250</v>
      </c>
      <c r="K785" s="2" t="e">
        <f t="shared" si="24"/>
        <v>#N/A</v>
      </c>
    </row>
    <row r="786" spans="1:11" x14ac:dyDescent="0.25">
      <c r="A786">
        <v>23</v>
      </c>
      <c r="B786" t="s">
        <v>31</v>
      </c>
      <c r="C786">
        <v>2023</v>
      </c>
      <c r="D786">
        <v>35</v>
      </c>
      <c r="E786" t="s">
        <v>9</v>
      </c>
      <c r="F786">
        <v>22.625</v>
      </c>
      <c r="G786" s="1">
        <f>DATE(C786, CHOOSE(MATCH(UPPER(B786), {"ENERO","FEBRERO","MARZO","ABRIL","MAYO","JUNIO","JULIO","AGOSTO","SEPTIEMBRE","OCTUBRE","NOVIEMBRE","DICIEMBRE"}, 0), 1,2,3,4,5,6,7,8,9,10,11,12), A786)</f>
        <v>45130</v>
      </c>
      <c r="H786">
        <v>12.375</v>
      </c>
      <c r="I786">
        <v>56000</v>
      </c>
      <c r="J786" s="1">
        <f t="shared" si="25"/>
        <v>44251</v>
      </c>
      <c r="K786" s="2" t="e">
        <f t="shared" si="24"/>
        <v>#N/A</v>
      </c>
    </row>
    <row r="787" spans="1:11" x14ac:dyDescent="0.25">
      <c r="A787">
        <v>24</v>
      </c>
      <c r="B787" t="s">
        <v>31</v>
      </c>
      <c r="C787">
        <v>2023</v>
      </c>
      <c r="D787">
        <v>22.625</v>
      </c>
      <c r="E787" t="s">
        <v>9</v>
      </c>
      <c r="F787">
        <v>16.375</v>
      </c>
      <c r="G787" s="1">
        <f>DATE(C787, CHOOSE(MATCH(UPPER(B787), {"ENERO","FEBRERO","MARZO","ABRIL","MAYO","JUNIO","JULIO","AGOSTO","SEPTIEMBRE","OCTUBRE","NOVIEMBRE","DICIEMBRE"}, 0), 1,2,3,4,5,6,7,8,9,10,11,12), A787)</f>
        <v>45131</v>
      </c>
      <c r="H787">
        <v>6.25</v>
      </c>
      <c r="I787">
        <v>56000</v>
      </c>
      <c r="J787" s="1">
        <f t="shared" si="25"/>
        <v>44252</v>
      </c>
      <c r="K787" s="2" t="e">
        <f t="shared" si="24"/>
        <v>#N/A</v>
      </c>
    </row>
    <row r="788" spans="1:11" x14ac:dyDescent="0.25">
      <c r="A788">
        <v>25</v>
      </c>
      <c r="B788" t="s">
        <v>31</v>
      </c>
      <c r="C788">
        <v>2023</v>
      </c>
      <c r="D788">
        <v>16.375</v>
      </c>
      <c r="E788" t="s">
        <v>9</v>
      </c>
      <c r="F788">
        <v>7</v>
      </c>
      <c r="G788" s="1">
        <f>DATE(C788, CHOOSE(MATCH(UPPER(B788), {"ENERO","FEBRERO","MARZO","ABRIL","MAYO","JUNIO","JULIO","AGOSTO","SEPTIEMBRE","OCTUBRE","NOVIEMBRE","DICIEMBRE"}, 0), 1,2,3,4,5,6,7,8,9,10,11,12), A788)</f>
        <v>45132</v>
      </c>
      <c r="H788">
        <v>9.375</v>
      </c>
      <c r="I788">
        <v>56000</v>
      </c>
      <c r="J788" s="1">
        <f t="shared" si="25"/>
        <v>44253</v>
      </c>
      <c r="K788" s="2" t="e">
        <f t="shared" si="24"/>
        <v>#N/A</v>
      </c>
    </row>
    <row r="789" spans="1:11" x14ac:dyDescent="0.25">
      <c r="A789">
        <v>26</v>
      </c>
      <c r="B789" t="s">
        <v>31</v>
      </c>
      <c r="C789">
        <v>2023</v>
      </c>
      <c r="D789">
        <v>7</v>
      </c>
      <c r="E789">
        <v>30</v>
      </c>
      <c r="F789">
        <v>31.125</v>
      </c>
      <c r="G789" s="1">
        <f>DATE(C789, CHOOSE(MATCH(UPPER(B789), {"ENERO","FEBRERO","MARZO","ABRIL","MAYO","JUNIO","JULIO","AGOSTO","SEPTIEMBRE","OCTUBRE","NOVIEMBRE","DICIEMBRE"}, 0), 1,2,3,4,5,6,7,8,9,10,11,12), A789)</f>
        <v>45133</v>
      </c>
      <c r="H789">
        <v>5.875</v>
      </c>
      <c r="I789">
        <v>56000</v>
      </c>
      <c r="J789" s="1">
        <f t="shared" si="25"/>
        <v>44254</v>
      </c>
      <c r="K789" s="2" t="e">
        <f t="shared" si="24"/>
        <v>#N/A</v>
      </c>
    </row>
    <row r="790" spans="1:11" x14ac:dyDescent="0.25">
      <c r="A790">
        <v>27</v>
      </c>
      <c r="B790" t="s">
        <v>31</v>
      </c>
      <c r="C790">
        <v>2023</v>
      </c>
      <c r="D790">
        <v>31.125</v>
      </c>
      <c r="E790" t="s">
        <v>9</v>
      </c>
      <c r="F790">
        <v>24.375</v>
      </c>
      <c r="G790" s="1">
        <f>DATE(C790, CHOOSE(MATCH(UPPER(B790), {"ENERO","FEBRERO","MARZO","ABRIL","MAYO","JUNIO","JULIO","AGOSTO","SEPTIEMBRE","OCTUBRE","NOVIEMBRE","DICIEMBRE"}, 0), 1,2,3,4,5,6,7,8,9,10,11,12), A790)</f>
        <v>45134</v>
      </c>
      <c r="H790">
        <v>6.75</v>
      </c>
      <c r="I790">
        <v>56000</v>
      </c>
      <c r="J790" s="1">
        <f t="shared" si="25"/>
        <v>44255</v>
      </c>
      <c r="K790" s="2" t="e">
        <f t="shared" si="24"/>
        <v>#N/A</v>
      </c>
    </row>
    <row r="791" spans="1:11" x14ac:dyDescent="0.25">
      <c r="A791">
        <v>28</v>
      </c>
      <c r="B791" t="s">
        <v>31</v>
      </c>
      <c r="C791">
        <v>2023</v>
      </c>
      <c r="D791">
        <v>24.375</v>
      </c>
      <c r="E791" t="s">
        <v>9</v>
      </c>
      <c r="F791">
        <v>16.125</v>
      </c>
      <c r="G791" s="1">
        <f>DATE(C791, CHOOSE(MATCH(UPPER(B791), {"ENERO","FEBRERO","MARZO","ABRIL","MAYO","JUNIO","JULIO","AGOSTO","SEPTIEMBRE","OCTUBRE","NOVIEMBRE","DICIEMBRE"}, 0), 1,2,3,4,5,6,7,8,9,10,11,12), A791)</f>
        <v>45135</v>
      </c>
      <c r="H791">
        <v>8.25</v>
      </c>
      <c r="I791">
        <v>56000</v>
      </c>
      <c r="J791" s="1">
        <f t="shared" si="25"/>
        <v>44256</v>
      </c>
      <c r="K791" s="2" t="e">
        <f t="shared" si="24"/>
        <v>#N/A</v>
      </c>
    </row>
    <row r="792" spans="1:11" x14ac:dyDescent="0.25">
      <c r="A792">
        <v>29</v>
      </c>
      <c r="B792" t="s">
        <v>31</v>
      </c>
      <c r="C792">
        <v>2023</v>
      </c>
      <c r="D792">
        <v>16.125</v>
      </c>
      <c r="E792">
        <v>20</v>
      </c>
      <c r="F792">
        <v>21.375</v>
      </c>
      <c r="G792" s="1">
        <f>DATE(C792, CHOOSE(MATCH(UPPER(B792), {"ENERO","FEBRERO","MARZO","ABRIL","MAYO","JUNIO","JULIO","AGOSTO","SEPTIEMBRE","OCTUBRE","NOVIEMBRE","DICIEMBRE"}, 0), 1,2,3,4,5,6,7,8,9,10,11,12), A792)</f>
        <v>45136</v>
      </c>
      <c r="H792">
        <v>14.75</v>
      </c>
      <c r="I792">
        <v>56000</v>
      </c>
      <c r="J792" s="1">
        <f t="shared" si="25"/>
        <v>44257</v>
      </c>
      <c r="K792" s="2" t="e">
        <f t="shared" si="24"/>
        <v>#N/A</v>
      </c>
    </row>
    <row r="793" spans="1:11" x14ac:dyDescent="0.25">
      <c r="A793">
        <v>30</v>
      </c>
      <c r="B793" t="s">
        <v>31</v>
      </c>
      <c r="C793">
        <v>2023</v>
      </c>
      <c r="D793">
        <v>21.375</v>
      </c>
      <c r="E793" t="s">
        <v>9</v>
      </c>
      <c r="F793">
        <v>3</v>
      </c>
      <c r="G793" s="1">
        <f>DATE(C793, CHOOSE(MATCH(UPPER(B793), {"ENERO","FEBRERO","MARZO","ABRIL","MAYO","JUNIO","JULIO","AGOSTO","SEPTIEMBRE","OCTUBRE","NOVIEMBRE","DICIEMBRE"}, 0), 1,2,3,4,5,6,7,8,9,10,11,12), A793)</f>
        <v>45137</v>
      </c>
      <c r="H793">
        <v>18.375</v>
      </c>
      <c r="I793">
        <v>56000</v>
      </c>
      <c r="J793" s="1">
        <f t="shared" si="25"/>
        <v>44258</v>
      </c>
      <c r="K793" s="2" t="e">
        <f t="shared" si="24"/>
        <v>#N/A</v>
      </c>
    </row>
    <row r="794" spans="1:11" x14ac:dyDescent="0.25">
      <c r="A794">
        <v>31</v>
      </c>
      <c r="B794" t="s">
        <v>31</v>
      </c>
      <c r="C794">
        <v>2023</v>
      </c>
      <c r="D794">
        <v>3</v>
      </c>
      <c r="E794">
        <v>40</v>
      </c>
      <c r="F794">
        <v>40</v>
      </c>
      <c r="G794" s="1">
        <f>DATE(C794, CHOOSE(MATCH(UPPER(B794), {"ENERO","FEBRERO","MARZO","ABRIL","MAYO","JUNIO","JULIO","AGOSTO","SEPTIEMBRE","OCTUBRE","NOVIEMBRE","DICIEMBRE"}, 0), 1,2,3,4,5,6,7,8,9,10,11,12), A794)</f>
        <v>45138</v>
      </c>
      <c r="H794">
        <v>3</v>
      </c>
      <c r="I794">
        <v>56000</v>
      </c>
      <c r="J794" s="1">
        <f t="shared" si="25"/>
        <v>44259</v>
      </c>
      <c r="K794" s="2" t="e">
        <f t="shared" si="24"/>
        <v>#N/A</v>
      </c>
    </row>
    <row r="795" spans="1:11" x14ac:dyDescent="0.25">
      <c r="A795">
        <v>1</v>
      </c>
      <c r="B795" t="s">
        <v>32</v>
      </c>
      <c r="C795">
        <v>2023</v>
      </c>
      <c r="D795">
        <v>40</v>
      </c>
      <c r="E795" t="s">
        <v>9</v>
      </c>
      <c r="F795">
        <v>28.5</v>
      </c>
      <c r="G795" s="1">
        <f>DATE(C795, CHOOSE(MATCH(UPPER(B795), {"ENERO","FEBRERO","MARZO","ABRIL","MAYO","JUNIO","JULIO","AGOSTO","SEPTIEMBRE","OCTUBRE","NOVIEMBRE","DICIEMBRE"}, 0), 1,2,3,4,5,6,7,8,9,10,11,12), A795)</f>
        <v>45139</v>
      </c>
      <c r="H795">
        <v>11.5</v>
      </c>
      <c r="I795">
        <v>56000</v>
      </c>
      <c r="J795" s="1">
        <f t="shared" si="25"/>
        <v>44260</v>
      </c>
      <c r="K795" s="2" t="e">
        <f t="shared" si="24"/>
        <v>#N/A</v>
      </c>
    </row>
    <row r="796" spans="1:11" x14ac:dyDescent="0.25">
      <c r="A796">
        <v>2</v>
      </c>
      <c r="B796" t="s">
        <v>32</v>
      </c>
      <c r="C796">
        <v>2023</v>
      </c>
      <c r="D796">
        <v>28.5</v>
      </c>
      <c r="E796">
        <v>20</v>
      </c>
      <c r="F796">
        <v>40.125</v>
      </c>
      <c r="G796" s="1">
        <f>DATE(C796, CHOOSE(MATCH(UPPER(B796), {"ENERO","FEBRERO","MARZO","ABRIL","MAYO","JUNIO","JULIO","AGOSTO","SEPTIEMBRE","OCTUBRE","NOVIEMBRE","DICIEMBRE"}, 0), 1,2,3,4,5,6,7,8,9,10,11,12), A796)</f>
        <v>45140</v>
      </c>
      <c r="H796">
        <v>8.375</v>
      </c>
      <c r="I796">
        <v>56000</v>
      </c>
      <c r="J796" s="1">
        <f t="shared" si="25"/>
        <v>44261</v>
      </c>
      <c r="K796" s="2" t="e">
        <f t="shared" si="24"/>
        <v>#N/A</v>
      </c>
    </row>
    <row r="797" spans="1:11" x14ac:dyDescent="0.25">
      <c r="A797">
        <v>3</v>
      </c>
      <c r="B797" t="s">
        <v>32</v>
      </c>
      <c r="C797">
        <v>2023</v>
      </c>
      <c r="D797">
        <v>40.125</v>
      </c>
      <c r="E797" t="s">
        <v>9</v>
      </c>
      <c r="F797">
        <v>35.375</v>
      </c>
      <c r="G797" s="1">
        <f>DATE(C797, CHOOSE(MATCH(UPPER(B797), {"ENERO","FEBRERO","MARZO","ABRIL","MAYO","JUNIO","JULIO","AGOSTO","SEPTIEMBRE","OCTUBRE","NOVIEMBRE","DICIEMBRE"}, 0), 1,2,3,4,5,6,7,8,9,10,11,12), A797)</f>
        <v>45141</v>
      </c>
      <c r="H797">
        <v>4.75</v>
      </c>
      <c r="I797">
        <v>56000</v>
      </c>
      <c r="J797" s="1">
        <f t="shared" si="25"/>
        <v>44262</v>
      </c>
      <c r="K797" s="2" t="e">
        <f t="shared" si="24"/>
        <v>#N/A</v>
      </c>
    </row>
    <row r="798" spans="1:11" x14ac:dyDescent="0.25">
      <c r="A798">
        <v>4</v>
      </c>
      <c r="B798" t="s">
        <v>32</v>
      </c>
      <c r="C798">
        <v>2023</v>
      </c>
      <c r="D798">
        <v>35.375</v>
      </c>
      <c r="E798" t="s">
        <v>9</v>
      </c>
      <c r="F798">
        <v>24</v>
      </c>
      <c r="G798" s="1">
        <f>DATE(C798, CHOOSE(MATCH(UPPER(B798), {"ENERO","FEBRERO","MARZO","ABRIL","MAYO","JUNIO","JULIO","AGOSTO","SEPTIEMBRE","OCTUBRE","NOVIEMBRE","DICIEMBRE"}, 0), 1,2,3,4,5,6,7,8,9,10,11,12), A798)</f>
        <v>45142</v>
      </c>
      <c r="H798">
        <v>11.375</v>
      </c>
      <c r="I798">
        <v>56000</v>
      </c>
      <c r="J798" s="1">
        <f t="shared" si="25"/>
        <v>44263</v>
      </c>
      <c r="K798" s="2" t="e">
        <f t="shared" si="24"/>
        <v>#N/A</v>
      </c>
    </row>
    <row r="799" spans="1:11" x14ac:dyDescent="0.25">
      <c r="A799">
        <v>5</v>
      </c>
      <c r="B799" t="s">
        <v>32</v>
      </c>
      <c r="C799">
        <v>2023</v>
      </c>
      <c r="D799">
        <v>24</v>
      </c>
      <c r="E799">
        <v>80</v>
      </c>
      <c r="F799">
        <v>92.25</v>
      </c>
      <c r="G799" s="1">
        <f>DATE(C799, CHOOSE(MATCH(UPPER(B799), {"ENERO","FEBRERO","MARZO","ABRIL","MAYO","JUNIO","JULIO","AGOSTO","SEPTIEMBRE","OCTUBRE","NOVIEMBRE","DICIEMBRE"}, 0), 1,2,3,4,5,6,7,8,9,10,11,12), A799)</f>
        <v>45143</v>
      </c>
      <c r="H799">
        <v>11.75</v>
      </c>
      <c r="I799">
        <v>56000</v>
      </c>
      <c r="J799" s="1">
        <f t="shared" si="25"/>
        <v>44264</v>
      </c>
      <c r="K799" s="2" t="e">
        <f t="shared" si="24"/>
        <v>#N/A</v>
      </c>
    </row>
    <row r="800" spans="1:11" x14ac:dyDescent="0.25">
      <c r="A800">
        <v>6</v>
      </c>
      <c r="B800" t="s">
        <v>32</v>
      </c>
      <c r="C800">
        <v>2023</v>
      </c>
      <c r="D800">
        <v>92.25</v>
      </c>
      <c r="E800" t="s">
        <v>9</v>
      </c>
      <c r="F800">
        <v>76.125</v>
      </c>
      <c r="G800" s="1">
        <f>DATE(C800, CHOOSE(MATCH(UPPER(B800), {"ENERO","FEBRERO","MARZO","ABRIL","MAYO","JUNIO","JULIO","AGOSTO","SEPTIEMBRE","OCTUBRE","NOVIEMBRE","DICIEMBRE"}, 0), 1,2,3,4,5,6,7,8,9,10,11,12), A800)</f>
        <v>45144</v>
      </c>
      <c r="H800">
        <v>16.125</v>
      </c>
      <c r="I800">
        <v>56000</v>
      </c>
      <c r="J800" s="1">
        <f t="shared" si="25"/>
        <v>44265</v>
      </c>
      <c r="K800" s="2" t="e">
        <f t="shared" si="24"/>
        <v>#N/A</v>
      </c>
    </row>
    <row r="801" spans="1:11" x14ac:dyDescent="0.25">
      <c r="A801">
        <v>7</v>
      </c>
      <c r="B801" t="s">
        <v>32</v>
      </c>
      <c r="C801">
        <v>2023</v>
      </c>
      <c r="D801">
        <v>76.125</v>
      </c>
      <c r="E801" t="s">
        <v>9</v>
      </c>
      <c r="F801">
        <v>57.875</v>
      </c>
      <c r="G801" s="1">
        <f>DATE(C801, CHOOSE(MATCH(UPPER(B801), {"ENERO","FEBRERO","MARZO","ABRIL","MAYO","JUNIO","JULIO","AGOSTO","SEPTIEMBRE","OCTUBRE","NOVIEMBRE","DICIEMBRE"}, 0), 1,2,3,4,5,6,7,8,9,10,11,12), A801)</f>
        <v>45145</v>
      </c>
      <c r="H801">
        <v>18.25</v>
      </c>
      <c r="I801">
        <v>56000</v>
      </c>
      <c r="J801" s="1">
        <f t="shared" si="25"/>
        <v>44266</v>
      </c>
      <c r="K801" s="2" t="e">
        <f t="shared" si="24"/>
        <v>#N/A</v>
      </c>
    </row>
    <row r="802" spans="1:11" x14ac:dyDescent="0.25">
      <c r="A802">
        <v>8</v>
      </c>
      <c r="B802" t="s">
        <v>32</v>
      </c>
      <c r="C802">
        <v>2023</v>
      </c>
      <c r="D802">
        <v>57.875</v>
      </c>
      <c r="E802">
        <v>17.75</v>
      </c>
      <c r="F802">
        <v>69.375</v>
      </c>
      <c r="G802" s="1">
        <f>DATE(C802, CHOOSE(MATCH(UPPER(B802), {"ENERO","FEBRERO","MARZO","ABRIL","MAYO","JUNIO","JULIO","AGOSTO","SEPTIEMBRE","OCTUBRE","NOVIEMBRE","DICIEMBRE"}, 0), 1,2,3,4,5,6,7,8,9,10,11,12), A802)</f>
        <v>45146</v>
      </c>
      <c r="H802">
        <v>6.25</v>
      </c>
      <c r="I802">
        <v>56000</v>
      </c>
      <c r="J802" s="1">
        <f t="shared" si="25"/>
        <v>44267</v>
      </c>
      <c r="K802" s="2" t="e">
        <f t="shared" si="24"/>
        <v>#N/A</v>
      </c>
    </row>
    <row r="803" spans="1:11" x14ac:dyDescent="0.25">
      <c r="A803">
        <v>9</v>
      </c>
      <c r="B803" t="s">
        <v>32</v>
      </c>
      <c r="C803">
        <v>2023</v>
      </c>
      <c r="D803">
        <v>69.375</v>
      </c>
      <c r="E803" t="s">
        <v>9</v>
      </c>
      <c r="F803">
        <v>63</v>
      </c>
      <c r="G803" s="1">
        <f>DATE(C803, CHOOSE(MATCH(UPPER(B803), {"ENERO","FEBRERO","MARZO","ABRIL","MAYO","JUNIO","JULIO","AGOSTO","SEPTIEMBRE","OCTUBRE","NOVIEMBRE","DICIEMBRE"}, 0), 1,2,3,4,5,6,7,8,9,10,11,12), A803)</f>
        <v>45147</v>
      </c>
      <c r="H803">
        <v>6.375</v>
      </c>
      <c r="I803">
        <v>56000</v>
      </c>
      <c r="J803" s="1">
        <f t="shared" si="25"/>
        <v>44268</v>
      </c>
      <c r="K803" s="2" t="e">
        <f t="shared" si="24"/>
        <v>#N/A</v>
      </c>
    </row>
    <row r="804" spans="1:11" x14ac:dyDescent="0.25">
      <c r="A804">
        <v>10</v>
      </c>
      <c r="B804" t="s">
        <v>32</v>
      </c>
      <c r="C804">
        <v>2023</v>
      </c>
      <c r="D804">
        <v>63</v>
      </c>
      <c r="E804" t="s">
        <v>9</v>
      </c>
      <c r="F804">
        <v>54.25</v>
      </c>
      <c r="G804" s="1">
        <f>DATE(C804, CHOOSE(MATCH(UPPER(B804), {"ENERO","FEBRERO","MARZO","ABRIL","MAYO","JUNIO","JULIO","AGOSTO","SEPTIEMBRE","OCTUBRE","NOVIEMBRE","DICIEMBRE"}, 0), 1,2,3,4,5,6,7,8,9,10,11,12), A804)</f>
        <v>45148</v>
      </c>
      <c r="H804">
        <v>8.75</v>
      </c>
      <c r="I804">
        <v>56000</v>
      </c>
      <c r="J804" s="1">
        <f t="shared" si="25"/>
        <v>44269</v>
      </c>
      <c r="K804" s="2" t="e">
        <f t="shared" si="24"/>
        <v>#N/A</v>
      </c>
    </row>
    <row r="805" spans="1:11" x14ac:dyDescent="0.25">
      <c r="A805">
        <v>11</v>
      </c>
      <c r="B805" t="s">
        <v>32</v>
      </c>
      <c r="C805">
        <v>2023</v>
      </c>
      <c r="D805">
        <v>54.25</v>
      </c>
      <c r="E805" t="s">
        <v>9</v>
      </c>
      <c r="F805">
        <v>46</v>
      </c>
      <c r="G805" s="1">
        <f>DATE(C805, CHOOSE(MATCH(UPPER(B805), {"ENERO","FEBRERO","MARZO","ABRIL","MAYO","JUNIO","JULIO","AGOSTO","SEPTIEMBRE","OCTUBRE","NOVIEMBRE","DICIEMBRE"}, 0), 1,2,3,4,5,6,7,8,9,10,11,12), A805)</f>
        <v>45149</v>
      </c>
      <c r="H805">
        <v>8.25</v>
      </c>
      <c r="I805">
        <v>56000</v>
      </c>
      <c r="J805" s="1">
        <f t="shared" si="25"/>
        <v>44270</v>
      </c>
      <c r="K805" s="2" t="e">
        <f t="shared" si="24"/>
        <v>#N/A</v>
      </c>
    </row>
    <row r="806" spans="1:11" x14ac:dyDescent="0.25">
      <c r="A806">
        <v>12</v>
      </c>
      <c r="B806" t="s">
        <v>32</v>
      </c>
      <c r="C806">
        <v>2023</v>
      </c>
      <c r="D806">
        <v>46</v>
      </c>
      <c r="E806" t="s">
        <v>9</v>
      </c>
      <c r="F806">
        <v>31.25</v>
      </c>
      <c r="G806" s="1">
        <f>DATE(C806, CHOOSE(MATCH(UPPER(B806), {"ENERO","FEBRERO","MARZO","ABRIL","MAYO","JUNIO","JULIO","AGOSTO","SEPTIEMBRE","OCTUBRE","NOVIEMBRE","DICIEMBRE"}, 0), 1,2,3,4,5,6,7,8,9,10,11,12), A806)</f>
        <v>45150</v>
      </c>
      <c r="H806">
        <v>14.75</v>
      </c>
      <c r="I806">
        <v>56000</v>
      </c>
      <c r="J806" s="1">
        <f t="shared" si="25"/>
        <v>44271</v>
      </c>
      <c r="K806" s="2" t="e">
        <f t="shared" si="24"/>
        <v>#N/A</v>
      </c>
    </row>
    <row r="807" spans="1:11" x14ac:dyDescent="0.25">
      <c r="A807">
        <v>13</v>
      </c>
      <c r="B807" t="s">
        <v>32</v>
      </c>
      <c r="C807">
        <v>2023</v>
      </c>
      <c r="D807">
        <v>31.25</v>
      </c>
      <c r="E807" t="s">
        <v>9</v>
      </c>
      <c r="F807">
        <v>19.875</v>
      </c>
      <c r="G807" s="1">
        <f>DATE(C807, CHOOSE(MATCH(UPPER(B807), {"ENERO","FEBRERO","MARZO","ABRIL","MAYO","JUNIO","JULIO","AGOSTO","SEPTIEMBRE","OCTUBRE","NOVIEMBRE","DICIEMBRE"}, 0), 1,2,3,4,5,6,7,8,9,10,11,12), A807)</f>
        <v>45151</v>
      </c>
      <c r="H807">
        <v>11.375</v>
      </c>
      <c r="I807">
        <v>56000</v>
      </c>
      <c r="J807" s="1">
        <f t="shared" si="25"/>
        <v>44272</v>
      </c>
      <c r="K807" s="2" t="e">
        <f t="shared" si="24"/>
        <v>#N/A</v>
      </c>
    </row>
    <row r="808" spans="1:11" x14ac:dyDescent="0.25">
      <c r="A808">
        <v>14</v>
      </c>
      <c r="B808" t="s">
        <v>32</v>
      </c>
      <c r="C808">
        <v>2023</v>
      </c>
      <c r="D808">
        <v>19.875</v>
      </c>
      <c r="E808" t="s">
        <v>9</v>
      </c>
      <c r="F808">
        <v>14.25</v>
      </c>
      <c r="G808" s="1">
        <f>DATE(C808, CHOOSE(MATCH(UPPER(B808), {"ENERO","FEBRERO","MARZO","ABRIL","MAYO","JUNIO","JULIO","AGOSTO","SEPTIEMBRE","OCTUBRE","NOVIEMBRE","DICIEMBRE"}, 0), 1,2,3,4,5,6,7,8,9,10,11,12), A808)</f>
        <v>45152</v>
      </c>
      <c r="H808">
        <v>5.625</v>
      </c>
      <c r="I808">
        <v>56000</v>
      </c>
      <c r="J808" s="1">
        <f t="shared" si="25"/>
        <v>44273</v>
      </c>
      <c r="K808" s="2" t="e">
        <f t="shared" si="24"/>
        <v>#N/A</v>
      </c>
    </row>
    <row r="809" spans="1:11" x14ac:dyDescent="0.25">
      <c r="A809">
        <v>15</v>
      </c>
      <c r="B809" t="s">
        <v>32</v>
      </c>
      <c r="C809">
        <v>2023</v>
      </c>
      <c r="D809">
        <v>14.25</v>
      </c>
      <c r="E809">
        <v>24</v>
      </c>
      <c r="F809">
        <v>35.5</v>
      </c>
      <c r="G809" s="1">
        <f>DATE(C809, CHOOSE(MATCH(UPPER(B809), {"ENERO","FEBRERO","MARZO","ABRIL","MAYO","JUNIO","JULIO","AGOSTO","SEPTIEMBRE","OCTUBRE","NOVIEMBRE","DICIEMBRE"}, 0), 1,2,3,4,5,6,7,8,9,10,11,12), A809)</f>
        <v>45153</v>
      </c>
      <c r="H809">
        <v>2.75</v>
      </c>
      <c r="I809">
        <v>56000</v>
      </c>
      <c r="J809" s="1">
        <f t="shared" si="25"/>
        <v>44274</v>
      </c>
      <c r="K809" s="2" t="e">
        <f t="shared" si="24"/>
        <v>#N/A</v>
      </c>
    </row>
    <row r="810" spans="1:11" x14ac:dyDescent="0.25">
      <c r="A810">
        <v>16</v>
      </c>
      <c r="B810" t="s">
        <v>32</v>
      </c>
      <c r="C810">
        <v>2023</v>
      </c>
      <c r="D810">
        <v>35.5</v>
      </c>
      <c r="E810" t="s">
        <v>9</v>
      </c>
      <c r="F810">
        <v>31</v>
      </c>
      <c r="G810" s="1">
        <f>DATE(C810, CHOOSE(MATCH(UPPER(B810), {"ENERO","FEBRERO","MARZO","ABRIL","MAYO","JUNIO","JULIO","AGOSTO","SEPTIEMBRE","OCTUBRE","NOVIEMBRE","DICIEMBRE"}, 0), 1,2,3,4,5,6,7,8,9,10,11,12), A810)</f>
        <v>45154</v>
      </c>
      <c r="H810">
        <v>4.5</v>
      </c>
      <c r="I810">
        <v>56000</v>
      </c>
      <c r="J810" s="1">
        <f t="shared" si="25"/>
        <v>44275</v>
      </c>
      <c r="K810" s="2" t="e">
        <f t="shared" si="24"/>
        <v>#N/A</v>
      </c>
    </row>
    <row r="811" spans="1:11" x14ac:dyDescent="0.25">
      <c r="A811">
        <v>17</v>
      </c>
      <c r="B811" t="s">
        <v>32</v>
      </c>
      <c r="C811">
        <v>2023</v>
      </c>
      <c r="D811">
        <v>31</v>
      </c>
      <c r="E811" t="s">
        <v>9</v>
      </c>
      <c r="F811">
        <v>21</v>
      </c>
      <c r="G811" s="1">
        <f>DATE(C811, CHOOSE(MATCH(UPPER(B811), {"ENERO","FEBRERO","MARZO","ABRIL","MAYO","JUNIO","JULIO","AGOSTO","SEPTIEMBRE","OCTUBRE","NOVIEMBRE","DICIEMBRE"}, 0), 1,2,3,4,5,6,7,8,9,10,11,12), A811)</f>
        <v>45155</v>
      </c>
      <c r="H811">
        <v>10</v>
      </c>
      <c r="I811">
        <v>56000</v>
      </c>
      <c r="J811" s="1">
        <f t="shared" si="25"/>
        <v>44276</v>
      </c>
      <c r="K811" s="2" t="e">
        <f t="shared" si="24"/>
        <v>#N/A</v>
      </c>
    </row>
    <row r="812" spans="1:11" x14ac:dyDescent="0.25">
      <c r="A812">
        <v>18</v>
      </c>
      <c r="B812" t="s">
        <v>32</v>
      </c>
      <c r="C812">
        <v>2023</v>
      </c>
      <c r="D812">
        <v>21</v>
      </c>
      <c r="E812" t="s">
        <v>9</v>
      </c>
      <c r="F812">
        <v>12.625</v>
      </c>
      <c r="G812" s="1">
        <f>DATE(C812, CHOOSE(MATCH(UPPER(B812), {"ENERO","FEBRERO","MARZO","ABRIL","MAYO","JUNIO","JULIO","AGOSTO","SEPTIEMBRE","OCTUBRE","NOVIEMBRE","DICIEMBRE"}, 0), 1,2,3,4,5,6,7,8,9,10,11,12), A812)</f>
        <v>45156</v>
      </c>
      <c r="H812">
        <v>8.375</v>
      </c>
      <c r="I812">
        <v>56000</v>
      </c>
      <c r="J812" s="1">
        <f t="shared" si="25"/>
        <v>44277</v>
      </c>
      <c r="K812" s="2" t="e">
        <f t="shared" si="24"/>
        <v>#N/A</v>
      </c>
    </row>
    <row r="813" spans="1:11" x14ac:dyDescent="0.25">
      <c r="A813">
        <v>19</v>
      </c>
      <c r="B813" t="s">
        <v>32</v>
      </c>
      <c r="C813">
        <v>2023</v>
      </c>
      <c r="D813">
        <v>12.625</v>
      </c>
      <c r="E813">
        <v>50</v>
      </c>
      <c r="F813">
        <v>54.5</v>
      </c>
      <c r="G813" s="1">
        <f>DATE(C813, CHOOSE(MATCH(UPPER(B813), {"ENERO","FEBRERO","MARZO","ABRIL","MAYO","JUNIO","JULIO","AGOSTO","SEPTIEMBRE","OCTUBRE","NOVIEMBRE","DICIEMBRE"}, 0), 1,2,3,4,5,6,7,8,9,10,11,12), A813)</f>
        <v>45157</v>
      </c>
      <c r="H813">
        <v>8.125</v>
      </c>
      <c r="I813">
        <v>56000</v>
      </c>
      <c r="J813" s="1">
        <f t="shared" si="25"/>
        <v>44278</v>
      </c>
      <c r="K813" s="2" t="e">
        <f t="shared" si="24"/>
        <v>#N/A</v>
      </c>
    </row>
    <row r="814" spans="1:11" x14ac:dyDescent="0.25">
      <c r="A814">
        <v>21</v>
      </c>
      <c r="B814" t="s">
        <v>32</v>
      </c>
      <c r="C814">
        <v>2023</v>
      </c>
      <c r="D814">
        <v>41</v>
      </c>
      <c r="E814" t="s">
        <v>9</v>
      </c>
      <c r="F814">
        <v>31.5</v>
      </c>
      <c r="G814" s="1">
        <f>DATE(C814, CHOOSE(MATCH(UPPER(B814), {"ENERO","FEBRERO","MARZO","ABRIL","MAYO","JUNIO","JULIO","AGOSTO","SEPTIEMBRE","OCTUBRE","NOVIEMBRE","DICIEMBRE"}, 0), 1,2,3,4,5,6,7,8,9,10,11,12), A814)</f>
        <v>45159</v>
      </c>
      <c r="H814">
        <v>9.5</v>
      </c>
      <c r="I814">
        <v>56000</v>
      </c>
      <c r="J814" s="1">
        <f t="shared" si="25"/>
        <v>44279</v>
      </c>
      <c r="K814" s="2" t="e">
        <f t="shared" si="24"/>
        <v>#N/A</v>
      </c>
    </row>
    <row r="815" spans="1:11" x14ac:dyDescent="0.25">
      <c r="A815">
        <v>20</v>
      </c>
      <c r="B815" t="s">
        <v>32</v>
      </c>
      <c r="C815">
        <v>2023</v>
      </c>
      <c r="D815">
        <v>54.5</v>
      </c>
      <c r="E815" t="s">
        <v>9</v>
      </c>
      <c r="F815">
        <v>41</v>
      </c>
      <c r="G815" s="1">
        <f>DATE(C815, CHOOSE(MATCH(UPPER(B815), {"ENERO","FEBRERO","MARZO","ABRIL","MAYO","JUNIO","JULIO","AGOSTO","SEPTIEMBRE","OCTUBRE","NOVIEMBRE","DICIEMBRE"}, 0), 1,2,3,4,5,6,7,8,9,10,11,12), A815)</f>
        <v>45158</v>
      </c>
      <c r="H815">
        <v>13.5</v>
      </c>
      <c r="I815">
        <v>56000</v>
      </c>
      <c r="J815" s="1">
        <f t="shared" si="25"/>
        <v>44280</v>
      </c>
      <c r="K815" s="2" t="e">
        <f t="shared" si="24"/>
        <v>#N/A</v>
      </c>
    </row>
    <row r="816" spans="1:11" x14ac:dyDescent="0.25">
      <c r="A816">
        <v>22</v>
      </c>
      <c r="B816" t="s">
        <v>32</v>
      </c>
      <c r="C816">
        <v>2023</v>
      </c>
      <c r="D816">
        <v>31.5</v>
      </c>
      <c r="E816">
        <v>37.5</v>
      </c>
      <c r="F816">
        <v>65</v>
      </c>
      <c r="G816" s="1">
        <f>DATE(C816, CHOOSE(MATCH(UPPER(B816), {"ENERO","FEBRERO","MARZO","ABRIL","MAYO","JUNIO","JULIO","AGOSTO","SEPTIEMBRE","OCTUBRE","NOVIEMBRE","DICIEMBRE"}, 0), 1,2,3,4,5,6,7,8,9,10,11,12), A816)</f>
        <v>45160</v>
      </c>
      <c r="H816">
        <v>4</v>
      </c>
      <c r="I816">
        <v>56000</v>
      </c>
      <c r="J816" s="1">
        <f t="shared" si="25"/>
        <v>44281</v>
      </c>
      <c r="K816" s="2" t="e">
        <f t="shared" si="24"/>
        <v>#N/A</v>
      </c>
    </row>
    <row r="817" spans="1:11" x14ac:dyDescent="0.25">
      <c r="A817">
        <v>23</v>
      </c>
      <c r="B817" t="s">
        <v>32</v>
      </c>
      <c r="C817">
        <v>2023</v>
      </c>
      <c r="D817">
        <v>65</v>
      </c>
      <c r="E817" t="s">
        <v>9</v>
      </c>
      <c r="F817">
        <v>57.875</v>
      </c>
      <c r="G817" s="1">
        <f>DATE(C817, CHOOSE(MATCH(UPPER(B817), {"ENERO","FEBRERO","MARZO","ABRIL","MAYO","JUNIO","JULIO","AGOSTO","SEPTIEMBRE","OCTUBRE","NOVIEMBRE","DICIEMBRE"}, 0), 1,2,3,4,5,6,7,8,9,10,11,12), A817)</f>
        <v>45161</v>
      </c>
      <c r="H817">
        <v>7.125</v>
      </c>
      <c r="I817">
        <v>56000</v>
      </c>
      <c r="J817" s="1">
        <f t="shared" si="25"/>
        <v>44282</v>
      </c>
      <c r="K817" s="2" t="e">
        <f t="shared" si="24"/>
        <v>#N/A</v>
      </c>
    </row>
    <row r="818" spans="1:11" x14ac:dyDescent="0.25">
      <c r="A818">
        <v>24</v>
      </c>
      <c r="B818" t="s">
        <v>32</v>
      </c>
      <c r="C818">
        <v>2023</v>
      </c>
      <c r="D818">
        <v>57.875</v>
      </c>
      <c r="E818" t="s">
        <v>9</v>
      </c>
      <c r="F818">
        <v>50.25</v>
      </c>
      <c r="G818" s="1">
        <f>DATE(C818, CHOOSE(MATCH(UPPER(B818), {"ENERO","FEBRERO","MARZO","ABRIL","MAYO","JUNIO","JULIO","AGOSTO","SEPTIEMBRE","OCTUBRE","NOVIEMBRE","DICIEMBRE"}, 0), 1,2,3,4,5,6,7,8,9,10,11,12), A818)</f>
        <v>45162</v>
      </c>
      <c r="H818">
        <v>7.625</v>
      </c>
      <c r="I818">
        <v>56000</v>
      </c>
      <c r="J818" s="1">
        <f t="shared" si="25"/>
        <v>44283</v>
      </c>
      <c r="K818" s="2" t="e">
        <f t="shared" si="24"/>
        <v>#N/A</v>
      </c>
    </row>
    <row r="819" spans="1:11" x14ac:dyDescent="0.25">
      <c r="A819">
        <v>25</v>
      </c>
      <c r="B819" t="s">
        <v>32</v>
      </c>
      <c r="C819">
        <v>2023</v>
      </c>
      <c r="D819">
        <v>50.25</v>
      </c>
      <c r="E819" t="s">
        <v>9</v>
      </c>
      <c r="F819">
        <v>38.75</v>
      </c>
      <c r="G819" s="1">
        <f>DATE(C819, CHOOSE(MATCH(UPPER(B819), {"ENERO","FEBRERO","MARZO","ABRIL","MAYO","JUNIO","JULIO","AGOSTO","SEPTIEMBRE","OCTUBRE","NOVIEMBRE","DICIEMBRE"}, 0), 1,2,3,4,5,6,7,8,9,10,11,12), A819)</f>
        <v>45163</v>
      </c>
      <c r="H819">
        <v>11.5</v>
      </c>
      <c r="I819">
        <v>56000</v>
      </c>
      <c r="J819" s="1">
        <f t="shared" si="25"/>
        <v>44284</v>
      </c>
      <c r="K819" s="2" t="e">
        <f t="shared" si="24"/>
        <v>#N/A</v>
      </c>
    </row>
    <row r="820" spans="1:11" x14ac:dyDescent="0.25">
      <c r="A820">
        <v>26</v>
      </c>
      <c r="B820" t="s">
        <v>32</v>
      </c>
      <c r="C820">
        <v>2023</v>
      </c>
      <c r="D820">
        <v>38.75</v>
      </c>
      <c r="E820" t="s">
        <v>9</v>
      </c>
      <c r="F820">
        <v>26.375</v>
      </c>
      <c r="G820" s="1">
        <f>DATE(C820, CHOOSE(MATCH(UPPER(B820), {"ENERO","FEBRERO","MARZO","ABRIL","MAYO","JUNIO","JULIO","AGOSTO","SEPTIEMBRE","OCTUBRE","NOVIEMBRE","DICIEMBRE"}, 0), 1,2,3,4,5,6,7,8,9,10,11,12), A820)</f>
        <v>45164</v>
      </c>
      <c r="H820">
        <v>12.375</v>
      </c>
      <c r="I820">
        <v>56000</v>
      </c>
      <c r="J820" s="1">
        <f t="shared" si="25"/>
        <v>44285</v>
      </c>
      <c r="K820" s="2" t="e">
        <f t="shared" si="24"/>
        <v>#N/A</v>
      </c>
    </row>
    <row r="821" spans="1:11" x14ac:dyDescent="0.25">
      <c r="A821">
        <v>27</v>
      </c>
      <c r="B821" t="s">
        <v>32</v>
      </c>
      <c r="C821">
        <v>2023</v>
      </c>
      <c r="D821">
        <v>26.375</v>
      </c>
      <c r="E821" t="s">
        <v>9</v>
      </c>
      <c r="F821">
        <v>10.625</v>
      </c>
      <c r="G821" s="1">
        <f>DATE(C821, CHOOSE(MATCH(UPPER(B821), {"ENERO","FEBRERO","MARZO","ABRIL","MAYO","JUNIO","JULIO","AGOSTO","SEPTIEMBRE","OCTUBRE","NOVIEMBRE","DICIEMBRE"}, 0), 1,2,3,4,5,6,7,8,9,10,11,12), A821)</f>
        <v>45165</v>
      </c>
      <c r="H821">
        <v>15.75</v>
      </c>
      <c r="I821">
        <v>56000</v>
      </c>
      <c r="J821" s="1">
        <f t="shared" si="25"/>
        <v>44286</v>
      </c>
      <c r="K821" s="2" t="e">
        <f t="shared" si="24"/>
        <v>#N/A</v>
      </c>
    </row>
    <row r="822" spans="1:11" x14ac:dyDescent="0.25">
      <c r="A822">
        <v>28</v>
      </c>
      <c r="B822" t="s">
        <v>32</v>
      </c>
      <c r="C822">
        <v>2023</v>
      </c>
      <c r="D822">
        <v>10.625</v>
      </c>
      <c r="E822" t="s">
        <v>9</v>
      </c>
      <c r="F822">
        <v>8.125</v>
      </c>
      <c r="G822" s="1">
        <f>DATE(C822, CHOOSE(MATCH(UPPER(B822), {"ENERO","FEBRERO","MARZO","ABRIL","MAYO","JUNIO","JULIO","AGOSTO","SEPTIEMBRE","OCTUBRE","NOVIEMBRE","DICIEMBRE"}, 0), 1,2,3,4,5,6,7,8,9,10,11,12), A822)</f>
        <v>45166</v>
      </c>
      <c r="H822">
        <v>2.5</v>
      </c>
      <c r="I822">
        <v>56000</v>
      </c>
      <c r="J822" s="1">
        <f t="shared" si="25"/>
        <v>44287</v>
      </c>
      <c r="K822" s="2">
        <f t="shared" si="24"/>
        <v>46</v>
      </c>
    </row>
    <row r="823" spans="1:11" x14ac:dyDescent="0.25">
      <c r="A823">
        <v>29</v>
      </c>
      <c r="B823" t="s">
        <v>32</v>
      </c>
      <c r="C823">
        <v>2023</v>
      </c>
      <c r="D823">
        <v>8.125</v>
      </c>
      <c r="E823">
        <v>15</v>
      </c>
      <c r="F823">
        <v>15.875</v>
      </c>
      <c r="G823" s="1">
        <f>DATE(C823, CHOOSE(MATCH(UPPER(B823), {"ENERO","FEBRERO","MARZO","ABRIL","MAYO","JUNIO","JULIO","AGOSTO","SEPTIEMBRE","OCTUBRE","NOVIEMBRE","DICIEMBRE"}, 0), 1,2,3,4,5,6,7,8,9,10,11,12), A823)</f>
        <v>45167</v>
      </c>
      <c r="H823">
        <v>7.25</v>
      </c>
      <c r="I823">
        <v>56000</v>
      </c>
      <c r="J823" s="1">
        <f t="shared" si="25"/>
        <v>44288</v>
      </c>
      <c r="K823" s="2">
        <f t="shared" si="24"/>
        <v>50</v>
      </c>
    </row>
    <row r="824" spans="1:11" x14ac:dyDescent="0.25">
      <c r="A824">
        <v>30</v>
      </c>
      <c r="B824" t="s">
        <v>32</v>
      </c>
      <c r="C824">
        <v>2023</v>
      </c>
      <c r="D824">
        <v>15.875</v>
      </c>
      <c r="E824" t="s">
        <v>9</v>
      </c>
      <c r="F824">
        <v>9</v>
      </c>
      <c r="G824" s="1">
        <f>DATE(C824, CHOOSE(MATCH(UPPER(B824), {"ENERO","FEBRERO","MARZO","ABRIL","MAYO","JUNIO","JULIO","AGOSTO","SEPTIEMBRE","OCTUBRE","NOVIEMBRE","DICIEMBRE"}, 0), 1,2,3,4,5,6,7,8,9,10,11,12), A824)</f>
        <v>45168</v>
      </c>
      <c r="H824">
        <v>6.875</v>
      </c>
      <c r="I824">
        <v>56000</v>
      </c>
      <c r="J824" s="1">
        <f t="shared" si="25"/>
        <v>44289</v>
      </c>
      <c r="K824" s="2">
        <f t="shared" si="24"/>
        <v>51</v>
      </c>
    </row>
    <row r="825" spans="1:11" x14ac:dyDescent="0.25">
      <c r="A825">
        <v>31</v>
      </c>
      <c r="B825" t="s">
        <v>32</v>
      </c>
      <c r="C825">
        <v>2023</v>
      </c>
      <c r="D825">
        <v>9</v>
      </c>
      <c r="E825">
        <v>60</v>
      </c>
      <c r="F825">
        <v>58.75</v>
      </c>
      <c r="G825" s="1">
        <f>DATE(C825, CHOOSE(MATCH(UPPER(B825), {"ENERO","FEBRERO","MARZO","ABRIL","MAYO","JUNIO","JULIO","AGOSTO","SEPTIEMBRE","OCTUBRE","NOVIEMBRE","DICIEMBRE"}, 0), 1,2,3,4,5,6,7,8,9,10,11,12), A825)</f>
        <v>45169</v>
      </c>
      <c r="H825">
        <v>10.25</v>
      </c>
      <c r="I825">
        <v>56000</v>
      </c>
      <c r="J825" s="1">
        <f t="shared" si="25"/>
        <v>44290</v>
      </c>
      <c r="K825" s="2">
        <f t="shared" si="24"/>
        <v>48</v>
      </c>
    </row>
    <row r="826" spans="1:11" x14ac:dyDescent="0.25">
      <c r="J826" s="1">
        <f t="shared" si="25"/>
        <v>44291</v>
      </c>
      <c r="K826" s="2">
        <f t="shared" si="24"/>
        <v>17.5</v>
      </c>
    </row>
    <row r="827" spans="1:11" x14ac:dyDescent="0.25">
      <c r="J827" s="1">
        <f t="shared" si="25"/>
        <v>44292</v>
      </c>
      <c r="K827" s="2">
        <f t="shared" si="24"/>
        <v>24</v>
      </c>
    </row>
    <row r="828" spans="1:11" x14ac:dyDescent="0.25">
      <c r="J828" s="1">
        <f t="shared" si="25"/>
        <v>44293</v>
      </c>
      <c r="K828" s="2">
        <f t="shared" si="24"/>
        <v>17.5</v>
      </c>
    </row>
    <row r="829" spans="1:11" x14ac:dyDescent="0.25">
      <c r="J829" s="1">
        <f t="shared" si="25"/>
        <v>44294</v>
      </c>
      <c r="K829" s="2">
        <f t="shared" si="24"/>
        <v>13.875</v>
      </c>
    </row>
    <row r="830" spans="1:11" x14ac:dyDescent="0.25">
      <c r="J830" s="1">
        <f t="shared" si="25"/>
        <v>44295</v>
      </c>
      <c r="K830" s="2">
        <f t="shared" si="24"/>
        <v>25.125</v>
      </c>
    </row>
    <row r="831" spans="1:11" x14ac:dyDescent="0.25">
      <c r="J831" s="1">
        <f t="shared" si="25"/>
        <v>44296</v>
      </c>
      <c r="K831" s="2">
        <f t="shared" si="24"/>
        <v>44</v>
      </c>
    </row>
    <row r="832" spans="1:11" x14ac:dyDescent="0.25">
      <c r="J832" s="1">
        <f t="shared" si="25"/>
        <v>44297</v>
      </c>
      <c r="K832" s="2">
        <f t="shared" si="24"/>
        <v>32.5</v>
      </c>
    </row>
    <row r="833" spans="10:11" x14ac:dyDescent="0.25">
      <c r="J833" s="1">
        <f t="shared" si="25"/>
        <v>44298</v>
      </c>
      <c r="K833" s="2">
        <f t="shared" si="24"/>
        <v>13.25</v>
      </c>
    </row>
    <row r="834" spans="10:11" x14ac:dyDescent="0.25">
      <c r="J834" s="1">
        <f t="shared" si="25"/>
        <v>44299</v>
      </c>
      <c r="K834" s="2">
        <f t="shared" si="24"/>
        <v>17.25</v>
      </c>
    </row>
    <row r="835" spans="10:11" x14ac:dyDescent="0.25">
      <c r="J835" s="1">
        <f t="shared" si="25"/>
        <v>44300</v>
      </c>
      <c r="K835" s="2">
        <f t="shared" ref="K835:K898" si="26">VLOOKUP(J835, G:H, 2, FALSE)</f>
        <v>16.5</v>
      </c>
    </row>
    <row r="836" spans="10:11" x14ac:dyDescent="0.25">
      <c r="J836" s="1">
        <f t="shared" si="25"/>
        <v>44301</v>
      </c>
      <c r="K836" s="2">
        <f t="shared" si="26"/>
        <v>20</v>
      </c>
    </row>
    <row r="837" spans="10:11" x14ac:dyDescent="0.25">
      <c r="J837" s="1">
        <f t="shared" ref="J837:J900" si="27">DATE(2019,1,1) + ROW()-1</f>
        <v>44302</v>
      </c>
      <c r="K837" s="2">
        <f t="shared" si="26"/>
        <v>19.5</v>
      </c>
    </row>
    <row r="838" spans="10:11" x14ac:dyDescent="0.25">
      <c r="J838" s="1">
        <f t="shared" si="27"/>
        <v>44303</v>
      </c>
      <c r="K838" s="2">
        <f t="shared" si="26"/>
        <v>39</v>
      </c>
    </row>
    <row r="839" spans="10:11" x14ac:dyDescent="0.25">
      <c r="J839" s="1">
        <f t="shared" si="27"/>
        <v>44304</v>
      </c>
      <c r="K839" s="2">
        <f t="shared" si="26"/>
        <v>36.5</v>
      </c>
    </row>
    <row r="840" spans="10:11" x14ac:dyDescent="0.25">
      <c r="J840" s="1">
        <f t="shared" si="27"/>
        <v>44305</v>
      </c>
      <c r="K840" s="2">
        <f t="shared" si="26"/>
        <v>9.5</v>
      </c>
    </row>
    <row r="841" spans="10:11" x14ac:dyDescent="0.25">
      <c r="J841" s="1">
        <f t="shared" si="27"/>
        <v>44306</v>
      </c>
      <c r="K841" s="2">
        <f t="shared" si="26"/>
        <v>17.600000000000001</v>
      </c>
    </row>
    <row r="842" spans="10:11" x14ac:dyDescent="0.25">
      <c r="J842" s="1">
        <f t="shared" si="27"/>
        <v>44307</v>
      </c>
      <c r="K842" s="2">
        <f t="shared" si="26"/>
        <v>10.9</v>
      </c>
    </row>
    <row r="843" spans="10:11" x14ac:dyDescent="0.25">
      <c r="J843" s="1">
        <f t="shared" si="27"/>
        <v>44308</v>
      </c>
      <c r="K843" s="2">
        <f t="shared" si="26"/>
        <v>24.5</v>
      </c>
    </row>
    <row r="844" spans="10:11" x14ac:dyDescent="0.25">
      <c r="J844" s="1">
        <f t="shared" si="27"/>
        <v>44309</v>
      </c>
      <c r="K844" s="2">
        <f t="shared" si="26"/>
        <v>19</v>
      </c>
    </row>
    <row r="845" spans="10:11" x14ac:dyDescent="0.25">
      <c r="J845" s="1">
        <f t="shared" si="27"/>
        <v>44310</v>
      </c>
      <c r="K845" s="2">
        <f t="shared" si="26"/>
        <v>34</v>
      </c>
    </row>
    <row r="846" spans="10:11" x14ac:dyDescent="0.25">
      <c r="J846" s="1">
        <f t="shared" si="27"/>
        <v>44311</v>
      </c>
      <c r="K846" s="2">
        <f t="shared" si="26"/>
        <v>34</v>
      </c>
    </row>
    <row r="847" spans="10:11" x14ac:dyDescent="0.25">
      <c r="J847" s="1">
        <f t="shared" si="27"/>
        <v>44312</v>
      </c>
      <c r="K847" s="2">
        <f t="shared" si="26"/>
        <v>8</v>
      </c>
    </row>
    <row r="848" spans="10:11" x14ac:dyDescent="0.25">
      <c r="J848" s="1">
        <f t="shared" si="27"/>
        <v>44313</v>
      </c>
      <c r="K848" s="2">
        <f t="shared" si="26"/>
        <v>16.5</v>
      </c>
    </row>
    <row r="849" spans="10:11" x14ac:dyDescent="0.25">
      <c r="J849" s="1">
        <f t="shared" si="27"/>
        <v>44314</v>
      </c>
      <c r="K849" s="2">
        <f t="shared" si="26"/>
        <v>1.5</v>
      </c>
    </row>
    <row r="850" spans="10:11" x14ac:dyDescent="0.25">
      <c r="J850" s="1">
        <f t="shared" si="27"/>
        <v>44315</v>
      </c>
      <c r="K850" s="2">
        <f t="shared" si="26"/>
        <v>6.25</v>
      </c>
    </row>
    <row r="851" spans="10:11" x14ac:dyDescent="0.25">
      <c r="J851" s="1">
        <f t="shared" si="27"/>
        <v>44316</v>
      </c>
      <c r="K851" s="2">
        <f t="shared" si="26"/>
        <v>15.25</v>
      </c>
    </row>
    <row r="852" spans="10:11" x14ac:dyDescent="0.25">
      <c r="J852" s="1">
        <f t="shared" si="27"/>
        <v>44317</v>
      </c>
      <c r="K852" s="2">
        <f t="shared" si="26"/>
        <v>22.875</v>
      </c>
    </row>
    <row r="853" spans="10:11" x14ac:dyDescent="0.25">
      <c r="J853" s="1">
        <f t="shared" si="27"/>
        <v>44318</v>
      </c>
      <c r="K853" s="2">
        <f t="shared" si="26"/>
        <v>31.75</v>
      </c>
    </row>
    <row r="854" spans="10:11" x14ac:dyDescent="0.25">
      <c r="J854" s="1">
        <f t="shared" si="27"/>
        <v>44319</v>
      </c>
      <c r="K854" s="2">
        <f t="shared" si="26"/>
        <v>0</v>
      </c>
    </row>
    <row r="855" spans="10:11" x14ac:dyDescent="0.25">
      <c r="J855" s="1">
        <f t="shared" si="27"/>
        <v>44320</v>
      </c>
      <c r="K855" s="2">
        <f t="shared" si="26"/>
        <v>21.375</v>
      </c>
    </row>
    <row r="856" spans="10:11" x14ac:dyDescent="0.25">
      <c r="J856" s="1">
        <f t="shared" si="27"/>
        <v>44321</v>
      </c>
      <c r="K856" s="2">
        <f t="shared" si="26"/>
        <v>14.625</v>
      </c>
    </row>
    <row r="857" spans="10:11" x14ac:dyDescent="0.25">
      <c r="J857" s="1">
        <f t="shared" si="27"/>
        <v>44322</v>
      </c>
      <c r="K857" s="2">
        <f t="shared" si="26"/>
        <v>19.875</v>
      </c>
    </row>
    <row r="858" spans="10:11" x14ac:dyDescent="0.25">
      <c r="J858" s="1">
        <f t="shared" si="27"/>
        <v>44323</v>
      </c>
      <c r="K858" s="2">
        <f t="shared" si="26"/>
        <v>14.5</v>
      </c>
    </row>
    <row r="859" spans="10:11" x14ac:dyDescent="0.25">
      <c r="J859" s="1">
        <f t="shared" si="27"/>
        <v>44324</v>
      </c>
      <c r="K859" s="2">
        <f t="shared" si="26"/>
        <v>32.5</v>
      </c>
    </row>
    <row r="860" spans="10:11" x14ac:dyDescent="0.25">
      <c r="J860" s="1">
        <f t="shared" si="27"/>
        <v>44325</v>
      </c>
      <c r="K860" s="2">
        <f t="shared" si="26"/>
        <v>62.5</v>
      </c>
    </row>
    <row r="861" spans="10:11" x14ac:dyDescent="0.25">
      <c r="J861" s="1">
        <f t="shared" si="27"/>
        <v>44326</v>
      </c>
      <c r="K861" s="2">
        <f t="shared" si="26"/>
        <v>24.5</v>
      </c>
    </row>
    <row r="862" spans="10:11" x14ac:dyDescent="0.25">
      <c r="J862" s="1">
        <f t="shared" si="27"/>
        <v>44327</v>
      </c>
      <c r="K862" s="2">
        <f t="shared" si="26"/>
        <v>23</v>
      </c>
    </row>
    <row r="863" spans="10:11" x14ac:dyDescent="0.25">
      <c r="J863" s="1">
        <f t="shared" si="27"/>
        <v>44328</v>
      </c>
      <c r="K863" s="2">
        <f t="shared" si="26"/>
        <v>19.375</v>
      </c>
    </row>
    <row r="864" spans="10:11" x14ac:dyDescent="0.25">
      <c r="J864" s="1">
        <f t="shared" si="27"/>
        <v>44329</v>
      </c>
      <c r="K864" s="2">
        <f t="shared" si="26"/>
        <v>22.625</v>
      </c>
    </row>
    <row r="865" spans="10:11" x14ac:dyDescent="0.25">
      <c r="J865" s="1">
        <f t="shared" si="27"/>
        <v>44330</v>
      </c>
      <c r="K865" s="2">
        <f t="shared" si="26"/>
        <v>28.5</v>
      </c>
    </row>
    <row r="866" spans="10:11" x14ac:dyDescent="0.25">
      <c r="J866" s="1">
        <f t="shared" si="27"/>
        <v>44331</v>
      </c>
      <c r="K866" s="2">
        <f t="shared" si="26"/>
        <v>37</v>
      </c>
    </row>
    <row r="867" spans="10:11" x14ac:dyDescent="0.25">
      <c r="J867" s="1">
        <f t="shared" si="27"/>
        <v>44332</v>
      </c>
      <c r="K867" s="2">
        <f t="shared" si="26"/>
        <v>42</v>
      </c>
    </row>
    <row r="868" spans="10:11" x14ac:dyDescent="0.25">
      <c r="J868" s="1">
        <f t="shared" si="27"/>
        <v>44333</v>
      </c>
      <c r="K868" s="2">
        <f t="shared" si="26"/>
        <v>28.5</v>
      </c>
    </row>
    <row r="869" spans="10:11" x14ac:dyDescent="0.25">
      <c r="J869" s="1">
        <f t="shared" si="27"/>
        <v>44334</v>
      </c>
      <c r="K869" s="2">
        <f t="shared" si="26"/>
        <v>21</v>
      </c>
    </row>
    <row r="870" spans="10:11" x14ac:dyDescent="0.25">
      <c r="J870" s="1">
        <f t="shared" si="27"/>
        <v>44335</v>
      </c>
      <c r="K870" s="2">
        <f t="shared" si="26"/>
        <v>0</v>
      </c>
    </row>
    <row r="871" spans="10:11" x14ac:dyDescent="0.25">
      <c r="J871" s="1">
        <f t="shared" si="27"/>
        <v>44336</v>
      </c>
      <c r="K871" s="2">
        <f t="shared" si="26"/>
        <v>16.625</v>
      </c>
    </row>
    <row r="872" spans="10:11" x14ac:dyDescent="0.25">
      <c r="J872" s="1">
        <f t="shared" si="27"/>
        <v>44337</v>
      </c>
      <c r="K872" s="2">
        <f t="shared" si="26"/>
        <v>20.625</v>
      </c>
    </row>
    <row r="873" spans="10:11" x14ac:dyDescent="0.25">
      <c r="J873" s="1">
        <f t="shared" si="27"/>
        <v>44338</v>
      </c>
      <c r="K873" s="2">
        <f t="shared" si="26"/>
        <v>25.75</v>
      </c>
    </row>
    <row r="874" spans="10:11" x14ac:dyDescent="0.25">
      <c r="J874" s="1">
        <f t="shared" si="27"/>
        <v>44339</v>
      </c>
      <c r="K874" s="2">
        <f t="shared" si="26"/>
        <v>24</v>
      </c>
    </row>
    <row r="875" spans="10:11" x14ac:dyDescent="0.25">
      <c r="J875" s="1">
        <f t="shared" si="27"/>
        <v>44340</v>
      </c>
      <c r="K875" s="2">
        <f t="shared" si="26"/>
        <v>15.75</v>
      </c>
    </row>
    <row r="876" spans="10:11" x14ac:dyDescent="0.25">
      <c r="J876" s="1">
        <f t="shared" si="27"/>
        <v>44341</v>
      </c>
      <c r="K876" s="2">
        <f t="shared" si="26"/>
        <v>14.25</v>
      </c>
    </row>
    <row r="877" spans="10:11" x14ac:dyDescent="0.25">
      <c r="J877" s="1">
        <f t="shared" si="27"/>
        <v>44342</v>
      </c>
      <c r="K877" s="2">
        <f t="shared" si="26"/>
        <v>11.25</v>
      </c>
    </row>
    <row r="878" spans="10:11" x14ac:dyDescent="0.25">
      <c r="J878" s="1">
        <f t="shared" si="27"/>
        <v>44343</v>
      </c>
      <c r="K878" s="2">
        <f t="shared" si="26"/>
        <v>16.5</v>
      </c>
    </row>
    <row r="879" spans="10:11" x14ac:dyDescent="0.25">
      <c r="J879" s="1">
        <f t="shared" si="27"/>
        <v>44344</v>
      </c>
      <c r="K879" s="2">
        <f t="shared" si="26"/>
        <v>16.25</v>
      </c>
    </row>
    <row r="880" spans="10:11" x14ac:dyDescent="0.25">
      <c r="J880" s="1">
        <f t="shared" si="27"/>
        <v>44345</v>
      </c>
      <c r="K880" s="2">
        <f t="shared" si="26"/>
        <v>31</v>
      </c>
    </row>
    <row r="881" spans="10:11" x14ac:dyDescent="0.25">
      <c r="J881" s="1">
        <f t="shared" si="27"/>
        <v>44346</v>
      </c>
      <c r="K881" s="2">
        <f t="shared" si="26"/>
        <v>34.875</v>
      </c>
    </row>
    <row r="882" spans="10:11" x14ac:dyDescent="0.25">
      <c r="J882" s="1">
        <f t="shared" si="27"/>
        <v>44347</v>
      </c>
      <c r="K882" s="2">
        <f t="shared" si="26"/>
        <v>12.125</v>
      </c>
    </row>
    <row r="883" spans="10:11" x14ac:dyDescent="0.25">
      <c r="J883" s="1">
        <f t="shared" si="27"/>
        <v>44348</v>
      </c>
      <c r="K883" s="2">
        <f t="shared" si="26"/>
        <v>20</v>
      </c>
    </row>
    <row r="884" spans="10:11" x14ac:dyDescent="0.25">
      <c r="J884" s="1">
        <f t="shared" si="27"/>
        <v>44349</v>
      </c>
      <c r="K884" s="2">
        <f t="shared" si="26"/>
        <v>21</v>
      </c>
    </row>
    <row r="885" spans="10:11" x14ac:dyDescent="0.25">
      <c r="J885" s="1">
        <f t="shared" si="27"/>
        <v>44350</v>
      </c>
      <c r="K885" s="2">
        <f t="shared" si="26"/>
        <v>17.5</v>
      </c>
    </row>
    <row r="886" spans="10:11" x14ac:dyDescent="0.25">
      <c r="J886" s="1">
        <f t="shared" si="27"/>
        <v>44351</v>
      </c>
      <c r="K886" s="2">
        <f t="shared" si="26"/>
        <v>21.625</v>
      </c>
    </row>
    <row r="887" spans="10:11" x14ac:dyDescent="0.25">
      <c r="J887" s="1">
        <f t="shared" si="27"/>
        <v>44352</v>
      </c>
      <c r="K887" s="2">
        <f t="shared" si="26"/>
        <v>29.875</v>
      </c>
    </row>
    <row r="888" spans="10:11" x14ac:dyDescent="0.25">
      <c r="J888" s="1">
        <f t="shared" si="27"/>
        <v>44353</v>
      </c>
      <c r="K888" s="2">
        <f t="shared" si="26"/>
        <v>30</v>
      </c>
    </row>
    <row r="889" spans="10:11" x14ac:dyDescent="0.25">
      <c r="J889" s="1">
        <f t="shared" si="27"/>
        <v>44354</v>
      </c>
      <c r="K889" s="2">
        <f t="shared" si="26"/>
        <v>23.5</v>
      </c>
    </row>
    <row r="890" spans="10:11" x14ac:dyDescent="0.25">
      <c r="J890" s="1">
        <f t="shared" si="27"/>
        <v>44355</v>
      </c>
      <c r="K890" s="2">
        <f t="shared" si="26"/>
        <v>19.75</v>
      </c>
    </row>
    <row r="891" spans="10:11" x14ac:dyDescent="0.25">
      <c r="J891" s="1">
        <f t="shared" si="27"/>
        <v>44356</v>
      </c>
      <c r="K891" s="2">
        <f t="shared" si="26"/>
        <v>11.875</v>
      </c>
    </row>
    <row r="892" spans="10:11" x14ac:dyDescent="0.25">
      <c r="J892" s="1">
        <f t="shared" si="27"/>
        <v>44357</v>
      </c>
      <c r="K892" s="2">
        <f t="shared" si="26"/>
        <v>20.125</v>
      </c>
    </row>
    <row r="893" spans="10:11" x14ac:dyDescent="0.25">
      <c r="J893" s="1">
        <f t="shared" si="27"/>
        <v>44358</v>
      </c>
      <c r="K893" s="2">
        <f t="shared" si="26"/>
        <v>15.75</v>
      </c>
    </row>
    <row r="894" spans="10:11" x14ac:dyDescent="0.25">
      <c r="J894" s="1">
        <f t="shared" si="27"/>
        <v>44359</v>
      </c>
      <c r="K894" s="2">
        <f t="shared" si="26"/>
        <v>24.375</v>
      </c>
    </row>
    <row r="895" spans="10:11" x14ac:dyDescent="0.25">
      <c r="J895" s="1">
        <f t="shared" si="27"/>
        <v>44360</v>
      </c>
      <c r="K895" s="2">
        <f t="shared" si="26"/>
        <v>28.875</v>
      </c>
    </row>
    <row r="896" spans="10:11" x14ac:dyDescent="0.25">
      <c r="J896" s="1">
        <f t="shared" si="27"/>
        <v>44361</v>
      </c>
      <c r="K896" s="2">
        <f t="shared" si="26"/>
        <v>15.5</v>
      </c>
    </row>
    <row r="897" spans="10:11" x14ac:dyDescent="0.25">
      <c r="J897" s="1">
        <f t="shared" si="27"/>
        <v>44362</v>
      </c>
      <c r="K897" s="2">
        <f t="shared" si="26"/>
        <v>17.625</v>
      </c>
    </row>
    <row r="898" spans="10:11" x14ac:dyDescent="0.25">
      <c r="J898" s="1">
        <f t="shared" si="27"/>
        <v>44363</v>
      </c>
      <c r="K898" s="2">
        <f t="shared" si="26"/>
        <v>15.75</v>
      </c>
    </row>
    <row r="899" spans="10:11" x14ac:dyDescent="0.25">
      <c r="J899" s="1">
        <f t="shared" si="27"/>
        <v>44364</v>
      </c>
      <c r="K899" s="2">
        <f t="shared" ref="K899:K962" si="28">VLOOKUP(J899, G:H, 2, FALSE)</f>
        <v>15</v>
      </c>
    </row>
    <row r="900" spans="10:11" x14ac:dyDescent="0.25">
      <c r="J900" s="1">
        <f t="shared" si="27"/>
        <v>44365</v>
      </c>
      <c r="K900" s="2">
        <f t="shared" si="28"/>
        <v>15.5</v>
      </c>
    </row>
    <row r="901" spans="10:11" x14ac:dyDescent="0.25">
      <c r="J901" s="1">
        <f t="shared" ref="J901:J964" si="29">DATE(2019,1,1) + ROW()-1</f>
        <v>44366</v>
      </c>
      <c r="K901" s="2">
        <f t="shared" si="28"/>
        <v>30.625</v>
      </c>
    </row>
    <row r="902" spans="10:11" x14ac:dyDescent="0.25">
      <c r="J902" s="1">
        <f t="shared" si="29"/>
        <v>44367</v>
      </c>
      <c r="K902" s="2">
        <f t="shared" si="28"/>
        <v>29.25</v>
      </c>
    </row>
    <row r="903" spans="10:11" x14ac:dyDescent="0.25">
      <c r="J903" s="1">
        <f t="shared" si="29"/>
        <v>44368</v>
      </c>
      <c r="K903" s="2">
        <f t="shared" si="28"/>
        <v>15.75</v>
      </c>
    </row>
    <row r="904" spans="10:11" x14ac:dyDescent="0.25">
      <c r="J904" s="1">
        <f t="shared" si="29"/>
        <v>44369</v>
      </c>
      <c r="K904" s="2">
        <f t="shared" si="28"/>
        <v>10.375</v>
      </c>
    </row>
    <row r="905" spans="10:11" x14ac:dyDescent="0.25">
      <c r="J905" s="1">
        <f t="shared" si="29"/>
        <v>44370</v>
      </c>
      <c r="K905" s="2">
        <f t="shared" si="28"/>
        <v>14</v>
      </c>
    </row>
    <row r="906" spans="10:11" x14ac:dyDescent="0.25">
      <c r="J906" s="1">
        <f t="shared" si="29"/>
        <v>44371</v>
      </c>
      <c r="K906" s="2">
        <f t="shared" si="28"/>
        <v>21.375</v>
      </c>
    </row>
    <row r="907" spans="10:11" x14ac:dyDescent="0.25">
      <c r="J907" s="1">
        <f t="shared" si="29"/>
        <v>44372</v>
      </c>
      <c r="K907" s="2">
        <f t="shared" si="28"/>
        <v>25.625</v>
      </c>
    </row>
    <row r="908" spans="10:11" x14ac:dyDescent="0.25">
      <c r="J908" s="1">
        <f t="shared" si="29"/>
        <v>44373</v>
      </c>
      <c r="K908" s="2">
        <f t="shared" si="28"/>
        <v>25.625</v>
      </c>
    </row>
    <row r="909" spans="10:11" x14ac:dyDescent="0.25">
      <c r="J909" s="1">
        <f t="shared" si="29"/>
        <v>44374</v>
      </c>
      <c r="K909" s="2">
        <f t="shared" si="28"/>
        <v>26</v>
      </c>
    </row>
    <row r="910" spans="10:11" x14ac:dyDescent="0.25">
      <c r="J910" s="1">
        <f t="shared" si="29"/>
        <v>44375</v>
      </c>
      <c r="K910" s="2">
        <f t="shared" si="28"/>
        <v>19.25</v>
      </c>
    </row>
    <row r="911" spans="10:11" x14ac:dyDescent="0.25">
      <c r="J911" s="1">
        <f t="shared" si="29"/>
        <v>44376</v>
      </c>
      <c r="K911" s="2">
        <f t="shared" si="28"/>
        <v>19.375</v>
      </c>
    </row>
    <row r="912" spans="10:11" x14ac:dyDescent="0.25">
      <c r="J912" s="1">
        <f t="shared" si="29"/>
        <v>44377</v>
      </c>
      <c r="K912" s="2">
        <f t="shared" si="28"/>
        <v>18.125</v>
      </c>
    </row>
    <row r="913" spans="10:11" x14ac:dyDescent="0.25">
      <c r="J913" s="1">
        <f t="shared" si="29"/>
        <v>44378</v>
      </c>
      <c r="K913" s="2">
        <f t="shared" si="28"/>
        <v>14.875</v>
      </c>
    </row>
    <row r="914" spans="10:11" x14ac:dyDescent="0.25">
      <c r="J914" s="1">
        <f t="shared" si="29"/>
        <v>44379</v>
      </c>
      <c r="K914" s="2">
        <f t="shared" si="28"/>
        <v>18.625</v>
      </c>
    </row>
    <row r="915" spans="10:11" x14ac:dyDescent="0.25">
      <c r="J915" s="1">
        <f t="shared" si="29"/>
        <v>44380</v>
      </c>
      <c r="K915" s="2">
        <f t="shared" si="28"/>
        <v>25</v>
      </c>
    </row>
    <row r="916" spans="10:11" x14ac:dyDescent="0.25">
      <c r="J916" s="1">
        <f t="shared" si="29"/>
        <v>44381</v>
      </c>
      <c r="K916" s="2">
        <f t="shared" si="28"/>
        <v>25.5</v>
      </c>
    </row>
    <row r="917" spans="10:11" x14ac:dyDescent="0.25">
      <c r="J917" s="1">
        <f t="shared" si="29"/>
        <v>44382</v>
      </c>
      <c r="K917" s="2">
        <f t="shared" si="28"/>
        <v>20</v>
      </c>
    </row>
    <row r="918" spans="10:11" x14ac:dyDescent="0.25">
      <c r="J918" s="1">
        <f t="shared" si="29"/>
        <v>44383</v>
      </c>
      <c r="K918" s="2">
        <f t="shared" si="28"/>
        <v>15.5</v>
      </c>
    </row>
    <row r="919" spans="10:11" x14ac:dyDescent="0.25">
      <c r="J919" s="1">
        <f t="shared" si="29"/>
        <v>44384</v>
      </c>
      <c r="K919" s="2">
        <f t="shared" si="28"/>
        <v>12.375</v>
      </c>
    </row>
    <row r="920" spans="10:11" x14ac:dyDescent="0.25">
      <c r="J920" s="1">
        <f t="shared" si="29"/>
        <v>44385</v>
      </c>
      <c r="K920" s="2">
        <f t="shared" si="28"/>
        <v>8.25</v>
      </c>
    </row>
    <row r="921" spans="10:11" x14ac:dyDescent="0.25">
      <c r="J921" s="1">
        <f t="shared" si="29"/>
        <v>44386</v>
      </c>
      <c r="K921" s="2">
        <f t="shared" si="28"/>
        <v>17.875</v>
      </c>
    </row>
    <row r="922" spans="10:11" x14ac:dyDescent="0.25">
      <c r="J922" s="1">
        <f t="shared" si="29"/>
        <v>44387</v>
      </c>
      <c r="K922" s="2">
        <f t="shared" si="28"/>
        <v>24.5</v>
      </c>
    </row>
    <row r="923" spans="10:11" x14ac:dyDescent="0.25">
      <c r="J923" s="1">
        <f t="shared" si="29"/>
        <v>44388</v>
      </c>
      <c r="K923" s="2">
        <f t="shared" si="28"/>
        <v>25.5</v>
      </c>
    </row>
    <row r="924" spans="10:11" x14ac:dyDescent="0.25">
      <c r="J924" s="1">
        <f t="shared" si="29"/>
        <v>44389</v>
      </c>
      <c r="K924" s="2">
        <f t="shared" si="28"/>
        <v>12</v>
      </c>
    </row>
    <row r="925" spans="10:11" x14ac:dyDescent="0.25">
      <c r="J925" s="1">
        <f t="shared" si="29"/>
        <v>44390</v>
      </c>
      <c r="K925" s="2">
        <f t="shared" si="28"/>
        <v>14.5</v>
      </c>
    </row>
    <row r="926" spans="10:11" x14ac:dyDescent="0.25">
      <c r="J926" s="1">
        <f t="shared" si="29"/>
        <v>44391</v>
      </c>
      <c r="K926" s="2">
        <f t="shared" si="28"/>
        <v>16.5</v>
      </c>
    </row>
    <row r="927" spans="10:11" x14ac:dyDescent="0.25">
      <c r="J927" s="1">
        <f t="shared" si="29"/>
        <v>44392</v>
      </c>
      <c r="K927" s="2">
        <f t="shared" si="28"/>
        <v>13.5</v>
      </c>
    </row>
    <row r="928" spans="10:11" x14ac:dyDescent="0.25">
      <c r="J928" s="1">
        <f t="shared" si="29"/>
        <v>44393</v>
      </c>
      <c r="K928" s="2">
        <f t="shared" si="28"/>
        <v>16.25</v>
      </c>
    </row>
    <row r="929" spans="10:11" x14ac:dyDescent="0.25">
      <c r="J929" s="1">
        <f t="shared" si="29"/>
        <v>44394</v>
      </c>
      <c r="K929" s="2">
        <f t="shared" si="28"/>
        <v>16.75</v>
      </c>
    </row>
    <row r="930" spans="10:11" x14ac:dyDescent="0.25">
      <c r="J930" s="1">
        <f t="shared" si="29"/>
        <v>44395</v>
      </c>
      <c r="K930" s="2">
        <f t="shared" si="28"/>
        <v>24</v>
      </c>
    </row>
    <row r="931" spans="10:11" x14ac:dyDescent="0.25">
      <c r="J931" s="1">
        <f t="shared" si="29"/>
        <v>44396</v>
      </c>
      <c r="K931" s="2">
        <f t="shared" si="28"/>
        <v>12</v>
      </c>
    </row>
    <row r="932" spans="10:11" x14ac:dyDescent="0.25">
      <c r="J932" s="1">
        <f t="shared" si="29"/>
        <v>44397</v>
      </c>
      <c r="K932" s="2">
        <f t="shared" si="28"/>
        <v>15</v>
      </c>
    </row>
    <row r="933" spans="10:11" x14ac:dyDescent="0.25">
      <c r="J933" s="1">
        <f t="shared" si="29"/>
        <v>44398</v>
      </c>
      <c r="K933" s="2">
        <f t="shared" si="28"/>
        <v>16.75</v>
      </c>
    </row>
    <row r="934" spans="10:11" x14ac:dyDescent="0.25">
      <c r="J934" s="1">
        <f t="shared" si="29"/>
        <v>44399</v>
      </c>
      <c r="K934" s="2">
        <f t="shared" si="28"/>
        <v>10.5</v>
      </c>
    </row>
    <row r="935" spans="10:11" x14ac:dyDescent="0.25">
      <c r="J935" s="1">
        <f t="shared" si="29"/>
        <v>44400</v>
      </c>
      <c r="K935" s="2">
        <f t="shared" si="28"/>
        <v>16.75</v>
      </c>
    </row>
    <row r="936" spans="10:11" x14ac:dyDescent="0.25">
      <c r="J936" s="1">
        <f t="shared" si="29"/>
        <v>44401</v>
      </c>
      <c r="K936" s="2">
        <f t="shared" si="28"/>
        <v>26</v>
      </c>
    </row>
    <row r="937" spans="10:11" x14ac:dyDescent="0.25">
      <c r="J937" s="1">
        <f t="shared" si="29"/>
        <v>44402</v>
      </c>
      <c r="K937" s="2">
        <f t="shared" si="28"/>
        <v>23.5</v>
      </c>
    </row>
    <row r="938" spans="10:11" x14ac:dyDescent="0.25">
      <c r="J938" s="1">
        <f t="shared" si="29"/>
        <v>44403</v>
      </c>
      <c r="K938" s="2">
        <f t="shared" si="28"/>
        <v>12.75</v>
      </c>
    </row>
    <row r="939" spans="10:11" x14ac:dyDescent="0.25">
      <c r="J939" s="1">
        <f t="shared" si="29"/>
        <v>44404</v>
      </c>
      <c r="K939" s="2">
        <f t="shared" si="28"/>
        <v>9.25</v>
      </c>
    </row>
    <row r="940" spans="10:11" x14ac:dyDescent="0.25">
      <c r="J940" s="1">
        <f t="shared" si="29"/>
        <v>44405</v>
      </c>
      <c r="K940" s="2">
        <f t="shared" si="28"/>
        <v>12</v>
      </c>
    </row>
    <row r="941" spans="10:11" x14ac:dyDescent="0.25">
      <c r="J941" s="1">
        <f t="shared" si="29"/>
        <v>44406</v>
      </c>
      <c r="K941" s="2">
        <f t="shared" si="28"/>
        <v>15</v>
      </c>
    </row>
    <row r="942" spans="10:11" x14ac:dyDescent="0.25">
      <c r="J942" s="1">
        <f t="shared" si="29"/>
        <v>44407</v>
      </c>
      <c r="K942" s="2">
        <f t="shared" si="28"/>
        <v>17.5</v>
      </c>
    </row>
    <row r="943" spans="10:11" x14ac:dyDescent="0.25">
      <c r="J943" s="1">
        <f t="shared" si="29"/>
        <v>44408</v>
      </c>
      <c r="K943" s="2">
        <f t="shared" si="28"/>
        <v>29.5</v>
      </c>
    </row>
    <row r="944" spans="10:11" x14ac:dyDescent="0.25">
      <c r="J944" s="1">
        <f t="shared" si="29"/>
        <v>44409</v>
      </c>
      <c r="K944" s="2">
        <f t="shared" si="28"/>
        <v>16.75</v>
      </c>
    </row>
    <row r="945" spans="10:11" x14ac:dyDescent="0.25">
      <c r="J945" s="1">
        <f t="shared" si="29"/>
        <v>44410</v>
      </c>
      <c r="K945" s="2">
        <f t="shared" si="28"/>
        <v>13</v>
      </c>
    </row>
    <row r="946" spans="10:11" x14ac:dyDescent="0.25">
      <c r="J946" s="1">
        <f t="shared" si="29"/>
        <v>44411</v>
      </c>
      <c r="K946" s="2">
        <f t="shared" si="28"/>
        <v>20.625</v>
      </c>
    </row>
    <row r="947" spans="10:11" x14ac:dyDescent="0.25">
      <c r="J947" s="1">
        <f t="shared" si="29"/>
        <v>44412</v>
      </c>
      <c r="K947" s="2">
        <f t="shared" si="28"/>
        <v>12.25</v>
      </c>
    </row>
    <row r="948" spans="10:11" x14ac:dyDescent="0.25">
      <c r="J948" s="1">
        <f t="shared" si="29"/>
        <v>44413</v>
      </c>
      <c r="K948" s="2">
        <f t="shared" si="28"/>
        <v>14</v>
      </c>
    </row>
    <row r="949" spans="10:11" x14ac:dyDescent="0.25">
      <c r="J949" s="1">
        <f t="shared" si="29"/>
        <v>44414</v>
      </c>
      <c r="K949" s="2">
        <f t="shared" si="28"/>
        <v>11.375</v>
      </c>
    </row>
    <row r="950" spans="10:11" x14ac:dyDescent="0.25">
      <c r="J950" s="1">
        <f t="shared" si="29"/>
        <v>44415</v>
      </c>
      <c r="K950" s="2">
        <f t="shared" si="28"/>
        <v>22</v>
      </c>
    </row>
    <row r="951" spans="10:11" x14ac:dyDescent="0.25">
      <c r="J951" s="1">
        <f t="shared" si="29"/>
        <v>44416</v>
      </c>
      <c r="K951" s="2">
        <f t="shared" si="28"/>
        <v>23.25</v>
      </c>
    </row>
    <row r="952" spans="10:11" x14ac:dyDescent="0.25">
      <c r="J952" s="1">
        <f t="shared" si="29"/>
        <v>44417</v>
      </c>
      <c r="K952" s="2">
        <f t="shared" si="28"/>
        <v>14.75</v>
      </c>
    </row>
    <row r="953" spans="10:11" x14ac:dyDescent="0.25">
      <c r="J953" s="1">
        <f t="shared" si="29"/>
        <v>44418</v>
      </c>
      <c r="K953" s="2">
        <f t="shared" si="28"/>
        <v>12.975</v>
      </c>
    </row>
    <row r="954" spans="10:11" x14ac:dyDescent="0.25">
      <c r="J954" s="1">
        <f t="shared" si="29"/>
        <v>44419</v>
      </c>
      <c r="K954" s="2">
        <f t="shared" si="28"/>
        <v>11.275</v>
      </c>
    </row>
    <row r="955" spans="10:11" x14ac:dyDescent="0.25">
      <c r="J955" s="1">
        <f t="shared" si="29"/>
        <v>44420</v>
      </c>
      <c r="K955" s="2">
        <f t="shared" si="28"/>
        <v>11</v>
      </c>
    </row>
    <row r="956" spans="10:11" x14ac:dyDescent="0.25">
      <c r="J956" s="1">
        <f t="shared" si="29"/>
        <v>44421</v>
      </c>
      <c r="K956" s="2">
        <f t="shared" si="28"/>
        <v>15.25</v>
      </c>
    </row>
    <row r="957" spans="10:11" x14ac:dyDescent="0.25">
      <c r="J957" s="1">
        <f t="shared" si="29"/>
        <v>44422</v>
      </c>
      <c r="K957" s="2">
        <f t="shared" si="28"/>
        <v>22.75</v>
      </c>
    </row>
    <row r="958" spans="10:11" x14ac:dyDescent="0.25">
      <c r="J958" s="1">
        <f t="shared" si="29"/>
        <v>44423</v>
      </c>
      <c r="K958" s="2">
        <f t="shared" si="28"/>
        <v>18.25</v>
      </c>
    </row>
    <row r="959" spans="10:11" x14ac:dyDescent="0.25">
      <c r="J959" s="1">
        <f t="shared" si="29"/>
        <v>44424</v>
      </c>
      <c r="K959" s="2">
        <f t="shared" si="28"/>
        <v>21.75</v>
      </c>
    </row>
    <row r="960" spans="10:11" x14ac:dyDescent="0.25">
      <c r="J960" s="1">
        <f t="shared" si="29"/>
        <v>44425</v>
      </c>
      <c r="K960" s="2">
        <f t="shared" si="28"/>
        <v>10.625</v>
      </c>
    </row>
    <row r="961" spans="10:11" x14ac:dyDescent="0.25">
      <c r="J961" s="1">
        <f t="shared" si="29"/>
        <v>44426</v>
      </c>
      <c r="K961" s="2">
        <f t="shared" si="28"/>
        <v>9.5</v>
      </c>
    </row>
    <row r="962" spans="10:11" x14ac:dyDescent="0.25">
      <c r="J962" s="1">
        <f t="shared" si="29"/>
        <v>44427</v>
      </c>
      <c r="K962" s="2">
        <f t="shared" si="28"/>
        <v>13.125</v>
      </c>
    </row>
    <row r="963" spans="10:11" x14ac:dyDescent="0.25">
      <c r="J963" s="1">
        <f t="shared" si="29"/>
        <v>44428</v>
      </c>
      <c r="K963" s="2">
        <f t="shared" ref="K963:K1026" si="30">VLOOKUP(J963, G:H, 2, FALSE)</f>
        <v>18.125</v>
      </c>
    </row>
    <row r="964" spans="10:11" x14ac:dyDescent="0.25">
      <c r="J964" s="1">
        <f t="shared" si="29"/>
        <v>44429</v>
      </c>
      <c r="K964" s="2">
        <f t="shared" si="30"/>
        <v>24.125</v>
      </c>
    </row>
    <row r="965" spans="10:11" x14ac:dyDescent="0.25">
      <c r="J965" s="1">
        <f t="shared" ref="J965:J1028" si="31">DATE(2019,1,1) + ROW()-1</f>
        <v>44430</v>
      </c>
      <c r="K965" s="2">
        <f t="shared" si="30"/>
        <v>24.25</v>
      </c>
    </row>
    <row r="966" spans="10:11" x14ac:dyDescent="0.25">
      <c r="J966" s="1">
        <f t="shared" si="31"/>
        <v>44431</v>
      </c>
      <c r="K966" s="2">
        <f t="shared" si="30"/>
        <v>11.25</v>
      </c>
    </row>
    <row r="967" spans="10:11" x14ac:dyDescent="0.25">
      <c r="J967" s="1">
        <f t="shared" si="31"/>
        <v>44432</v>
      </c>
      <c r="K967" s="2">
        <f t="shared" si="30"/>
        <v>7.75</v>
      </c>
    </row>
    <row r="968" spans="10:11" x14ac:dyDescent="0.25">
      <c r="J968" s="1">
        <f t="shared" si="31"/>
        <v>44433</v>
      </c>
      <c r="K968" s="2">
        <f t="shared" si="30"/>
        <v>11.5</v>
      </c>
    </row>
    <row r="969" spans="10:11" x14ac:dyDescent="0.25">
      <c r="J969" s="1">
        <f t="shared" si="31"/>
        <v>44434</v>
      </c>
      <c r="K969" s="2">
        <f t="shared" si="30"/>
        <v>9</v>
      </c>
    </row>
    <row r="970" spans="10:11" x14ac:dyDescent="0.25">
      <c r="J970" s="1">
        <f t="shared" si="31"/>
        <v>44435</v>
      </c>
      <c r="K970" s="2">
        <f t="shared" si="30"/>
        <v>16.5</v>
      </c>
    </row>
    <row r="971" spans="10:11" x14ac:dyDescent="0.25">
      <c r="J971" s="1">
        <f t="shared" si="31"/>
        <v>44436</v>
      </c>
      <c r="K971" s="2">
        <f t="shared" si="30"/>
        <v>21.125</v>
      </c>
    </row>
    <row r="972" spans="10:11" x14ac:dyDescent="0.25">
      <c r="J972" s="1">
        <f t="shared" si="31"/>
        <v>44437</v>
      </c>
      <c r="K972" s="2">
        <f t="shared" si="30"/>
        <v>22.125</v>
      </c>
    </row>
    <row r="973" spans="10:11" x14ac:dyDescent="0.25">
      <c r="J973" s="1">
        <f t="shared" si="31"/>
        <v>44438</v>
      </c>
      <c r="K973" s="2">
        <f t="shared" si="30"/>
        <v>11.25</v>
      </c>
    </row>
    <row r="974" spans="10:11" x14ac:dyDescent="0.25">
      <c r="J974" s="1">
        <f t="shared" si="31"/>
        <v>44439</v>
      </c>
      <c r="K974" s="2">
        <f t="shared" si="30"/>
        <v>6.5</v>
      </c>
    </row>
    <row r="975" spans="10:11" x14ac:dyDescent="0.25">
      <c r="J975" s="1">
        <f t="shared" si="31"/>
        <v>44440</v>
      </c>
      <c r="K975" s="2">
        <f t="shared" si="30"/>
        <v>11</v>
      </c>
    </row>
    <row r="976" spans="10:11" x14ac:dyDescent="0.25">
      <c r="J976" s="1">
        <f t="shared" si="31"/>
        <v>44441</v>
      </c>
      <c r="K976" s="2">
        <f t="shared" si="30"/>
        <v>17</v>
      </c>
    </row>
    <row r="977" spans="10:11" x14ac:dyDescent="0.25">
      <c r="J977" s="1">
        <f t="shared" si="31"/>
        <v>44442</v>
      </c>
      <c r="K977" s="2">
        <f t="shared" si="30"/>
        <v>25.5</v>
      </c>
    </row>
    <row r="978" spans="10:11" x14ac:dyDescent="0.25">
      <c r="J978" s="1">
        <f t="shared" si="31"/>
        <v>44443</v>
      </c>
      <c r="K978" s="2">
        <f t="shared" si="30"/>
        <v>25.625</v>
      </c>
    </row>
    <row r="979" spans="10:11" x14ac:dyDescent="0.25">
      <c r="J979" s="1">
        <f t="shared" si="31"/>
        <v>44444</v>
      </c>
      <c r="K979" s="2">
        <f t="shared" si="30"/>
        <v>29.875</v>
      </c>
    </row>
    <row r="980" spans="10:11" x14ac:dyDescent="0.25">
      <c r="J980" s="1">
        <f t="shared" si="31"/>
        <v>44445</v>
      </c>
      <c r="K980" s="2">
        <f t="shared" si="30"/>
        <v>8.5</v>
      </c>
    </row>
    <row r="981" spans="10:11" x14ac:dyDescent="0.25">
      <c r="J981" s="1">
        <f t="shared" si="31"/>
        <v>44446</v>
      </c>
      <c r="K981" s="2">
        <f t="shared" si="30"/>
        <v>10.75</v>
      </c>
    </row>
    <row r="982" spans="10:11" x14ac:dyDescent="0.25">
      <c r="J982" s="1">
        <f t="shared" si="31"/>
        <v>44447</v>
      </c>
      <c r="K982" s="2">
        <f t="shared" si="30"/>
        <v>8.25</v>
      </c>
    </row>
    <row r="983" spans="10:11" x14ac:dyDescent="0.25">
      <c r="J983" s="1">
        <f t="shared" si="31"/>
        <v>44448</v>
      </c>
      <c r="K983" s="2">
        <f t="shared" si="30"/>
        <v>6.375</v>
      </c>
    </row>
    <row r="984" spans="10:11" x14ac:dyDescent="0.25">
      <c r="J984" s="1">
        <f t="shared" si="31"/>
        <v>44449</v>
      </c>
      <c r="K984" s="2">
        <f t="shared" si="30"/>
        <v>13.5</v>
      </c>
    </row>
    <row r="985" spans="10:11" x14ac:dyDescent="0.25">
      <c r="J985" s="1">
        <f t="shared" si="31"/>
        <v>44450</v>
      </c>
      <c r="K985" s="2">
        <f t="shared" si="30"/>
        <v>25.875</v>
      </c>
    </row>
    <row r="986" spans="10:11" x14ac:dyDescent="0.25">
      <c r="J986" s="1">
        <f t="shared" si="31"/>
        <v>44451</v>
      </c>
      <c r="K986" s="2">
        <f t="shared" si="30"/>
        <v>22.75</v>
      </c>
    </row>
    <row r="987" spans="10:11" x14ac:dyDescent="0.25">
      <c r="J987" s="1">
        <f t="shared" si="31"/>
        <v>44452</v>
      </c>
      <c r="K987" s="2">
        <f t="shared" si="30"/>
        <v>10.375</v>
      </c>
    </row>
    <row r="988" spans="10:11" x14ac:dyDescent="0.25">
      <c r="J988" s="1">
        <f t="shared" si="31"/>
        <v>44453</v>
      </c>
      <c r="K988" s="2">
        <f t="shared" si="30"/>
        <v>13.625</v>
      </c>
    </row>
    <row r="989" spans="10:11" x14ac:dyDescent="0.25">
      <c r="J989" s="1">
        <f t="shared" si="31"/>
        <v>44454</v>
      </c>
      <c r="K989" s="2">
        <f t="shared" si="30"/>
        <v>11.75</v>
      </c>
    </row>
    <row r="990" spans="10:11" x14ac:dyDescent="0.25">
      <c r="J990" s="1">
        <f t="shared" si="31"/>
        <v>44455</v>
      </c>
      <c r="K990" s="2">
        <f t="shared" si="30"/>
        <v>9</v>
      </c>
    </row>
    <row r="991" spans="10:11" x14ac:dyDescent="0.25">
      <c r="J991" s="1">
        <f t="shared" si="31"/>
        <v>44456</v>
      </c>
      <c r="K991" s="2">
        <f t="shared" si="30"/>
        <v>16.25</v>
      </c>
    </row>
    <row r="992" spans="10:11" x14ac:dyDescent="0.25">
      <c r="J992" s="1">
        <f t="shared" si="31"/>
        <v>44457</v>
      </c>
      <c r="K992" s="2">
        <f t="shared" si="30"/>
        <v>30.5</v>
      </c>
    </row>
    <row r="993" spans="10:11" x14ac:dyDescent="0.25">
      <c r="J993" s="1">
        <f t="shared" si="31"/>
        <v>44458</v>
      </c>
      <c r="K993" s="2">
        <f t="shared" si="30"/>
        <v>25.5</v>
      </c>
    </row>
    <row r="994" spans="10:11" x14ac:dyDescent="0.25">
      <c r="J994" s="1">
        <f t="shared" si="31"/>
        <v>44459</v>
      </c>
      <c r="K994" s="2">
        <f t="shared" si="30"/>
        <v>8.625</v>
      </c>
    </row>
    <row r="995" spans="10:11" x14ac:dyDescent="0.25">
      <c r="J995" s="1">
        <f t="shared" si="31"/>
        <v>44460</v>
      </c>
      <c r="K995" s="2">
        <f t="shared" si="30"/>
        <v>10.375</v>
      </c>
    </row>
    <row r="996" spans="10:11" x14ac:dyDescent="0.25">
      <c r="J996" s="1">
        <f t="shared" si="31"/>
        <v>44461</v>
      </c>
      <c r="K996" s="2">
        <f t="shared" si="30"/>
        <v>6.25</v>
      </c>
    </row>
    <row r="997" spans="10:11" x14ac:dyDescent="0.25">
      <c r="J997" s="1">
        <f t="shared" si="31"/>
        <v>44462</v>
      </c>
      <c r="K997" s="2">
        <f t="shared" si="30"/>
        <v>6.75</v>
      </c>
    </row>
    <row r="998" spans="10:11" x14ac:dyDescent="0.25">
      <c r="J998" s="1">
        <f t="shared" si="31"/>
        <v>44463</v>
      </c>
      <c r="K998" s="2">
        <f t="shared" si="30"/>
        <v>13</v>
      </c>
    </row>
    <row r="999" spans="10:11" x14ac:dyDescent="0.25">
      <c r="J999" s="1">
        <f t="shared" si="31"/>
        <v>44464</v>
      </c>
      <c r="K999" s="2">
        <f t="shared" si="30"/>
        <v>23.5</v>
      </c>
    </row>
    <row r="1000" spans="10:11" x14ac:dyDescent="0.25">
      <c r="J1000" s="1">
        <f t="shared" si="31"/>
        <v>44465</v>
      </c>
      <c r="K1000" s="2">
        <f t="shared" si="30"/>
        <v>18.25</v>
      </c>
    </row>
    <row r="1001" spans="10:11" x14ac:dyDescent="0.25">
      <c r="J1001" s="1">
        <f t="shared" si="31"/>
        <v>44466</v>
      </c>
      <c r="K1001" s="2">
        <f t="shared" si="30"/>
        <v>8</v>
      </c>
    </row>
    <row r="1002" spans="10:11" x14ac:dyDescent="0.25">
      <c r="J1002" s="1">
        <f t="shared" si="31"/>
        <v>44467</v>
      </c>
      <c r="K1002" s="2">
        <f t="shared" si="30"/>
        <v>9.5</v>
      </c>
    </row>
    <row r="1003" spans="10:11" x14ac:dyDescent="0.25">
      <c r="J1003" s="1">
        <f t="shared" si="31"/>
        <v>44468</v>
      </c>
      <c r="K1003" s="2">
        <f t="shared" si="30"/>
        <v>11</v>
      </c>
    </row>
    <row r="1004" spans="10:11" x14ac:dyDescent="0.25">
      <c r="J1004" s="1">
        <f t="shared" si="31"/>
        <v>44469</v>
      </c>
      <c r="K1004" s="2">
        <f t="shared" si="30"/>
        <v>8.375</v>
      </c>
    </row>
    <row r="1005" spans="10:11" x14ac:dyDescent="0.25">
      <c r="J1005" s="1">
        <f t="shared" si="31"/>
        <v>44470</v>
      </c>
      <c r="K1005" s="2">
        <f t="shared" si="30"/>
        <v>18.375</v>
      </c>
    </row>
    <row r="1006" spans="10:11" x14ac:dyDescent="0.25">
      <c r="J1006" s="1">
        <f t="shared" si="31"/>
        <v>44471</v>
      </c>
      <c r="K1006" s="2">
        <f t="shared" si="30"/>
        <v>25</v>
      </c>
    </row>
    <row r="1007" spans="10:11" x14ac:dyDescent="0.25">
      <c r="J1007" s="1">
        <f t="shared" si="31"/>
        <v>44472</v>
      </c>
      <c r="K1007" s="2">
        <f t="shared" si="30"/>
        <v>26.25</v>
      </c>
    </row>
    <row r="1008" spans="10:11" x14ac:dyDescent="0.25">
      <c r="J1008" s="1">
        <f t="shared" si="31"/>
        <v>44473</v>
      </c>
      <c r="K1008" s="2">
        <f t="shared" si="30"/>
        <v>9.75</v>
      </c>
    </row>
    <row r="1009" spans="10:11" x14ac:dyDescent="0.25">
      <c r="J1009" s="1">
        <f t="shared" si="31"/>
        <v>44474</v>
      </c>
      <c r="K1009" s="2">
        <f t="shared" si="30"/>
        <v>10</v>
      </c>
    </row>
    <row r="1010" spans="10:11" x14ac:dyDescent="0.25">
      <c r="J1010" s="1">
        <f t="shared" si="31"/>
        <v>44475</v>
      </c>
      <c r="K1010" s="2">
        <f t="shared" si="30"/>
        <v>11</v>
      </c>
    </row>
    <row r="1011" spans="10:11" x14ac:dyDescent="0.25">
      <c r="J1011" s="1">
        <f t="shared" si="31"/>
        <v>44476</v>
      </c>
      <c r="K1011" s="2">
        <f t="shared" si="30"/>
        <v>8</v>
      </c>
    </row>
    <row r="1012" spans="10:11" x14ac:dyDescent="0.25">
      <c r="J1012" s="1">
        <f t="shared" si="31"/>
        <v>44477</v>
      </c>
      <c r="K1012" s="2">
        <f t="shared" si="30"/>
        <v>12.125</v>
      </c>
    </row>
    <row r="1013" spans="10:11" x14ac:dyDescent="0.25">
      <c r="J1013" s="1">
        <f t="shared" si="31"/>
        <v>44478</v>
      </c>
      <c r="K1013" s="2">
        <f t="shared" si="30"/>
        <v>26.375</v>
      </c>
    </row>
    <row r="1014" spans="10:11" x14ac:dyDescent="0.25">
      <c r="J1014" s="1">
        <f t="shared" si="31"/>
        <v>44479</v>
      </c>
      <c r="K1014" s="2">
        <f t="shared" si="30"/>
        <v>25.5</v>
      </c>
    </row>
    <row r="1015" spans="10:11" x14ac:dyDescent="0.25">
      <c r="J1015" s="1">
        <f t="shared" si="31"/>
        <v>44480</v>
      </c>
      <c r="K1015" s="2">
        <f t="shared" si="30"/>
        <v>16.25</v>
      </c>
    </row>
    <row r="1016" spans="10:11" x14ac:dyDescent="0.25">
      <c r="J1016" s="1">
        <f t="shared" si="31"/>
        <v>44481</v>
      </c>
      <c r="K1016" s="2">
        <f t="shared" si="30"/>
        <v>8.875</v>
      </c>
    </row>
    <row r="1017" spans="10:11" x14ac:dyDescent="0.25">
      <c r="J1017" s="1">
        <f t="shared" si="31"/>
        <v>44482</v>
      </c>
      <c r="K1017" s="2">
        <f t="shared" si="30"/>
        <v>10.125</v>
      </c>
    </row>
    <row r="1018" spans="10:11" x14ac:dyDescent="0.25">
      <c r="J1018" s="1">
        <f t="shared" si="31"/>
        <v>44483</v>
      </c>
      <c r="K1018" s="2">
        <f t="shared" si="30"/>
        <v>8.25</v>
      </c>
    </row>
    <row r="1019" spans="10:11" x14ac:dyDescent="0.25">
      <c r="J1019" s="1">
        <f t="shared" si="31"/>
        <v>44484</v>
      </c>
      <c r="K1019" s="2">
        <f t="shared" si="30"/>
        <v>13.75</v>
      </c>
    </row>
    <row r="1020" spans="10:11" x14ac:dyDescent="0.25">
      <c r="J1020" s="1">
        <f t="shared" si="31"/>
        <v>44485</v>
      </c>
      <c r="K1020" s="2">
        <f t="shared" si="30"/>
        <v>25.25</v>
      </c>
    </row>
    <row r="1021" spans="10:11" x14ac:dyDescent="0.25">
      <c r="J1021" s="1">
        <f t="shared" si="31"/>
        <v>44486</v>
      </c>
      <c r="K1021" s="2">
        <f t="shared" si="30"/>
        <v>27.5</v>
      </c>
    </row>
    <row r="1022" spans="10:11" x14ac:dyDescent="0.25">
      <c r="J1022" s="1">
        <f t="shared" si="31"/>
        <v>44487</v>
      </c>
      <c r="K1022" s="2">
        <f t="shared" si="30"/>
        <v>21.375</v>
      </c>
    </row>
    <row r="1023" spans="10:11" x14ac:dyDescent="0.25">
      <c r="J1023" s="1">
        <f t="shared" si="31"/>
        <v>44488</v>
      </c>
      <c r="K1023" s="2">
        <f t="shared" si="30"/>
        <v>8.125</v>
      </c>
    </row>
    <row r="1024" spans="10:11" x14ac:dyDescent="0.25">
      <c r="J1024" s="1">
        <f t="shared" si="31"/>
        <v>44489</v>
      </c>
      <c r="K1024" s="2">
        <f t="shared" si="30"/>
        <v>11</v>
      </c>
    </row>
    <row r="1025" spans="10:11" x14ac:dyDescent="0.25">
      <c r="J1025" s="1">
        <f t="shared" si="31"/>
        <v>44490</v>
      </c>
      <c r="K1025" s="2">
        <f t="shared" si="30"/>
        <v>13.5</v>
      </c>
    </row>
    <row r="1026" spans="10:11" x14ac:dyDescent="0.25">
      <c r="J1026" s="1">
        <f t="shared" si="31"/>
        <v>44491</v>
      </c>
      <c r="K1026" s="2">
        <f t="shared" si="30"/>
        <v>12.5</v>
      </c>
    </row>
    <row r="1027" spans="10:11" x14ac:dyDescent="0.25">
      <c r="J1027" s="1">
        <f t="shared" si="31"/>
        <v>44492</v>
      </c>
      <c r="K1027" s="2">
        <f t="shared" ref="K1027:K1090" si="32">VLOOKUP(J1027, G:H, 2, FALSE)</f>
        <v>27.5</v>
      </c>
    </row>
    <row r="1028" spans="10:11" x14ac:dyDescent="0.25">
      <c r="J1028" s="1">
        <f t="shared" si="31"/>
        <v>44493</v>
      </c>
      <c r="K1028" s="2">
        <f t="shared" si="32"/>
        <v>30.5</v>
      </c>
    </row>
    <row r="1029" spans="10:11" x14ac:dyDescent="0.25">
      <c r="J1029" s="1">
        <f t="shared" ref="J1029:J1092" si="33">DATE(2019,1,1) + ROW()-1</f>
        <v>44494</v>
      </c>
      <c r="K1029" s="2">
        <f t="shared" si="32"/>
        <v>7.5</v>
      </c>
    </row>
    <row r="1030" spans="10:11" x14ac:dyDescent="0.25">
      <c r="J1030" s="1">
        <f t="shared" si="33"/>
        <v>44495</v>
      </c>
      <c r="K1030" s="2">
        <f t="shared" si="32"/>
        <v>12</v>
      </c>
    </row>
    <row r="1031" spans="10:11" x14ac:dyDescent="0.25">
      <c r="J1031" s="1">
        <f t="shared" si="33"/>
        <v>44496</v>
      </c>
      <c r="K1031" s="2">
        <f t="shared" si="32"/>
        <v>10.25</v>
      </c>
    </row>
    <row r="1032" spans="10:11" x14ac:dyDescent="0.25">
      <c r="J1032" s="1">
        <f t="shared" si="33"/>
        <v>44497</v>
      </c>
      <c r="K1032" s="2">
        <f t="shared" si="32"/>
        <v>14</v>
      </c>
    </row>
    <row r="1033" spans="10:11" x14ac:dyDescent="0.25">
      <c r="J1033" s="1">
        <f t="shared" si="33"/>
        <v>44498</v>
      </c>
      <c r="K1033" s="2">
        <f t="shared" si="32"/>
        <v>33.25</v>
      </c>
    </row>
    <row r="1034" spans="10:11" x14ac:dyDescent="0.25">
      <c r="J1034" s="1">
        <f t="shared" si="33"/>
        <v>44499</v>
      </c>
      <c r="K1034" s="2">
        <f t="shared" si="32"/>
        <v>13.5</v>
      </c>
    </row>
    <row r="1035" spans="10:11" x14ac:dyDescent="0.25">
      <c r="J1035" s="1">
        <f t="shared" si="33"/>
        <v>44500</v>
      </c>
      <c r="K1035" s="2">
        <f t="shared" si="32"/>
        <v>45</v>
      </c>
    </row>
    <row r="1036" spans="10:11" x14ac:dyDescent="0.25">
      <c r="J1036" s="1">
        <f t="shared" si="33"/>
        <v>44501</v>
      </c>
      <c r="K1036" s="2">
        <f t="shared" si="32"/>
        <v>17.5</v>
      </c>
    </row>
    <row r="1037" spans="10:11" x14ac:dyDescent="0.25">
      <c r="J1037" s="1">
        <f t="shared" si="33"/>
        <v>44502</v>
      </c>
      <c r="K1037" s="2">
        <f t="shared" si="32"/>
        <v>7.75</v>
      </c>
    </row>
    <row r="1038" spans="10:11" x14ac:dyDescent="0.25">
      <c r="J1038" s="1">
        <f t="shared" si="33"/>
        <v>44503</v>
      </c>
      <c r="K1038" s="2">
        <f t="shared" si="32"/>
        <v>9.75</v>
      </c>
    </row>
    <row r="1039" spans="10:11" x14ac:dyDescent="0.25">
      <c r="J1039" s="1">
        <f t="shared" si="33"/>
        <v>44504</v>
      </c>
      <c r="K1039" s="2">
        <f t="shared" si="32"/>
        <v>6.625</v>
      </c>
    </row>
    <row r="1040" spans="10:11" x14ac:dyDescent="0.25">
      <c r="J1040" s="1">
        <f t="shared" si="33"/>
        <v>44505</v>
      </c>
      <c r="K1040" s="2">
        <f t="shared" si="32"/>
        <v>19.5</v>
      </c>
    </row>
    <row r="1041" spans="10:11" x14ac:dyDescent="0.25">
      <c r="J1041" s="1">
        <f t="shared" si="33"/>
        <v>44506</v>
      </c>
      <c r="K1041" s="2">
        <f t="shared" si="32"/>
        <v>24.625</v>
      </c>
    </row>
    <row r="1042" spans="10:11" x14ac:dyDescent="0.25">
      <c r="J1042" s="1">
        <f t="shared" si="33"/>
        <v>44507</v>
      </c>
      <c r="K1042" s="2">
        <f t="shared" si="32"/>
        <v>18.25</v>
      </c>
    </row>
    <row r="1043" spans="10:11" x14ac:dyDescent="0.25">
      <c r="J1043" s="1">
        <f t="shared" si="33"/>
        <v>44508</v>
      </c>
      <c r="K1043" s="2">
        <f t="shared" si="32"/>
        <v>11</v>
      </c>
    </row>
    <row r="1044" spans="10:11" x14ac:dyDescent="0.25">
      <c r="J1044" s="1">
        <f t="shared" si="33"/>
        <v>44509</v>
      </c>
      <c r="K1044" s="2">
        <f t="shared" si="32"/>
        <v>9.25</v>
      </c>
    </row>
    <row r="1045" spans="10:11" x14ac:dyDescent="0.25">
      <c r="J1045" s="1">
        <f t="shared" si="33"/>
        <v>44510</v>
      </c>
      <c r="K1045" s="2">
        <f t="shared" si="32"/>
        <v>12.75</v>
      </c>
    </row>
    <row r="1046" spans="10:11" x14ac:dyDescent="0.25">
      <c r="J1046" s="1">
        <f t="shared" si="33"/>
        <v>44511</v>
      </c>
      <c r="K1046" s="2">
        <f t="shared" si="32"/>
        <v>11.375</v>
      </c>
    </row>
    <row r="1047" spans="10:11" x14ac:dyDescent="0.25">
      <c r="J1047" s="1">
        <f t="shared" si="33"/>
        <v>44512</v>
      </c>
      <c r="K1047" s="2">
        <f t="shared" si="32"/>
        <v>5.25</v>
      </c>
    </row>
    <row r="1048" spans="10:11" x14ac:dyDescent="0.25">
      <c r="J1048" s="1">
        <f t="shared" si="33"/>
        <v>44513</v>
      </c>
      <c r="K1048" s="2">
        <f t="shared" si="32"/>
        <v>16.75</v>
      </c>
    </row>
    <row r="1049" spans="10:11" x14ac:dyDescent="0.25">
      <c r="J1049" s="1">
        <f t="shared" si="33"/>
        <v>44514</v>
      </c>
      <c r="K1049" s="2">
        <f t="shared" si="32"/>
        <v>23.875</v>
      </c>
    </row>
    <row r="1050" spans="10:11" x14ac:dyDescent="0.25">
      <c r="J1050" s="1">
        <f t="shared" si="33"/>
        <v>44515</v>
      </c>
      <c r="K1050" s="2">
        <f t="shared" si="32"/>
        <v>12.25</v>
      </c>
    </row>
    <row r="1051" spans="10:11" x14ac:dyDescent="0.25">
      <c r="J1051" s="1">
        <f t="shared" si="33"/>
        <v>44516</v>
      </c>
      <c r="K1051" s="2">
        <f t="shared" si="32"/>
        <v>13.75</v>
      </c>
    </row>
    <row r="1052" spans="10:11" x14ac:dyDescent="0.25">
      <c r="J1052" s="1">
        <f t="shared" si="33"/>
        <v>44517</v>
      </c>
      <c r="K1052" s="2">
        <f t="shared" si="32"/>
        <v>10.38</v>
      </c>
    </row>
    <row r="1053" spans="10:11" x14ac:dyDescent="0.25">
      <c r="J1053" s="1">
        <f t="shared" si="33"/>
        <v>44518</v>
      </c>
      <c r="K1053" s="2">
        <f t="shared" si="32"/>
        <v>4.4950000000000001</v>
      </c>
    </row>
    <row r="1054" spans="10:11" x14ac:dyDescent="0.25">
      <c r="J1054" s="1">
        <f t="shared" si="33"/>
        <v>44519</v>
      </c>
      <c r="K1054" s="2">
        <f t="shared" si="32"/>
        <v>13.75</v>
      </c>
    </row>
    <row r="1055" spans="10:11" x14ac:dyDescent="0.25">
      <c r="J1055" s="1">
        <f t="shared" si="33"/>
        <v>44520</v>
      </c>
      <c r="K1055" s="2">
        <f t="shared" si="32"/>
        <v>23.375</v>
      </c>
    </row>
    <row r="1056" spans="10:11" x14ac:dyDescent="0.25">
      <c r="J1056" s="1">
        <f t="shared" si="33"/>
        <v>44521</v>
      </c>
      <c r="K1056" s="2">
        <f t="shared" si="32"/>
        <v>18.75</v>
      </c>
    </row>
    <row r="1057" spans="10:11" x14ac:dyDescent="0.25">
      <c r="J1057" s="1">
        <f t="shared" si="33"/>
        <v>44522</v>
      </c>
      <c r="K1057" s="2">
        <f t="shared" si="32"/>
        <v>5.7</v>
      </c>
    </row>
    <row r="1058" spans="10:11" x14ac:dyDescent="0.25">
      <c r="J1058" s="1">
        <f t="shared" si="33"/>
        <v>44523</v>
      </c>
      <c r="K1058" s="2">
        <f t="shared" si="32"/>
        <v>9.5500000000000007</v>
      </c>
    </row>
    <row r="1059" spans="10:11" x14ac:dyDescent="0.25">
      <c r="J1059" s="1">
        <f t="shared" si="33"/>
        <v>44524</v>
      </c>
      <c r="K1059" s="2">
        <f t="shared" si="32"/>
        <v>11.375</v>
      </c>
    </row>
    <row r="1060" spans="10:11" x14ac:dyDescent="0.25">
      <c r="J1060" s="1">
        <f t="shared" si="33"/>
        <v>44525</v>
      </c>
      <c r="K1060" s="2">
        <f t="shared" si="32"/>
        <v>10.5</v>
      </c>
    </row>
    <row r="1061" spans="10:11" x14ac:dyDescent="0.25">
      <c r="J1061" s="1">
        <f t="shared" si="33"/>
        <v>44526</v>
      </c>
      <c r="K1061" s="2">
        <f t="shared" si="32"/>
        <v>12.625</v>
      </c>
    </row>
    <row r="1062" spans="10:11" x14ac:dyDescent="0.25">
      <c r="J1062" s="1">
        <f t="shared" si="33"/>
        <v>44527</v>
      </c>
      <c r="K1062" s="2">
        <f t="shared" si="32"/>
        <v>25</v>
      </c>
    </row>
    <row r="1063" spans="10:11" x14ac:dyDescent="0.25">
      <c r="J1063" s="1">
        <f t="shared" si="33"/>
        <v>44528</v>
      </c>
      <c r="K1063" s="2">
        <f t="shared" si="32"/>
        <v>21.875</v>
      </c>
    </row>
    <row r="1064" spans="10:11" x14ac:dyDescent="0.25">
      <c r="J1064" s="1">
        <f t="shared" si="33"/>
        <v>44529</v>
      </c>
      <c r="K1064" s="2">
        <f t="shared" si="32"/>
        <v>10.125</v>
      </c>
    </row>
    <row r="1065" spans="10:11" x14ac:dyDescent="0.25">
      <c r="J1065" s="1">
        <f t="shared" si="33"/>
        <v>44530</v>
      </c>
      <c r="K1065" s="2">
        <f t="shared" si="32"/>
        <v>9</v>
      </c>
    </row>
    <row r="1066" spans="10:11" x14ac:dyDescent="0.25">
      <c r="J1066" s="1">
        <f t="shared" si="33"/>
        <v>44531</v>
      </c>
      <c r="K1066" s="2">
        <f t="shared" si="32"/>
        <v>14.5</v>
      </c>
    </row>
    <row r="1067" spans="10:11" x14ac:dyDescent="0.25">
      <c r="J1067" s="1">
        <f t="shared" si="33"/>
        <v>44532</v>
      </c>
      <c r="K1067" s="2">
        <f t="shared" si="32"/>
        <v>9.5</v>
      </c>
    </row>
    <row r="1068" spans="10:11" x14ac:dyDescent="0.25">
      <c r="J1068" s="1">
        <f t="shared" si="33"/>
        <v>44533</v>
      </c>
      <c r="K1068" s="2">
        <f t="shared" si="32"/>
        <v>15.25</v>
      </c>
    </row>
    <row r="1069" spans="10:11" x14ac:dyDescent="0.25">
      <c r="J1069" s="1">
        <f t="shared" si="33"/>
        <v>44534</v>
      </c>
      <c r="K1069" s="2">
        <f t="shared" si="32"/>
        <v>22.5</v>
      </c>
    </row>
    <row r="1070" spans="10:11" x14ac:dyDescent="0.25">
      <c r="J1070" s="1">
        <f t="shared" si="33"/>
        <v>44535</v>
      </c>
      <c r="K1070" s="2">
        <f t="shared" si="32"/>
        <v>24.75</v>
      </c>
    </row>
    <row r="1071" spans="10:11" x14ac:dyDescent="0.25">
      <c r="J1071" s="1">
        <f t="shared" si="33"/>
        <v>44536</v>
      </c>
      <c r="K1071" s="2">
        <f t="shared" si="32"/>
        <v>6.75</v>
      </c>
    </row>
    <row r="1072" spans="10:11" x14ac:dyDescent="0.25">
      <c r="J1072" s="1">
        <f t="shared" si="33"/>
        <v>44537</v>
      </c>
      <c r="K1072" s="2">
        <f t="shared" si="32"/>
        <v>24.75</v>
      </c>
    </row>
    <row r="1073" spans="10:11" x14ac:dyDescent="0.25">
      <c r="J1073" s="1">
        <f t="shared" si="33"/>
        <v>44538</v>
      </c>
      <c r="K1073" s="2">
        <f t="shared" si="32"/>
        <v>16.875</v>
      </c>
    </row>
    <row r="1074" spans="10:11" x14ac:dyDescent="0.25">
      <c r="J1074" s="1">
        <f t="shared" si="33"/>
        <v>44539</v>
      </c>
      <c r="K1074" s="2">
        <f t="shared" si="32"/>
        <v>5.375</v>
      </c>
    </row>
    <row r="1075" spans="10:11" x14ac:dyDescent="0.25">
      <c r="J1075" s="1">
        <f t="shared" si="33"/>
        <v>44540</v>
      </c>
      <c r="K1075" s="2">
        <f t="shared" si="32"/>
        <v>8</v>
      </c>
    </row>
    <row r="1076" spans="10:11" x14ac:dyDescent="0.25">
      <c r="J1076" s="1">
        <f t="shared" si="33"/>
        <v>44541</v>
      </c>
      <c r="K1076" s="2">
        <f t="shared" si="32"/>
        <v>18.25</v>
      </c>
    </row>
    <row r="1077" spans="10:11" x14ac:dyDescent="0.25">
      <c r="J1077" s="1">
        <f t="shared" si="33"/>
        <v>44542</v>
      </c>
      <c r="K1077" s="2">
        <f t="shared" si="32"/>
        <v>17.875</v>
      </c>
    </row>
    <row r="1078" spans="10:11" x14ac:dyDescent="0.25">
      <c r="J1078" s="1">
        <f t="shared" si="33"/>
        <v>44543</v>
      </c>
      <c r="K1078" s="2">
        <f t="shared" si="32"/>
        <v>10.375</v>
      </c>
    </row>
    <row r="1079" spans="10:11" x14ac:dyDescent="0.25">
      <c r="J1079" s="1">
        <f t="shared" si="33"/>
        <v>44544</v>
      </c>
      <c r="K1079" s="2">
        <f t="shared" si="32"/>
        <v>11</v>
      </c>
    </row>
    <row r="1080" spans="10:11" x14ac:dyDescent="0.25">
      <c r="J1080" s="1">
        <f t="shared" si="33"/>
        <v>44545</v>
      </c>
      <c r="K1080" s="2">
        <f t="shared" si="32"/>
        <v>8.75</v>
      </c>
    </row>
    <row r="1081" spans="10:11" x14ac:dyDescent="0.25">
      <c r="J1081" s="1">
        <f t="shared" si="33"/>
        <v>44546</v>
      </c>
      <c r="K1081" s="2">
        <f t="shared" si="32"/>
        <v>10.75</v>
      </c>
    </row>
    <row r="1082" spans="10:11" x14ac:dyDescent="0.25">
      <c r="J1082" s="1">
        <f t="shared" si="33"/>
        <v>44547</v>
      </c>
      <c r="K1082" s="2">
        <f t="shared" si="32"/>
        <v>12</v>
      </c>
    </row>
    <row r="1083" spans="10:11" x14ac:dyDescent="0.25">
      <c r="J1083" s="1">
        <f t="shared" si="33"/>
        <v>44548</v>
      </c>
      <c r="K1083" s="2">
        <f t="shared" si="32"/>
        <v>27</v>
      </c>
    </row>
    <row r="1084" spans="10:11" x14ac:dyDescent="0.25">
      <c r="J1084" s="1">
        <f t="shared" si="33"/>
        <v>44549</v>
      </c>
      <c r="K1084" s="2">
        <f t="shared" si="32"/>
        <v>16.5</v>
      </c>
    </row>
    <row r="1085" spans="10:11" x14ac:dyDescent="0.25">
      <c r="J1085" s="1">
        <f t="shared" si="33"/>
        <v>44550</v>
      </c>
      <c r="K1085" s="2">
        <f t="shared" si="32"/>
        <v>22.75</v>
      </c>
    </row>
    <row r="1086" spans="10:11" x14ac:dyDescent="0.25">
      <c r="J1086" s="1">
        <f t="shared" si="33"/>
        <v>44551</v>
      </c>
      <c r="K1086" s="2">
        <f t="shared" si="32"/>
        <v>20.75</v>
      </c>
    </row>
    <row r="1087" spans="10:11" x14ac:dyDescent="0.25">
      <c r="J1087" s="1">
        <f t="shared" si="33"/>
        <v>44552</v>
      </c>
      <c r="K1087" s="2">
        <f t="shared" si="32"/>
        <v>13.125</v>
      </c>
    </row>
    <row r="1088" spans="10:11" x14ac:dyDescent="0.25">
      <c r="J1088" s="1">
        <f t="shared" si="33"/>
        <v>44553</v>
      </c>
      <c r="K1088" s="2">
        <f t="shared" si="32"/>
        <v>15.5</v>
      </c>
    </row>
    <row r="1089" spans="10:11" x14ac:dyDescent="0.25">
      <c r="J1089" s="1">
        <f t="shared" si="33"/>
        <v>44554</v>
      </c>
      <c r="K1089" s="2">
        <f t="shared" si="32"/>
        <v>0</v>
      </c>
    </row>
    <row r="1090" spans="10:11" x14ac:dyDescent="0.25">
      <c r="J1090" s="1">
        <f t="shared" si="33"/>
        <v>44555</v>
      </c>
      <c r="K1090" s="2">
        <f t="shared" si="32"/>
        <v>26.375</v>
      </c>
    </row>
    <row r="1091" spans="10:11" x14ac:dyDescent="0.25">
      <c r="J1091" s="1">
        <f t="shared" si="33"/>
        <v>44556</v>
      </c>
      <c r="K1091" s="2">
        <f t="shared" ref="K1091:K1154" si="34">VLOOKUP(J1091, G:H, 2, FALSE)</f>
        <v>22.5</v>
      </c>
    </row>
    <row r="1092" spans="10:11" x14ac:dyDescent="0.25">
      <c r="J1092" s="1">
        <f t="shared" si="33"/>
        <v>44557</v>
      </c>
      <c r="K1092" s="2">
        <f t="shared" si="34"/>
        <v>11.5</v>
      </c>
    </row>
    <row r="1093" spans="10:11" x14ac:dyDescent="0.25">
      <c r="J1093" s="1">
        <f t="shared" ref="J1093:J1156" si="35">DATE(2019,1,1) + ROW()-1</f>
        <v>44558</v>
      </c>
      <c r="K1093" s="2">
        <f t="shared" si="34"/>
        <v>14</v>
      </c>
    </row>
    <row r="1094" spans="10:11" x14ac:dyDescent="0.25">
      <c r="J1094" s="1">
        <f t="shared" si="35"/>
        <v>44559</v>
      </c>
      <c r="K1094" s="2">
        <f t="shared" si="34"/>
        <v>8.125</v>
      </c>
    </row>
    <row r="1095" spans="10:11" x14ac:dyDescent="0.25">
      <c r="J1095" s="1">
        <f t="shared" si="35"/>
        <v>44560</v>
      </c>
      <c r="K1095" s="2">
        <f t="shared" si="34"/>
        <v>20.625</v>
      </c>
    </row>
    <row r="1096" spans="10:11" x14ac:dyDescent="0.25">
      <c r="J1096" s="1">
        <f t="shared" si="35"/>
        <v>44561</v>
      </c>
      <c r="K1096" s="2">
        <f t="shared" si="34"/>
        <v>43.875</v>
      </c>
    </row>
    <row r="1097" spans="10:11" x14ac:dyDescent="0.25">
      <c r="J1097" s="1">
        <f t="shared" si="35"/>
        <v>44562</v>
      </c>
      <c r="K1097" s="2">
        <f t="shared" si="34"/>
        <v>41.25</v>
      </c>
    </row>
    <row r="1098" spans="10:11" x14ac:dyDescent="0.25">
      <c r="J1098" s="1">
        <f t="shared" si="35"/>
        <v>44563</v>
      </c>
      <c r="K1098" s="2">
        <f t="shared" si="34"/>
        <v>30</v>
      </c>
    </row>
    <row r="1099" spans="10:11" x14ac:dyDescent="0.25">
      <c r="J1099" s="1">
        <f t="shared" si="35"/>
        <v>44564</v>
      </c>
      <c r="K1099" s="2">
        <f t="shared" si="34"/>
        <v>15.75</v>
      </c>
    </row>
    <row r="1100" spans="10:11" x14ac:dyDescent="0.25">
      <c r="J1100" s="1">
        <f t="shared" si="35"/>
        <v>44565</v>
      </c>
      <c r="K1100" s="2">
        <f t="shared" si="34"/>
        <v>16.75</v>
      </c>
    </row>
    <row r="1101" spans="10:11" x14ac:dyDescent="0.25">
      <c r="J1101" s="1">
        <f t="shared" si="35"/>
        <v>44566</v>
      </c>
      <c r="K1101" s="2">
        <f t="shared" si="34"/>
        <v>18.625</v>
      </c>
    </row>
    <row r="1102" spans="10:11" x14ac:dyDescent="0.25">
      <c r="J1102" s="1">
        <f t="shared" si="35"/>
        <v>44567</v>
      </c>
      <c r="K1102" s="2">
        <f t="shared" si="34"/>
        <v>11.875</v>
      </c>
    </row>
    <row r="1103" spans="10:11" x14ac:dyDescent="0.25">
      <c r="J1103" s="1">
        <f t="shared" si="35"/>
        <v>44568</v>
      </c>
      <c r="K1103" s="2">
        <f t="shared" si="34"/>
        <v>25.625</v>
      </c>
    </row>
    <row r="1104" spans="10:11" x14ac:dyDescent="0.25">
      <c r="J1104" s="1">
        <f t="shared" si="35"/>
        <v>44569</v>
      </c>
      <c r="K1104" s="2">
        <f t="shared" si="34"/>
        <v>12.25</v>
      </c>
    </row>
    <row r="1105" spans="10:11" x14ac:dyDescent="0.25">
      <c r="J1105" s="1">
        <f t="shared" si="35"/>
        <v>44570</v>
      </c>
      <c r="K1105" s="2">
        <f t="shared" si="34"/>
        <v>14.5</v>
      </c>
    </row>
    <row r="1106" spans="10:11" x14ac:dyDescent="0.25">
      <c r="J1106" s="1">
        <f t="shared" si="35"/>
        <v>44571</v>
      </c>
      <c r="K1106" s="2">
        <f t="shared" si="34"/>
        <v>16.25</v>
      </c>
    </row>
    <row r="1107" spans="10:11" x14ac:dyDescent="0.25">
      <c r="J1107" s="1">
        <f t="shared" si="35"/>
        <v>44572</v>
      </c>
      <c r="K1107" s="2">
        <f t="shared" si="34"/>
        <v>8.875</v>
      </c>
    </row>
    <row r="1108" spans="10:11" x14ac:dyDescent="0.25">
      <c r="J1108" s="1">
        <f t="shared" si="35"/>
        <v>44573</v>
      </c>
      <c r="K1108" s="2">
        <f t="shared" si="34"/>
        <v>15.375</v>
      </c>
    </row>
    <row r="1109" spans="10:11" x14ac:dyDescent="0.25">
      <c r="J1109" s="1">
        <f t="shared" si="35"/>
        <v>44574</v>
      </c>
      <c r="K1109" s="2">
        <f t="shared" si="34"/>
        <v>9.75</v>
      </c>
    </row>
    <row r="1110" spans="10:11" x14ac:dyDescent="0.25">
      <c r="J1110" s="1">
        <f t="shared" si="35"/>
        <v>44575</v>
      </c>
      <c r="K1110" s="2">
        <f t="shared" si="34"/>
        <v>12.375</v>
      </c>
    </row>
    <row r="1111" spans="10:11" x14ac:dyDescent="0.25">
      <c r="J1111" s="1">
        <f t="shared" si="35"/>
        <v>44576</v>
      </c>
      <c r="K1111" s="2">
        <f t="shared" si="34"/>
        <v>19.375</v>
      </c>
    </row>
    <row r="1112" spans="10:11" x14ac:dyDescent="0.25">
      <c r="J1112" s="1">
        <f t="shared" si="35"/>
        <v>44577</v>
      </c>
      <c r="K1112" s="2">
        <f t="shared" si="34"/>
        <v>20.125</v>
      </c>
    </row>
    <row r="1113" spans="10:11" x14ac:dyDescent="0.25">
      <c r="J1113" s="1">
        <f t="shared" si="35"/>
        <v>44578</v>
      </c>
      <c r="K1113" s="2">
        <f t="shared" si="34"/>
        <v>9</v>
      </c>
    </row>
    <row r="1114" spans="10:11" x14ac:dyDescent="0.25">
      <c r="J1114" s="1">
        <f t="shared" si="35"/>
        <v>44579</v>
      </c>
      <c r="K1114" s="2">
        <f t="shared" si="34"/>
        <v>11</v>
      </c>
    </row>
    <row r="1115" spans="10:11" x14ac:dyDescent="0.25">
      <c r="J1115" s="1">
        <f t="shared" si="35"/>
        <v>44580</v>
      </c>
      <c r="K1115" s="2">
        <f t="shared" si="34"/>
        <v>11.75</v>
      </c>
    </row>
    <row r="1116" spans="10:11" x14ac:dyDescent="0.25">
      <c r="J1116" s="1">
        <f t="shared" si="35"/>
        <v>44581</v>
      </c>
      <c r="K1116" s="2">
        <f t="shared" si="34"/>
        <v>10.725</v>
      </c>
    </row>
    <row r="1117" spans="10:11" x14ac:dyDescent="0.25">
      <c r="J1117" s="1">
        <f t="shared" si="35"/>
        <v>44582</v>
      </c>
      <c r="K1117" s="2">
        <f t="shared" si="34"/>
        <v>13.025</v>
      </c>
    </row>
    <row r="1118" spans="10:11" x14ac:dyDescent="0.25">
      <c r="J1118" s="1">
        <f t="shared" si="35"/>
        <v>44583</v>
      </c>
      <c r="K1118" s="2">
        <f t="shared" si="34"/>
        <v>14.875</v>
      </c>
    </row>
    <row r="1119" spans="10:11" x14ac:dyDescent="0.25">
      <c r="J1119" s="1">
        <f t="shared" si="35"/>
        <v>44584</v>
      </c>
      <c r="K1119" s="2">
        <f t="shared" si="34"/>
        <v>24.625</v>
      </c>
    </row>
    <row r="1120" spans="10:11" x14ac:dyDescent="0.25">
      <c r="J1120" s="1">
        <f t="shared" si="35"/>
        <v>44585</v>
      </c>
      <c r="K1120" s="2">
        <f t="shared" si="34"/>
        <v>7</v>
      </c>
    </row>
    <row r="1121" spans="10:11" x14ac:dyDescent="0.25">
      <c r="J1121" s="1">
        <f t="shared" si="35"/>
        <v>44586</v>
      </c>
      <c r="K1121" s="2">
        <f t="shared" si="34"/>
        <v>14</v>
      </c>
    </row>
    <row r="1122" spans="10:11" x14ac:dyDescent="0.25">
      <c r="J1122" s="1">
        <f t="shared" si="35"/>
        <v>44587</v>
      </c>
      <c r="K1122" s="2">
        <f t="shared" si="34"/>
        <v>7.625</v>
      </c>
    </row>
    <row r="1123" spans="10:11" x14ac:dyDescent="0.25">
      <c r="J1123" s="1">
        <f t="shared" si="35"/>
        <v>44588</v>
      </c>
      <c r="K1123" s="2">
        <f t="shared" si="34"/>
        <v>6.125</v>
      </c>
    </row>
    <row r="1124" spans="10:11" x14ac:dyDescent="0.25">
      <c r="J1124" s="1">
        <f t="shared" si="35"/>
        <v>44589</v>
      </c>
      <c r="K1124" s="2">
        <f t="shared" si="34"/>
        <v>13.75</v>
      </c>
    </row>
    <row r="1125" spans="10:11" x14ac:dyDescent="0.25">
      <c r="J1125" s="1">
        <f t="shared" si="35"/>
        <v>44590</v>
      </c>
      <c r="K1125" s="2">
        <f t="shared" si="34"/>
        <v>21.75</v>
      </c>
    </row>
    <row r="1126" spans="10:11" x14ac:dyDescent="0.25">
      <c r="J1126" s="1">
        <f t="shared" si="35"/>
        <v>44591</v>
      </c>
      <c r="K1126" s="2">
        <f t="shared" si="34"/>
        <v>17.875</v>
      </c>
    </row>
    <row r="1127" spans="10:11" x14ac:dyDescent="0.25">
      <c r="J1127" s="1">
        <f t="shared" si="35"/>
        <v>44592</v>
      </c>
      <c r="K1127" s="2">
        <f t="shared" si="34"/>
        <v>13.625</v>
      </c>
    </row>
    <row r="1128" spans="10:11" x14ac:dyDescent="0.25">
      <c r="J1128" s="1">
        <f t="shared" si="35"/>
        <v>44593</v>
      </c>
      <c r="K1128" s="2">
        <f t="shared" si="34"/>
        <v>7.875</v>
      </c>
    </row>
    <row r="1129" spans="10:11" x14ac:dyDescent="0.25">
      <c r="J1129" s="1">
        <f t="shared" si="35"/>
        <v>44594</v>
      </c>
      <c r="K1129" s="2">
        <f t="shared" si="34"/>
        <v>8.875</v>
      </c>
    </row>
    <row r="1130" spans="10:11" x14ac:dyDescent="0.25">
      <c r="J1130" s="1">
        <f t="shared" si="35"/>
        <v>44595</v>
      </c>
      <c r="K1130" s="2">
        <f t="shared" si="34"/>
        <v>8.25</v>
      </c>
    </row>
    <row r="1131" spans="10:11" x14ac:dyDescent="0.25">
      <c r="J1131" s="1">
        <f t="shared" si="35"/>
        <v>44596</v>
      </c>
      <c r="K1131" s="2">
        <f t="shared" si="34"/>
        <v>9</v>
      </c>
    </row>
    <row r="1132" spans="10:11" x14ac:dyDescent="0.25">
      <c r="J1132" s="1">
        <f t="shared" si="35"/>
        <v>44597</v>
      </c>
      <c r="K1132" s="2">
        <f t="shared" si="34"/>
        <v>15.625</v>
      </c>
    </row>
    <row r="1133" spans="10:11" x14ac:dyDescent="0.25">
      <c r="J1133" s="1">
        <f t="shared" si="35"/>
        <v>44598</v>
      </c>
      <c r="K1133" s="2">
        <f t="shared" si="34"/>
        <v>16.125</v>
      </c>
    </row>
    <row r="1134" spans="10:11" x14ac:dyDescent="0.25">
      <c r="J1134" s="1">
        <f t="shared" si="35"/>
        <v>44599</v>
      </c>
      <c r="K1134" s="2">
        <f t="shared" si="34"/>
        <v>10</v>
      </c>
    </row>
    <row r="1135" spans="10:11" x14ac:dyDescent="0.25">
      <c r="J1135" s="1">
        <f t="shared" si="35"/>
        <v>44600</v>
      </c>
      <c r="K1135" s="2">
        <f t="shared" si="34"/>
        <v>13</v>
      </c>
    </row>
    <row r="1136" spans="10:11" x14ac:dyDescent="0.25">
      <c r="J1136" s="1">
        <f t="shared" si="35"/>
        <v>44601</v>
      </c>
      <c r="K1136" s="2">
        <f t="shared" si="34"/>
        <v>12.75</v>
      </c>
    </row>
    <row r="1137" spans="10:11" x14ac:dyDescent="0.25">
      <c r="J1137" s="1">
        <f t="shared" si="35"/>
        <v>44602</v>
      </c>
      <c r="K1137" s="2">
        <f t="shared" si="34"/>
        <v>6.25</v>
      </c>
    </row>
    <row r="1138" spans="10:11" x14ac:dyDescent="0.25">
      <c r="J1138" s="1">
        <f t="shared" si="35"/>
        <v>44603</v>
      </c>
      <c r="K1138" s="2">
        <f t="shared" si="34"/>
        <v>12</v>
      </c>
    </row>
    <row r="1139" spans="10:11" x14ac:dyDescent="0.25">
      <c r="J1139" s="1">
        <f t="shared" si="35"/>
        <v>44604</v>
      </c>
      <c r="K1139" s="2">
        <f t="shared" si="34"/>
        <v>23.25</v>
      </c>
    </row>
    <row r="1140" spans="10:11" x14ac:dyDescent="0.25">
      <c r="J1140" s="1">
        <f t="shared" si="35"/>
        <v>44605</v>
      </c>
      <c r="K1140" s="2">
        <f t="shared" si="34"/>
        <v>18.125</v>
      </c>
    </row>
    <row r="1141" spans="10:11" x14ac:dyDescent="0.25">
      <c r="J1141" s="1">
        <f t="shared" si="35"/>
        <v>44606</v>
      </c>
      <c r="K1141" s="2">
        <f t="shared" si="34"/>
        <v>9.625</v>
      </c>
    </row>
    <row r="1142" spans="10:11" x14ac:dyDescent="0.25">
      <c r="J1142" s="1">
        <f t="shared" si="35"/>
        <v>44607</v>
      </c>
      <c r="K1142" s="2">
        <f t="shared" si="34"/>
        <v>14.125</v>
      </c>
    </row>
    <row r="1143" spans="10:11" x14ac:dyDescent="0.25">
      <c r="J1143" s="1">
        <f t="shared" si="35"/>
        <v>44608</v>
      </c>
      <c r="K1143" s="2">
        <f t="shared" si="34"/>
        <v>10.375</v>
      </c>
    </row>
    <row r="1144" spans="10:11" x14ac:dyDescent="0.25">
      <c r="J1144" s="1">
        <f t="shared" si="35"/>
        <v>44609</v>
      </c>
      <c r="K1144" s="2">
        <f t="shared" si="34"/>
        <v>7.5</v>
      </c>
    </row>
    <row r="1145" spans="10:11" x14ac:dyDescent="0.25">
      <c r="J1145" s="1">
        <f t="shared" si="35"/>
        <v>44610</v>
      </c>
      <c r="K1145" s="2">
        <f t="shared" si="34"/>
        <v>8.25</v>
      </c>
    </row>
    <row r="1146" spans="10:11" x14ac:dyDescent="0.25">
      <c r="J1146" s="1">
        <f t="shared" si="35"/>
        <v>44611</v>
      </c>
      <c r="K1146" s="2">
        <f t="shared" si="34"/>
        <v>23.125</v>
      </c>
    </row>
    <row r="1147" spans="10:11" x14ac:dyDescent="0.25">
      <c r="J1147" s="1">
        <f t="shared" si="35"/>
        <v>44612</v>
      </c>
      <c r="K1147" s="2">
        <f t="shared" si="34"/>
        <v>14.625</v>
      </c>
    </row>
    <row r="1148" spans="10:11" x14ac:dyDescent="0.25">
      <c r="J1148" s="1">
        <f t="shared" si="35"/>
        <v>44613</v>
      </c>
      <c r="K1148" s="2">
        <f t="shared" si="34"/>
        <v>6.625</v>
      </c>
    </row>
    <row r="1149" spans="10:11" x14ac:dyDescent="0.25">
      <c r="J1149" s="1">
        <f t="shared" si="35"/>
        <v>44614</v>
      </c>
      <c r="K1149" s="2">
        <f t="shared" si="34"/>
        <v>5.25</v>
      </c>
    </row>
    <row r="1150" spans="10:11" x14ac:dyDescent="0.25">
      <c r="J1150" s="1">
        <f t="shared" si="35"/>
        <v>44615</v>
      </c>
      <c r="K1150" s="2">
        <f t="shared" si="34"/>
        <v>6.875</v>
      </c>
    </row>
    <row r="1151" spans="10:11" x14ac:dyDescent="0.25">
      <c r="J1151" s="1">
        <f t="shared" si="35"/>
        <v>44616</v>
      </c>
      <c r="K1151" s="2">
        <f t="shared" si="34"/>
        <v>8.625</v>
      </c>
    </row>
    <row r="1152" spans="10:11" x14ac:dyDescent="0.25">
      <c r="J1152" s="1">
        <f t="shared" si="35"/>
        <v>44617</v>
      </c>
      <c r="K1152" s="2">
        <f t="shared" si="34"/>
        <v>7.875</v>
      </c>
    </row>
    <row r="1153" spans="10:11" x14ac:dyDescent="0.25">
      <c r="J1153" s="1">
        <f t="shared" si="35"/>
        <v>44618</v>
      </c>
      <c r="K1153" s="2">
        <f t="shared" si="34"/>
        <v>21.75</v>
      </c>
    </row>
    <row r="1154" spans="10:11" x14ac:dyDescent="0.25">
      <c r="J1154" s="1">
        <f t="shared" si="35"/>
        <v>44619</v>
      </c>
      <c r="K1154" s="2">
        <f t="shared" si="34"/>
        <v>13.625</v>
      </c>
    </row>
    <row r="1155" spans="10:11" x14ac:dyDescent="0.25">
      <c r="J1155" s="1">
        <f t="shared" si="35"/>
        <v>44620</v>
      </c>
      <c r="K1155" s="2">
        <f t="shared" ref="K1155:K1218" si="36">VLOOKUP(J1155, G:H, 2, FALSE)</f>
        <v>7.375</v>
      </c>
    </row>
    <row r="1156" spans="10:11" x14ac:dyDescent="0.25">
      <c r="J1156" s="1">
        <f t="shared" si="35"/>
        <v>44621</v>
      </c>
      <c r="K1156" s="2">
        <f t="shared" si="36"/>
        <v>9.625</v>
      </c>
    </row>
    <row r="1157" spans="10:11" x14ac:dyDescent="0.25">
      <c r="J1157" s="1">
        <f t="shared" ref="J1157:J1220" si="37">DATE(2019,1,1) + ROW()-1</f>
        <v>44622</v>
      </c>
      <c r="K1157" s="2">
        <f t="shared" si="36"/>
        <v>10</v>
      </c>
    </row>
    <row r="1158" spans="10:11" x14ac:dyDescent="0.25">
      <c r="J1158" s="1">
        <f t="shared" si="37"/>
        <v>44623</v>
      </c>
      <c r="K1158" s="2">
        <f t="shared" si="36"/>
        <v>11.375</v>
      </c>
    </row>
    <row r="1159" spans="10:11" x14ac:dyDescent="0.25">
      <c r="J1159" s="1">
        <f t="shared" si="37"/>
        <v>44624</v>
      </c>
      <c r="K1159" s="2">
        <f t="shared" si="36"/>
        <v>13.25</v>
      </c>
    </row>
    <row r="1160" spans="10:11" x14ac:dyDescent="0.25">
      <c r="J1160" s="1">
        <f t="shared" si="37"/>
        <v>44625</v>
      </c>
      <c r="K1160" s="2">
        <f t="shared" si="36"/>
        <v>19.625</v>
      </c>
    </row>
    <row r="1161" spans="10:11" x14ac:dyDescent="0.25">
      <c r="J1161" s="1">
        <f t="shared" si="37"/>
        <v>44626</v>
      </c>
      <c r="K1161" s="2">
        <f t="shared" si="36"/>
        <v>20.375</v>
      </c>
    </row>
    <row r="1162" spans="10:11" x14ac:dyDescent="0.25">
      <c r="J1162" s="1">
        <f t="shared" si="37"/>
        <v>44627</v>
      </c>
      <c r="K1162" s="2">
        <f t="shared" si="36"/>
        <v>10</v>
      </c>
    </row>
    <row r="1163" spans="10:11" x14ac:dyDescent="0.25">
      <c r="J1163" s="1">
        <f t="shared" si="37"/>
        <v>44628</v>
      </c>
      <c r="K1163" s="2">
        <f t="shared" si="36"/>
        <v>22.75</v>
      </c>
    </row>
    <row r="1164" spans="10:11" x14ac:dyDescent="0.25">
      <c r="J1164" s="1">
        <f t="shared" si="37"/>
        <v>44629</v>
      </c>
      <c r="K1164" s="2">
        <f t="shared" si="36"/>
        <v>9.5</v>
      </c>
    </row>
    <row r="1165" spans="10:11" x14ac:dyDescent="0.25">
      <c r="J1165" s="1">
        <f t="shared" si="37"/>
        <v>44630</v>
      </c>
      <c r="K1165" s="2">
        <f t="shared" si="36"/>
        <v>12.125</v>
      </c>
    </row>
    <row r="1166" spans="10:11" x14ac:dyDescent="0.25">
      <c r="J1166" s="1">
        <f t="shared" si="37"/>
        <v>44631</v>
      </c>
      <c r="K1166" s="2">
        <f t="shared" si="36"/>
        <v>18.125</v>
      </c>
    </row>
    <row r="1167" spans="10:11" x14ac:dyDescent="0.25">
      <c r="J1167" s="1">
        <f t="shared" si="37"/>
        <v>44632</v>
      </c>
      <c r="K1167" s="2">
        <f t="shared" si="36"/>
        <v>24.625</v>
      </c>
    </row>
    <row r="1168" spans="10:11" x14ac:dyDescent="0.25">
      <c r="J1168" s="1">
        <f t="shared" si="37"/>
        <v>44633</v>
      </c>
      <c r="K1168" s="2">
        <f t="shared" si="36"/>
        <v>16.625</v>
      </c>
    </row>
    <row r="1169" spans="10:11" x14ac:dyDescent="0.25">
      <c r="J1169" s="1">
        <f t="shared" si="37"/>
        <v>44634</v>
      </c>
      <c r="K1169" s="2">
        <f t="shared" si="36"/>
        <v>4.75</v>
      </c>
    </row>
    <row r="1170" spans="10:11" x14ac:dyDescent="0.25">
      <c r="J1170" s="1">
        <f t="shared" si="37"/>
        <v>44635</v>
      </c>
      <c r="K1170" s="2">
        <f t="shared" si="36"/>
        <v>11.25</v>
      </c>
    </row>
    <row r="1171" spans="10:11" x14ac:dyDescent="0.25">
      <c r="J1171" s="1">
        <f t="shared" si="37"/>
        <v>44636</v>
      </c>
      <c r="K1171" s="2">
        <f t="shared" si="36"/>
        <v>6.375</v>
      </c>
    </row>
    <row r="1172" spans="10:11" x14ac:dyDescent="0.25">
      <c r="J1172" s="1">
        <f t="shared" si="37"/>
        <v>44637</v>
      </c>
      <c r="K1172" s="2">
        <f t="shared" si="36"/>
        <v>6.375</v>
      </c>
    </row>
    <row r="1173" spans="10:11" x14ac:dyDescent="0.25">
      <c r="J1173" s="1">
        <f t="shared" si="37"/>
        <v>44638</v>
      </c>
      <c r="K1173" s="2">
        <f t="shared" si="36"/>
        <v>10.875</v>
      </c>
    </row>
    <row r="1174" spans="10:11" x14ac:dyDescent="0.25">
      <c r="J1174" s="1">
        <f t="shared" si="37"/>
        <v>44639</v>
      </c>
      <c r="K1174" s="2">
        <f t="shared" si="36"/>
        <v>13.375</v>
      </c>
    </row>
    <row r="1175" spans="10:11" x14ac:dyDescent="0.25">
      <c r="J1175" s="1">
        <f t="shared" si="37"/>
        <v>44640</v>
      </c>
      <c r="K1175" s="2">
        <f t="shared" si="36"/>
        <v>10.25</v>
      </c>
    </row>
    <row r="1176" spans="10:11" x14ac:dyDescent="0.25">
      <c r="J1176" s="1">
        <f t="shared" si="37"/>
        <v>44641</v>
      </c>
      <c r="K1176" s="2">
        <f t="shared" si="36"/>
        <v>11.625</v>
      </c>
    </row>
    <row r="1177" spans="10:11" x14ac:dyDescent="0.25">
      <c r="J1177" s="1">
        <f t="shared" si="37"/>
        <v>44642</v>
      </c>
      <c r="K1177" s="2">
        <f t="shared" si="36"/>
        <v>4.125</v>
      </c>
    </row>
    <row r="1178" spans="10:11" x14ac:dyDescent="0.25">
      <c r="J1178" s="1">
        <f t="shared" si="37"/>
        <v>44643</v>
      </c>
      <c r="K1178" s="2">
        <f t="shared" si="36"/>
        <v>6.375</v>
      </c>
    </row>
    <row r="1179" spans="10:11" x14ac:dyDescent="0.25">
      <c r="J1179" s="1">
        <f t="shared" si="37"/>
        <v>44644</v>
      </c>
      <c r="K1179" s="2">
        <f t="shared" si="36"/>
        <v>9.75</v>
      </c>
    </row>
    <row r="1180" spans="10:11" x14ac:dyDescent="0.25">
      <c r="J1180" s="1">
        <f t="shared" si="37"/>
        <v>44645</v>
      </c>
      <c r="K1180" s="2">
        <f t="shared" si="36"/>
        <v>6</v>
      </c>
    </row>
    <row r="1181" spans="10:11" x14ac:dyDescent="0.25">
      <c r="J1181" s="1">
        <f t="shared" si="37"/>
        <v>44646</v>
      </c>
      <c r="K1181" s="2">
        <f t="shared" si="36"/>
        <v>14.625</v>
      </c>
    </row>
    <row r="1182" spans="10:11" x14ac:dyDescent="0.25">
      <c r="J1182" s="1">
        <f t="shared" si="37"/>
        <v>44647</v>
      </c>
      <c r="K1182" s="2">
        <f t="shared" si="36"/>
        <v>16.375</v>
      </c>
    </row>
    <row r="1183" spans="10:11" x14ac:dyDescent="0.25">
      <c r="J1183" s="1">
        <f t="shared" si="37"/>
        <v>44648</v>
      </c>
      <c r="K1183" s="2">
        <f t="shared" si="36"/>
        <v>9.875</v>
      </c>
    </row>
    <row r="1184" spans="10:11" x14ac:dyDescent="0.25">
      <c r="J1184" s="1">
        <f t="shared" si="37"/>
        <v>44649</v>
      </c>
      <c r="K1184" s="2">
        <f t="shared" si="36"/>
        <v>7.875</v>
      </c>
    </row>
    <row r="1185" spans="10:11" x14ac:dyDescent="0.25">
      <c r="J1185" s="1">
        <f t="shared" si="37"/>
        <v>44650</v>
      </c>
      <c r="K1185" s="2">
        <f t="shared" si="36"/>
        <v>10.375</v>
      </c>
    </row>
    <row r="1186" spans="10:11" x14ac:dyDescent="0.25">
      <c r="J1186" s="1">
        <f t="shared" si="37"/>
        <v>44651</v>
      </c>
      <c r="K1186" s="2">
        <f t="shared" si="36"/>
        <v>7.75</v>
      </c>
    </row>
    <row r="1187" spans="10:11" x14ac:dyDescent="0.25">
      <c r="J1187" s="1">
        <f t="shared" si="37"/>
        <v>44652</v>
      </c>
      <c r="K1187" s="2">
        <f t="shared" si="36"/>
        <v>10.25</v>
      </c>
    </row>
    <row r="1188" spans="10:11" x14ac:dyDescent="0.25">
      <c r="J1188" s="1">
        <f t="shared" si="37"/>
        <v>44653</v>
      </c>
      <c r="K1188" s="2">
        <f t="shared" si="36"/>
        <v>12.625</v>
      </c>
    </row>
    <row r="1189" spans="10:11" x14ac:dyDescent="0.25">
      <c r="J1189" s="1">
        <f t="shared" si="37"/>
        <v>44654</v>
      </c>
      <c r="K1189" s="2">
        <f t="shared" si="36"/>
        <v>30.125</v>
      </c>
    </row>
    <row r="1190" spans="10:11" x14ac:dyDescent="0.25">
      <c r="J1190" s="1">
        <f t="shared" si="37"/>
        <v>44655</v>
      </c>
      <c r="K1190" s="2">
        <f t="shared" si="36"/>
        <v>4.5</v>
      </c>
    </row>
    <row r="1191" spans="10:11" x14ac:dyDescent="0.25">
      <c r="J1191" s="1">
        <f t="shared" si="37"/>
        <v>44656</v>
      </c>
      <c r="K1191" s="2">
        <f t="shared" si="36"/>
        <v>7.5</v>
      </c>
    </row>
    <row r="1192" spans="10:11" x14ac:dyDescent="0.25">
      <c r="J1192" s="1">
        <f t="shared" si="37"/>
        <v>44657</v>
      </c>
      <c r="K1192" s="2">
        <f t="shared" si="36"/>
        <v>7.9749999999999996</v>
      </c>
    </row>
    <row r="1193" spans="10:11" x14ac:dyDescent="0.25">
      <c r="J1193" s="1">
        <f t="shared" si="37"/>
        <v>44658</v>
      </c>
      <c r="K1193" s="2">
        <f t="shared" si="36"/>
        <v>6.7750000000000004</v>
      </c>
    </row>
    <row r="1194" spans="10:11" x14ac:dyDescent="0.25">
      <c r="J1194" s="1">
        <f t="shared" si="37"/>
        <v>44659</v>
      </c>
      <c r="K1194" s="2">
        <f t="shared" si="36"/>
        <v>10.5</v>
      </c>
    </row>
    <row r="1195" spans="10:11" x14ac:dyDescent="0.25">
      <c r="J1195" s="1">
        <f t="shared" si="37"/>
        <v>44660</v>
      </c>
      <c r="K1195" s="2">
        <f t="shared" si="36"/>
        <v>12.5</v>
      </c>
    </row>
    <row r="1196" spans="10:11" x14ac:dyDescent="0.25">
      <c r="J1196" s="1">
        <f t="shared" si="37"/>
        <v>44661</v>
      </c>
      <c r="K1196" s="2">
        <f t="shared" si="36"/>
        <v>16</v>
      </c>
    </row>
    <row r="1197" spans="10:11" x14ac:dyDescent="0.25">
      <c r="J1197" s="1">
        <f t="shared" si="37"/>
        <v>44662</v>
      </c>
      <c r="K1197" s="2">
        <f t="shared" si="36"/>
        <v>10.875</v>
      </c>
    </row>
    <row r="1198" spans="10:11" x14ac:dyDescent="0.25">
      <c r="J1198" s="1">
        <f t="shared" si="37"/>
        <v>44663</v>
      </c>
      <c r="K1198" s="2">
        <f t="shared" si="36"/>
        <v>8.625</v>
      </c>
    </row>
    <row r="1199" spans="10:11" x14ac:dyDescent="0.25">
      <c r="J1199" s="1">
        <f t="shared" si="37"/>
        <v>44664</v>
      </c>
      <c r="K1199" s="2">
        <f t="shared" si="36"/>
        <v>13.125</v>
      </c>
    </row>
    <row r="1200" spans="10:11" x14ac:dyDescent="0.25">
      <c r="J1200" s="1">
        <f t="shared" si="37"/>
        <v>44665</v>
      </c>
      <c r="K1200" s="2">
        <f t="shared" si="36"/>
        <v>17.25</v>
      </c>
    </row>
    <row r="1201" spans="10:11" x14ac:dyDescent="0.25">
      <c r="J1201" s="1">
        <f t="shared" si="37"/>
        <v>44666</v>
      </c>
      <c r="K1201" s="2">
        <f t="shared" si="36"/>
        <v>18.625</v>
      </c>
    </row>
    <row r="1202" spans="10:11" x14ac:dyDescent="0.25">
      <c r="J1202" s="1">
        <f t="shared" si="37"/>
        <v>44667</v>
      </c>
      <c r="K1202" s="2">
        <f t="shared" si="36"/>
        <v>9.25</v>
      </c>
    </row>
    <row r="1203" spans="10:11" x14ac:dyDescent="0.25">
      <c r="J1203" s="1">
        <f t="shared" si="37"/>
        <v>44668</v>
      </c>
      <c r="K1203" s="2">
        <f t="shared" si="36"/>
        <v>16.5</v>
      </c>
    </row>
    <row r="1204" spans="10:11" x14ac:dyDescent="0.25">
      <c r="J1204" s="1">
        <f t="shared" si="37"/>
        <v>44669</v>
      </c>
      <c r="K1204" s="2">
        <f t="shared" si="36"/>
        <v>6.625</v>
      </c>
    </row>
    <row r="1205" spans="10:11" x14ac:dyDescent="0.25">
      <c r="J1205" s="1">
        <f t="shared" si="37"/>
        <v>44670</v>
      </c>
      <c r="K1205" s="2">
        <f t="shared" si="36"/>
        <v>9.125</v>
      </c>
    </row>
    <row r="1206" spans="10:11" x14ac:dyDescent="0.25">
      <c r="J1206" s="1">
        <f t="shared" si="37"/>
        <v>44671</v>
      </c>
      <c r="K1206" s="2">
        <f t="shared" si="36"/>
        <v>3.625</v>
      </c>
    </row>
    <row r="1207" spans="10:11" x14ac:dyDescent="0.25">
      <c r="J1207" s="1">
        <f t="shared" si="37"/>
        <v>44672</v>
      </c>
      <c r="K1207" s="2">
        <f t="shared" si="36"/>
        <v>6.625</v>
      </c>
    </row>
    <row r="1208" spans="10:11" x14ac:dyDescent="0.25">
      <c r="J1208" s="1">
        <f t="shared" si="37"/>
        <v>44673</v>
      </c>
      <c r="K1208" s="2">
        <f t="shared" si="36"/>
        <v>14.5</v>
      </c>
    </row>
    <row r="1209" spans="10:11" x14ac:dyDescent="0.25">
      <c r="J1209" s="1">
        <f t="shared" si="37"/>
        <v>44674</v>
      </c>
      <c r="K1209" s="2">
        <f t="shared" si="36"/>
        <v>8.875</v>
      </c>
    </row>
    <row r="1210" spans="10:11" x14ac:dyDescent="0.25">
      <c r="J1210" s="1">
        <f t="shared" si="37"/>
        <v>44675</v>
      </c>
      <c r="K1210" s="2">
        <f t="shared" si="36"/>
        <v>18.125</v>
      </c>
    </row>
    <row r="1211" spans="10:11" x14ac:dyDescent="0.25">
      <c r="J1211" s="1">
        <f t="shared" si="37"/>
        <v>44676</v>
      </c>
      <c r="K1211" s="2">
        <f t="shared" si="36"/>
        <v>6.5</v>
      </c>
    </row>
    <row r="1212" spans="10:11" x14ac:dyDescent="0.25">
      <c r="J1212" s="1">
        <f t="shared" si="37"/>
        <v>44677</v>
      </c>
      <c r="K1212" s="2">
        <f t="shared" si="36"/>
        <v>8.9749999999999996</v>
      </c>
    </row>
    <row r="1213" spans="10:11" x14ac:dyDescent="0.25">
      <c r="J1213" s="1">
        <f t="shared" si="37"/>
        <v>44678</v>
      </c>
      <c r="K1213" s="2">
        <f t="shared" si="36"/>
        <v>7.0250000000000004</v>
      </c>
    </row>
    <row r="1214" spans="10:11" x14ac:dyDescent="0.25">
      <c r="J1214" s="1">
        <f t="shared" si="37"/>
        <v>44679</v>
      </c>
      <c r="K1214" s="2">
        <f t="shared" si="36"/>
        <v>6.125</v>
      </c>
    </row>
    <row r="1215" spans="10:11" x14ac:dyDescent="0.25">
      <c r="J1215" s="1">
        <f t="shared" si="37"/>
        <v>44680</v>
      </c>
      <c r="K1215" s="2">
        <f t="shared" si="36"/>
        <v>8.75</v>
      </c>
    </row>
    <row r="1216" spans="10:11" x14ac:dyDescent="0.25">
      <c r="J1216" s="1">
        <f t="shared" si="37"/>
        <v>44681</v>
      </c>
      <c r="K1216" s="2">
        <f t="shared" si="36"/>
        <v>21.125</v>
      </c>
    </row>
    <row r="1217" spans="10:11" x14ac:dyDescent="0.25">
      <c r="J1217" s="1">
        <f t="shared" si="37"/>
        <v>44682</v>
      </c>
      <c r="K1217" s="2">
        <f t="shared" si="36"/>
        <v>26.25</v>
      </c>
    </row>
    <row r="1218" spans="10:11" x14ac:dyDescent="0.25">
      <c r="J1218" s="1">
        <f t="shared" si="37"/>
        <v>44683</v>
      </c>
      <c r="K1218" s="2">
        <f t="shared" si="36"/>
        <v>11.125</v>
      </c>
    </row>
    <row r="1219" spans="10:11" x14ac:dyDescent="0.25">
      <c r="J1219" s="1">
        <f t="shared" si="37"/>
        <v>44684</v>
      </c>
      <c r="K1219" s="2">
        <f t="shared" ref="K1219:K1282" si="38">VLOOKUP(J1219, G:H, 2, FALSE)</f>
        <v>7</v>
      </c>
    </row>
    <row r="1220" spans="10:11" x14ac:dyDescent="0.25">
      <c r="J1220" s="1">
        <f t="shared" si="37"/>
        <v>44685</v>
      </c>
      <c r="K1220" s="2">
        <f t="shared" si="38"/>
        <v>7.625</v>
      </c>
    </row>
    <row r="1221" spans="10:11" x14ac:dyDescent="0.25">
      <c r="J1221" s="1">
        <f t="shared" ref="J1221:J1284" si="39">DATE(2019,1,1) + ROW()-1</f>
        <v>44686</v>
      </c>
      <c r="K1221" s="2">
        <f t="shared" si="38"/>
        <v>7.375</v>
      </c>
    </row>
    <row r="1222" spans="10:11" x14ac:dyDescent="0.25">
      <c r="J1222" s="1">
        <f t="shared" si="39"/>
        <v>44687</v>
      </c>
      <c r="K1222" s="2">
        <f t="shared" si="38"/>
        <v>7.625</v>
      </c>
    </row>
    <row r="1223" spans="10:11" x14ac:dyDescent="0.25">
      <c r="J1223" s="1">
        <f t="shared" si="39"/>
        <v>44688</v>
      </c>
      <c r="K1223" s="2">
        <f t="shared" si="38"/>
        <v>15</v>
      </c>
    </row>
    <row r="1224" spans="10:11" x14ac:dyDescent="0.25">
      <c r="J1224" s="1">
        <f t="shared" si="39"/>
        <v>44689</v>
      </c>
      <c r="K1224" s="2">
        <f t="shared" si="38"/>
        <v>27.5</v>
      </c>
    </row>
    <row r="1225" spans="10:11" x14ac:dyDescent="0.25">
      <c r="J1225" s="1">
        <f t="shared" si="39"/>
        <v>44690</v>
      </c>
      <c r="K1225" s="2">
        <f t="shared" si="38"/>
        <v>6.875</v>
      </c>
    </row>
    <row r="1226" spans="10:11" x14ac:dyDescent="0.25">
      <c r="J1226" s="1">
        <f t="shared" si="39"/>
        <v>44691</v>
      </c>
      <c r="K1226" s="2">
        <f t="shared" si="38"/>
        <v>7.25</v>
      </c>
    </row>
    <row r="1227" spans="10:11" x14ac:dyDescent="0.25">
      <c r="J1227" s="1">
        <f t="shared" si="39"/>
        <v>44692</v>
      </c>
      <c r="K1227" s="2">
        <f t="shared" si="38"/>
        <v>4.875</v>
      </c>
    </row>
    <row r="1228" spans="10:11" x14ac:dyDescent="0.25">
      <c r="J1228" s="1">
        <f t="shared" si="39"/>
        <v>44693</v>
      </c>
      <c r="K1228" s="2">
        <f t="shared" si="38"/>
        <v>6.75</v>
      </c>
    </row>
    <row r="1229" spans="10:11" x14ac:dyDescent="0.25">
      <c r="J1229" s="1">
        <f t="shared" si="39"/>
        <v>44694</v>
      </c>
      <c r="K1229" s="2">
        <f t="shared" si="38"/>
        <v>14.25</v>
      </c>
    </row>
    <row r="1230" spans="10:11" x14ac:dyDescent="0.25">
      <c r="J1230" s="1">
        <f t="shared" si="39"/>
        <v>44695</v>
      </c>
      <c r="K1230" s="2">
        <f t="shared" si="38"/>
        <v>17.75</v>
      </c>
    </row>
    <row r="1231" spans="10:11" x14ac:dyDescent="0.25">
      <c r="J1231" s="1">
        <f t="shared" si="39"/>
        <v>44696</v>
      </c>
      <c r="K1231" s="2">
        <f t="shared" si="38"/>
        <v>13.875</v>
      </c>
    </row>
    <row r="1232" spans="10:11" x14ac:dyDescent="0.25">
      <c r="J1232" s="1">
        <f t="shared" si="39"/>
        <v>44697</v>
      </c>
      <c r="K1232" s="2">
        <f t="shared" si="38"/>
        <v>6.25</v>
      </c>
    </row>
    <row r="1233" spans="10:11" x14ac:dyDescent="0.25">
      <c r="J1233" s="1">
        <f t="shared" si="39"/>
        <v>44698</v>
      </c>
      <c r="K1233" s="2">
        <f t="shared" si="38"/>
        <v>8.5</v>
      </c>
    </row>
    <row r="1234" spans="10:11" x14ac:dyDescent="0.25">
      <c r="J1234" s="1">
        <f t="shared" si="39"/>
        <v>44699</v>
      </c>
      <c r="K1234" s="2">
        <f t="shared" si="38"/>
        <v>8.125</v>
      </c>
    </row>
    <row r="1235" spans="10:11" x14ac:dyDescent="0.25">
      <c r="J1235" s="1">
        <f t="shared" si="39"/>
        <v>44700</v>
      </c>
      <c r="K1235" s="2">
        <f t="shared" si="38"/>
        <v>6.75</v>
      </c>
    </row>
    <row r="1236" spans="10:11" x14ac:dyDescent="0.25">
      <c r="J1236" s="1">
        <f t="shared" si="39"/>
        <v>44701</v>
      </c>
      <c r="K1236" s="2">
        <f t="shared" si="38"/>
        <v>8.25</v>
      </c>
    </row>
    <row r="1237" spans="10:11" x14ac:dyDescent="0.25">
      <c r="J1237" s="1">
        <f t="shared" si="39"/>
        <v>44702</v>
      </c>
      <c r="K1237" s="2">
        <f t="shared" si="38"/>
        <v>16.625</v>
      </c>
    </row>
    <row r="1238" spans="10:11" x14ac:dyDescent="0.25">
      <c r="J1238" s="1">
        <f t="shared" si="39"/>
        <v>44703</v>
      </c>
      <c r="K1238" s="2">
        <f t="shared" si="38"/>
        <v>18.625</v>
      </c>
    </row>
    <row r="1239" spans="10:11" x14ac:dyDescent="0.25">
      <c r="J1239" s="1">
        <f t="shared" si="39"/>
        <v>44704</v>
      </c>
      <c r="K1239" s="2">
        <f t="shared" si="38"/>
        <v>3.5</v>
      </c>
    </row>
    <row r="1240" spans="10:11" x14ac:dyDescent="0.25">
      <c r="J1240" s="1">
        <f t="shared" si="39"/>
        <v>44705</v>
      </c>
      <c r="K1240" s="2">
        <f t="shared" si="38"/>
        <v>5.625</v>
      </c>
    </row>
    <row r="1241" spans="10:11" x14ac:dyDescent="0.25">
      <c r="J1241" s="1">
        <f t="shared" si="39"/>
        <v>44706</v>
      </c>
      <c r="K1241" s="2">
        <f t="shared" si="38"/>
        <v>6.25</v>
      </c>
    </row>
    <row r="1242" spans="10:11" x14ac:dyDescent="0.25">
      <c r="J1242" s="1">
        <f t="shared" si="39"/>
        <v>44707</v>
      </c>
      <c r="K1242" s="2">
        <f t="shared" si="38"/>
        <v>9.75</v>
      </c>
    </row>
    <row r="1243" spans="10:11" x14ac:dyDescent="0.25">
      <c r="J1243" s="1">
        <f t="shared" si="39"/>
        <v>44708</v>
      </c>
      <c r="K1243" s="2">
        <f t="shared" si="38"/>
        <v>10.375</v>
      </c>
    </row>
    <row r="1244" spans="10:11" x14ac:dyDescent="0.25">
      <c r="J1244" s="1">
        <f t="shared" si="39"/>
        <v>44709</v>
      </c>
      <c r="K1244" s="2">
        <f t="shared" si="38"/>
        <v>10.375</v>
      </c>
    </row>
    <row r="1245" spans="10:11" x14ac:dyDescent="0.25">
      <c r="J1245" s="1">
        <f t="shared" si="39"/>
        <v>44710</v>
      </c>
      <c r="K1245" s="2">
        <f t="shared" si="38"/>
        <v>18.875</v>
      </c>
    </row>
    <row r="1246" spans="10:11" x14ac:dyDescent="0.25">
      <c r="J1246" s="1">
        <f t="shared" si="39"/>
        <v>44711</v>
      </c>
      <c r="K1246" s="2" t="e">
        <f t="shared" si="38"/>
        <v>#N/A</v>
      </c>
    </row>
    <row r="1247" spans="10:11" x14ac:dyDescent="0.25">
      <c r="J1247" s="1">
        <f t="shared" si="39"/>
        <v>44712</v>
      </c>
      <c r="K1247" s="2" t="e">
        <f t="shared" si="38"/>
        <v>#N/A</v>
      </c>
    </row>
    <row r="1248" spans="10:11" x14ac:dyDescent="0.25">
      <c r="J1248" s="1">
        <f t="shared" si="39"/>
        <v>44713</v>
      </c>
      <c r="K1248" s="2">
        <f t="shared" si="38"/>
        <v>7.375</v>
      </c>
    </row>
    <row r="1249" spans="10:11" x14ac:dyDescent="0.25">
      <c r="J1249" s="1">
        <f t="shared" si="39"/>
        <v>44714</v>
      </c>
      <c r="K1249" s="2">
        <f t="shared" si="38"/>
        <v>8</v>
      </c>
    </row>
    <row r="1250" spans="10:11" x14ac:dyDescent="0.25">
      <c r="J1250" s="1">
        <f t="shared" si="39"/>
        <v>44715</v>
      </c>
      <c r="K1250" s="2">
        <f t="shared" si="38"/>
        <v>12.125</v>
      </c>
    </row>
    <row r="1251" spans="10:11" x14ac:dyDescent="0.25">
      <c r="J1251" s="1">
        <f t="shared" si="39"/>
        <v>44716</v>
      </c>
      <c r="K1251" s="2">
        <f t="shared" si="38"/>
        <v>10.875</v>
      </c>
    </row>
    <row r="1252" spans="10:11" x14ac:dyDescent="0.25">
      <c r="J1252" s="1">
        <f t="shared" si="39"/>
        <v>44717</v>
      </c>
      <c r="K1252" s="2">
        <f t="shared" si="38"/>
        <v>11.875</v>
      </c>
    </row>
    <row r="1253" spans="10:11" x14ac:dyDescent="0.25">
      <c r="J1253" s="1">
        <f t="shared" si="39"/>
        <v>44718</v>
      </c>
      <c r="K1253" s="2">
        <f t="shared" si="38"/>
        <v>7.5</v>
      </c>
    </row>
    <row r="1254" spans="10:11" x14ac:dyDescent="0.25">
      <c r="J1254" s="1">
        <f t="shared" si="39"/>
        <v>44719</v>
      </c>
      <c r="K1254" s="2">
        <f t="shared" si="38"/>
        <v>6.875</v>
      </c>
    </row>
    <row r="1255" spans="10:11" x14ac:dyDescent="0.25">
      <c r="J1255" s="1">
        <f t="shared" si="39"/>
        <v>44720</v>
      </c>
      <c r="K1255" s="2">
        <f t="shared" si="38"/>
        <v>10.25</v>
      </c>
    </row>
    <row r="1256" spans="10:11" x14ac:dyDescent="0.25">
      <c r="J1256" s="1">
        <f t="shared" si="39"/>
        <v>44721</v>
      </c>
      <c r="K1256" s="2">
        <f t="shared" si="38"/>
        <v>7</v>
      </c>
    </row>
    <row r="1257" spans="10:11" x14ac:dyDescent="0.25">
      <c r="J1257" s="1">
        <f t="shared" si="39"/>
        <v>44722</v>
      </c>
      <c r="K1257" s="2">
        <f t="shared" si="38"/>
        <v>9.25</v>
      </c>
    </row>
    <row r="1258" spans="10:11" x14ac:dyDescent="0.25">
      <c r="J1258" s="1">
        <f t="shared" si="39"/>
        <v>44723</v>
      </c>
      <c r="K1258" s="2">
        <f t="shared" si="38"/>
        <v>11.125</v>
      </c>
    </row>
    <row r="1259" spans="10:11" x14ac:dyDescent="0.25">
      <c r="J1259" s="1">
        <f t="shared" si="39"/>
        <v>44724</v>
      </c>
      <c r="K1259" s="2">
        <f t="shared" si="38"/>
        <v>12.5</v>
      </c>
    </row>
    <row r="1260" spans="10:11" x14ac:dyDescent="0.25">
      <c r="J1260" s="1">
        <f t="shared" si="39"/>
        <v>44725</v>
      </c>
      <c r="K1260" s="2">
        <f t="shared" si="38"/>
        <v>5.25</v>
      </c>
    </row>
    <row r="1261" spans="10:11" x14ac:dyDescent="0.25">
      <c r="J1261" s="1">
        <f t="shared" si="39"/>
        <v>44726</v>
      </c>
      <c r="K1261" s="2">
        <f t="shared" si="38"/>
        <v>7.875</v>
      </c>
    </row>
    <row r="1262" spans="10:11" x14ac:dyDescent="0.25">
      <c r="J1262" s="1">
        <f t="shared" si="39"/>
        <v>44727</v>
      </c>
      <c r="K1262" s="2">
        <f t="shared" si="38"/>
        <v>6.75</v>
      </c>
    </row>
    <row r="1263" spans="10:11" x14ac:dyDescent="0.25">
      <c r="J1263" s="1">
        <f t="shared" si="39"/>
        <v>44728</v>
      </c>
      <c r="K1263" s="2">
        <f t="shared" si="38"/>
        <v>8.125</v>
      </c>
    </row>
    <row r="1264" spans="10:11" x14ac:dyDescent="0.25">
      <c r="J1264" s="1">
        <f t="shared" si="39"/>
        <v>44729</v>
      </c>
      <c r="K1264" s="2">
        <f t="shared" si="38"/>
        <v>10</v>
      </c>
    </row>
    <row r="1265" spans="10:11" x14ac:dyDescent="0.25">
      <c r="J1265" s="1">
        <f t="shared" si="39"/>
        <v>44730</v>
      </c>
      <c r="K1265" s="2">
        <f t="shared" si="38"/>
        <v>15</v>
      </c>
    </row>
    <row r="1266" spans="10:11" x14ac:dyDescent="0.25">
      <c r="J1266" s="1">
        <f t="shared" si="39"/>
        <v>44731</v>
      </c>
      <c r="K1266" s="2">
        <f t="shared" si="38"/>
        <v>18.875</v>
      </c>
    </row>
    <row r="1267" spans="10:11" x14ac:dyDescent="0.25">
      <c r="J1267" s="1">
        <f t="shared" si="39"/>
        <v>44732</v>
      </c>
      <c r="K1267" s="2">
        <f t="shared" si="38"/>
        <v>13.875</v>
      </c>
    </row>
    <row r="1268" spans="10:11" x14ac:dyDescent="0.25">
      <c r="J1268" s="1">
        <f t="shared" si="39"/>
        <v>44733</v>
      </c>
      <c r="K1268" s="2">
        <f t="shared" si="38"/>
        <v>7.75</v>
      </c>
    </row>
    <row r="1269" spans="10:11" x14ac:dyDescent="0.25">
      <c r="J1269" s="1">
        <f t="shared" si="39"/>
        <v>44734</v>
      </c>
      <c r="K1269" s="2">
        <f t="shared" si="38"/>
        <v>8.25</v>
      </c>
    </row>
    <row r="1270" spans="10:11" x14ac:dyDescent="0.25">
      <c r="J1270" s="1">
        <f t="shared" si="39"/>
        <v>44735</v>
      </c>
      <c r="K1270" s="2">
        <f t="shared" si="38"/>
        <v>7.5</v>
      </c>
    </row>
    <row r="1271" spans="10:11" x14ac:dyDescent="0.25">
      <c r="J1271" s="1">
        <f t="shared" si="39"/>
        <v>44736</v>
      </c>
      <c r="K1271" s="2">
        <f t="shared" si="38"/>
        <v>7.625</v>
      </c>
    </row>
    <row r="1272" spans="10:11" x14ac:dyDescent="0.25">
      <c r="J1272" s="1">
        <f t="shared" si="39"/>
        <v>44737</v>
      </c>
      <c r="K1272" s="2">
        <f t="shared" si="38"/>
        <v>17</v>
      </c>
    </row>
    <row r="1273" spans="10:11" x14ac:dyDescent="0.25">
      <c r="J1273" s="1">
        <f t="shared" si="39"/>
        <v>44738</v>
      </c>
      <c r="K1273" s="2">
        <f t="shared" si="38"/>
        <v>23.75</v>
      </c>
    </row>
    <row r="1274" spans="10:11" x14ac:dyDescent="0.25">
      <c r="J1274" s="1">
        <f t="shared" si="39"/>
        <v>44739</v>
      </c>
      <c r="K1274" s="2">
        <f t="shared" si="38"/>
        <v>12.125</v>
      </c>
    </row>
    <row r="1275" spans="10:11" x14ac:dyDescent="0.25">
      <c r="J1275" s="1">
        <f t="shared" si="39"/>
        <v>44740</v>
      </c>
      <c r="K1275" s="2">
        <f t="shared" si="38"/>
        <v>7.5</v>
      </c>
    </row>
    <row r="1276" spans="10:11" x14ac:dyDescent="0.25">
      <c r="J1276" s="1">
        <f t="shared" si="39"/>
        <v>44741</v>
      </c>
      <c r="K1276" s="2">
        <f t="shared" si="38"/>
        <v>9</v>
      </c>
    </row>
    <row r="1277" spans="10:11" x14ac:dyDescent="0.25">
      <c r="J1277" s="1">
        <f t="shared" si="39"/>
        <v>44742</v>
      </c>
      <c r="K1277" s="2" t="e">
        <f t="shared" si="38"/>
        <v>#N/A</v>
      </c>
    </row>
    <row r="1278" spans="10:11" x14ac:dyDescent="0.25">
      <c r="J1278" s="1">
        <f t="shared" si="39"/>
        <v>44743</v>
      </c>
      <c r="K1278" s="2">
        <f t="shared" si="38"/>
        <v>14.5</v>
      </c>
    </row>
    <row r="1279" spans="10:11" x14ac:dyDescent="0.25">
      <c r="J1279" s="1">
        <f t="shared" si="39"/>
        <v>44744</v>
      </c>
      <c r="K1279" s="2">
        <f t="shared" si="38"/>
        <v>12</v>
      </c>
    </row>
    <row r="1280" spans="10:11" x14ac:dyDescent="0.25">
      <c r="J1280" s="1">
        <f t="shared" si="39"/>
        <v>44745</v>
      </c>
      <c r="K1280" s="2">
        <f t="shared" si="38"/>
        <v>17</v>
      </c>
    </row>
    <row r="1281" spans="10:11" x14ac:dyDescent="0.25">
      <c r="J1281" s="1">
        <f t="shared" si="39"/>
        <v>44746</v>
      </c>
      <c r="K1281" s="2">
        <f t="shared" si="38"/>
        <v>13.25</v>
      </c>
    </row>
    <row r="1282" spans="10:11" x14ac:dyDescent="0.25">
      <c r="J1282" s="1">
        <f t="shared" si="39"/>
        <v>44747</v>
      </c>
      <c r="K1282" s="2">
        <f t="shared" si="38"/>
        <v>10.125</v>
      </c>
    </row>
    <row r="1283" spans="10:11" x14ac:dyDescent="0.25">
      <c r="J1283" s="1">
        <f t="shared" si="39"/>
        <v>44748</v>
      </c>
      <c r="K1283" s="2">
        <f t="shared" ref="K1283:K1346" si="40">VLOOKUP(J1283, G:H, 2, FALSE)</f>
        <v>10.125</v>
      </c>
    </row>
    <row r="1284" spans="10:11" x14ac:dyDescent="0.25">
      <c r="J1284" s="1">
        <f t="shared" si="39"/>
        <v>44749</v>
      </c>
      <c r="K1284" s="2">
        <f t="shared" si="40"/>
        <v>8.375</v>
      </c>
    </row>
    <row r="1285" spans="10:11" x14ac:dyDescent="0.25">
      <c r="J1285" s="1">
        <f t="shared" ref="J1285:J1348" si="41">DATE(2019,1,1) + ROW()-1</f>
        <v>44750</v>
      </c>
      <c r="K1285" s="2">
        <f t="shared" si="40"/>
        <v>9.25</v>
      </c>
    </row>
    <row r="1286" spans="10:11" x14ac:dyDescent="0.25">
      <c r="J1286" s="1">
        <f t="shared" si="41"/>
        <v>44751</v>
      </c>
      <c r="K1286" s="2">
        <f t="shared" si="40"/>
        <v>11.75</v>
      </c>
    </row>
    <row r="1287" spans="10:11" x14ac:dyDescent="0.25">
      <c r="J1287" s="1">
        <f t="shared" si="41"/>
        <v>44752</v>
      </c>
      <c r="K1287" s="2">
        <f t="shared" si="40"/>
        <v>16.75</v>
      </c>
    </row>
    <row r="1288" spans="10:11" x14ac:dyDescent="0.25">
      <c r="J1288" s="1">
        <f t="shared" si="41"/>
        <v>44753</v>
      </c>
      <c r="K1288" s="2">
        <f t="shared" si="40"/>
        <v>6.375</v>
      </c>
    </row>
    <row r="1289" spans="10:11" x14ac:dyDescent="0.25">
      <c r="J1289" s="1">
        <f t="shared" si="41"/>
        <v>44754</v>
      </c>
      <c r="K1289" s="2">
        <f t="shared" si="40"/>
        <v>6.25</v>
      </c>
    </row>
    <row r="1290" spans="10:11" x14ac:dyDescent="0.25">
      <c r="J1290" s="1">
        <f t="shared" si="41"/>
        <v>44755</v>
      </c>
      <c r="K1290" s="2">
        <f t="shared" si="40"/>
        <v>9</v>
      </c>
    </row>
    <row r="1291" spans="10:11" x14ac:dyDescent="0.25">
      <c r="J1291" s="1">
        <f t="shared" si="41"/>
        <v>44756</v>
      </c>
      <c r="K1291" s="2">
        <f t="shared" si="40"/>
        <v>6</v>
      </c>
    </row>
    <row r="1292" spans="10:11" x14ac:dyDescent="0.25">
      <c r="J1292" s="1">
        <f t="shared" si="41"/>
        <v>44757</v>
      </c>
      <c r="K1292" s="2">
        <f t="shared" si="40"/>
        <v>11.5</v>
      </c>
    </row>
    <row r="1293" spans="10:11" x14ac:dyDescent="0.25">
      <c r="J1293" s="1">
        <f t="shared" si="41"/>
        <v>44758</v>
      </c>
      <c r="K1293" s="2">
        <f t="shared" si="40"/>
        <v>14.75</v>
      </c>
    </row>
    <row r="1294" spans="10:11" x14ac:dyDescent="0.25">
      <c r="J1294" s="1">
        <f t="shared" si="41"/>
        <v>44759</v>
      </c>
      <c r="K1294" s="2">
        <f t="shared" si="40"/>
        <v>17.25</v>
      </c>
    </row>
    <row r="1295" spans="10:11" x14ac:dyDescent="0.25">
      <c r="J1295" s="1">
        <f t="shared" si="41"/>
        <v>44760</v>
      </c>
      <c r="K1295" s="2">
        <f t="shared" si="40"/>
        <v>7.25</v>
      </c>
    </row>
    <row r="1296" spans="10:11" x14ac:dyDescent="0.25">
      <c r="J1296" s="1">
        <f t="shared" si="41"/>
        <v>44761</v>
      </c>
      <c r="K1296" s="2">
        <f t="shared" si="40"/>
        <v>5.875</v>
      </c>
    </row>
    <row r="1297" spans="10:11" x14ac:dyDescent="0.25">
      <c r="J1297" s="1">
        <f t="shared" si="41"/>
        <v>44762</v>
      </c>
      <c r="K1297" s="2">
        <f t="shared" si="40"/>
        <v>8.375</v>
      </c>
    </row>
    <row r="1298" spans="10:11" x14ac:dyDescent="0.25">
      <c r="J1298" s="1">
        <f t="shared" si="41"/>
        <v>44763</v>
      </c>
      <c r="K1298" s="2">
        <f t="shared" si="40"/>
        <v>6.5</v>
      </c>
    </row>
    <row r="1299" spans="10:11" x14ac:dyDescent="0.25">
      <c r="J1299" s="1">
        <f t="shared" si="41"/>
        <v>44764</v>
      </c>
      <c r="K1299" s="2">
        <f t="shared" si="40"/>
        <v>13.375</v>
      </c>
    </row>
    <row r="1300" spans="10:11" x14ac:dyDescent="0.25">
      <c r="J1300" s="1">
        <f t="shared" si="41"/>
        <v>44765</v>
      </c>
      <c r="K1300" s="2">
        <f t="shared" si="40"/>
        <v>17.875</v>
      </c>
    </row>
    <row r="1301" spans="10:11" x14ac:dyDescent="0.25">
      <c r="J1301" s="1">
        <f t="shared" si="41"/>
        <v>44766</v>
      </c>
      <c r="K1301" s="2">
        <f t="shared" si="40"/>
        <v>15.75</v>
      </c>
    </row>
    <row r="1302" spans="10:11" x14ac:dyDescent="0.25">
      <c r="J1302" s="1">
        <f t="shared" si="41"/>
        <v>44767</v>
      </c>
      <c r="K1302" s="2">
        <f t="shared" si="40"/>
        <v>9.125</v>
      </c>
    </row>
    <row r="1303" spans="10:11" x14ac:dyDescent="0.25">
      <c r="J1303" s="1">
        <f t="shared" si="41"/>
        <v>44768</v>
      </c>
      <c r="K1303" s="2">
        <f t="shared" si="40"/>
        <v>9.625</v>
      </c>
    </row>
    <row r="1304" spans="10:11" x14ac:dyDescent="0.25">
      <c r="J1304" s="1">
        <f t="shared" si="41"/>
        <v>44769</v>
      </c>
      <c r="K1304" s="2">
        <f t="shared" si="40"/>
        <v>9.125</v>
      </c>
    </row>
    <row r="1305" spans="10:11" x14ac:dyDescent="0.25">
      <c r="J1305" s="1">
        <f t="shared" si="41"/>
        <v>44770</v>
      </c>
      <c r="K1305" s="2">
        <f t="shared" si="40"/>
        <v>10.875</v>
      </c>
    </row>
    <row r="1306" spans="10:11" x14ac:dyDescent="0.25">
      <c r="J1306" s="1">
        <f t="shared" si="41"/>
        <v>44771</v>
      </c>
      <c r="K1306" s="2">
        <f t="shared" si="40"/>
        <v>9.625</v>
      </c>
    </row>
    <row r="1307" spans="10:11" x14ac:dyDescent="0.25">
      <c r="J1307" s="1">
        <f t="shared" si="41"/>
        <v>44772</v>
      </c>
      <c r="K1307" s="2">
        <f t="shared" si="40"/>
        <v>17.375</v>
      </c>
    </row>
    <row r="1308" spans="10:11" x14ac:dyDescent="0.25">
      <c r="J1308" s="1">
        <f t="shared" si="41"/>
        <v>44773</v>
      </c>
      <c r="K1308" s="2">
        <f t="shared" si="40"/>
        <v>16</v>
      </c>
    </row>
    <row r="1309" spans="10:11" x14ac:dyDescent="0.25">
      <c r="J1309" s="1">
        <f t="shared" si="41"/>
        <v>44774</v>
      </c>
      <c r="K1309" s="2">
        <f t="shared" si="40"/>
        <v>6.5</v>
      </c>
    </row>
    <row r="1310" spans="10:11" x14ac:dyDescent="0.25">
      <c r="J1310" s="1">
        <f t="shared" si="41"/>
        <v>44775</v>
      </c>
      <c r="K1310" s="2">
        <f t="shared" si="40"/>
        <v>9.25</v>
      </c>
    </row>
    <row r="1311" spans="10:11" x14ac:dyDescent="0.25">
      <c r="J1311" s="1">
        <f t="shared" si="41"/>
        <v>44776</v>
      </c>
      <c r="K1311" s="2">
        <f t="shared" si="40"/>
        <v>9.25</v>
      </c>
    </row>
    <row r="1312" spans="10:11" x14ac:dyDescent="0.25">
      <c r="J1312" s="1">
        <f t="shared" si="41"/>
        <v>44777</v>
      </c>
      <c r="K1312" s="2">
        <f t="shared" si="40"/>
        <v>8.125</v>
      </c>
    </row>
    <row r="1313" spans="10:11" x14ac:dyDescent="0.25">
      <c r="J1313" s="1">
        <f t="shared" si="41"/>
        <v>44778</v>
      </c>
      <c r="K1313" s="2">
        <f t="shared" si="40"/>
        <v>9.375</v>
      </c>
    </row>
    <row r="1314" spans="10:11" x14ac:dyDescent="0.25">
      <c r="J1314" s="1">
        <f t="shared" si="41"/>
        <v>44779</v>
      </c>
      <c r="K1314" s="2">
        <f t="shared" si="40"/>
        <v>20</v>
      </c>
    </row>
    <row r="1315" spans="10:11" x14ac:dyDescent="0.25">
      <c r="J1315" s="1">
        <f t="shared" si="41"/>
        <v>44780</v>
      </c>
      <c r="K1315" s="2">
        <f t="shared" si="40"/>
        <v>17.25</v>
      </c>
    </row>
    <row r="1316" spans="10:11" x14ac:dyDescent="0.25">
      <c r="J1316" s="1">
        <f t="shared" si="41"/>
        <v>44781</v>
      </c>
      <c r="K1316" s="2">
        <f t="shared" si="40"/>
        <v>3.75</v>
      </c>
    </row>
    <row r="1317" spans="10:11" x14ac:dyDescent="0.25">
      <c r="J1317" s="1">
        <f t="shared" si="41"/>
        <v>44782</v>
      </c>
      <c r="K1317" s="2">
        <f t="shared" si="40"/>
        <v>12.375</v>
      </c>
    </row>
    <row r="1318" spans="10:11" x14ac:dyDescent="0.25">
      <c r="J1318" s="1">
        <f t="shared" si="41"/>
        <v>44783</v>
      </c>
      <c r="K1318" s="2">
        <f t="shared" si="40"/>
        <v>7.125</v>
      </c>
    </row>
    <row r="1319" spans="10:11" x14ac:dyDescent="0.25">
      <c r="J1319" s="1">
        <f t="shared" si="41"/>
        <v>44784</v>
      </c>
      <c r="K1319" s="2">
        <f t="shared" si="40"/>
        <v>7.5</v>
      </c>
    </row>
    <row r="1320" spans="10:11" x14ac:dyDescent="0.25">
      <c r="J1320" s="1">
        <f t="shared" si="41"/>
        <v>44785</v>
      </c>
      <c r="K1320" s="2">
        <f t="shared" si="40"/>
        <v>11.875</v>
      </c>
    </row>
    <row r="1321" spans="10:11" x14ac:dyDescent="0.25">
      <c r="J1321" s="1">
        <f t="shared" si="41"/>
        <v>44786</v>
      </c>
      <c r="K1321" s="2">
        <f t="shared" si="40"/>
        <v>11.625</v>
      </c>
    </row>
    <row r="1322" spans="10:11" x14ac:dyDescent="0.25">
      <c r="J1322" s="1">
        <f t="shared" si="41"/>
        <v>44787</v>
      </c>
      <c r="K1322" s="2">
        <f t="shared" si="40"/>
        <v>21.875</v>
      </c>
    </row>
    <row r="1323" spans="10:11" x14ac:dyDescent="0.25">
      <c r="J1323" s="1">
        <f t="shared" si="41"/>
        <v>44788</v>
      </c>
      <c r="K1323" s="2">
        <f t="shared" si="40"/>
        <v>14</v>
      </c>
    </row>
    <row r="1324" spans="10:11" x14ac:dyDescent="0.25">
      <c r="J1324" s="1">
        <f t="shared" si="41"/>
        <v>44789</v>
      </c>
      <c r="K1324" s="2">
        <f t="shared" si="40"/>
        <v>8.75</v>
      </c>
    </row>
    <row r="1325" spans="10:11" x14ac:dyDescent="0.25">
      <c r="J1325" s="1">
        <f t="shared" si="41"/>
        <v>44790</v>
      </c>
      <c r="K1325" s="2">
        <f t="shared" si="40"/>
        <v>3</v>
      </c>
    </row>
    <row r="1326" spans="10:11" x14ac:dyDescent="0.25">
      <c r="J1326" s="1">
        <f t="shared" si="41"/>
        <v>44791</v>
      </c>
      <c r="K1326" s="2">
        <f t="shared" si="40"/>
        <v>6.375</v>
      </c>
    </row>
    <row r="1327" spans="10:11" x14ac:dyDescent="0.25">
      <c r="J1327" s="1">
        <f t="shared" si="41"/>
        <v>44792</v>
      </c>
      <c r="K1327" s="2">
        <f t="shared" si="40"/>
        <v>8.625</v>
      </c>
    </row>
    <row r="1328" spans="10:11" x14ac:dyDescent="0.25">
      <c r="J1328" s="1">
        <f t="shared" si="41"/>
        <v>44793</v>
      </c>
      <c r="K1328" s="2">
        <f t="shared" si="40"/>
        <v>18.875</v>
      </c>
    </row>
    <row r="1329" spans="10:11" x14ac:dyDescent="0.25">
      <c r="J1329" s="1">
        <f t="shared" si="41"/>
        <v>44794</v>
      </c>
      <c r="K1329" s="2">
        <f t="shared" si="40"/>
        <v>12</v>
      </c>
    </row>
    <row r="1330" spans="10:11" x14ac:dyDescent="0.25">
      <c r="J1330" s="1">
        <f t="shared" si="41"/>
        <v>44795</v>
      </c>
      <c r="K1330" s="2">
        <f t="shared" si="40"/>
        <v>7.875</v>
      </c>
    </row>
    <row r="1331" spans="10:11" x14ac:dyDescent="0.25">
      <c r="J1331" s="1">
        <f t="shared" si="41"/>
        <v>44796</v>
      </c>
      <c r="K1331" s="2">
        <f t="shared" si="40"/>
        <v>7.125</v>
      </c>
    </row>
    <row r="1332" spans="10:11" x14ac:dyDescent="0.25">
      <c r="J1332" s="1">
        <f t="shared" si="41"/>
        <v>44797</v>
      </c>
      <c r="K1332" s="2">
        <f t="shared" si="40"/>
        <v>4.25</v>
      </c>
    </row>
    <row r="1333" spans="10:11" x14ac:dyDescent="0.25">
      <c r="J1333" s="1">
        <f t="shared" si="41"/>
        <v>44798</v>
      </c>
      <c r="K1333" s="2">
        <f t="shared" si="40"/>
        <v>7.125</v>
      </c>
    </row>
    <row r="1334" spans="10:11" x14ac:dyDescent="0.25">
      <c r="J1334" s="1">
        <f t="shared" si="41"/>
        <v>44799</v>
      </c>
      <c r="K1334" s="2">
        <f t="shared" si="40"/>
        <v>6.125</v>
      </c>
    </row>
    <row r="1335" spans="10:11" x14ac:dyDescent="0.25">
      <c r="J1335" s="1">
        <f t="shared" si="41"/>
        <v>44800</v>
      </c>
      <c r="K1335" s="2">
        <f t="shared" si="40"/>
        <v>12</v>
      </c>
    </row>
    <row r="1336" spans="10:11" x14ac:dyDescent="0.25">
      <c r="J1336" s="1">
        <f t="shared" si="41"/>
        <v>44801</v>
      </c>
      <c r="K1336" s="2">
        <f t="shared" si="40"/>
        <v>10.125</v>
      </c>
    </row>
    <row r="1337" spans="10:11" x14ac:dyDescent="0.25">
      <c r="J1337" s="1">
        <f t="shared" si="41"/>
        <v>44802</v>
      </c>
      <c r="K1337" s="2">
        <f t="shared" si="40"/>
        <v>6</v>
      </c>
    </row>
    <row r="1338" spans="10:11" x14ac:dyDescent="0.25">
      <c r="J1338" s="1">
        <f t="shared" si="41"/>
        <v>44803</v>
      </c>
      <c r="K1338" s="2" t="e">
        <f t="shared" si="40"/>
        <v>#N/A</v>
      </c>
    </row>
    <row r="1339" spans="10:11" x14ac:dyDescent="0.25">
      <c r="J1339" s="1">
        <f t="shared" si="41"/>
        <v>44804</v>
      </c>
      <c r="K1339" s="2" t="e">
        <f t="shared" si="40"/>
        <v>#N/A</v>
      </c>
    </row>
    <row r="1340" spans="10:11" x14ac:dyDescent="0.25">
      <c r="J1340" s="1">
        <f t="shared" si="41"/>
        <v>44805</v>
      </c>
      <c r="K1340" s="2">
        <f t="shared" si="40"/>
        <v>6.875</v>
      </c>
    </row>
    <row r="1341" spans="10:11" x14ac:dyDescent="0.25">
      <c r="J1341" s="1">
        <f t="shared" si="41"/>
        <v>44806</v>
      </c>
      <c r="K1341" s="2">
        <f t="shared" si="40"/>
        <v>12.875</v>
      </c>
    </row>
    <row r="1342" spans="10:11" x14ac:dyDescent="0.25">
      <c r="J1342" s="1">
        <f t="shared" si="41"/>
        <v>44807</v>
      </c>
      <c r="K1342" s="2">
        <f t="shared" si="40"/>
        <v>14.125</v>
      </c>
    </row>
    <row r="1343" spans="10:11" x14ac:dyDescent="0.25">
      <c r="J1343" s="1">
        <f t="shared" si="41"/>
        <v>44808</v>
      </c>
      <c r="K1343" s="2">
        <f t="shared" si="40"/>
        <v>19</v>
      </c>
    </row>
    <row r="1344" spans="10:11" x14ac:dyDescent="0.25">
      <c r="J1344" s="1">
        <f t="shared" si="41"/>
        <v>44809</v>
      </c>
      <c r="K1344" s="2">
        <f t="shared" si="40"/>
        <v>4.875</v>
      </c>
    </row>
    <row r="1345" spans="10:11" x14ac:dyDescent="0.25">
      <c r="J1345" s="1">
        <f t="shared" si="41"/>
        <v>44810</v>
      </c>
      <c r="K1345" s="2">
        <f t="shared" si="40"/>
        <v>9.125</v>
      </c>
    </row>
    <row r="1346" spans="10:11" x14ac:dyDescent="0.25">
      <c r="J1346" s="1">
        <f t="shared" si="41"/>
        <v>44811</v>
      </c>
      <c r="K1346" s="2">
        <f t="shared" si="40"/>
        <v>7.375</v>
      </c>
    </row>
    <row r="1347" spans="10:11" x14ac:dyDescent="0.25">
      <c r="J1347" s="1">
        <f t="shared" si="41"/>
        <v>44812</v>
      </c>
      <c r="K1347" s="2">
        <f t="shared" ref="K1347:K1410" si="42">VLOOKUP(J1347, G:H, 2, FALSE)</f>
        <v>8.125</v>
      </c>
    </row>
    <row r="1348" spans="10:11" x14ac:dyDescent="0.25">
      <c r="J1348" s="1">
        <f t="shared" si="41"/>
        <v>44813</v>
      </c>
      <c r="K1348" s="2">
        <f t="shared" si="42"/>
        <v>10.875</v>
      </c>
    </row>
    <row r="1349" spans="10:11" x14ac:dyDescent="0.25">
      <c r="J1349" s="1">
        <f t="shared" ref="J1349:J1412" si="43">DATE(2019,1,1) + ROW()-1</f>
        <v>44814</v>
      </c>
      <c r="K1349" s="2">
        <f t="shared" si="42"/>
        <v>11.875</v>
      </c>
    </row>
    <row r="1350" spans="10:11" x14ac:dyDescent="0.25">
      <c r="J1350" s="1">
        <f t="shared" si="43"/>
        <v>44815</v>
      </c>
      <c r="K1350" s="2">
        <f t="shared" si="42"/>
        <v>13.75</v>
      </c>
    </row>
    <row r="1351" spans="10:11" x14ac:dyDescent="0.25">
      <c r="J1351" s="1">
        <f t="shared" si="43"/>
        <v>44816</v>
      </c>
      <c r="K1351" s="2">
        <f t="shared" si="42"/>
        <v>6</v>
      </c>
    </row>
    <row r="1352" spans="10:11" x14ac:dyDescent="0.25">
      <c r="J1352" s="1">
        <f t="shared" si="43"/>
        <v>44817</v>
      </c>
      <c r="K1352" s="2">
        <f t="shared" si="42"/>
        <v>10.875</v>
      </c>
    </row>
    <row r="1353" spans="10:11" x14ac:dyDescent="0.25">
      <c r="J1353" s="1">
        <f t="shared" si="43"/>
        <v>44818</v>
      </c>
      <c r="K1353" s="2">
        <f t="shared" si="42"/>
        <v>6</v>
      </c>
    </row>
    <row r="1354" spans="10:11" x14ac:dyDescent="0.25">
      <c r="J1354" s="1">
        <f t="shared" si="43"/>
        <v>44819</v>
      </c>
      <c r="K1354" s="2">
        <f t="shared" si="42"/>
        <v>6.25</v>
      </c>
    </row>
    <row r="1355" spans="10:11" x14ac:dyDescent="0.25">
      <c r="J1355" s="1">
        <f t="shared" si="43"/>
        <v>44820</v>
      </c>
      <c r="K1355" s="2">
        <f t="shared" si="42"/>
        <v>6.625</v>
      </c>
    </row>
    <row r="1356" spans="10:11" x14ac:dyDescent="0.25">
      <c r="J1356" s="1">
        <f t="shared" si="43"/>
        <v>44821</v>
      </c>
      <c r="K1356" s="2">
        <f t="shared" si="42"/>
        <v>22</v>
      </c>
    </row>
    <row r="1357" spans="10:11" x14ac:dyDescent="0.25">
      <c r="J1357" s="1">
        <f t="shared" si="43"/>
        <v>44822</v>
      </c>
      <c r="K1357" s="2">
        <f t="shared" si="42"/>
        <v>14.75</v>
      </c>
    </row>
    <row r="1358" spans="10:11" x14ac:dyDescent="0.25">
      <c r="J1358" s="1">
        <f t="shared" si="43"/>
        <v>44823</v>
      </c>
      <c r="K1358" s="2">
        <f t="shared" si="42"/>
        <v>4.5</v>
      </c>
    </row>
    <row r="1359" spans="10:11" x14ac:dyDescent="0.25">
      <c r="J1359" s="1">
        <f t="shared" si="43"/>
        <v>44824</v>
      </c>
      <c r="K1359" s="2">
        <f t="shared" si="42"/>
        <v>7.625</v>
      </c>
    </row>
    <row r="1360" spans="10:11" x14ac:dyDescent="0.25">
      <c r="J1360" s="1">
        <f t="shared" si="43"/>
        <v>44825</v>
      </c>
      <c r="K1360" s="2">
        <f t="shared" si="42"/>
        <v>8.5</v>
      </c>
    </row>
    <row r="1361" spans="10:11" x14ac:dyDescent="0.25">
      <c r="J1361" s="1">
        <f t="shared" si="43"/>
        <v>44826</v>
      </c>
      <c r="K1361" s="2">
        <f t="shared" si="42"/>
        <v>4.375</v>
      </c>
    </row>
    <row r="1362" spans="10:11" x14ac:dyDescent="0.25">
      <c r="J1362" s="1">
        <f t="shared" si="43"/>
        <v>44827</v>
      </c>
      <c r="K1362" s="2">
        <f t="shared" si="42"/>
        <v>8.125</v>
      </c>
    </row>
    <row r="1363" spans="10:11" x14ac:dyDescent="0.25">
      <c r="J1363" s="1">
        <f t="shared" si="43"/>
        <v>44828</v>
      </c>
      <c r="K1363" s="2">
        <f t="shared" si="42"/>
        <v>12.5</v>
      </c>
    </row>
    <row r="1364" spans="10:11" x14ac:dyDescent="0.25">
      <c r="J1364" s="1">
        <f t="shared" si="43"/>
        <v>44829</v>
      </c>
      <c r="K1364" s="2">
        <f t="shared" si="42"/>
        <v>11.75</v>
      </c>
    </row>
    <row r="1365" spans="10:11" x14ac:dyDescent="0.25">
      <c r="J1365" s="1">
        <f t="shared" si="43"/>
        <v>44830</v>
      </c>
      <c r="K1365" s="2">
        <f t="shared" si="42"/>
        <v>8</v>
      </c>
    </row>
    <row r="1366" spans="10:11" x14ac:dyDescent="0.25">
      <c r="J1366" s="1">
        <f t="shared" si="43"/>
        <v>44831</v>
      </c>
      <c r="K1366" s="2">
        <f t="shared" si="42"/>
        <v>7.875</v>
      </c>
    </row>
    <row r="1367" spans="10:11" x14ac:dyDescent="0.25">
      <c r="J1367" s="1">
        <f t="shared" si="43"/>
        <v>44832</v>
      </c>
      <c r="K1367" s="2">
        <f t="shared" si="42"/>
        <v>4.5</v>
      </c>
    </row>
    <row r="1368" spans="10:11" x14ac:dyDescent="0.25">
      <c r="J1368" s="1">
        <f t="shared" si="43"/>
        <v>44833</v>
      </c>
      <c r="K1368" s="2">
        <f t="shared" si="42"/>
        <v>6.125</v>
      </c>
    </row>
    <row r="1369" spans="10:11" x14ac:dyDescent="0.25">
      <c r="J1369" s="1">
        <f t="shared" si="43"/>
        <v>44834</v>
      </c>
      <c r="K1369" s="2" t="e">
        <f t="shared" si="42"/>
        <v>#N/A</v>
      </c>
    </row>
    <row r="1370" spans="10:11" x14ac:dyDescent="0.25">
      <c r="J1370" s="1">
        <f t="shared" si="43"/>
        <v>44835</v>
      </c>
      <c r="K1370" s="2" t="e">
        <f t="shared" si="42"/>
        <v>#N/A</v>
      </c>
    </row>
    <row r="1371" spans="10:11" x14ac:dyDescent="0.25">
      <c r="J1371" s="1">
        <f t="shared" si="43"/>
        <v>44836</v>
      </c>
      <c r="K1371" s="2" t="e">
        <f t="shared" si="42"/>
        <v>#N/A</v>
      </c>
    </row>
    <row r="1372" spans="10:11" x14ac:dyDescent="0.25">
      <c r="J1372" s="1">
        <f t="shared" si="43"/>
        <v>44837</v>
      </c>
      <c r="K1372" s="2" t="e">
        <f t="shared" si="42"/>
        <v>#N/A</v>
      </c>
    </row>
    <row r="1373" spans="10:11" x14ac:dyDescent="0.25">
      <c r="J1373" s="1">
        <f t="shared" si="43"/>
        <v>44838</v>
      </c>
      <c r="K1373" s="2" t="e">
        <f t="shared" si="42"/>
        <v>#N/A</v>
      </c>
    </row>
    <row r="1374" spans="10:11" x14ac:dyDescent="0.25">
      <c r="J1374" s="1">
        <f t="shared" si="43"/>
        <v>44839</v>
      </c>
      <c r="K1374" s="2" t="e">
        <f t="shared" si="42"/>
        <v>#N/A</v>
      </c>
    </row>
    <row r="1375" spans="10:11" x14ac:dyDescent="0.25">
      <c r="J1375" s="1">
        <f t="shared" si="43"/>
        <v>44840</v>
      </c>
      <c r="K1375" s="2" t="e">
        <f t="shared" si="42"/>
        <v>#N/A</v>
      </c>
    </row>
    <row r="1376" spans="10:11" x14ac:dyDescent="0.25">
      <c r="J1376" s="1">
        <f t="shared" si="43"/>
        <v>44841</v>
      </c>
      <c r="K1376" s="2" t="e">
        <f t="shared" si="42"/>
        <v>#N/A</v>
      </c>
    </row>
    <row r="1377" spans="10:11" x14ac:dyDescent="0.25">
      <c r="J1377" s="1">
        <f t="shared" si="43"/>
        <v>44842</v>
      </c>
      <c r="K1377" s="2" t="e">
        <f t="shared" si="42"/>
        <v>#N/A</v>
      </c>
    </row>
    <row r="1378" spans="10:11" x14ac:dyDescent="0.25">
      <c r="J1378" s="1">
        <f t="shared" si="43"/>
        <v>44843</v>
      </c>
      <c r="K1378" s="2" t="e">
        <f t="shared" si="42"/>
        <v>#N/A</v>
      </c>
    </row>
    <row r="1379" spans="10:11" x14ac:dyDescent="0.25">
      <c r="J1379" s="1">
        <f t="shared" si="43"/>
        <v>44844</v>
      </c>
      <c r="K1379" s="2" t="e">
        <f t="shared" si="42"/>
        <v>#N/A</v>
      </c>
    </row>
    <row r="1380" spans="10:11" x14ac:dyDescent="0.25">
      <c r="J1380" s="1">
        <f t="shared" si="43"/>
        <v>44845</v>
      </c>
      <c r="K1380" s="2" t="e">
        <f t="shared" si="42"/>
        <v>#N/A</v>
      </c>
    </row>
    <row r="1381" spans="10:11" x14ac:dyDescent="0.25">
      <c r="J1381" s="1">
        <f t="shared" si="43"/>
        <v>44846</v>
      </c>
      <c r="K1381" s="2" t="e">
        <f t="shared" si="42"/>
        <v>#N/A</v>
      </c>
    </row>
    <row r="1382" spans="10:11" x14ac:dyDescent="0.25">
      <c r="J1382" s="1">
        <f t="shared" si="43"/>
        <v>44847</v>
      </c>
      <c r="K1382" s="2" t="e">
        <f t="shared" si="42"/>
        <v>#N/A</v>
      </c>
    </row>
    <row r="1383" spans="10:11" x14ac:dyDescent="0.25">
      <c r="J1383" s="1">
        <f t="shared" si="43"/>
        <v>44848</v>
      </c>
      <c r="K1383" s="2" t="e">
        <f t="shared" si="42"/>
        <v>#N/A</v>
      </c>
    </row>
    <row r="1384" spans="10:11" x14ac:dyDescent="0.25">
      <c r="J1384" s="1">
        <f t="shared" si="43"/>
        <v>44849</v>
      </c>
      <c r="K1384" s="2" t="e">
        <f t="shared" si="42"/>
        <v>#N/A</v>
      </c>
    </row>
    <row r="1385" spans="10:11" x14ac:dyDescent="0.25">
      <c r="J1385" s="1">
        <f t="shared" si="43"/>
        <v>44850</v>
      </c>
      <c r="K1385" s="2" t="e">
        <f t="shared" si="42"/>
        <v>#N/A</v>
      </c>
    </row>
    <row r="1386" spans="10:11" x14ac:dyDescent="0.25">
      <c r="J1386" s="1">
        <f t="shared" si="43"/>
        <v>44851</v>
      </c>
      <c r="K1386" s="2" t="e">
        <f t="shared" si="42"/>
        <v>#N/A</v>
      </c>
    </row>
    <row r="1387" spans="10:11" x14ac:dyDescent="0.25">
      <c r="J1387" s="1">
        <f t="shared" si="43"/>
        <v>44852</v>
      </c>
      <c r="K1387" s="2" t="e">
        <f t="shared" si="42"/>
        <v>#N/A</v>
      </c>
    </row>
    <row r="1388" spans="10:11" x14ac:dyDescent="0.25">
      <c r="J1388" s="1">
        <f t="shared" si="43"/>
        <v>44853</v>
      </c>
      <c r="K1388" s="2" t="e">
        <f t="shared" si="42"/>
        <v>#N/A</v>
      </c>
    </row>
    <row r="1389" spans="10:11" x14ac:dyDescent="0.25">
      <c r="J1389" s="1">
        <f t="shared" si="43"/>
        <v>44854</v>
      </c>
      <c r="K1389" s="2" t="e">
        <f t="shared" si="42"/>
        <v>#N/A</v>
      </c>
    </row>
    <row r="1390" spans="10:11" x14ac:dyDescent="0.25">
      <c r="J1390" s="1">
        <f t="shared" si="43"/>
        <v>44855</v>
      </c>
      <c r="K1390" s="2" t="e">
        <f t="shared" si="42"/>
        <v>#N/A</v>
      </c>
    </row>
    <row r="1391" spans="10:11" x14ac:dyDescent="0.25">
      <c r="J1391" s="1">
        <f t="shared" si="43"/>
        <v>44856</v>
      </c>
      <c r="K1391" s="2" t="e">
        <f t="shared" si="42"/>
        <v>#N/A</v>
      </c>
    </row>
    <row r="1392" spans="10:11" x14ac:dyDescent="0.25">
      <c r="J1392" s="1">
        <f t="shared" si="43"/>
        <v>44857</v>
      </c>
      <c r="K1392" s="2" t="e">
        <f t="shared" si="42"/>
        <v>#N/A</v>
      </c>
    </row>
    <row r="1393" spans="10:11" x14ac:dyDescent="0.25">
      <c r="J1393" s="1">
        <f t="shared" si="43"/>
        <v>44858</v>
      </c>
      <c r="K1393" s="2" t="e">
        <f t="shared" si="42"/>
        <v>#N/A</v>
      </c>
    </row>
    <row r="1394" spans="10:11" x14ac:dyDescent="0.25">
      <c r="J1394" s="1">
        <f t="shared" si="43"/>
        <v>44859</v>
      </c>
      <c r="K1394" s="2" t="e">
        <f t="shared" si="42"/>
        <v>#N/A</v>
      </c>
    </row>
    <row r="1395" spans="10:11" x14ac:dyDescent="0.25">
      <c r="J1395" s="1">
        <f t="shared" si="43"/>
        <v>44860</v>
      </c>
      <c r="K1395" s="2" t="e">
        <f t="shared" si="42"/>
        <v>#N/A</v>
      </c>
    </row>
    <row r="1396" spans="10:11" x14ac:dyDescent="0.25">
      <c r="J1396" s="1">
        <f t="shared" si="43"/>
        <v>44861</v>
      </c>
      <c r="K1396" s="2" t="e">
        <f t="shared" si="42"/>
        <v>#N/A</v>
      </c>
    </row>
    <row r="1397" spans="10:11" x14ac:dyDescent="0.25">
      <c r="J1397" s="1">
        <f t="shared" si="43"/>
        <v>44862</v>
      </c>
      <c r="K1397" s="2" t="e">
        <f t="shared" si="42"/>
        <v>#N/A</v>
      </c>
    </row>
    <row r="1398" spans="10:11" x14ac:dyDescent="0.25">
      <c r="J1398" s="1">
        <f t="shared" si="43"/>
        <v>44863</v>
      </c>
      <c r="K1398" s="2" t="e">
        <f t="shared" si="42"/>
        <v>#N/A</v>
      </c>
    </row>
    <row r="1399" spans="10:11" x14ac:dyDescent="0.25">
      <c r="J1399" s="1">
        <f t="shared" si="43"/>
        <v>44864</v>
      </c>
      <c r="K1399" s="2" t="e">
        <f t="shared" si="42"/>
        <v>#N/A</v>
      </c>
    </row>
    <row r="1400" spans="10:11" x14ac:dyDescent="0.25">
      <c r="J1400" s="1">
        <f t="shared" si="43"/>
        <v>44865</v>
      </c>
      <c r="K1400" s="2" t="e">
        <f t="shared" si="42"/>
        <v>#N/A</v>
      </c>
    </row>
    <row r="1401" spans="10:11" x14ac:dyDescent="0.25">
      <c r="J1401" s="1">
        <f t="shared" si="43"/>
        <v>44866</v>
      </c>
      <c r="K1401" s="2">
        <f t="shared" si="42"/>
        <v>6.25</v>
      </c>
    </row>
    <row r="1402" spans="10:11" x14ac:dyDescent="0.25">
      <c r="J1402" s="1">
        <f t="shared" si="43"/>
        <v>44867</v>
      </c>
      <c r="K1402" s="2">
        <f t="shared" si="42"/>
        <v>7.75</v>
      </c>
    </row>
    <row r="1403" spans="10:11" x14ac:dyDescent="0.25">
      <c r="J1403" s="1">
        <f t="shared" si="43"/>
        <v>44868</v>
      </c>
      <c r="K1403" s="2">
        <f t="shared" si="42"/>
        <v>6.625</v>
      </c>
    </row>
    <row r="1404" spans="10:11" x14ac:dyDescent="0.25">
      <c r="J1404" s="1">
        <f t="shared" si="43"/>
        <v>44869</v>
      </c>
      <c r="K1404" s="2">
        <f t="shared" si="42"/>
        <v>10</v>
      </c>
    </row>
    <row r="1405" spans="10:11" x14ac:dyDescent="0.25">
      <c r="J1405" s="1">
        <f t="shared" si="43"/>
        <v>44870</v>
      </c>
      <c r="K1405" s="2">
        <f t="shared" si="42"/>
        <v>15.375</v>
      </c>
    </row>
    <row r="1406" spans="10:11" x14ac:dyDescent="0.25">
      <c r="J1406" s="1">
        <f t="shared" si="43"/>
        <v>44871</v>
      </c>
      <c r="K1406" s="2">
        <f t="shared" si="42"/>
        <v>12.125</v>
      </c>
    </row>
    <row r="1407" spans="10:11" x14ac:dyDescent="0.25">
      <c r="J1407" s="1">
        <f t="shared" si="43"/>
        <v>44872</v>
      </c>
      <c r="K1407" s="2">
        <f t="shared" si="42"/>
        <v>14.75</v>
      </c>
    </row>
    <row r="1408" spans="10:11" x14ac:dyDescent="0.25">
      <c r="J1408" s="1">
        <f t="shared" si="43"/>
        <v>44873</v>
      </c>
      <c r="K1408" s="2">
        <f t="shared" si="42"/>
        <v>12.125</v>
      </c>
    </row>
    <row r="1409" spans="10:11" x14ac:dyDescent="0.25">
      <c r="J1409" s="1">
        <f t="shared" si="43"/>
        <v>44874</v>
      </c>
      <c r="K1409" s="2">
        <f t="shared" si="42"/>
        <v>4.375</v>
      </c>
    </row>
    <row r="1410" spans="10:11" x14ac:dyDescent="0.25">
      <c r="J1410" s="1">
        <f t="shared" si="43"/>
        <v>44875</v>
      </c>
      <c r="K1410" s="2">
        <f t="shared" si="42"/>
        <v>6.875</v>
      </c>
    </row>
    <row r="1411" spans="10:11" x14ac:dyDescent="0.25">
      <c r="J1411" s="1">
        <f t="shared" si="43"/>
        <v>44876</v>
      </c>
      <c r="K1411" s="2">
        <f t="shared" ref="K1411:K1474" si="44">VLOOKUP(J1411, G:H, 2, FALSE)</f>
        <v>8.25</v>
      </c>
    </row>
    <row r="1412" spans="10:11" x14ac:dyDescent="0.25">
      <c r="J1412" s="1">
        <f t="shared" si="43"/>
        <v>44877</v>
      </c>
      <c r="K1412" s="2">
        <f t="shared" si="44"/>
        <v>10.125</v>
      </c>
    </row>
    <row r="1413" spans="10:11" x14ac:dyDescent="0.25">
      <c r="J1413" s="1">
        <f t="shared" ref="J1413:J1476" si="45">DATE(2019,1,1) + ROW()-1</f>
        <v>44878</v>
      </c>
      <c r="K1413" s="2">
        <f t="shared" si="44"/>
        <v>10.25</v>
      </c>
    </row>
    <row r="1414" spans="10:11" x14ac:dyDescent="0.25">
      <c r="J1414" s="1">
        <f t="shared" si="45"/>
        <v>44879</v>
      </c>
      <c r="K1414" s="2">
        <f t="shared" si="44"/>
        <v>10.25</v>
      </c>
    </row>
    <row r="1415" spans="10:11" x14ac:dyDescent="0.25">
      <c r="J1415" s="1">
        <f t="shared" si="45"/>
        <v>44880</v>
      </c>
      <c r="K1415" s="2">
        <f t="shared" si="44"/>
        <v>6.375</v>
      </c>
    </row>
    <row r="1416" spans="10:11" x14ac:dyDescent="0.25">
      <c r="J1416" s="1">
        <f t="shared" si="45"/>
        <v>44881</v>
      </c>
      <c r="K1416" s="2">
        <f t="shared" si="44"/>
        <v>3</v>
      </c>
    </row>
    <row r="1417" spans="10:11" x14ac:dyDescent="0.25">
      <c r="J1417" s="1">
        <f t="shared" si="45"/>
        <v>44882</v>
      </c>
      <c r="K1417" s="2">
        <f t="shared" si="44"/>
        <v>5.75</v>
      </c>
    </row>
    <row r="1418" spans="10:11" x14ac:dyDescent="0.25">
      <c r="J1418" s="1">
        <f t="shared" si="45"/>
        <v>44883</v>
      </c>
      <c r="K1418" s="2">
        <f t="shared" si="44"/>
        <v>10.5</v>
      </c>
    </row>
    <row r="1419" spans="10:11" x14ac:dyDescent="0.25">
      <c r="J1419" s="1">
        <f t="shared" si="45"/>
        <v>44884</v>
      </c>
      <c r="K1419" s="2">
        <f t="shared" si="44"/>
        <v>14.125</v>
      </c>
    </row>
    <row r="1420" spans="10:11" x14ac:dyDescent="0.25">
      <c r="J1420" s="1">
        <f t="shared" si="45"/>
        <v>44885</v>
      </c>
      <c r="K1420" s="2">
        <f t="shared" si="44"/>
        <v>13.375</v>
      </c>
    </row>
    <row r="1421" spans="10:11" x14ac:dyDescent="0.25">
      <c r="J1421" s="1">
        <f t="shared" si="45"/>
        <v>44886</v>
      </c>
      <c r="K1421" s="2">
        <f t="shared" si="44"/>
        <v>3.75</v>
      </c>
    </row>
    <row r="1422" spans="10:11" x14ac:dyDescent="0.25">
      <c r="J1422" s="1">
        <f t="shared" si="45"/>
        <v>44887</v>
      </c>
      <c r="K1422" s="2">
        <f t="shared" si="44"/>
        <v>4.5</v>
      </c>
    </row>
    <row r="1423" spans="10:11" x14ac:dyDescent="0.25">
      <c r="J1423" s="1">
        <f t="shared" si="45"/>
        <v>44888</v>
      </c>
      <c r="K1423" s="2">
        <f t="shared" si="44"/>
        <v>6.25</v>
      </c>
    </row>
    <row r="1424" spans="10:11" x14ac:dyDescent="0.25">
      <c r="J1424" s="1">
        <f t="shared" si="45"/>
        <v>44889</v>
      </c>
      <c r="K1424" s="2">
        <f t="shared" si="44"/>
        <v>8.25</v>
      </c>
    </row>
    <row r="1425" spans="10:11" x14ac:dyDescent="0.25">
      <c r="J1425" s="1">
        <f t="shared" si="45"/>
        <v>44890</v>
      </c>
      <c r="K1425" s="2">
        <f t="shared" si="44"/>
        <v>8.25</v>
      </c>
    </row>
    <row r="1426" spans="10:11" x14ac:dyDescent="0.25">
      <c r="J1426" s="1">
        <f t="shared" si="45"/>
        <v>44891</v>
      </c>
      <c r="K1426" s="2">
        <f t="shared" si="44"/>
        <v>12.375</v>
      </c>
    </row>
    <row r="1427" spans="10:11" x14ac:dyDescent="0.25">
      <c r="J1427" s="1">
        <f t="shared" si="45"/>
        <v>44892</v>
      </c>
      <c r="K1427" s="2">
        <f t="shared" si="44"/>
        <v>13.125</v>
      </c>
    </row>
    <row r="1428" spans="10:11" x14ac:dyDescent="0.25">
      <c r="J1428" s="1">
        <f t="shared" si="45"/>
        <v>44893</v>
      </c>
      <c r="K1428" s="2">
        <f t="shared" si="44"/>
        <v>6</v>
      </c>
    </row>
    <row r="1429" spans="10:11" x14ac:dyDescent="0.25">
      <c r="J1429" s="1">
        <f t="shared" si="45"/>
        <v>44894</v>
      </c>
      <c r="K1429" s="2">
        <f t="shared" si="44"/>
        <v>3.625</v>
      </c>
    </row>
    <row r="1430" spans="10:11" x14ac:dyDescent="0.25">
      <c r="J1430" s="1">
        <f t="shared" si="45"/>
        <v>44895</v>
      </c>
      <c r="K1430" s="2" t="e">
        <f t="shared" si="44"/>
        <v>#N/A</v>
      </c>
    </row>
    <row r="1431" spans="10:11" x14ac:dyDescent="0.25">
      <c r="J1431" s="1">
        <f t="shared" si="45"/>
        <v>44896</v>
      </c>
      <c r="K1431" s="2">
        <f t="shared" si="44"/>
        <v>10.25</v>
      </c>
    </row>
    <row r="1432" spans="10:11" x14ac:dyDescent="0.25">
      <c r="J1432" s="1">
        <f t="shared" si="45"/>
        <v>44897</v>
      </c>
      <c r="K1432" s="2">
        <f t="shared" si="44"/>
        <v>30.875</v>
      </c>
    </row>
    <row r="1433" spans="10:11" x14ac:dyDescent="0.25">
      <c r="J1433" s="1">
        <f t="shared" si="45"/>
        <v>44898</v>
      </c>
      <c r="K1433" s="2">
        <f t="shared" si="44"/>
        <v>10.5</v>
      </c>
    </row>
    <row r="1434" spans="10:11" x14ac:dyDescent="0.25">
      <c r="J1434" s="1">
        <f t="shared" si="45"/>
        <v>44899</v>
      </c>
      <c r="K1434" s="2">
        <f t="shared" si="44"/>
        <v>10.875</v>
      </c>
    </row>
    <row r="1435" spans="10:11" x14ac:dyDescent="0.25">
      <c r="J1435" s="1">
        <f t="shared" si="45"/>
        <v>44900</v>
      </c>
      <c r="K1435" s="2">
        <f t="shared" si="44"/>
        <v>6.375</v>
      </c>
    </row>
    <row r="1436" spans="10:11" x14ac:dyDescent="0.25">
      <c r="J1436" s="1">
        <f t="shared" si="45"/>
        <v>44901</v>
      </c>
      <c r="K1436" s="2">
        <f t="shared" si="44"/>
        <v>7.875</v>
      </c>
    </row>
    <row r="1437" spans="10:11" x14ac:dyDescent="0.25">
      <c r="J1437" s="1">
        <f t="shared" si="45"/>
        <v>44902</v>
      </c>
      <c r="K1437" s="2">
        <f t="shared" si="44"/>
        <v>19.375</v>
      </c>
    </row>
    <row r="1438" spans="10:11" x14ac:dyDescent="0.25">
      <c r="J1438" s="1">
        <f t="shared" si="45"/>
        <v>44903</v>
      </c>
      <c r="K1438" s="2">
        <f t="shared" si="44"/>
        <v>12.25</v>
      </c>
    </row>
    <row r="1439" spans="10:11" x14ac:dyDescent="0.25">
      <c r="J1439" s="1">
        <f t="shared" si="45"/>
        <v>44904</v>
      </c>
      <c r="K1439" s="2">
        <f t="shared" si="44"/>
        <v>10.375</v>
      </c>
    </row>
    <row r="1440" spans="10:11" x14ac:dyDescent="0.25">
      <c r="J1440" s="1">
        <f t="shared" si="45"/>
        <v>44905</v>
      </c>
      <c r="K1440" s="2">
        <f t="shared" si="44"/>
        <v>10.125</v>
      </c>
    </row>
    <row r="1441" spans="10:11" x14ac:dyDescent="0.25">
      <c r="J1441" s="1">
        <f t="shared" si="45"/>
        <v>44906</v>
      </c>
      <c r="K1441" s="2">
        <f t="shared" si="44"/>
        <v>7.625</v>
      </c>
    </row>
    <row r="1442" spans="10:11" x14ac:dyDescent="0.25">
      <c r="J1442" s="1">
        <f t="shared" si="45"/>
        <v>44907</v>
      </c>
      <c r="K1442" s="2">
        <f t="shared" si="44"/>
        <v>7</v>
      </c>
    </row>
    <row r="1443" spans="10:11" x14ac:dyDescent="0.25">
      <c r="J1443" s="1">
        <f t="shared" si="45"/>
        <v>44908</v>
      </c>
      <c r="K1443" s="2">
        <f t="shared" si="44"/>
        <v>9.375</v>
      </c>
    </row>
    <row r="1444" spans="10:11" x14ac:dyDescent="0.25">
      <c r="J1444" s="1">
        <f t="shared" si="45"/>
        <v>44909</v>
      </c>
      <c r="K1444" s="2">
        <f t="shared" si="44"/>
        <v>6.5</v>
      </c>
    </row>
    <row r="1445" spans="10:11" x14ac:dyDescent="0.25">
      <c r="J1445" s="1">
        <f t="shared" si="45"/>
        <v>44910</v>
      </c>
      <c r="K1445" s="2">
        <f t="shared" si="44"/>
        <v>7.5</v>
      </c>
    </row>
    <row r="1446" spans="10:11" x14ac:dyDescent="0.25">
      <c r="J1446" s="1">
        <f t="shared" si="45"/>
        <v>44911</v>
      </c>
      <c r="K1446" s="2">
        <f t="shared" si="44"/>
        <v>13.375</v>
      </c>
    </row>
    <row r="1447" spans="10:11" x14ac:dyDescent="0.25">
      <c r="J1447" s="1">
        <f t="shared" si="45"/>
        <v>44912</v>
      </c>
      <c r="K1447" s="2">
        <f t="shared" si="44"/>
        <v>9.25</v>
      </c>
    </row>
    <row r="1448" spans="10:11" x14ac:dyDescent="0.25">
      <c r="J1448" s="1">
        <f t="shared" si="45"/>
        <v>44913</v>
      </c>
      <c r="K1448" s="2">
        <f t="shared" si="44"/>
        <v>9.625</v>
      </c>
    </row>
    <row r="1449" spans="10:11" x14ac:dyDescent="0.25">
      <c r="J1449" s="1">
        <f t="shared" si="45"/>
        <v>44914</v>
      </c>
      <c r="K1449" s="2">
        <f t="shared" si="44"/>
        <v>5.625</v>
      </c>
    </row>
    <row r="1450" spans="10:11" x14ac:dyDescent="0.25">
      <c r="J1450" s="1">
        <f t="shared" si="45"/>
        <v>44915</v>
      </c>
      <c r="K1450" s="2">
        <f t="shared" si="44"/>
        <v>5.875</v>
      </c>
    </row>
    <row r="1451" spans="10:11" x14ac:dyDescent="0.25">
      <c r="J1451" s="1">
        <f t="shared" si="45"/>
        <v>44916</v>
      </c>
      <c r="K1451" s="2">
        <f t="shared" si="44"/>
        <v>8.625</v>
      </c>
    </row>
    <row r="1452" spans="10:11" x14ac:dyDescent="0.25">
      <c r="J1452" s="1">
        <f t="shared" si="45"/>
        <v>44917</v>
      </c>
      <c r="K1452" s="2">
        <f t="shared" si="44"/>
        <v>11.875</v>
      </c>
    </row>
    <row r="1453" spans="10:11" x14ac:dyDescent="0.25">
      <c r="J1453" s="1">
        <f t="shared" si="45"/>
        <v>44918</v>
      </c>
      <c r="K1453" s="2">
        <f t="shared" si="44"/>
        <v>11</v>
      </c>
    </row>
    <row r="1454" spans="10:11" x14ac:dyDescent="0.25">
      <c r="J1454" s="1">
        <f t="shared" si="45"/>
        <v>44919</v>
      </c>
      <c r="K1454" s="2">
        <f t="shared" si="44"/>
        <v>13</v>
      </c>
    </row>
    <row r="1455" spans="10:11" x14ac:dyDescent="0.25">
      <c r="J1455" s="1">
        <f t="shared" si="45"/>
        <v>44920</v>
      </c>
      <c r="K1455" s="2">
        <f t="shared" si="44"/>
        <v>20</v>
      </c>
    </row>
    <row r="1456" spans="10:11" x14ac:dyDescent="0.25">
      <c r="J1456" s="1">
        <f t="shared" si="45"/>
        <v>44921</v>
      </c>
      <c r="K1456" s="2">
        <f t="shared" si="44"/>
        <v>6.75</v>
      </c>
    </row>
    <row r="1457" spans="10:11" x14ac:dyDescent="0.25">
      <c r="J1457" s="1">
        <f t="shared" si="45"/>
        <v>44922</v>
      </c>
      <c r="K1457" s="2">
        <f t="shared" si="44"/>
        <v>7.75</v>
      </c>
    </row>
    <row r="1458" spans="10:11" x14ac:dyDescent="0.25">
      <c r="J1458" s="1">
        <f t="shared" si="45"/>
        <v>44923</v>
      </c>
      <c r="K1458" s="2">
        <f t="shared" si="44"/>
        <v>11</v>
      </c>
    </row>
    <row r="1459" spans="10:11" x14ac:dyDescent="0.25">
      <c r="J1459" s="1">
        <f t="shared" si="45"/>
        <v>44924</v>
      </c>
      <c r="K1459" s="2">
        <f t="shared" si="44"/>
        <v>10.625</v>
      </c>
    </row>
    <row r="1460" spans="10:11" x14ac:dyDescent="0.25">
      <c r="J1460" s="1">
        <f t="shared" si="45"/>
        <v>44925</v>
      </c>
      <c r="K1460" s="2">
        <f t="shared" si="44"/>
        <v>13.125</v>
      </c>
    </row>
    <row r="1461" spans="10:11" x14ac:dyDescent="0.25">
      <c r="J1461" s="1">
        <f t="shared" si="45"/>
        <v>44926</v>
      </c>
      <c r="K1461" s="2">
        <f t="shared" si="44"/>
        <v>17.375</v>
      </c>
    </row>
    <row r="1462" spans="10:11" x14ac:dyDescent="0.25">
      <c r="J1462" s="1">
        <f t="shared" si="45"/>
        <v>44927</v>
      </c>
      <c r="K1462" s="2">
        <f t="shared" si="44"/>
        <v>21</v>
      </c>
    </row>
    <row r="1463" spans="10:11" x14ac:dyDescent="0.25">
      <c r="J1463" s="1">
        <f t="shared" si="45"/>
        <v>44928</v>
      </c>
      <c r="K1463" s="2">
        <f t="shared" si="44"/>
        <v>8.875</v>
      </c>
    </row>
    <row r="1464" spans="10:11" x14ac:dyDescent="0.25">
      <c r="J1464" s="1">
        <f t="shared" si="45"/>
        <v>44929</v>
      </c>
      <c r="K1464" s="2">
        <f t="shared" si="44"/>
        <v>12.5</v>
      </c>
    </row>
    <row r="1465" spans="10:11" x14ac:dyDescent="0.25">
      <c r="J1465" s="1">
        <f t="shared" si="45"/>
        <v>44930</v>
      </c>
      <c r="K1465" s="2">
        <f t="shared" si="44"/>
        <v>14.5</v>
      </c>
    </row>
    <row r="1466" spans="10:11" x14ac:dyDescent="0.25">
      <c r="J1466" s="1">
        <f t="shared" si="45"/>
        <v>44931</v>
      </c>
      <c r="K1466" s="2">
        <f t="shared" si="44"/>
        <v>12.375</v>
      </c>
    </row>
    <row r="1467" spans="10:11" x14ac:dyDescent="0.25">
      <c r="J1467" s="1">
        <f t="shared" si="45"/>
        <v>44932</v>
      </c>
      <c r="K1467" s="2">
        <f t="shared" si="44"/>
        <v>13.375</v>
      </c>
    </row>
    <row r="1468" spans="10:11" x14ac:dyDescent="0.25">
      <c r="J1468" s="1">
        <f t="shared" si="45"/>
        <v>44933</v>
      </c>
      <c r="K1468" s="2">
        <f t="shared" si="44"/>
        <v>22.25</v>
      </c>
    </row>
    <row r="1469" spans="10:11" x14ac:dyDescent="0.25">
      <c r="J1469" s="1">
        <f t="shared" si="45"/>
        <v>44934</v>
      </c>
      <c r="K1469" s="2">
        <f t="shared" si="44"/>
        <v>15.75</v>
      </c>
    </row>
    <row r="1470" spans="10:11" x14ac:dyDescent="0.25">
      <c r="J1470" s="1">
        <f t="shared" si="45"/>
        <v>44935</v>
      </c>
      <c r="K1470" s="2">
        <f t="shared" si="44"/>
        <v>18.875</v>
      </c>
    </row>
    <row r="1471" spans="10:11" x14ac:dyDescent="0.25">
      <c r="J1471" s="1">
        <f t="shared" si="45"/>
        <v>44936</v>
      </c>
      <c r="K1471" s="2">
        <f t="shared" si="44"/>
        <v>6</v>
      </c>
    </row>
    <row r="1472" spans="10:11" x14ac:dyDescent="0.25">
      <c r="J1472" s="1">
        <f t="shared" si="45"/>
        <v>44937</v>
      </c>
      <c r="K1472" s="2">
        <f t="shared" si="44"/>
        <v>14.25</v>
      </c>
    </row>
    <row r="1473" spans="10:11" x14ac:dyDescent="0.25">
      <c r="J1473" s="1">
        <f t="shared" si="45"/>
        <v>44938</v>
      </c>
      <c r="K1473" s="2">
        <f t="shared" si="44"/>
        <v>8.625</v>
      </c>
    </row>
    <row r="1474" spans="10:11" x14ac:dyDescent="0.25">
      <c r="J1474" s="1">
        <f t="shared" si="45"/>
        <v>44939</v>
      </c>
      <c r="K1474" s="2">
        <f t="shared" si="44"/>
        <v>10.25</v>
      </c>
    </row>
    <row r="1475" spans="10:11" x14ac:dyDescent="0.25">
      <c r="J1475" s="1">
        <f t="shared" si="45"/>
        <v>44940</v>
      </c>
      <c r="K1475" s="2">
        <f t="shared" ref="K1475:K1538" si="46">VLOOKUP(J1475, G:H, 2, FALSE)</f>
        <v>8.75</v>
      </c>
    </row>
    <row r="1476" spans="10:11" x14ac:dyDescent="0.25">
      <c r="J1476" s="1">
        <f t="shared" si="45"/>
        <v>44941</v>
      </c>
      <c r="K1476" s="2">
        <f t="shared" si="46"/>
        <v>16.875</v>
      </c>
    </row>
    <row r="1477" spans="10:11" x14ac:dyDescent="0.25">
      <c r="J1477" s="1">
        <f t="shared" ref="J1477:J1540" si="47">DATE(2019,1,1) + ROW()-1</f>
        <v>44942</v>
      </c>
      <c r="K1477" s="2">
        <f t="shared" si="46"/>
        <v>5.75</v>
      </c>
    </row>
    <row r="1478" spans="10:11" x14ac:dyDescent="0.25">
      <c r="J1478" s="1">
        <f t="shared" si="47"/>
        <v>44943</v>
      </c>
      <c r="K1478" s="2">
        <f t="shared" si="46"/>
        <v>10.625</v>
      </c>
    </row>
    <row r="1479" spans="10:11" x14ac:dyDescent="0.25">
      <c r="J1479" s="1">
        <f t="shared" si="47"/>
        <v>44944</v>
      </c>
      <c r="K1479" s="2">
        <f t="shared" si="46"/>
        <v>9.375</v>
      </c>
    </row>
    <row r="1480" spans="10:11" x14ac:dyDescent="0.25">
      <c r="J1480" s="1">
        <f t="shared" si="47"/>
        <v>44945</v>
      </c>
      <c r="K1480" s="2">
        <f t="shared" si="46"/>
        <v>8.75</v>
      </c>
    </row>
    <row r="1481" spans="10:11" x14ac:dyDescent="0.25">
      <c r="J1481" s="1">
        <f t="shared" si="47"/>
        <v>44946</v>
      </c>
      <c r="K1481" s="2">
        <f t="shared" si="46"/>
        <v>8.25</v>
      </c>
    </row>
    <row r="1482" spans="10:11" x14ac:dyDescent="0.25">
      <c r="J1482" s="1">
        <f t="shared" si="47"/>
        <v>44947</v>
      </c>
      <c r="K1482" s="2">
        <f t="shared" si="46"/>
        <v>11.5</v>
      </c>
    </row>
    <row r="1483" spans="10:11" x14ac:dyDescent="0.25">
      <c r="J1483" s="1">
        <f t="shared" si="47"/>
        <v>44948</v>
      </c>
      <c r="K1483" s="2">
        <f t="shared" si="46"/>
        <v>15.875</v>
      </c>
    </row>
    <row r="1484" spans="10:11" x14ac:dyDescent="0.25">
      <c r="J1484" s="1">
        <f t="shared" si="47"/>
        <v>44949</v>
      </c>
      <c r="K1484" s="2">
        <f t="shared" si="46"/>
        <v>3.125</v>
      </c>
    </row>
    <row r="1485" spans="10:11" x14ac:dyDescent="0.25">
      <c r="J1485" s="1">
        <f t="shared" si="47"/>
        <v>44950</v>
      </c>
      <c r="K1485" s="2">
        <f t="shared" si="46"/>
        <v>7.875</v>
      </c>
    </row>
    <row r="1486" spans="10:11" x14ac:dyDescent="0.25">
      <c r="J1486" s="1">
        <f t="shared" si="47"/>
        <v>44951</v>
      </c>
      <c r="K1486" s="2">
        <f t="shared" si="46"/>
        <v>5.25</v>
      </c>
    </row>
    <row r="1487" spans="10:11" x14ac:dyDescent="0.25">
      <c r="J1487" s="1">
        <f t="shared" si="47"/>
        <v>44952</v>
      </c>
      <c r="K1487" s="2">
        <f t="shared" si="46"/>
        <v>6.375</v>
      </c>
    </row>
    <row r="1488" spans="10:11" x14ac:dyDescent="0.25">
      <c r="J1488" s="1">
        <f t="shared" si="47"/>
        <v>44953</v>
      </c>
      <c r="K1488" s="2">
        <f t="shared" si="46"/>
        <v>8.625</v>
      </c>
    </row>
    <row r="1489" spans="10:11" x14ac:dyDescent="0.25">
      <c r="J1489" s="1">
        <f t="shared" si="47"/>
        <v>44954</v>
      </c>
      <c r="K1489" s="2">
        <f t="shared" si="46"/>
        <v>12.125</v>
      </c>
    </row>
    <row r="1490" spans="10:11" x14ac:dyDescent="0.25">
      <c r="J1490" s="1">
        <f t="shared" si="47"/>
        <v>44955</v>
      </c>
      <c r="K1490" s="2">
        <f t="shared" si="46"/>
        <v>8.875</v>
      </c>
    </row>
    <row r="1491" spans="10:11" x14ac:dyDescent="0.25">
      <c r="J1491" s="1">
        <f t="shared" si="47"/>
        <v>44956</v>
      </c>
      <c r="K1491" s="2">
        <f t="shared" si="46"/>
        <v>8.75</v>
      </c>
    </row>
    <row r="1492" spans="10:11" x14ac:dyDescent="0.25">
      <c r="J1492" s="1">
        <f t="shared" si="47"/>
        <v>44957</v>
      </c>
      <c r="K1492" s="2">
        <f t="shared" si="46"/>
        <v>8.5</v>
      </c>
    </row>
    <row r="1493" spans="10:11" x14ac:dyDescent="0.25">
      <c r="J1493" s="1">
        <f t="shared" si="47"/>
        <v>44958</v>
      </c>
      <c r="K1493" s="2">
        <f t="shared" si="46"/>
        <v>7.125</v>
      </c>
    </row>
    <row r="1494" spans="10:11" x14ac:dyDescent="0.25">
      <c r="J1494" s="1">
        <f t="shared" si="47"/>
        <v>44959</v>
      </c>
      <c r="K1494" s="2">
        <f t="shared" si="46"/>
        <v>13.25</v>
      </c>
    </row>
    <row r="1495" spans="10:11" x14ac:dyDescent="0.25">
      <c r="J1495" s="1">
        <f t="shared" si="47"/>
        <v>44960</v>
      </c>
      <c r="K1495" s="2">
        <f t="shared" si="46"/>
        <v>11</v>
      </c>
    </row>
    <row r="1496" spans="10:11" x14ac:dyDescent="0.25">
      <c r="J1496" s="1">
        <f t="shared" si="47"/>
        <v>44961</v>
      </c>
      <c r="K1496" s="2">
        <f t="shared" si="46"/>
        <v>19.75</v>
      </c>
    </row>
    <row r="1497" spans="10:11" x14ac:dyDescent="0.25">
      <c r="J1497" s="1">
        <f t="shared" si="47"/>
        <v>44962</v>
      </c>
      <c r="K1497" s="2">
        <f t="shared" si="46"/>
        <v>9.125</v>
      </c>
    </row>
    <row r="1498" spans="10:11" x14ac:dyDescent="0.25">
      <c r="J1498" s="1">
        <f t="shared" si="47"/>
        <v>44963</v>
      </c>
      <c r="K1498" s="2">
        <f t="shared" si="46"/>
        <v>9.75</v>
      </c>
    </row>
    <row r="1499" spans="10:11" x14ac:dyDescent="0.25">
      <c r="J1499" s="1">
        <f t="shared" si="47"/>
        <v>44964</v>
      </c>
      <c r="K1499" s="2">
        <f t="shared" si="46"/>
        <v>6.375</v>
      </c>
    </row>
    <row r="1500" spans="10:11" x14ac:dyDescent="0.25">
      <c r="J1500" s="1">
        <f t="shared" si="47"/>
        <v>44965</v>
      </c>
      <c r="K1500" s="2">
        <f t="shared" si="46"/>
        <v>8.625</v>
      </c>
    </row>
    <row r="1501" spans="10:11" x14ac:dyDescent="0.25">
      <c r="J1501" s="1">
        <f t="shared" si="47"/>
        <v>44966</v>
      </c>
      <c r="K1501" s="2">
        <f t="shared" si="46"/>
        <v>3.25</v>
      </c>
    </row>
    <row r="1502" spans="10:11" x14ac:dyDescent="0.25">
      <c r="J1502" s="1">
        <f t="shared" si="47"/>
        <v>44967</v>
      </c>
      <c r="K1502" s="2">
        <f t="shared" si="46"/>
        <v>13.5</v>
      </c>
    </row>
    <row r="1503" spans="10:11" x14ac:dyDescent="0.25">
      <c r="J1503" s="1">
        <f t="shared" si="47"/>
        <v>44968</v>
      </c>
      <c r="K1503" s="2">
        <f t="shared" si="46"/>
        <v>17.5</v>
      </c>
    </row>
    <row r="1504" spans="10:11" x14ac:dyDescent="0.25">
      <c r="J1504" s="1">
        <f t="shared" si="47"/>
        <v>44969</v>
      </c>
      <c r="K1504" s="2">
        <f t="shared" si="46"/>
        <v>11.5</v>
      </c>
    </row>
    <row r="1505" spans="10:11" x14ac:dyDescent="0.25">
      <c r="J1505" s="1">
        <f t="shared" si="47"/>
        <v>44970</v>
      </c>
      <c r="K1505" s="2">
        <f t="shared" si="46"/>
        <v>10.75</v>
      </c>
    </row>
    <row r="1506" spans="10:11" x14ac:dyDescent="0.25">
      <c r="J1506" s="1">
        <f t="shared" si="47"/>
        <v>44971</v>
      </c>
      <c r="K1506" s="2">
        <f t="shared" si="46"/>
        <v>5.375</v>
      </c>
    </row>
    <row r="1507" spans="10:11" x14ac:dyDescent="0.25">
      <c r="J1507" s="1">
        <f t="shared" si="47"/>
        <v>44972</v>
      </c>
      <c r="K1507" s="2">
        <f t="shared" si="46"/>
        <v>7.75</v>
      </c>
    </row>
    <row r="1508" spans="10:11" x14ac:dyDescent="0.25">
      <c r="J1508" s="1">
        <f t="shared" si="47"/>
        <v>44973</v>
      </c>
      <c r="K1508" s="2">
        <f t="shared" si="46"/>
        <v>12.5</v>
      </c>
    </row>
    <row r="1509" spans="10:11" x14ac:dyDescent="0.25">
      <c r="J1509" s="1">
        <f t="shared" si="47"/>
        <v>44974</v>
      </c>
      <c r="K1509" s="2">
        <f t="shared" si="46"/>
        <v>4.875</v>
      </c>
    </row>
    <row r="1510" spans="10:11" x14ac:dyDescent="0.25">
      <c r="J1510" s="1">
        <f t="shared" si="47"/>
        <v>44975</v>
      </c>
      <c r="K1510" s="2">
        <f t="shared" si="46"/>
        <v>17</v>
      </c>
    </row>
    <row r="1511" spans="10:11" x14ac:dyDescent="0.25">
      <c r="J1511" s="1">
        <f t="shared" si="47"/>
        <v>44976</v>
      </c>
      <c r="K1511" s="2">
        <f t="shared" si="46"/>
        <v>14</v>
      </c>
    </row>
    <row r="1512" spans="10:11" x14ac:dyDescent="0.25">
      <c r="J1512" s="1">
        <f t="shared" si="47"/>
        <v>44977</v>
      </c>
      <c r="K1512" s="2">
        <f t="shared" si="46"/>
        <v>11.875</v>
      </c>
    </row>
    <row r="1513" spans="10:11" x14ac:dyDescent="0.25">
      <c r="J1513" s="1">
        <f t="shared" si="47"/>
        <v>44978</v>
      </c>
      <c r="K1513" s="2">
        <f t="shared" si="46"/>
        <v>10</v>
      </c>
    </row>
    <row r="1514" spans="10:11" x14ac:dyDescent="0.25">
      <c r="J1514" s="1">
        <f t="shared" si="47"/>
        <v>44979</v>
      </c>
      <c r="K1514" s="2">
        <f t="shared" si="46"/>
        <v>8</v>
      </c>
    </row>
    <row r="1515" spans="10:11" x14ac:dyDescent="0.25">
      <c r="J1515" s="1">
        <f t="shared" si="47"/>
        <v>44980</v>
      </c>
      <c r="K1515" s="2">
        <f t="shared" si="46"/>
        <v>6</v>
      </c>
    </row>
    <row r="1516" spans="10:11" x14ac:dyDescent="0.25">
      <c r="J1516" s="1">
        <f t="shared" si="47"/>
        <v>44981</v>
      </c>
      <c r="K1516" s="2">
        <f t="shared" si="46"/>
        <v>9.375</v>
      </c>
    </row>
    <row r="1517" spans="10:11" x14ac:dyDescent="0.25">
      <c r="J1517" s="1">
        <f t="shared" si="47"/>
        <v>44982</v>
      </c>
      <c r="K1517" s="2">
        <f t="shared" si="46"/>
        <v>13.25</v>
      </c>
    </row>
    <row r="1518" spans="10:11" x14ac:dyDescent="0.25">
      <c r="J1518" s="1">
        <f t="shared" si="47"/>
        <v>44983</v>
      </c>
      <c r="K1518" s="2">
        <f t="shared" si="46"/>
        <v>11.375</v>
      </c>
    </row>
    <row r="1519" spans="10:11" x14ac:dyDescent="0.25">
      <c r="J1519" s="1">
        <f t="shared" si="47"/>
        <v>44984</v>
      </c>
      <c r="K1519" s="2">
        <f t="shared" si="46"/>
        <v>5.125</v>
      </c>
    </row>
    <row r="1520" spans="10:11" x14ac:dyDescent="0.25">
      <c r="J1520" s="1">
        <f t="shared" si="47"/>
        <v>44985</v>
      </c>
      <c r="K1520" s="2">
        <f t="shared" si="46"/>
        <v>8.25</v>
      </c>
    </row>
    <row r="1521" spans="10:11" x14ac:dyDescent="0.25">
      <c r="J1521" s="1">
        <f t="shared" si="47"/>
        <v>44986</v>
      </c>
      <c r="K1521" s="2">
        <f t="shared" si="46"/>
        <v>8</v>
      </c>
    </row>
    <row r="1522" spans="10:11" x14ac:dyDescent="0.25">
      <c r="J1522" s="1">
        <f t="shared" si="47"/>
        <v>44987</v>
      </c>
      <c r="K1522" s="2">
        <f t="shared" si="46"/>
        <v>2.5</v>
      </c>
    </row>
    <row r="1523" spans="10:11" x14ac:dyDescent="0.25">
      <c r="J1523" s="1">
        <f t="shared" si="47"/>
        <v>44988</v>
      </c>
      <c r="K1523" s="2">
        <f t="shared" si="46"/>
        <v>9.625</v>
      </c>
    </row>
    <row r="1524" spans="10:11" x14ac:dyDescent="0.25">
      <c r="J1524" s="1">
        <f t="shared" si="47"/>
        <v>44989</v>
      </c>
      <c r="K1524" s="2">
        <f t="shared" si="46"/>
        <v>13.375</v>
      </c>
    </row>
    <row r="1525" spans="10:11" x14ac:dyDescent="0.25">
      <c r="J1525" s="1">
        <f t="shared" si="47"/>
        <v>44990</v>
      </c>
      <c r="K1525" s="2">
        <f t="shared" si="46"/>
        <v>11.625</v>
      </c>
    </row>
    <row r="1526" spans="10:11" x14ac:dyDescent="0.25">
      <c r="J1526" s="1">
        <f t="shared" si="47"/>
        <v>44991</v>
      </c>
      <c r="K1526" s="2">
        <f t="shared" si="46"/>
        <v>4.25</v>
      </c>
    </row>
    <row r="1527" spans="10:11" x14ac:dyDescent="0.25">
      <c r="J1527" s="1">
        <f t="shared" si="47"/>
        <v>44992</v>
      </c>
      <c r="K1527" s="2">
        <f t="shared" si="46"/>
        <v>6.5</v>
      </c>
    </row>
    <row r="1528" spans="10:11" x14ac:dyDescent="0.25">
      <c r="J1528" s="1">
        <f t="shared" si="47"/>
        <v>44993</v>
      </c>
      <c r="K1528" s="2">
        <f t="shared" si="46"/>
        <v>16.75</v>
      </c>
    </row>
    <row r="1529" spans="10:11" x14ac:dyDescent="0.25">
      <c r="J1529" s="1">
        <f t="shared" si="47"/>
        <v>44994</v>
      </c>
      <c r="K1529" s="2">
        <f t="shared" si="46"/>
        <v>6.125</v>
      </c>
    </row>
    <row r="1530" spans="10:11" x14ac:dyDescent="0.25">
      <c r="J1530" s="1">
        <f t="shared" si="47"/>
        <v>44995</v>
      </c>
      <c r="K1530" s="2">
        <f t="shared" si="46"/>
        <v>6.625</v>
      </c>
    </row>
    <row r="1531" spans="10:11" x14ac:dyDescent="0.25">
      <c r="J1531" s="1">
        <f t="shared" si="47"/>
        <v>44996</v>
      </c>
      <c r="K1531" s="2">
        <f t="shared" si="46"/>
        <v>18.5</v>
      </c>
    </row>
    <row r="1532" spans="10:11" x14ac:dyDescent="0.25">
      <c r="J1532" s="1">
        <f t="shared" si="47"/>
        <v>44997</v>
      </c>
      <c r="K1532" s="2">
        <f t="shared" si="46"/>
        <v>15.125</v>
      </c>
    </row>
    <row r="1533" spans="10:11" x14ac:dyDescent="0.25">
      <c r="J1533" s="1">
        <f t="shared" si="47"/>
        <v>44998</v>
      </c>
      <c r="K1533" s="2">
        <f t="shared" si="46"/>
        <v>5.125</v>
      </c>
    </row>
    <row r="1534" spans="10:11" x14ac:dyDescent="0.25">
      <c r="J1534" s="1">
        <f t="shared" si="47"/>
        <v>44999</v>
      </c>
      <c r="K1534" s="2">
        <f t="shared" si="46"/>
        <v>6.75</v>
      </c>
    </row>
    <row r="1535" spans="10:11" x14ac:dyDescent="0.25">
      <c r="J1535" s="1">
        <f t="shared" si="47"/>
        <v>45000</v>
      </c>
      <c r="K1535" s="2">
        <f t="shared" si="46"/>
        <v>5.5</v>
      </c>
    </row>
    <row r="1536" spans="10:11" x14ac:dyDescent="0.25">
      <c r="J1536" s="1">
        <f t="shared" si="47"/>
        <v>45001</v>
      </c>
      <c r="K1536" s="2">
        <f t="shared" si="46"/>
        <v>6.625</v>
      </c>
    </row>
    <row r="1537" spans="10:11" x14ac:dyDescent="0.25">
      <c r="J1537" s="1">
        <f t="shared" si="47"/>
        <v>45002</v>
      </c>
      <c r="K1537" s="2">
        <f t="shared" si="46"/>
        <v>4.375</v>
      </c>
    </row>
    <row r="1538" spans="10:11" x14ac:dyDescent="0.25">
      <c r="J1538" s="1">
        <f t="shared" si="47"/>
        <v>45003</v>
      </c>
      <c r="K1538" s="2">
        <f t="shared" si="46"/>
        <v>12.5</v>
      </c>
    </row>
    <row r="1539" spans="10:11" x14ac:dyDescent="0.25">
      <c r="J1539" s="1">
        <f t="shared" si="47"/>
        <v>45004</v>
      </c>
      <c r="K1539" s="2">
        <f t="shared" ref="K1539:K1602" si="48">VLOOKUP(J1539, G:H, 2, FALSE)</f>
        <v>16.375</v>
      </c>
    </row>
    <row r="1540" spans="10:11" x14ac:dyDescent="0.25">
      <c r="J1540" s="1">
        <f t="shared" si="47"/>
        <v>45005</v>
      </c>
      <c r="K1540" s="2">
        <f t="shared" si="48"/>
        <v>14.875</v>
      </c>
    </row>
    <row r="1541" spans="10:11" x14ac:dyDescent="0.25">
      <c r="J1541" s="1">
        <f t="shared" ref="J1541:J1604" si="49">DATE(2019,1,1) + ROW()-1</f>
        <v>45006</v>
      </c>
      <c r="K1541" s="2">
        <f t="shared" si="48"/>
        <v>13.5</v>
      </c>
    </row>
    <row r="1542" spans="10:11" x14ac:dyDescent="0.25">
      <c r="J1542" s="1">
        <f t="shared" si="49"/>
        <v>45007</v>
      </c>
      <c r="K1542" s="2">
        <f t="shared" si="48"/>
        <v>8.625</v>
      </c>
    </row>
    <row r="1543" spans="10:11" x14ac:dyDescent="0.25">
      <c r="J1543" s="1">
        <f t="shared" si="49"/>
        <v>45008</v>
      </c>
      <c r="K1543" s="2">
        <f t="shared" si="48"/>
        <v>8.75</v>
      </c>
    </row>
    <row r="1544" spans="10:11" x14ac:dyDescent="0.25">
      <c r="J1544" s="1">
        <f t="shared" si="49"/>
        <v>45009</v>
      </c>
      <c r="K1544" s="2">
        <f t="shared" si="48"/>
        <v>4.75</v>
      </c>
    </row>
    <row r="1545" spans="10:11" x14ac:dyDescent="0.25">
      <c r="J1545" s="1">
        <f t="shared" si="49"/>
        <v>45010</v>
      </c>
      <c r="K1545" s="2">
        <f t="shared" si="48"/>
        <v>13.25</v>
      </c>
    </row>
    <row r="1546" spans="10:11" x14ac:dyDescent="0.25">
      <c r="J1546" s="1">
        <f t="shared" si="49"/>
        <v>45011</v>
      </c>
      <c r="K1546" s="2">
        <f t="shared" si="48"/>
        <v>10.125</v>
      </c>
    </row>
    <row r="1547" spans="10:11" x14ac:dyDescent="0.25">
      <c r="J1547" s="1">
        <f t="shared" si="49"/>
        <v>45012</v>
      </c>
      <c r="K1547" s="2">
        <f t="shared" si="48"/>
        <v>7.5</v>
      </c>
    </row>
    <row r="1548" spans="10:11" x14ac:dyDescent="0.25">
      <c r="J1548" s="1">
        <f t="shared" si="49"/>
        <v>45013</v>
      </c>
      <c r="K1548" s="2">
        <f t="shared" si="48"/>
        <v>9.375</v>
      </c>
    </row>
    <row r="1549" spans="10:11" x14ac:dyDescent="0.25">
      <c r="J1549" s="1">
        <f t="shared" si="49"/>
        <v>45014</v>
      </c>
      <c r="K1549" s="2">
        <f t="shared" si="48"/>
        <v>3.625</v>
      </c>
    </row>
    <row r="1550" spans="10:11" x14ac:dyDescent="0.25">
      <c r="J1550" s="1">
        <f t="shared" si="49"/>
        <v>45015</v>
      </c>
      <c r="K1550" s="2">
        <f t="shared" si="48"/>
        <v>16.25</v>
      </c>
    </row>
    <row r="1551" spans="10:11" x14ac:dyDescent="0.25">
      <c r="J1551" s="1">
        <f t="shared" si="49"/>
        <v>45016</v>
      </c>
      <c r="K1551" s="2">
        <f t="shared" si="48"/>
        <v>7</v>
      </c>
    </row>
    <row r="1552" spans="10:11" x14ac:dyDescent="0.25">
      <c r="J1552" s="1">
        <f t="shared" si="49"/>
        <v>45017</v>
      </c>
      <c r="K1552" s="2" t="e">
        <f t="shared" si="48"/>
        <v>#N/A</v>
      </c>
    </row>
    <row r="1553" spans="10:11" x14ac:dyDescent="0.25">
      <c r="J1553" s="1">
        <f t="shared" si="49"/>
        <v>45018</v>
      </c>
      <c r="K1553" s="2" t="e">
        <f t="shared" si="48"/>
        <v>#N/A</v>
      </c>
    </row>
    <row r="1554" spans="10:11" x14ac:dyDescent="0.25">
      <c r="J1554" s="1">
        <f t="shared" si="49"/>
        <v>45019</v>
      </c>
      <c r="K1554" s="2" t="e">
        <f t="shared" si="48"/>
        <v>#N/A</v>
      </c>
    </row>
    <row r="1555" spans="10:11" x14ac:dyDescent="0.25">
      <c r="J1555" s="1">
        <f t="shared" si="49"/>
        <v>45020</v>
      </c>
      <c r="K1555" s="2" t="e">
        <f t="shared" si="48"/>
        <v>#N/A</v>
      </c>
    </row>
    <row r="1556" spans="10:11" x14ac:dyDescent="0.25">
      <c r="J1556" s="1">
        <f t="shared" si="49"/>
        <v>45021</v>
      </c>
      <c r="K1556" s="2" t="e">
        <f t="shared" si="48"/>
        <v>#N/A</v>
      </c>
    </row>
    <row r="1557" spans="10:11" x14ac:dyDescent="0.25">
      <c r="J1557" s="1">
        <f t="shared" si="49"/>
        <v>45022</v>
      </c>
      <c r="K1557" s="2" t="e">
        <f t="shared" si="48"/>
        <v>#N/A</v>
      </c>
    </row>
    <row r="1558" spans="10:11" x14ac:dyDescent="0.25">
      <c r="J1558" s="1">
        <f t="shared" si="49"/>
        <v>45023</v>
      </c>
      <c r="K1558" s="2" t="e">
        <f t="shared" si="48"/>
        <v>#N/A</v>
      </c>
    </row>
    <row r="1559" spans="10:11" x14ac:dyDescent="0.25">
      <c r="J1559" s="1">
        <f t="shared" si="49"/>
        <v>45024</v>
      </c>
      <c r="K1559" s="2" t="e">
        <f t="shared" si="48"/>
        <v>#N/A</v>
      </c>
    </row>
    <row r="1560" spans="10:11" x14ac:dyDescent="0.25">
      <c r="J1560" s="1">
        <f t="shared" si="49"/>
        <v>45025</v>
      </c>
      <c r="K1560" s="2" t="e">
        <f t="shared" si="48"/>
        <v>#N/A</v>
      </c>
    </row>
    <row r="1561" spans="10:11" x14ac:dyDescent="0.25">
      <c r="J1561" s="1">
        <f t="shared" si="49"/>
        <v>45026</v>
      </c>
      <c r="K1561" s="2" t="e">
        <f t="shared" si="48"/>
        <v>#N/A</v>
      </c>
    </row>
    <row r="1562" spans="10:11" x14ac:dyDescent="0.25">
      <c r="J1562" s="1">
        <f t="shared" si="49"/>
        <v>45027</v>
      </c>
      <c r="K1562" s="2" t="e">
        <f t="shared" si="48"/>
        <v>#N/A</v>
      </c>
    </row>
    <row r="1563" spans="10:11" x14ac:dyDescent="0.25">
      <c r="J1563" s="1">
        <f t="shared" si="49"/>
        <v>45028</v>
      </c>
      <c r="K1563" s="2" t="e">
        <f t="shared" si="48"/>
        <v>#N/A</v>
      </c>
    </row>
    <row r="1564" spans="10:11" x14ac:dyDescent="0.25">
      <c r="J1564" s="1">
        <f t="shared" si="49"/>
        <v>45029</v>
      </c>
      <c r="K1564" s="2" t="e">
        <f t="shared" si="48"/>
        <v>#N/A</v>
      </c>
    </row>
    <row r="1565" spans="10:11" x14ac:dyDescent="0.25">
      <c r="J1565" s="1">
        <f t="shared" si="49"/>
        <v>45030</v>
      </c>
      <c r="K1565" s="2" t="e">
        <f t="shared" si="48"/>
        <v>#N/A</v>
      </c>
    </row>
    <row r="1566" spans="10:11" x14ac:dyDescent="0.25">
      <c r="J1566" s="1">
        <f t="shared" si="49"/>
        <v>45031</v>
      </c>
      <c r="K1566" s="2" t="e">
        <f t="shared" si="48"/>
        <v>#N/A</v>
      </c>
    </row>
    <row r="1567" spans="10:11" x14ac:dyDescent="0.25">
      <c r="J1567" s="1">
        <f t="shared" si="49"/>
        <v>45032</v>
      </c>
      <c r="K1567" s="2" t="e">
        <f t="shared" si="48"/>
        <v>#N/A</v>
      </c>
    </row>
    <row r="1568" spans="10:11" x14ac:dyDescent="0.25">
      <c r="J1568" s="1">
        <f t="shared" si="49"/>
        <v>45033</v>
      </c>
      <c r="K1568" s="2" t="e">
        <f t="shared" si="48"/>
        <v>#N/A</v>
      </c>
    </row>
    <row r="1569" spans="10:11" x14ac:dyDescent="0.25">
      <c r="J1569" s="1">
        <f t="shared" si="49"/>
        <v>45034</v>
      </c>
      <c r="K1569" s="2" t="e">
        <f t="shared" si="48"/>
        <v>#N/A</v>
      </c>
    </row>
    <row r="1570" spans="10:11" x14ac:dyDescent="0.25">
      <c r="J1570" s="1">
        <f t="shared" si="49"/>
        <v>45035</v>
      </c>
      <c r="K1570" s="2" t="e">
        <f t="shared" si="48"/>
        <v>#N/A</v>
      </c>
    </row>
    <row r="1571" spans="10:11" x14ac:dyDescent="0.25">
      <c r="J1571" s="1">
        <f t="shared" si="49"/>
        <v>45036</v>
      </c>
      <c r="K1571" s="2" t="e">
        <f t="shared" si="48"/>
        <v>#N/A</v>
      </c>
    </row>
    <row r="1572" spans="10:11" x14ac:dyDescent="0.25">
      <c r="J1572" s="1">
        <f t="shared" si="49"/>
        <v>45037</v>
      </c>
      <c r="K1572" s="2" t="e">
        <f t="shared" si="48"/>
        <v>#N/A</v>
      </c>
    </row>
    <row r="1573" spans="10:11" x14ac:dyDescent="0.25">
      <c r="J1573" s="1">
        <f t="shared" si="49"/>
        <v>45038</v>
      </c>
      <c r="K1573" s="2" t="e">
        <f t="shared" si="48"/>
        <v>#N/A</v>
      </c>
    </row>
    <row r="1574" spans="10:11" x14ac:dyDescent="0.25">
      <c r="J1574" s="1">
        <f t="shared" si="49"/>
        <v>45039</v>
      </c>
      <c r="K1574" s="2" t="e">
        <f t="shared" si="48"/>
        <v>#N/A</v>
      </c>
    </row>
    <row r="1575" spans="10:11" x14ac:dyDescent="0.25">
      <c r="J1575" s="1">
        <f t="shared" si="49"/>
        <v>45040</v>
      </c>
      <c r="K1575" s="2" t="e">
        <f t="shared" si="48"/>
        <v>#N/A</v>
      </c>
    </row>
    <row r="1576" spans="10:11" x14ac:dyDescent="0.25">
      <c r="J1576" s="1">
        <f t="shared" si="49"/>
        <v>45041</v>
      </c>
      <c r="K1576" s="2" t="e">
        <f t="shared" si="48"/>
        <v>#N/A</v>
      </c>
    </row>
    <row r="1577" spans="10:11" x14ac:dyDescent="0.25">
      <c r="J1577" s="1">
        <f t="shared" si="49"/>
        <v>45042</v>
      </c>
      <c r="K1577" s="2" t="e">
        <f t="shared" si="48"/>
        <v>#N/A</v>
      </c>
    </row>
    <row r="1578" spans="10:11" x14ac:dyDescent="0.25">
      <c r="J1578" s="1">
        <f t="shared" si="49"/>
        <v>45043</v>
      </c>
      <c r="K1578" s="2" t="e">
        <f t="shared" si="48"/>
        <v>#N/A</v>
      </c>
    </row>
    <row r="1579" spans="10:11" x14ac:dyDescent="0.25">
      <c r="J1579" s="1">
        <f t="shared" si="49"/>
        <v>45044</v>
      </c>
      <c r="K1579" s="2" t="e">
        <f t="shared" si="48"/>
        <v>#N/A</v>
      </c>
    </row>
    <row r="1580" spans="10:11" x14ac:dyDescent="0.25">
      <c r="J1580" s="1">
        <f t="shared" si="49"/>
        <v>45045</v>
      </c>
      <c r="K1580" s="2" t="e">
        <f t="shared" si="48"/>
        <v>#N/A</v>
      </c>
    </row>
    <row r="1581" spans="10:11" x14ac:dyDescent="0.25">
      <c r="J1581" s="1">
        <f t="shared" si="49"/>
        <v>45046</v>
      </c>
      <c r="K1581" s="2" t="e">
        <f t="shared" si="48"/>
        <v>#N/A</v>
      </c>
    </row>
    <row r="1582" spans="10:11" x14ac:dyDescent="0.25">
      <c r="J1582" s="1">
        <f t="shared" si="49"/>
        <v>45047</v>
      </c>
      <c r="K1582" s="2">
        <f t="shared" si="48"/>
        <v>10.875</v>
      </c>
    </row>
    <row r="1583" spans="10:11" x14ac:dyDescent="0.25">
      <c r="J1583" s="1">
        <f t="shared" si="49"/>
        <v>45048</v>
      </c>
      <c r="K1583" s="2">
        <f t="shared" si="48"/>
        <v>7.375</v>
      </c>
    </row>
    <row r="1584" spans="10:11" x14ac:dyDescent="0.25">
      <c r="J1584" s="1">
        <f t="shared" si="49"/>
        <v>45049</v>
      </c>
      <c r="K1584" s="2">
        <f t="shared" si="48"/>
        <v>3.625</v>
      </c>
    </row>
    <row r="1585" spans="10:11" x14ac:dyDescent="0.25">
      <c r="J1585" s="1">
        <f t="shared" si="49"/>
        <v>45050</v>
      </c>
      <c r="K1585" s="2">
        <f t="shared" si="48"/>
        <v>3.25</v>
      </c>
    </row>
    <row r="1586" spans="10:11" x14ac:dyDescent="0.25">
      <c r="J1586" s="1">
        <f t="shared" si="49"/>
        <v>45051</v>
      </c>
      <c r="K1586" s="2">
        <f t="shared" si="48"/>
        <v>8.25</v>
      </c>
    </row>
    <row r="1587" spans="10:11" x14ac:dyDescent="0.25">
      <c r="J1587" s="1">
        <f t="shared" si="49"/>
        <v>45052</v>
      </c>
      <c r="K1587" s="2">
        <f t="shared" si="48"/>
        <v>15.625</v>
      </c>
    </row>
    <row r="1588" spans="10:11" x14ac:dyDescent="0.25">
      <c r="J1588" s="1">
        <f t="shared" si="49"/>
        <v>45053</v>
      </c>
      <c r="K1588" s="2">
        <f t="shared" si="48"/>
        <v>14.125</v>
      </c>
    </row>
    <row r="1589" spans="10:11" x14ac:dyDescent="0.25">
      <c r="J1589" s="1">
        <f t="shared" si="49"/>
        <v>45054</v>
      </c>
      <c r="K1589" s="2">
        <f t="shared" si="48"/>
        <v>4.875</v>
      </c>
    </row>
    <row r="1590" spans="10:11" x14ac:dyDescent="0.25">
      <c r="J1590" s="1">
        <f t="shared" si="49"/>
        <v>45055</v>
      </c>
      <c r="K1590" s="2">
        <f t="shared" si="48"/>
        <v>1.875</v>
      </c>
    </row>
    <row r="1591" spans="10:11" x14ac:dyDescent="0.25">
      <c r="J1591" s="1">
        <f t="shared" si="49"/>
        <v>45056</v>
      </c>
      <c r="K1591" s="2">
        <f t="shared" si="48"/>
        <v>4.5</v>
      </c>
    </row>
    <row r="1592" spans="10:11" x14ac:dyDescent="0.25">
      <c r="J1592" s="1">
        <f t="shared" si="49"/>
        <v>45057</v>
      </c>
      <c r="K1592" s="2">
        <f t="shared" si="48"/>
        <v>9.25</v>
      </c>
    </row>
    <row r="1593" spans="10:11" x14ac:dyDescent="0.25">
      <c r="J1593" s="1">
        <f t="shared" si="49"/>
        <v>45058</v>
      </c>
      <c r="K1593" s="2">
        <f t="shared" si="48"/>
        <v>12.25</v>
      </c>
    </row>
    <row r="1594" spans="10:11" x14ac:dyDescent="0.25">
      <c r="J1594" s="1">
        <f t="shared" si="49"/>
        <v>45059</v>
      </c>
      <c r="K1594" s="2">
        <f t="shared" si="48"/>
        <v>10.375</v>
      </c>
    </row>
    <row r="1595" spans="10:11" x14ac:dyDescent="0.25">
      <c r="J1595" s="1">
        <f t="shared" si="49"/>
        <v>45060</v>
      </c>
      <c r="K1595" s="2">
        <f t="shared" si="48"/>
        <v>14.25</v>
      </c>
    </row>
    <row r="1596" spans="10:11" x14ac:dyDescent="0.25">
      <c r="J1596" s="1">
        <f t="shared" si="49"/>
        <v>45061</v>
      </c>
      <c r="K1596" s="2">
        <f t="shared" si="48"/>
        <v>6.625</v>
      </c>
    </row>
    <row r="1597" spans="10:11" x14ac:dyDescent="0.25">
      <c r="J1597" s="1">
        <f t="shared" si="49"/>
        <v>45062</v>
      </c>
      <c r="K1597" s="2">
        <f t="shared" si="48"/>
        <v>3.625</v>
      </c>
    </row>
    <row r="1598" spans="10:11" x14ac:dyDescent="0.25">
      <c r="J1598" s="1">
        <f t="shared" si="49"/>
        <v>45063</v>
      </c>
      <c r="K1598" s="2">
        <f t="shared" si="48"/>
        <v>6.25</v>
      </c>
    </row>
    <row r="1599" spans="10:11" x14ac:dyDescent="0.25">
      <c r="J1599" s="1">
        <f t="shared" si="49"/>
        <v>45064</v>
      </c>
      <c r="K1599" s="2">
        <f t="shared" si="48"/>
        <v>6.875</v>
      </c>
    </row>
    <row r="1600" spans="10:11" x14ac:dyDescent="0.25">
      <c r="J1600" s="1">
        <f t="shared" si="49"/>
        <v>45065</v>
      </c>
      <c r="K1600" s="2">
        <f t="shared" si="48"/>
        <v>14</v>
      </c>
    </row>
    <row r="1601" spans="10:11" x14ac:dyDescent="0.25">
      <c r="J1601" s="1">
        <f t="shared" si="49"/>
        <v>45066</v>
      </c>
      <c r="K1601" s="2">
        <f t="shared" si="48"/>
        <v>15</v>
      </c>
    </row>
    <row r="1602" spans="10:11" x14ac:dyDescent="0.25">
      <c r="J1602" s="1">
        <f t="shared" si="49"/>
        <v>45067</v>
      </c>
      <c r="K1602" s="2">
        <f t="shared" si="48"/>
        <v>8.375</v>
      </c>
    </row>
    <row r="1603" spans="10:11" x14ac:dyDescent="0.25">
      <c r="J1603" s="1">
        <f t="shared" si="49"/>
        <v>45068</v>
      </c>
      <c r="K1603" s="2">
        <f t="shared" ref="K1603:K1666" si="50">VLOOKUP(J1603, G:H, 2, FALSE)</f>
        <v>15</v>
      </c>
    </row>
    <row r="1604" spans="10:11" x14ac:dyDescent="0.25">
      <c r="J1604" s="1">
        <f t="shared" si="49"/>
        <v>45069</v>
      </c>
      <c r="K1604" s="2">
        <f t="shared" si="50"/>
        <v>2.625</v>
      </c>
    </row>
    <row r="1605" spans="10:11" x14ac:dyDescent="0.25">
      <c r="J1605" s="1">
        <f t="shared" ref="J1605:J1668" si="51">DATE(2019,1,1) + ROW()-1</f>
        <v>45070</v>
      </c>
      <c r="K1605" s="2">
        <f t="shared" si="50"/>
        <v>5</v>
      </c>
    </row>
    <row r="1606" spans="10:11" x14ac:dyDescent="0.25">
      <c r="J1606" s="1">
        <f t="shared" si="51"/>
        <v>45071</v>
      </c>
      <c r="K1606" s="2">
        <f t="shared" si="50"/>
        <v>8.375</v>
      </c>
    </row>
    <row r="1607" spans="10:11" x14ac:dyDescent="0.25">
      <c r="J1607" s="1">
        <f t="shared" si="51"/>
        <v>45072</v>
      </c>
      <c r="K1607" s="2">
        <f t="shared" si="50"/>
        <v>9.875</v>
      </c>
    </row>
    <row r="1608" spans="10:11" x14ac:dyDescent="0.25">
      <c r="J1608" s="1">
        <f t="shared" si="51"/>
        <v>45073</v>
      </c>
      <c r="K1608" s="2">
        <f t="shared" si="50"/>
        <v>12.75</v>
      </c>
    </row>
    <row r="1609" spans="10:11" x14ac:dyDescent="0.25">
      <c r="J1609" s="1">
        <f t="shared" si="51"/>
        <v>45074</v>
      </c>
      <c r="K1609" s="2">
        <f t="shared" si="50"/>
        <v>10.25</v>
      </c>
    </row>
    <row r="1610" spans="10:11" x14ac:dyDescent="0.25">
      <c r="J1610" s="1">
        <f t="shared" si="51"/>
        <v>45075</v>
      </c>
      <c r="K1610" s="2">
        <f t="shared" si="50"/>
        <v>7.875</v>
      </c>
    </row>
    <row r="1611" spans="10:11" x14ac:dyDescent="0.25">
      <c r="J1611" s="1">
        <f t="shared" si="51"/>
        <v>45076</v>
      </c>
      <c r="K1611" s="2">
        <f t="shared" si="50"/>
        <v>4.125</v>
      </c>
    </row>
    <row r="1612" spans="10:11" x14ac:dyDescent="0.25">
      <c r="J1612" s="1">
        <f t="shared" si="51"/>
        <v>45077</v>
      </c>
      <c r="K1612" s="2">
        <f t="shared" si="50"/>
        <v>13.875</v>
      </c>
    </row>
    <row r="1613" spans="10:11" x14ac:dyDescent="0.25">
      <c r="J1613" s="1">
        <f t="shared" si="51"/>
        <v>45078</v>
      </c>
      <c r="K1613" s="2">
        <f t="shared" si="50"/>
        <v>9.375</v>
      </c>
    </row>
    <row r="1614" spans="10:11" x14ac:dyDescent="0.25">
      <c r="J1614" s="1">
        <f t="shared" si="51"/>
        <v>45079</v>
      </c>
      <c r="K1614" s="2">
        <f t="shared" si="50"/>
        <v>9.75</v>
      </c>
    </row>
    <row r="1615" spans="10:11" x14ac:dyDescent="0.25">
      <c r="J1615" s="1">
        <f t="shared" si="51"/>
        <v>45080</v>
      </c>
      <c r="K1615" s="2">
        <f t="shared" si="50"/>
        <v>13.625</v>
      </c>
    </row>
    <row r="1616" spans="10:11" x14ac:dyDescent="0.25">
      <c r="J1616" s="1">
        <f t="shared" si="51"/>
        <v>45081</v>
      </c>
      <c r="K1616" s="2">
        <f t="shared" si="50"/>
        <v>12.125</v>
      </c>
    </row>
    <row r="1617" spans="10:11" x14ac:dyDescent="0.25">
      <c r="J1617" s="1">
        <f t="shared" si="51"/>
        <v>45082</v>
      </c>
      <c r="K1617" s="2">
        <f t="shared" si="50"/>
        <v>6.125</v>
      </c>
    </row>
    <row r="1618" spans="10:11" x14ac:dyDescent="0.25">
      <c r="J1618" s="1">
        <f t="shared" si="51"/>
        <v>45083</v>
      </c>
      <c r="K1618" s="2">
        <f t="shared" si="50"/>
        <v>4.375</v>
      </c>
    </row>
    <row r="1619" spans="10:11" x14ac:dyDescent="0.25">
      <c r="J1619" s="1">
        <f t="shared" si="51"/>
        <v>45084</v>
      </c>
      <c r="K1619" s="2">
        <f t="shared" si="50"/>
        <v>10.25</v>
      </c>
    </row>
    <row r="1620" spans="10:11" x14ac:dyDescent="0.25">
      <c r="J1620" s="1">
        <f t="shared" si="51"/>
        <v>45085</v>
      </c>
      <c r="K1620" s="2">
        <f t="shared" si="50"/>
        <v>9.625</v>
      </c>
    </row>
    <row r="1621" spans="10:11" x14ac:dyDescent="0.25">
      <c r="J1621" s="1">
        <f t="shared" si="51"/>
        <v>45086</v>
      </c>
      <c r="K1621" s="2">
        <f t="shared" si="50"/>
        <v>9.25</v>
      </c>
    </row>
    <row r="1622" spans="10:11" x14ac:dyDescent="0.25">
      <c r="J1622" s="1">
        <f t="shared" si="51"/>
        <v>45087</v>
      </c>
      <c r="K1622" s="2">
        <f t="shared" si="50"/>
        <v>12.75</v>
      </c>
    </row>
    <row r="1623" spans="10:11" x14ac:dyDescent="0.25">
      <c r="J1623" s="1">
        <f t="shared" si="51"/>
        <v>45088</v>
      </c>
      <c r="K1623" s="2">
        <f t="shared" si="50"/>
        <v>16.375</v>
      </c>
    </row>
    <row r="1624" spans="10:11" x14ac:dyDescent="0.25">
      <c r="J1624" s="1">
        <f t="shared" si="51"/>
        <v>45089</v>
      </c>
      <c r="K1624" s="2">
        <f t="shared" si="50"/>
        <v>8.25</v>
      </c>
    </row>
    <row r="1625" spans="10:11" x14ac:dyDescent="0.25">
      <c r="J1625" s="1">
        <f t="shared" si="51"/>
        <v>45090</v>
      </c>
      <c r="K1625" s="2">
        <f t="shared" si="50"/>
        <v>6</v>
      </c>
    </row>
    <row r="1626" spans="10:11" x14ac:dyDescent="0.25">
      <c r="J1626" s="1">
        <f t="shared" si="51"/>
        <v>45091</v>
      </c>
      <c r="K1626" s="2">
        <f t="shared" si="50"/>
        <v>5.25</v>
      </c>
    </row>
    <row r="1627" spans="10:11" x14ac:dyDescent="0.25">
      <c r="J1627" s="1">
        <f t="shared" si="51"/>
        <v>45092</v>
      </c>
      <c r="K1627" s="2">
        <f t="shared" si="50"/>
        <v>7.625</v>
      </c>
    </row>
    <row r="1628" spans="10:11" x14ac:dyDescent="0.25">
      <c r="J1628" s="1">
        <f t="shared" si="51"/>
        <v>45093</v>
      </c>
      <c r="K1628" s="2">
        <f t="shared" si="50"/>
        <v>11</v>
      </c>
    </row>
    <row r="1629" spans="10:11" x14ac:dyDescent="0.25">
      <c r="J1629" s="1">
        <f t="shared" si="51"/>
        <v>45094</v>
      </c>
      <c r="K1629" s="2">
        <f t="shared" si="50"/>
        <v>15.375</v>
      </c>
    </row>
    <row r="1630" spans="10:11" x14ac:dyDescent="0.25">
      <c r="J1630" s="1">
        <f t="shared" si="51"/>
        <v>45095</v>
      </c>
      <c r="K1630" s="2">
        <f t="shared" si="50"/>
        <v>16</v>
      </c>
    </row>
    <row r="1631" spans="10:11" x14ac:dyDescent="0.25">
      <c r="J1631" s="1">
        <f t="shared" si="51"/>
        <v>45096</v>
      </c>
      <c r="K1631" s="2">
        <f t="shared" si="50"/>
        <v>12.125</v>
      </c>
    </row>
    <row r="1632" spans="10:11" x14ac:dyDescent="0.25">
      <c r="J1632" s="1">
        <f t="shared" si="51"/>
        <v>45097</v>
      </c>
      <c r="K1632" s="2">
        <f t="shared" si="50"/>
        <v>7.25</v>
      </c>
    </row>
    <row r="1633" spans="10:11" x14ac:dyDescent="0.25">
      <c r="J1633" s="1">
        <f t="shared" si="51"/>
        <v>45098</v>
      </c>
      <c r="K1633" s="2">
        <f t="shared" si="50"/>
        <v>6</v>
      </c>
    </row>
    <row r="1634" spans="10:11" x14ac:dyDescent="0.25">
      <c r="J1634" s="1">
        <f t="shared" si="51"/>
        <v>45099</v>
      </c>
      <c r="K1634" s="2">
        <f t="shared" si="50"/>
        <v>9.375</v>
      </c>
    </row>
    <row r="1635" spans="10:11" x14ac:dyDescent="0.25">
      <c r="J1635" s="1">
        <f t="shared" si="51"/>
        <v>45100</v>
      </c>
      <c r="K1635" s="2">
        <f t="shared" si="50"/>
        <v>9.875</v>
      </c>
    </row>
    <row r="1636" spans="10:11" x14ac:dyDescent="0.25">
      <c r="J1636" s="1">
        <f t="shared" si="51"/>
        <v>45101</v>
      </c>
      <c r="K1636" s="2">
        <f t="shared" si="50"/>
        <v>10.75</v>
      </c>
    </row>
    <row r="1637" spans="10:11" x14ac:dyDescent="0.25">
      <c r="J1637" s="1">
        <f t="shared" si="51"/>
        <v>45102</v>
      </c>
      <c r="K1637" s="2">
        <f t="shared" si="50"/>
        <v>14.25</v>
      </c>
    </row>
    <row r="1638" spans="10:11" x14ac:dyDescent="0.25">
      <c r="J1638" s="1">
        <f t="shared" si="51"/>
        <v>45103</v>
      </c>
      <c r="K1638" s="2">
        <f t="shared" si="50"/>
        <v>5.875</v>
      </c>
    </row>
    <row r="1639" spans="10:11" x14ac:dyDescent="0.25">
      <c r="J1639" s="1">
        <f t="shared" si="51"/>
        <v>45104</v>
      </c>
      <c r="K1639" s="2">
        <f t="shared" si="50"/>
        <v>6.25</v>
      </c>
    </row>
    <row r="1640" spans="10:11" x14ac:dyDescent="0.25">
      <c r="J1640" s="1">
        <f t="shared" si="51"/>
        <v>45105</v>
      </c>
      <c r="K1640" s="2">
        <f t="shared" si="50"/>
        <v>3.25</v>
      </c>
    </row>
    <row r="1641" spans="10:11" x14ac:dyDescent="0.25">
      <c r="J1641" s="1">
        <f t="shared" si="51"/>
        <v>45106</v>
      </c>
      <c r="K1641" s="2">
        <f t="shared" si="50"/>
        <v>13</v>
      </c>
    </row>
    <row r="1642" spans="10:11" x14ac:dyDescent="0.25">
      <c r="J1642" s="1">
        <f t="shared" si="51"/>
        <v>45107</v>
      </c>
      <c r="K1642" s="2">
        <f t="shared" si="50"/>
        <v>10.125</v>
      </c>
    </row>
    <row r="1643" spans="10:11" x14ac:dyDescent="0.25">
      <c r="J1643" s="1">
        <f t="shared" si="51"/>
        <v>45108</v>
      </c>
      <c r="K1643" s="2">
        <f t="shared" si="50"/>
        <v>42.25</v>
      </c>
    </row>
    <row r="1644" spans="10:11" x14ac:dyDescent="0.25">
      <c r="J1644" s="1">
        <f t="shared" si="51"/>
        <v>45109</v>
      </c>
      <c r="K1644" s="2">
        <f t="shared" si="50"/>
        <v>13.875</v>
      </c>
    </row>
    <row r="1645" spans="10:11" x14ac:dyDescent="0.25">
      <c r="J1645" s="1">
        <f t="shared" si="51"/>
        <v>45110</v>
      </c>
      <c r="K1645" s="2">
        <f t="shared" si="50"/>
        <v>14.75</v>
      </c>
    </row>
    <row r="1646" spans="10:11" x14ac:dyDescent="0.25">
      <c r="J1646" s="1">
        <f t="shared" si="51"/>
        <v>45111</v>
      </c>
      <c r="K1646" s="2">
        <f t="shared" si="50"/>
        <v>11.5</v>
      </c>
    </row>
    <row r="1647" spans="10:11" x14ac:dyDescent="0.25">
      <c r="J1647" s="1">
        <f t="shared" si="51"/>
        <v>45112</v>
      </c>
      <c r="K1647" s="2">
        <f t="shared" si="50"/>
        <v>6.875</v>
      </c>
    </row>
    <row r="1648" spans="10:11" x14ac:dyDescent="0.25">
      <c r="J1648" s="1">
        <f t="shared" si="51"/>
        <v>45113</v>
      </c>
      <c r="K1648" s="2">
        <f t="shared" si="50"/>
        <v>13.125</v>
      </c>
    </row>
    <row r="1649" spans="10:11" x14ac:dyDescent="0.25">
      <c r="J1649" s="1">
        <f t="shared" si="51"/>
        <v>45114</v>
      </c>
      <c r="K1649" s="2">
        <f t="shared" si="50"/>
        <v>10.875</v>
      </c>
    </row>
    <row r="1650" spans="10:11" x14ac:dyDescent="0.25">
      <c r="J1650" s="1">
        <f t="shared" si="51"/>
        <v>45115</v>
      </c>
      <c r="K1650" s="2">
        <f t="shared" si="50"/>
        <v>17.625</v>
      </c>
    </row>
    <row r="1651" spans="10:11" x14ac:dyDescent="0.25">
      <c r="J1651" s="1">
        <f t="shared" si="51"/>
        <v>45116</v>
      </c>
      <c r="K1651" s="2">
        <f t="shared" si="50"/>
        <v>11.125</v>
      </c>
    </row>
    <row r="1652" spans="10:11" x14ac:dyDescent="0.25">
      <c r="J1652" s="1">
        <f t="shared" si="51"/>
        <v>45117</v>
      </c>
      <c r="K1652" s="2">
        <f t="shared" si="50"/>
        <v>7.625</v>
      </c>
    </row>
    <row r="1653" spans="10:11" x14ac:dyDescent="0.25">
      <c r="J1653" s="1">
        <f t="shared" si="51"/>
        <v>45118</v>
      </c>
      <c r="K1653" s="2">
        <f t="shared" si="50"/>
        <v>9.75</v>
      </c>
    </row>
    <row r="1654" spans="10:11" x14ac:dyDescent="0.25">
      <c r="J1654" s="1">
        <f t="shared" si="51"/>
        <v>45119</v>
      </c>
      <c r="K1654" s="2">
        <f t="shared" si="50"/>
        <v>5.625</v>
      </c>
    </row>
    <row r="1655" spans="10:11" x14ac:dyDescent="0.25">
      <c r="J1655" s="1">
        <f t="shared" si="51"/>
        <v>45120</v>
      </c>
      <c r="K1655" s="2">
        <f t="shared" si="50"/>
        <v>7.125</v>
      </c>
    </row>
    <row r="1656" spans="10:11" x14ac:dyDescent="0.25">
      <c r="J1656" s="1">
        <f t="shared" si="51"/>
        <v>45121</v>
      </c>
      <c r="K1656" s="2">
        <f t="shared" si="50"/>
        <v>10.25</v>
      </c>
    </row>
    <row r="1657" spans="10:11" x14ac:dyDescent="0.25">
      <c r="J1657" s="1">
        <f t="shared" si="51"/>
        <v>45122</v>
      </c>
      <c r="K1657" s="2">
        <f t="shared" si="50"/>
        <v>16.875</v>
      </c>
    </row>
    <row r="1658" spans="10:11" x14ac:dyDescent="0.25">
      <c r="J1658" s="1">
        <f t="shared" si="51"/>
        <v>45123</v>
      </c>
      <c r="K1658" s="2">
        <f t="shared" si="50"/>
        <v>17.875</v>
      </c>
    </row>
    <row r="1659" spans="10:11" x14ac:dyDescent="0.25">
      <c r="J1659" s="1">
        <f t="shared" si="51"/>
        <v>45124</v>
      </c>
      <c r="K1659" s="2">
        <f t="shared" si="50"/>
        <v>5.125</v>
      </c>
    </row>
    <row r="1660" spans="10:11" x14ac:dyDescent="0.25">
      <c r="J1660" s="1">
        <f t="shared" si="51"/>
        <v>45125</v>
      </c>
      <c r="K1660" s="2">
        <f t="shared" si="50"/>
        <v>6.25</v>
      </c>
    </row>
    <row r="1661" spans="10:11" x14ac:dyDescent="0.25">
      <c r="J1661" s="1">
        <f t="shared" si="51"/>
        <v>45126</v>
      </c>
      <c r="K1661" s="2">
        <f t="shared" si="50"/>
        <v>8.25</v>
      </c>
    </row>
    <row r="1662" spans="10:11" x14ac:dyDescent="0.25">
      <c r="J1662" s="1">
        <f t="shared" si="51"/>
        <v>45127</v>
      </c>
      <c r="K1662" s="2">
        <f t="shared" si="50"/>
        <v>7.125</v>
      </c>
    </row>
    <row r="1663" spans="10:11" x14ac:dyDescent="0.25">
      <c r="J1663" s="1">
        <f t="shared" si="51"/>
        <v>45128</v>
      </c>
      <c r="K1663" s="2">
        <f t="shared" si="50"/>
        <v>7.375</v>
      </c>
    </row>
    <row r="1664" spans="10:11" x14ac:dyDescent="0.25">
      <c r="J1664" s="1">
        <f t="shared" si="51"/>
        <v>45129</v>
      </c>
      <c r="K1664" s="2">
        <f t="shared" si="50"/>
        <v>13.5</v>
      </c>
    </row>
    <row r="1665" spans="10:11" x14ac:dyDescent="0.25">
      <c r="J1665" s="1">
        <f t="shared" si="51"/>
        <v>45130</v>
      </c>
      <c r="K1665" s="2">
        <f t="shared" si="50"/>
        <v>12.375</v>
      </c>
    </row>
    <row r="1666" spans="10:11" x14ac:dyDescent="0.25">
      <c r="J1666" s="1">
        <f t="shared" si="51"/>
        <v>45131</v>
      </c>
      <c r="K1666" s="2">
        <f t="shared" si="50"/>
        <v>6.25</v>
      </c>
    </row>
    <row r="1667" spans="10:11" x14ac:dyDescent="0.25">
      <c r="J1667" s="1">
        <f t="shared" si="51"/>
        <v>45132</v>
      </c>
      <c r="K1667" s="2">
        <f t="shared" ref="K1667:K1730" si="52">VLOOKUP(J1667, G:H, 2, FALSE)</f>
        <v>9.375</v>
      </c>
    </row>
    <row r="1668" spans="10:11" x14ac:dyDescent="0.25">
      <c r="J1668" s="1">
        <f t="shared" si="51"/>
        <v>45133</v>
      </c>
      <c r="K1668" s="2">
        <f t="shared" si="52"/>
        <v>5.875</v>
      </c>
    </row>
    <row r="1669" spans="10:11" x14ac:dyDescent="0.25">
      <c r="J1669" s="1">
        <f t="shared" ref="J1669:J1732" si="53">DATE(2019,1,1) + ROW()-1</f>
        <v>45134</v>
      </c>
      <c r="K1669" s="2">
        <f t="shared" si="52"/>
        <v>6.75</v>
      </c>
    </row>
    <row r="1670" spans="10:11" x14ac:dyDescent="0.25">
      <c r="J1670" s="1">
        <f t="shared" si="53"/>
        <v>45135</v>
      </c>
      <c r="K1670" s="2">
        <f t="shared" si="52"/>
        <v>8.25</v>
      </c>
    </row>
    <row r="1671" spans="10:11" x14ac:dyDescent="0.25">
      <c r="J1671" s="1">
        <f t="shared" si="53"/>
        <v>45136</v>
      </c>
      <c r="K1671" s="2">
        <f t="shared" si="52"/>
        <v>14.75</v>
      </c>
    </row>
    <row r="1672" spans="10:11" x14ac:dyDescent="0.25">
      <c r="J1672" s="1">
        <f t="shared" si="53"/>
        <v>45137</v>
      </c>
      <c r="K1672" s="2">
        <f t="shared" si="52"/>
        <v>18.375</v>
      </c>
    </row>
    <row r="1673" spans="10:11" x14ac:dyDescent="0.25">
      <c r="J1673" s="1">
        <f t="shared" si="53"/>
        <v>45138</v>
      </c>
      <c r="K1673" s="2">
        <f t="shared" si="52"/>
        <v>3</v>
      </c>
    </row>
    <row r="1674" spans="10:11" x14ac:dyDescent="0.25">
      <c r="J1674" s="1">
        <f t="shared" si="53"/>
        <v>45139</v>
      </c>
      <c r="K1674" s="2">
        <f t="shared" si="52"/>
        <v>11.5</v>
      </c>
    </row>
    <row r="1675" spans="10:11" x14ac:dyDescent="0.25">
      <c r="J1675" s="1">
        <f t="shared" si="53"/>
        <v>45140</v>
      </c>
      <c r="K1675" s="2">
        <f t="shared" si="52"/>
        <v>8.375</v>
      </c>
    </row>
    <row r="1676" spans="10:11" x14ac:dyDescent="0.25">
      <c r="J1676" s="1">
        <f t="shared" si="53"/>
        <v>45141</v>
      </c>
      <c r="K1676" s="2">
        <f t="shared" si="52"/>
        <v>4.75</v>
      </c>
    </row>
    <row r="1677" spans="10:11" x14ac:dyDescent="0.25">
      <c r="J1677" s="1">
        <f t="shared" si="53"/>
        <v>45142</v>
      </c>
      <c r="K1677" s="2">
        <f t="shared" si="52"/>
        <v>11.375</v>
      </c>
    </row>
    <row r="1678" spans="10:11" x14ac:dyDescent="0.25">
      <c r="J1678" s="1">
        <f t="shared" si="53"/>
        <v>45143</v>
      </c>
      <c r="K1678" s="2">
        <f t="shared" si="52"/>
        <v>11.75</v>
      </c>
    </row>
    <row r="1679" spans="10:11" x14ac:dyDescent="0.25">
      <c r="J1679" s="1">
        <f t="shared" si="53"/>
        <v>45144</v>
      </c>
      <c r="K1679" s="2">
        <f t="shared" si="52"/>
        <v>16.125</v>
      </c>
    </row>
    <row r="1680" spans="10:11" x14ac:dyDescent="0.25">
      <c r="J1680" s="1">
        <f t="shared" si="53"/>
        <v>45145</v>
      </c>
      <c r="K1680" s="2">
        <f t="shared" si="52"/>
        <v>18.25</v>
      </c>
    </row>
    <row r="1681" spans="10:11" x14ac:dyDescent="0.25">
      <c r="J1681" s="1">
        <f t="shared" si="53"/>
        <v>45146</v>
      </c>
      <c r="K1681" s="2">
        <f t="shared" si="52"/>
        <v>6.25</v>
      </c>
    </row>
    <row r="1682" spans="10:11" x14ac:dyDescent="0.25">
      <c r="J1682" s="1">
        <f t="shared" si="53"/>
        <v>45147</v>
      </c>
      <c r="K1682" s="2">
        <f t="shared" si="52"/>
        <v>6.375</v>
      </c>
    </row>
    <row r="1683" spans="10:11" x14ac:dyDescent="0.25">
      <c r="J1683" s="1">
        <f t="shared" si="53"/>
        <v>45148</v>
      </c>
      <c r="K1683" s="2">
        <f t="shared" si="52"/>
        <v>8.75</v>
      </c>
    </row>
    <row r="1684" spans="10:11" x14ac:dyDescent="0.25">
      <c r="J1684" s="1">
        <f t="shared" si="53"/>
        <v>45149</v>
      </c>
      <c r="K1684" s="2">
        <f t="shared" si="52"/>
        <v>8.25</v>
      </c>
    </row>
    <row r="1685" spans="10:11" x14ac:dyDescent="0.25">
      <c r="J1685" s="1">
        <f t="shared" si="53"/>
        <v>45150</v>
      </c>
      <c r="K1685" s="2">
        <f t="shared" si="52"/>
        <v>14.75</v>
      </c>
    </row>
    <row r="1686" spans="10:11" x14ac:dyDescent="0.25">
      <c r="J1686" s="1">
        <f t="shared" si="53"/>
        <v>45151</v>
      </c>
      <c r="K1686" s="2">
        <f t="shared" si="52"/>
        <v>11.375</v>
      </c>
    </row>
    <row r="1687" spans="10:11" x14ac:dyDescent="0.25">
      <c r="J1687" s="1">
        <f t="shared" si="53"/>
        <v>45152</v>
      </c>
      <c r="K1687" s="2">
        <f t="shared" si="52"/>
        <v>5.625</v>
      </c>
    </row>
    <row r="1688" spans="10:11" x14ac:dyDescent="0.25">
      <c r="J1688" s="1">
        <f t="shared" si="53"/>
        <v>45153</v>
      </c>
      <c r="K1688" s="2">
        <f t="shared" si="52"/>
        <v>2.75</v>
      </c>
    </row>
    <row r="1689" spans="10:11" x14ac:dyDescent="0.25">
      <c r="J1689" s="1">
        <f t="shared" si="53"/>
        <v>45154</v>
      </c>
      <c r="K1689" s="2">
        <f t="shared" si="52"/>
        <v>4.5</v>
      </c>
    </row>
    <row r="1690" spans="10:11" x14ac:dyDescent="0.25">
      <c r="J1690" s="1">
        <f t="shared" si="53"/>
        <v>45155</v>
      </c>
      <c r="K1690" s="2">
        <f t="shared" si="52"/>
        <v>10</v>
      </c>
    </row>
    <row r="1691" spans="10:11" x14ac:dyDescent="0.25">
      <c r="J1691" s="1">
        <f t="shared" si="53"/>
        <v>45156</v>
      </c>
      <c r="K1691" s="2">
        <f t="shared" si="52"/>
        <v>8.375</v>
      </c>
    </row>
    <row r="1692" spans="10:11" x14ac:dyDescent="0.25">
      <c r="J1692" s="1">
        <f t="shared" si="53"/>
        <v>45157</v>
      </c>
      <c r="K1692" s="2">
        <f t="shared" si="52"/>
        <v>8.125</v>
      </c>
    </row>
    <row r="1693" spans="10:11" x14ac:dyDescent="0.25">
      <c r="J1693" s="1">
        <f t="shared" si="53"/>
        <v>45158</v>
      </c>
      <c r="K1693" s="2">
        <f t="shared" si="52"/>
        <v>13.5</v>
      </c>
    </row>
    <row r="1694" spans="10:11" x14ac:dyDescent="0.25">
      <c r="J1694" s="1">
        <f t="shared" si="53"/>
        <v>45159</v>
      </c>
      <c r="K1694" s="2">
        <f t="shared" si="52"/>
        <v>9.5</v>
      </c>
    </row>
    <row r="1695" spans="10:11" x14ac:dyDescent="0.25">
      <c r="J1695" s="1">
        <f t="shared" si="53"/>
        <v>45160</v>
      </c>
      <c r="K1695" s="2">
        <f t="shared" si="52"/>
        <v>4</v>
      </c>
    </row>
    <row r="1696" spans="10:11" x14ac:dyDescent="0.25">
      <c r="J1696" s="1">
        <f t="shared" si="53"/>
        <v>45161</v>
      </c>
      <c r="K1696" s="2">
        <f t="shared" si="52"/>
        <v>7.125</v>
      </c>
    </row>
    <row r="1697" spans="10:11" x14ac:dyDescent="0.25">
      <c r="J1697" s="1">
        <f t="shared" si="53"/>
        <v>45162</v>
      </c>
      <c r="K1697" s="2">
        <f t="shared" si="52"/>
        <v>7.625</v>
      </c>
    </row>
    <row r="1698" spans="10:11" x14ac:dyDescent="0.25">
      <c r="J1698" s="1">
        <f t="shared" si="53"/>
        <v>45163</v>
      </c>
      <c r="K1698" s="2">
        <f t="shared" si="52"/>
        <v>11.5</v>
      </c>
    </row>
    <row r="1699" spans="10:11" x14ac:dyDescent="0.25">
      <c r="J1699" s="1">
        <f t="shared" si="53"/>
        <v>45164</v>
      </c>
      <c r="K1699" s="2">
        <f t="shared" si="52"/>
        <v>12.375</v>
      </c>
    </row>
    <row r="1700" spans="10:11" x14ac:dyDescent="0.25">
      <c r="J1700" s="1">
        <f t="shared" si="53"/>
        <v>45165</v>
      </c>
      <c r="K1700" s="2">
        <f t="shared" si="52"/>
        <v>15.75</v>
      </c>
    </row>
    <row r="1701" spans="10:11" x14ac:dyDescent="0.25">
      <c r="J1701" s="1">
        <f t="shared" si="53"/>
        <v>45166</v>
      </c>
      <c r="K1701" s="2">
        <f t="shared" si="52"/>
        <v>2.5</v>
      </c>
    </row>
    <row r="1702" spans="10:11" x14ac:dyDescent="0.25">
      <c r="J1702" s="1">
        <f t="shared" si="53"/>
        <v>45167</v>
      </c>
      <c r="K1702" s="2">
        <f t="shared" si="52"/>
        <v>7.25</v>
      </c>
    </row>
    <row r="1703" spans="10:11" x14ac:dyDescent="0.25">
      <c r="J1703" s="1">
        <f t="shared" si="53"/>
        <v>45168</v>
      </c>
      <c r="K1703" s="2">
        <f t="shared" si="52"/>
        <v>6.875</v>
      </c>
    </row>
    <row r="1704" spans="10:11" x14ac:dyDescent="0.25">
      <c r="J1704" s="1">
        <f t="shared" si="53"/>
        <v>45169</v>
      </c>
      <c r="K1704" s="2">
        <f t="shared" si="52"/>
        <v>10.25</v>
      </c>
    </row>
    <row r="1705" spans="10:11" x14ac:dyDescent="0.25">
      <c r="J1705" s="1">
        <f t="shared" si="53"/>
        <v>45170</v>
      </c>
      <c r="K1705" s="2" t="e">
        <f t="shared" si="52"/>
        <v>#N/A</v>
      </c>
    </row>
    <row r="1706" spans="10:11" x14ac:dyDescent="0.25">
      <c r="J1706" s="1">
        <f t="shared" si="53"/>
        <v>45171</v>
      </c>
      <c r="K1706" s="2" t="e">
        <f t="shared" si="52"/>
        <v>#N/A</v>
      </c>
    </row>
    <row r="1707" spans="10:11" x14ac:dyDescent="0.25">
      <c r="J1707" s="1">
        <f t="shared" si="53"/>
        <v>45172</v>
      </c>
      <c r="K1707" s="2" t="e">
        <f t="shared" si="52"/>
        <v>#N/A</v>
      </c>
    </row>
    <row r="1708" spans="10:11" x14ac:dyDescent="0.25">
      <c r="J1708" s="1">
        <f t="shared" si="53"/>
        <v>45173</v>
      </c>
      <c r="K1708" s="2" t="e">
        <f t="shared" si="52"/>
        <v>#N/A</v>
      </c>
    </row>
    <row r="1709" spans="10:11" x14ac:dyDescent="0.25">
      <c r="J1709" s="1">
        <f t="shared" si="53"/>
        <v>45174</v>
      </c>
      <c r="K1709" s="2" t="e">
        <f t="shared" si="52"/>
        <v>#N/A</v>
      </c>
    </row>
    <row r="1710" spans="10:11" x14ac:dyDescent="0.25">
      <c r="J1710" s="1">
        <f t="shared" si="53"/>
        <v>45175</v>
      </c>
      <c r="K1710" s="2" t="e">
        <f t="shared" si="52"/>
        <v>#N/A</v>
      </c>
    </row>
    <row r="1711" spans="10:11" x14ac:dyDescent="0.25">
      <c r="J1711" s="1">
        <f t="shared" si="53"/>
        <v>45176</v>
      </c>
      <c r="K1711" s="2" t="e">
        <f t="shared" si="52"/>
        <v>#N/A</v>
      </c>
    </row>
    <row r="1712" spans="10:11" x14ac:dyDescent="0.25">
      <c r="J1712" s="1">
        <f t="shared" si="53"/>
        <v>45177</v>
      </c>
      <c r="K1712" s="2" t="e">
        <f t="shared" si="52"/>
        <v>#N/A</v>
      </c>
    </row>
    <row r="1713" spans="10:11" x14ac:dyDescent="0.25">
      <c r="J1713" s="1">
        <f t="shared" si="53"/>
        <v>45178</v>
      </c>
      <c r="K1713" s="2" t="e">
        <f t="shared" si="52"/>
        <v>#N/A</v>
      </c>
    </row>
    <row r="1714" spans="10:11" x14ac:dyDescent="0.25">
      <c r="J1714" s="1">
        <f t="shared" si="53"/>
        <v>45179</v>
      </c>
      <c r="K1714" s="2" t="e">
        <f t="shared" si="52"/>
        <v>#N/A</v>
      </c>
    </row>
    <row r="1715" spans="10:11" x14ac:dyDescent="0.25">
      <c r="J1715" s="1">
        <f t="shared" si="53"/>
        <v>45180</v>
      </c>
      <c r="K1715" s="2" t="e">
        <f t="shared" si="52"/>
        <v>#N/A</v>
      </c>
    </row>
    <row r="1716" spans="10:11" x14ac:dyDescent="0.25">
      <c r="J1716" s="1">
        <f t="shared" si="53"/>
        <v>45181</v>
      </c>
      <c r="K1716" s="2" t="e">
        <f t="shared" si="52"/>
        <v>#N/A</v>
      </c>
    </row>
    <row r="1717" spans="10:11" x14ac:dyDescent="0.25">
      <c r="J1717" s="1">
        <f t="shared" si="53"/>
        <v>45182</v>
      </c>
      <c r="K1717" s="2" t="e">
        <f t="shared" si="52"/>
        <v>#N/A</v>
      </c>
    </row>
    <row r="1718" spans="10:11" x14ac:dyDescent="0.25">
      <c r="J1718" s="1">
        <f t="shared" si="53"/>
        <v>45183</v>
      </c>
      <c r="K1718" s="2" t="e">
        <f t="shared" si="52"/>
        <v>#N/A</v>
      </c>
    </row>
    <row r="1719" spans="10:11" x14ac:dyDescent="0.25">
      <c r="J1719" s="1">
        <f t="shared" si="53"/>
        <v>45184</v>
      </c>
      <c r="K1719" s="2" t="e">
        <f t="shared" si="52"/>
        <v>#N/A</v>
      </c>
    </row>
    <row r="1720" spans="10:11" x14ac:dyDescent="0.25">
      <c r="J1720" s="1">
        <f t="shared" si="53"/>
        <v>45185</v>
      </c>
      <c r="K1720" s="2" t="e">
        <f t="shared" si="52"/>
        <v>#N/A</v>
      </c>
    </row>
    <row r="1721" spans="10:11" x14ac:dyDescent="0.25">
      <c r="J1721" s="1">
        <f t="shared" si="53"/>
        <v>45186</v>
      </c>
      <c r="K1721" s="2" t="e">
        <f t="shared" si="52"/>
        <v>#N/A</v>
      </c>
    </row>
    <row r="1722" spans="10:11" x14ac:dyDescent="0.25">
      <c r="J1722" s="1">
        <f t="shared" si="53"/>
        <v>45187</v>
      </c>
      <c r="K1722" s="2" t="e">
        <f t="shared" si="52"/>
        <v>#N/A</v>
      </c>
    </row>
    <row r="1723" spans="10:11" x14ac:dyDescent="0.25">
      <c r="J1723" s="1">
        <f t="shared" si="53"/>
        <v>45188</v>
      </c>
      <c r="K1723" s="2" t="e">
        <f t="shared" si="52"/>
        <v>#N/A</v>
      </c>
    </row>
    <row r="1724" spans="10:11" x14ac:dyDescent="0.25">
      <c r="J1724" s="1">
        <f t="shared" si="53"/>
        <v>45189</v>
      </c>
      <c r="K1724" s="2" t="e">
        <f t="shared" si="52"/>
        <v>#N/A</v>
      </c>
    </row>
    <row r="1725" spans="10:11" x14ac:dyDescent="0.25">
      <c r="J1725" s="1">
        <f t="shared" si="53"/>
        <v>45190</v>
      </c>
      <c r="K1725" s="2" t="e">
        <f t="shared" si="52"/>
        <v>#N/A</v>
      </c>
    </row>
    <row r="1726" spans="10:11" x14ac:dyDescent="0.25">
      <c r="J1726" s="1">
        <f t="shared" si="53"/>
        <v>45191</v>
      </c>
      <c r="K1726" s="2" t="e">
        <f t="shared" si="52"/>
        <v>#N/A</v>
      </c>
    </row>
    <row r="1727" spans="10:11" x14ac:dyDescent="0.25">
      <c r="J1727" s="1">
        <f t="shared" si="53"/>
        <v>45192</v>
      </c>
      <c r="K1727" s="2" t="e">
        <f t="shared" si="52"/>
        <v>#N/A</v>
      </c>
    </row>
    <row r="1728" spans="10:11" x14ac:dyDescent="0.25">
      <c r="J1728" s="1">
        <f t="shared" si="53"/>
        <v>45193</v>
      </c>
      <c r="K1728" s="2" t="e">
        <f t="shared" si="52"/>
        <v>#N/A</v>
      </c>
    </row>
    <row r="1729" spans="10:11" x14ac:dyDescent="0.25">
      <c r="J1729" s="1">
        <f t="shared" si="53"/>
        <v>45194</v>
      </c>
      <c r="K1729" s="2" t="e">
        <f t="shared" si="52"/>
        <v>#N/A</v>
      </c>
    </row>
    <row r="1730" spans="10:11" x14ac:dyDescent="0.25">
      <c r="J1730" s="1">
        <f t="shared" si="53"/>
        <v>45195</v>
      </c>
      <c r="K1730" s="2" t="e">
        <f t="shared" si="52"/>
        <v>#N/A</v>
      </c>
    </row>
    <row r="1731" spans="10:11" x14ac:dyDescent="0.25">
      <c r="J1731" s="1">
        <f t="shared" si="53"/>
        <v>45196</v>
      </c>
      <c r="K1731" s="2" t="e">
        <f t="shared" ref="K1731:K1794" si="54">VLOOKUP(J1731, G:H, 2, FALSE)</f>
        <v>#N/A</v>
      </c>
    </row>
    <row r="1732" spans="10:11" x14ac:dyDescent="0.25">
      <c r="J1732" s="1">
        <f t="shared" si="53"/>
        <v>45197</v>
      </c>
      <c r="K1732" s="2" t="e">
        <f t="shared" si="54"/>
        <v>#N/A</v>
      </c>
    </row>
    <row r="1733" spans="10:11" x14ac:dyDescent="0.25">
      <c r="J1733" s="1">
        <f t="shared" ref="J1733:J1796" si="55">DATE(2019,1,1) + ROW()-1</f>
        <v>45198</v>
      </c>
      <c r="K1733" s="2" t="e">
        <f t="shared" si="54"/>
        <v>#N/A</v>
      </c>
    </row>
    <row r="1734" spans="10:11" x14ac:dyDescent="0.25">
      <c r="J1734" s="1">
        <f t="shared" si="55"/>
        <v>45199</v>
      </c>
      <c r="K1734" s="2" t="e">
        <f t="shared" si="54"/>
        <v>#N/A</v>
      </c>
    </row>
    <row r="1735" spans="10:11" x14ac:dyDescent="0.25">
      <c r="J1735" s="1">
        <f t="shared" si="55"/>
        <v>45200</v>
      </c>
      <c r="K1735" s="2" t="e">
        <f t="shared" si="54"/>
        <v>#N/A</v>
      </c>
    </row>
    <row r="1736" spans="10:11" x14ac:dyDescent="0.25">
      <c r="J1736" s="1">
        <f t="shared" si="55"/>
        <v>45201</v>
      </c>
      <c r="K1736" s="2" t="e">
        <f t="shared" si="54"/>
        <v>#N/A</v>
      </c>
    </row>
    <row r="1737" spans="10:11" x14ac:dyDescent="0.25">
      <c r="J1737" s="1">
        <f t="shared" si="55"/>
        <v>45202</v>
      </c>
      <c r="K1737" s="2" t="e">
        <f t="shared" si="54"/>
        <v>#N/A</v>
      </c>
    </row>
    <row r="1738" spans="10:11" x14ac:dyDescent="0.25">
      <c r="J1738" s="1">
        <f t="shared" si="55"/>
        <v>45203</v>
      </c>
      <c r="K1738" s="2" t="e">
        <f t="shared" si="54"/>
        <v>#N/A</v>
      </c>
    </row>
    <row r="1739" spans="10:11" x14ac:dyDescent="0.25">
      <c r="J1739" s="1">
        <f t="shared" si="55"/>
        <v>45204</v>
      </c>
      <c r="K1739" s="2" t="e">
        <f t="shared" si="54"/>
        <v>#N/A</v>
      </c>
    </row>
    <row r="1740" spans="10:11" x14ac:dyDescent="0.25">
      <c r="J1740" s="1">
        <f t="shared" si="55"/>
        <v>45205</v>
      </c>
      <c r="K1740" s="2" t="e">
        <f t="shared" si="54"/>
        <v>#N/A</v>
      </c>
    </row>
    <row r="1741" spans="10:11" x14ac:dyDescent="0.25">
      <c r="J1741" s="1">
        <f t="shared" si="55"/>
        <v>45206</v>
      </c>
      <c r="K1741" s="2" t="e">
        <f t="shared" si="54"/>
        <v>#N/A</v>
      </c>
    </row>
    <row r="1742" spans="10:11" x14ac:dyDescent="0.25">
      <c r="J1742" s="1">
        <f t="shared" si="55"/>
        <v>45207</v>
      </c>
      <c r="K1742" s="2" t="e">
        <f t="shared" si="54"/>
        <v>#N/A</v>
      </c>
    </row>
    <row r="1743" spans="10:11" x14ac:dyDescent="0.25">
      <c r="J1743" s="1">
        <f t="shared" si="55"/>
        <v>45208</v>
      </c>
      <c r="K1743" s="2" t="e">
        <f t="shared" si="54"/>
        <v>#N/A</v>
      </c>
    </row>
    <row r="1744" spans="10:11" x14ac:dyDescent="0.25">
      <c r="J1744" s="1">
        <f t="shared" si="55"/>
        <v>45209</v>
      </c>
      <c r="K1744" s="2" t="e">
        <f t="shared" si="54"/>
        <v>#N/A</v>
      </c>
    </row>
    <row r="1745" spans="10:11" x14ac:dyDescent="0.25">
      <c r="J1745" s="1">
        <f t="shared" si="55"/>
        <v>45210</v>
      </c>
      <c r="K1745" s="2" t="e">
        <f t="shared" si="54"/>
        <v>#N/A</v>
      </c>
    </row>
    <row r="1746" spans="10:11" x14ac:dyDescent="0.25">
      <c r="J1746" s="1">
        <f t="shared" si="55"/>
        <v>45211</v>
      </c>
      <c r="K1746" s="2" t="e">
        <f t="shared" si="54"/>
        <v>#N/A</v>
      </c>
    </row>
    <row r="1747" spans="10:11" x14ac:dyDescent="0.25">
      <c r="J1747" s="1">
        <f t="shared" si="55"/>
        <v>45212</v>
      </c>
      <c r="K1747" s="2" t="e">
        <f t="shared" si="54"/>
        <v>#N/A</v>
      </c>
    </row>
    <row r="1748" spans="10:11" x14ac:dyDescent="0.25">
      <c r="J1748" s="1">
        <f t="shared" si="55"/>
        <v>45213</v>
      </c>
      <c r="K1748" s="2" t="e">
        <f t="shared" si="54"/>
        <v>#N/A</v>
      </c>
    </row>
    <row r="1749" spans="10:11" x14ac:dyDescent="0.25">
      <c r="J1749" s="1">
        <f t="shared" si="55"/>
        <v>45214</v>
      </c>
      <c r="K1749" s="2" t="e">
        <f t="shared" si="54"/>
        <v>#N/A</v>
      </c>
    </row>
    <row r="1750" spans="10:11" x14ac:dyDescent="0.25">
      <c r="J1750" s="1">
        <f t="shared" si="55"/>
        <v>45215</v>
      </c>
      <c r="K1750" s="2" t="e">
        <f t="shared" si="54"/>
        <v>#N/A</v>
      </c>
    </row>
    <row r="1751" spans="10:11" x14ac:dyDescent="0.25">
      <c r="J1751" s="1">
        <f t="shared" si="55"/>
        <v>45216</v>
      </c>
      <c r="K1751" s="2" t="e">
        <f t="shared" si="54"/>
        <v>#N/A</v>
      </c>
    </row>
    <row r="1752" spans="10:11" x14ac:dyDescent="0.25">
      <c r="J1752" s="1">
        <f t="shared" si="55"/>
        <v>45217</v>
      </c>
      <c r="K1752" s="2" t="e">
        <f t="shared" si="54"/>
        <v>#N/A</v>
      </c>
    </row>
    <row r="1753" spans="10:11" x14ac:dyDescent="0.25">
      <c r="J1753" s="1">
        <f t="shared" si="55"/>
        <v>45218</v>
      </c>
      <c r="K1753" s="2" t="e">
        <f t="shared" si="54"/>
        <v>#N/A</v>
      </c>
    </row>
    <row r="1754" spans="10:11" x14ac:dyDescent="0.25">
      <c r="J1754" s="1">
        <f t="shared" si="55"/>
        <v>45219</v>
      </c>
      <c r="K1754" s="2" t="e">
        <f t="shared" si="54"/>
        <v>#N/A</v>
      </c>
    </row>
    <row r="1755" spans="10:11" x14ac:dyDescent="0.25">
      <c r="J1755" s="1">
        <f t="shared" si="55"/>
        <v>45220</v>
      </c>
      <c r="K1755" s="2" t="e">
        <f t="shared" si="54"/>
        <v>#N/A</v>
      </c>
    </row>
    <row r="1756" spans="10:11" x14ac:dyDescent="0.25">
      <c r="J1756" s="1">
        <f t="shared" si="55"/>
        <v>45221</v>
      </c>
      <c r="K1756" s="2" t="e">
        <f t="shared" si="54"/>
        <v>#N/A</v>
      </c>
    </row>
    <row r="1757" spans="10:11" x14ac:dyDescent="0.25">
      <c r="J1757" s="1">
        <f t="shared" si="55"/>
        <v>45222</v>
      </c>
      <c r="K1757" s="2" t="e">
        <f t="shared" si="54"/>
        <v>#N/A</v>
      </c>
    </row>
    <row r="1758" spans="10:11" x14ac:dyDescent="0.25">
      <c r="J1758" s="1">
        <f t="shared" si="55"/>
        <v>45223</v>
      </c>
      <c r="K1758" s="2" t="e">
        <f t="shared" si="54"/>
        <v>#N/A</v>
      </c>
    </row>
    <row r="1759" spans="10:11" x14ac:dyDescent="0.25">
      <c r="J1759" s="1">
        <f t="shared" si="55"/>
        <v>45224</v>
      </c>
      <c r="K1759" s="2" t="e">
        <f t="shared" si="54"/>
        <v>#N/A</v>
      </c>
    </row>
    <row r="1760" spans="10:11" x14ac:dyDescent="0.25">
      <c r="J1760" s="1">
        <f t="shared" si="55"/>
        <v>45225</v>
      </c>
      <c r="K1760" s="2" t="e">
        <f t="shared" si="54"/>
        <v>#N/A</v>
      </c>
    </row>
    <row r="1761" spans="10:11" x14ac:dyDescent="0.25">
      <c r="J1761" s="1">
        <f t="shared" si="55"/>
        <v>45226</v>
      </c>
      <c r="K1761" s="2" t="e">
        <f t="shared" si="54"/>
        <v>#N/A</v>
      </c>
    </row>
    <row r="1762" spans="10:11" x14ac:dyDescent="0.25">
      <c r="J1762" s="1">
        <f t="shared" si="55"/>
        <v>45227</v>
      </c>
      <c r="K1762" s="2" t="e">
        <f t="shared" si="54"/>
        <v>#N/A</v>
      </c>
    </row>
    <row r="1763" spans="10:11" x14ac:dyDescent="0.25">
      <c r="J1763" s="1">
        <f t="shared" si="55"/>
        <v>45228</v>
      </c>
      <c r="K1763" s="2" t="e">
        <f t="shared" si="54"/>
        <v>#N/A</v>
      </c>
    </row>
    <row r="1764" spans="10:11" x14ac:dyDescent="0.25">
      <c r="J1764" s="1">
        <f t="shared" si="55"/>
        <v>45229</v>
      </c>
      <c r="K1764" s="2" t="e">
        <f t="shared" si="54"/>
        <v>#N/A</v>
      </c>
    </row>
    <row r="1765" spans="10:11" x14ac:dyDescent="0.25">
      <c r="J1765" s="1">
        <f t="shared" si="55"/>
        <v>45230</v>
      </c>
      <c r="K1765" s="2" t="e">
        <f t="shared" si="54"/>
        <v>#N/A</v>
      </c>
    </row>
    <row r="1766" spans="10:11" x14ac:dyDescent="0.25">
      <c r="J1766" s="1">
        <f t="shared" si="55"/>
        <v>45231</v>
      </c>
      <c r="K1766" s="2" t="e">
        <f t="shared" si="54"/>
        <v>#N/A</v>
      </c>
    </row>
    <row r="1767" spans="10:11" x14ac:dyDescent="0.25">
      <c r="J1767" s="1">
        <f t="shared" si="55"/>
        <v>45232</v>
      </c>
      <c r="K1767" s="2" t="e">
        <f t="shared" si="54"/>
        <v>#N/A</v>
      </c>
    </row>
    <row r="1768" spans="10:11" x14ac:dyDescent="0.25">
      <c r="J1768" s="1">
        <f t="shared" si="55"/>
        <v>45233</v>
      </c>
      <c r="K1768" s="2" t="e">
        <f t="shared" si="54"/>
        <v>#N/A</v>
      </c>
    </row>
    <row r="1769" spans="10:11" x14ac:dyDescent="0.25">
      <c r="J1769" s="1">
        <f t="shared" si="55"/>
        <v>45234</v>
      </c>
      <c r="K1769" s="2" t="e">
        <f t="shared" si="54"/>
        <v>#N/A</v>
      </c>
    </row>
    <row r="1770" spans="10:11" x14ac:dyDescent="0.25">
      <c r="J1770" s="1">
        <f t="shared" si="55"/>
        <v>45235</v>
      </c>
      <c r="K1770" s="2" t="e">
        <f t="shared" si="54"/>
        <v>#N/A</v>
      </c>
    </row>
    <row r="1771" spans="10:11" x14ac:dyDescent="0.25">
      <c r="J1771" s="1">
        <f t="shared" si="55"/>
        <v>45236</v>
      </c>
      <c r="K1771" s="2" t="e">
        <f t="shared" si="54"/>
        <v>#N/A</v>
      </c>
    </row>
    <row r="1772" spans="10:11" x14ac:dyDescent="0.25">
      <c r="J1772" s="1">
        <f t="shared" si="55"/>
        <v>45237</v>
      </c>
      <c r="K1772" s="2" t="e">
        <f t="shared" si="54"/>
        <v>#N/A</v>
      </c>
    </row>
    <row r="1773" spans="10:11" x14ac:dyDescent="0.25">
      <c r="J1773" s="1">
        <f t="shared" si="55"/>
        <v>45238</v>
      </c>
      <c r="K1773" s="2" t="e">
        <f t="shared" si="54"/>
        <v>#N/A</v>
      </c>
    </row>
    <row r="1774" spans="10:11" x14ac:dyDescent="0.25">
      <c r="J1774" s="1">
        <f t="shared" si="55"/>
        <v>45239</v>
      </c>
      <c r="K1774" s="2" t="e">
        <f t="shared" si="54"/>
        <v>#N/A</v>
      </c>
    </row>
    <row r="1775" spans="10:11" x14ac:dyDescent="0.25">
      <c r="J1775" s="1">
        <f t="shared" si="55"/>
        <v>45240</v>
      </c>
      <c r="K1775" s="2" t="e">
        <f t="shared" si="54"/>
        <v>#N/A</v>
      </c>
    </row>
    <row r="1776" spans="10:11" x14ac:dyDescent="0.25">
      <c r="J1776" s="1">
        <f t="shared" si="55"/>
        <v>45241</v>
      </c>
      <c r="K1776" s="2" t="e">
        <f t="shared" si="54"/>
        <v>#N/A</v>
      </c>
    </row>
    <row r="1777" spans="10:11" x14ac:dyDescent="0.25">
      <c r="J1777" s="1">
        <f t="shared" si="55"/>
        <v>45242</v>
      </c>
      <c r="K1777" s="2" t="e">
        <f t="shared" si="54"/>
        <v>#N/A</v>
      </c>
    </row>
    <row r="1778" spans="10:11" x14ac:dyDescent="0.25">
      <c r="J1778" s="1">
        <f t="shared" si="55"/>
        <v>45243</v>
      </c>
      <c r="K1778" s="2" t="e">
        <f t="shared" si="54"/>
        <v>#N/A</v>
      </c>
    </row>
    <row r="1779" spans="10:11" x14ac:dyDescent="0.25">
      <c r="J1779" s="1">
        <f t="shared" si="55"/>
        <v>45244</v>
      </c>
      <c r="K1779" s="2" t="e">
        <f t="shared" si="54"/>
        <v>#N/A</v>
      </c>
    </row>
    <row r="1780" spans="10:11" x14ac:dyDescent="0.25">
      <c r="J1780" s="1">
        <f t="shared" si="55"/>
        <v>45245</v>
      </c>
      <c r="K1780" s="2" t="e">
        <f t="shared" si="54"/>
        <v>#N/A</v>
      </c>
    </row>
    <row r="1781" spans="10:11" x14ac:dyDescent="0.25">
      <c r="J1781" s="1">
        <f t="shared" si="55"/>
        <v>45246</v>
      </c>
      <c r="K1781" s="2" t="e">
        <f t="shared" si="54"/>
        <v>#N/A</v>
      </c>
    </row>
    <row r="1782" spans="10:11" x14ac:dyDescent="0.25">
      <c r="J1782" s="1">
        <f t="shared" si="55"/>
        <v>45247</v>
      </c>
      <c r="K1782" s="2" t="e">
        <f t="shared" si="54"/>
        <v>#N/A</v>
      </c>
    </row>
    <row r="1783" spans="10:11" x14ac:dyDescent="0.25">
      <c r="J1783" s="1">
        <f t="shared" si="55"/>
        <v>45248</v>
      </c>
      <c r="K1783" s="2" t="e">
        <f t="shared" si="54"/>
        <v>#N/A</v>
      </c>
    </row>
    <row r="1784" spans="10:11" x14ac:dyDescent="0.25">
      <c r="J1784" s="1">
        <f t="shared" si="55"/>
        <v>45249</v>
      </c>
      <c r="K1784" s="2" t="e">
        <f t="shared" si="54"/>
        <v>#N/A</v>
      </c>
    </row>
    <row r="1785" spans="10:11" x14ac:dyDescent="0.25">
      <c r="J1785" s="1">
        <f t="shared" si="55"/>
        <v>45250</v>
      </c>
      <c r="K1785" s="2" t="e">
        <f t="shared" si="54"/>
        <v>#N/A</v>
      </c>
    </row>
    <row r="1786" spans="10:11" x14ac:dyDescent="0.25">
      <c r="J1786" s="1">
        <f t="shared" si="55"/>
        <v>45251</v>
      </c>
      <c r="K1786" s="2" t="e">
        <f t="shared" si="54"/>
        <v>#N/A</v>
      </c>
    </row>
    <row r="1787" spans="10:11" x14ac:dyDescent="0.25">
      <c r="J1787" s="1">
        <f t="shared" si="55"/>
        <v>45252</v>
      </c>
      <c r="K1787" s="2" t="e">
        <f t="shared" si="54"/>
        <v>#N/A</v>
      </c>
    </row>
    <row r="1788" spans="10:11" x14ac:dyDescent="0.25">
      <c r="J1788" s="1">
        <f t="shared" si="55"/>
        <v>45253</v>
      </c>
      <c r="K1788" s="2" t="e">
        <f t="shared" si="54"/>
        <v>#N/A</v>
      </c>
    </row>
    <row r="1789" spans="10:11" x14ac:dyDescent="0.25">
      <c r="J1789" s="1">
        <f t="shared" si="55"/>
        <v>45254</v>
      </c>
      <c r="K1789" s="2" t="e">
        <f t="shared" si="54"/>
        <v>#N/A</v>
      </c>
    </row>
    <row r="1790" spans="10:11" x14ac:dyDescent="0.25">
      <c r="J1790" s="1">
        <f t="shared" si="55"/>
        <v>45255</v>
      </c>
      <c r="K1790" s="2" t="e">
        <f t="shared" si="54"/>
        <v>#N/A</v>
      </c>
    </row>
    <row r="1791" spans="10:11" x14ac:dyDescent="0.25">
      <c r="J1791" s="1">
        <f t="shared" si="55"/>
        <v>45256</v>
      </c>
      <c r="K1791" s="2" t="e">
        <f t="shared" si="54"/>
        <v>#N/A</v>
      </c>
    </row>
    <row r="1792" spans="10:11" x14ac:dyDescent="0.25">
      <c r="J1792" s="1">
        <f t="shared" si="55"/>
        <v>45257</v>
      </c>
      <c r="K1792" s="2" t="e">
        <f t="shared" si="54"/>
        <v>#N/A</v>
      </c>
    </row>
    <row r="1793" spans="10:11" x14ac:dyDescent="0.25">
      <c r="J1793" s="1">
        <f t="shared" si="55"/>
        <v>45258</v>
      </c>
      <c r="K1793" s="2" t="e">
        <f t="shared" si="54"/>
        <v>#N/A</v>
      </c>
    </row>
    <row r="1794" spans="10:11" x14ac:dyDescent="0.25">
      <c r="J1794" s="1">
        <f t="shared" si="55"/>
        <v>45259</v>
      </c>
      <c r="K1794" s="2" t="e">
        <f t="shared" si="54"/>
        <v>#N/A</v>
      </c>
    </row>
    <row r="1795" spans="10:11" x14ac:dyDescent="0.25">
      <c r="J1795" s="1">
        <f t="shared" si="55"/>
        <v>45260</v>
      </c>
      <c r="K1795" s="2" t="e">
        <f t="shared" ref="K1795:K1827" si="56">VLOOKUP(J1795, G:H, 2, FALSE)</f>
        <v>#N/A</v>
      </c>
    </row>
    <row r="1796" spans="10:11" x14ac:dyDescent="0.25">
      <c r="J1796" s="1">
        <f t="shared" si="55"/>
        <v>45261</v>
      </c>
      <c r="K1796" s="2" t="e">
        <f t="shared" si="56"/>
        <v>#N/A</v>
      </c>
    </row>
    <row r="1797" spans="10:11" x14ac:dyDescent="0.25">
      <c r="J1797" s="1">
        <f t="shared" ref="J1797:J1827" si="57">DATE(2019,1,1) + ROW()-1</f>
        <v>45262</v>
      </c>
      <c r="K1797" s="2" t="e">
        <f t="shared" si="56"/>
        <v>#N/A</v>
      </c>
    </row>
    <row r="1798" spans="10:11" x14ac:dyDescent="0.25">
      <c r="J1798" s="1">
        <f t="shared" si="57"/>
        <v>45263</v>
      </c>
      <c r="K1798" s="2" t="e">
        <f t="shared" si="56"/>
        <v>#N/A</v>
      </c>
    </row>
    <row r="1799" spans="10:11" x14ac:dyDescent="0.25">
      <c r="J1799" s="1">
        <f t="shared" si="57"/>
        <v>45264</v>
      </c>
      <c r="K1799" s="2" t="e">
        <f t="shared" si="56"/>
        <v>#N/A</v>
      </c>
    </row>
    <row r="1800" spans="10:11" x14ac:dyDescent="0.25">
      <c r="J1800" s="1">
        <f t="shared" si="57"/>
        <v>45265</v>
      </c>
      <c r="K1800" s="2" t="e">
        <f t="shared" si="56"/>
        <v>#N/A</v>
      </c>
    </row>
    <row r="1801" spans="10:11" x14ac:dyDescent="0.25">
      <c r="J1801" s="1">
        <f t="shared" si="57"/>
        <v>45266</v>
      </c>
      <c r="K1801" s="2" t="e">
        <f t="shared" si="56"/>
        <v>#N/A</v>
      </c>
    </row>
    <row r="1802" spans="10:11" x14ac:dyDescent="0.25">
      <c r="J1802" s="1">
        <f t="shared" si="57"/>
        <v>45267</v>
      </c>
      <c r="K1802" s="2" t="e">
        <f t="shared" si="56"/>
        <v>#N/A</v>
      </c>
    </row>
    <row r="1803" spans="10:11" x14ac:dyDescent="0.25">
      <c r="J1803" s="1">
        <f t="shared" si="57"/>
        <v>45268</v>
      </c>
      <c r="K1803" s="2" t="e">
        <f t="shared" si="56"/>
        <v>#N/A</v>
      </c>
    </row>
    <row r="1804" spans="10:11" x14ac:dyDescent="0.25">
      <c r="J1804" s="1">
        <f t="shared" si="57"/>
        <v>45269</v>
      </c>
      <c r="K1804" s="2" t="e">
        <f t="shared" si="56"/>
        <v>#N/A</v>
      </c>
    </row>
    <row r="1805" spans="10:11" x14ac:dyDescent="0.25">
      <c r="J1805" s="1">
        <f t="shared" si="57"/>
        <v>45270</v>
      </c>
      <c r="K1805" s="2" t="e">
        <f t="shared" si="56"/>
        <v>#N/A</v>
      </c>
    </row>
    <row r="1806" spans="10:11" x14ac:dyDescent="0.25">
      <c r="J1806" s="1">
        <f t="shared" si="57"/>
        <v>45271</v>
      </c>
      <c r="K1806" s="2" t="e">
        <f t="shared" si="56"/>
        <v>#N/A</v>
      </c>
    </row>
    <row r="1807" spans="10:11" x14ac:dyDescent="0.25">
      <c r="J1807" s="1">
        <f t="shared" si="57"/>
        <v>45272</v>
      </c>
      <c r="K1807" s="2" t="e">
        <f t="shared" si="56"/>
        <v>#N/A</v>
      </c>
    </row>
    <row r="1808" spans="10:11" x14ac:dyDescent="0.25">
      <c r="J1808" s="1">
        <f t="shared" si="57"/>
        <v>45273</v>
      </c>
      <c r="K1808" s="2" t="e">
        <f t="shared" si="56"/>
        <v>#N/A</v>
      </c>
    </row>
    <row r="1809" spans="10:11" x14ac:dyDescent="0.25">
      <c r="J1809" s="1">
        <f t="shared" si="57"/>
        <v>45274</v>
      </c>
      <c r="K1809" s="2" t="e">
        <f t="shared" si="56"/>
        <v>#N/A</v>
      </c>
    </row>
    <row r="1810" spans="10:11" x14ac:dyDescent="0.25">
      <c r="J1810" s="1">
        <f t="shared" si="57"/>
        <v>45275</v>
      </c>
      <c r="K1810" s="2" t="e">
        <f t="shared" si="56"/>
        <v>#N/A</v>
      </c>
    </row>
    <row r="1811" spans="10:11" x14ac:dyDescent="0.25">
      <c r="J1811" s="1">
        <f t="shared" si="57"/>
        <v>45276</v>
      </c>
      <c r="K1811" s="2" t="e">
        <f t="shared" si="56"/>
        <v>#N/A</v>
      </c>
    </row>
    <row r="1812" spans="10:11" x14ac:dyDescent="0.25">
      <c r="J1812" s="1">
        <f t="shared" si="57"/>
        <v>45277</v>
      </c>
      <c r="K1812" s="2" t="e">
        <f t="shared" si="56"/>
        <v>#N/A</v>
      </c>
    </row>
    <row r="1813" spans="10:11" x14ac:dyDescent="0.25">
      <c r="J1813" s="1">
        <f t="shared" si="57"/>
        <v>45278</v>
      </c>
      <c r="K1813" s="2" t="e">
        <f t="shared" si="56"/>
        <v>#N/A</v>
      </c>
    </row>
    <row r="1814" spans="10:11" x14ac:dyDescent="0.25">
      <c r="J1814" s="1">
        <f t="shared" si="57"/>
        <v>45279</v>
      </c>
      <c r="K1814" s="2" t="e">
        <f t="shared" si="56"/>
        <v>#N/A</v>
      </c>
    </row>
    <row r="1815" spans="10:11" x14ac:dyDescent="0.25">
      <c r="J1815" s="1">
        <f t="shared" si="57"/>
        <v>45280</v>
      </c>
      <c r="K1815" s="2" t="e">
        <f t="shared" si="56"/>
        <v>#N/A</v>
      </c>
    </row>
    <row r="1816" spans="10:11" x14ac:dyDescent="0.25">
      <c r="J1816" s="1">
        <f t="shared" si="57"/>
        <v>45281</v>
      </c>
      <c r="K1816" s="2" t="e">
        <f t="shared" si="56"/>
        <v>#N/A</v>
      </c>
    </row>
    <row r="1817" spans="10:11" x14ac:dyDescent="0.25">
      <c r="J1817" s="1">
        <f t="shared" si="57"/>
        <v>45282</v>
      </c>
      <c r="K1817" s="2" t="e">
        <f t="shared" si="56"/>
        <v>#N/A</v>
      </c>
    </row>
    <row r="1818" spans="10:11" x14ac:dyDescent="0.25">
      <c r="J1818" s="1">
        <f t="shared" si="57"/>
        <v>45283</v>
      </c>
      <c r="K1818" s="2" t="e">
        <f t="shared" si="56"/>
        <v>#N/A</v>
      </c>
    </row>
    <row r="1819" spans="10:11" x14ac:dyDescent="0.25">
      <c r="J1819" s="1">
        <f t="shared" si="57"/>
        <v>45284</v>
      </c>
      <c r="K1819" s="2" t="e">
        <f t="shared" si="56"/>
        <v>#N/A</v>
      </c>
    </row>
    <row r="1820" spans="10:11" x14ac:dyDescent="0.25">
      <c r="J1820" s="1">
        <f t="shared" si="57"/>
        <v>45285</v>
      </c>
      <c r="K1820" s="2" t="e">
        <f t="shared" si="56"/>
        <v>#N/A</v>
      </c>
    </row>
    <row r="1821" spans="10:11" x14ac:dyDescent="0.25">
      <c r="J1821" s="1">
        <f t="shared" si="57"/>
        <v>45286</v>
      </c>
      <c r="K1821" s="2" t="e">
        <f t="shared" si="56"/>
        <v>#N/A</v>
      </c>
    </row>
    <row r="1822" spans="10:11" x14ac:dyDescent="0.25">
      <c r="J1822" s="1">
        <f t="shared" si="57"/>
        <v>45287</v>
      </c>
      <c r="K1822" s="2" t="e">
        <f t="shared" si="56"/>
        <v>#N/A</v>
      </c>
    </row>
    <row r="1823" spans="10:11" x14ac:dyDescent="0.25">
      <c r="J1823" s="1">
        <f t="shared" si="57"/>
        <v>45288</v>
      </c>
      <c r="K1823" s="2" t="e">
        <f t="shared" si="56"/>
        <v>#N/A</v>
      </c>
    </row>
    <row r="1824" spans="10:11" x14ac:dyDescent="0.25">
      <c r="J1824" s="1">
        <f t="shared" si="57"/>
        <v>45289</v>
      </c>
      <c r="K1824" s="2" t="e">
        <f t="shared" si="56"/>
        <v>#N/A</v>
      </c>
    </row>
    <row r="1825" spans="10:11" x14ac:dyDescent="0.25">
      <c r="J1825" s="1">
        <f t="shared" si="57"/>
        <v>45290</v>
      </c>
      <c r="K1825" s="2" t="e">
        <f t="shared" si="56"/>
        <v>#N/A</v>
      </c>
    </row>
    <row r="1826" spans="10:11" x14ac:dyDescent="0.25">
      <c r="J1826" s="1">
        <f t="shared" si="57"/>
        <v>45291</v>
      </c>
      <c r="K1826" s="2" t="e">
        <f t="shared" si="56"/>
        <v>#N/A</v>
      </c>
    </row>
    <row r="1827" spans="10:11" x14ac:dyDescent="0.25">
      <c r="J1827" s="1">
        <f t="shared" si="57"/>
        <v>45292</v>
      </c>
      <c r="K1827" s="2" t="e">
        <f t="shared" si="56"/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6CD4-DD8F-4E8E-B3AB-BCDDFDEBF3C7}">
  <dimension ref="A1:K1827"/>
  <sheetViews>
    <sheetView workbookViewId="0">
      <selection activeCell="K19" sqref="K1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6</v>
      </c>
      <c r="I1" t="s">
        <v>7</v>
      </c>
      <c r="J1" s="1">
        <f>DATE(2019,1,1) + ROW()-1</f>
        <v>43466</v>
      </c>
      <c r="K1">
        <f>VLOOKUP(J1, G:H, 2, FALSE)</f>
        <v>59.25</v>
      </c>
    </row>
    <row r="2" spans="1:11" x14ac:dyDescent="0.25">
      <c r="A2">
        <v>1</v>
      </c>
      <c r="B2" t="s">
        <v>8</v>
      </c>
      <c r="C2">
        <v>2019</v>
      </c>
      <c r="D2">
        <v>81</v>
      </c>
      <c r="E2">
        <v>20</v>
      </c>
      <c r="F2">
        <v>41.75</v>
      </c>
      <c r="G2" s="1">
        <f>DATE(C2, CHOOSE(MATCH(UPPER(B2), {"ENERO","FEBRERO","MARZO","ABRIL","MAYO","JUNIO","JULIO","AGOSTO","SEPTIEMBRE","OCTUBRE","NOVIEMBRE","DICIEMBRE"}, 0), 1,2,3,4,5,6,7,8,9,10,11,12), A2)</f>
        <v>43466</v>
      </c>
      <c r="H2">
        <v>59.25</v>
      </c>
      <c r="I2">
        <v>32000</v>
      </c>
      <c r="J2" s="1">
        <f>DATE(2019,1,1) + ROW()-1</f>
        <v>43467</v>
      </c>
      <c r="K2">
        <f t="shared" ref="K2:K65" si="0">VLOOKUP(J2, G:H, 2, FALSE)</f>
        <v>60.75</v>
      </c>
    </row>
    <row r="3" spans="1:11" x14ac:dyDescent="0.25">
      <c r="A3">
        <v>2</v>
      </c>
      <c r="B3" t="s">
        <v>8</v>
      </c>
      <c r="C3">
        <v>2019</v>
      </c>
      <c r="D3">
        <v>41.75</v>
      </c>
      <c r="E3">
        <v>101</v>
      </c>
      <c r="F3">
        <v>82</v>
      </c>
      <c r="G3" s="1">
        <f>DATE(C3, CHOOSE(MATCH(UPPER(B3), {"ENERO","FEBRERO","MARZO","ABRIL","MAYO","JUNIO","JULIO","AGOSTO","SEPTIEMBRE","OCTUBRE","NOVIEMBRE","DICIEMBRE"}, 0), 1,2,3,4,5,6,7,8,9,10,11,12), A3)</f>
        <v>43467</v>
      </c>
      <c r="H3">
        <v>60.75</v>
      </c>
      <c r="I3">
        <v>32000</v>
      </c>
      <c r="J3" s="1">
        <f>DATE(2019,1,1) + ROW()-1</f>
        <v>43468</v>
      </c>
      <c r="K3">
        <f t="shared" si="0"/>
        <v>38</v>
      </c>
    </row>
    <row r="4" spans="1:11" x14ac:dyDescent="0.25">
      <c r="A4">
        <v>3</v>
      </c>
      <c r="B4" t="s">
        <v>8</v>
      </c>
      <c r="C4">
        <v>2019</v>
      </c>
      <c r="D4">
        <v>82</v>
      </c>
      <c r="E4" t="s">
        <v>9</v>
      </c>
      <c r="F4">
        <v>44</v>
      </c>
      <c r="G4" s="1">
        <f>DATE(C4, CHOOSE(MATCH(UPPER(B4), {"ENERO","FEBRERO","MARZO","ABRIL","MAYO","JUNIO","JULIO","AGOSTO","SEPTIEMBRE","OCTUBRE","NOVIEMBRE","DICIEMBRE"}, 0), 1,2,3,4,5,6,7,8,9,10,11,12), A4)</f>
        <v>43468</v>
      </c>
      <c r="H4">
        <v>38</v>
      </c>
      <c r="I4">
        <v>32000</v>
      </c>
      <c r="J4" s="1">
        <f t="shared" ref="J4:J67" si="1">DATE(2019,1,1) + ROW()-1</f>
        <v>43469</v>
      </c>
      <c r="K4">
        <f t="shared" si="0"/>
        <v>41.25</v>
      </c>
    </row>
    <row r="5" spans="1:11" x14ac:dyDescent="0.25">
      <c r="A5">
        <v>4</v>
      </c>
      <c r="B5" t="s">
        <v>8</v>
      </c>
      <c r="C5">
        <v>2019</v>
      </c>
      <c r="D5">
        <v>44</v>
      </c>
      <c r="E5">
        <v>100</v>
      </c>
      <c r="F5">
        <v>102.75</v>
      </c>
      <c r="G5" s="1">
        <f>DATE(C5, CHOOSE(MATCH(UPPER(B5), {"ENERO","FEBRERO","MARZO","ABRIL","MAYO","JUNIO","JULIO","AGOSTO","SEPTIEMBRE","OCTUBRE","NOVIEMBRE","DICIEMBRE"}, 0), 1,2,3,4,5,6,7,8,9,10,11,12), A5)</f>
        <v>43469</v>
      </c>
      <c r="H5">
        <v>41.25</v>
      </c>
      <c r="I5">
        <v>32000</v>
      </c>
      <c r="J5" s="1">
        <f t="shared" si="1"/>
        <v>43470</v>
      </c>
      <c r="K5">
        <f t="shared" si="0"/>
        <v>32.75</v>
      </c>
    </row>
    <row r="6" spans="1:11" x14ac:dyDescent="0.25">
      <c r="A6">
        <v>5</v>
      </c>
      <c r="B6" t="s">
        <v>8</v>
      </c>
      <c r="C6">
        <v>2019</v>
      </c>
      <c r="D6">
        <v>102.75</v>
      </c>
      <c r="E6">
        <v>-49</v>
      </c>
      <c r="F6">
        <v>21</v>
      </c>
      <c r="G6" s="1">
        <f>DATE(C6, CHOOSE(MATCH(UPPER(B6), {"ENERO","FEBRERO","MARZO","ABRIL","MAYO","JUNIO","JULIO","AGOSTO","SEPTIEMBRE","OCTUBRE","NOVIEMBRE","DICIEMBRE"}, 0), 1,2,3,4,5,6,7,8,9,10,11,12), A6)</f>
        <v>43470</v>
      </c>
      <c r="H6">
        <v>32.75</v>
      </c>
      <c r="I6">
        <v>32000</v>
      </c>
      <c r="J6" s="1">
        <f t="shared" si="1"/>
        <v>43471</v>
      </c>
      <c r="K6">
        <f t="shared" si="0"/>
        <v>23.75</v>
      </c>
    </row>
    <row r="7" spans="1:11" x14ac:dyDescent="0.25">
      <c r="A7">
        <v>6</v>
      </c>
      <c r="B7" t="s">
        <v>8</v>
      </c>
      <c r="C7">
        <v>2019</v>
      </c>
      <c r="D7">
        <v>21</v>
      </c>
      <c r="E7">
        <v>50</v>
      </c>
      <c r="F7">
        <v>47.25</v>
      </c>
      <c r="G7" s="1">
        <f>DATE(C7, CHOOSE(MATCH(UPPER(B7), {"ENERO","FEBRERO","MARZO","ABRIL","MAYO","JUNIO","JULIO","AGOSTO","SEPTIEMBRE","OCTUBRE","NOVIEMBRE","DICIEMBRE"}, 0), 1,2,3,4,5,6,7,8,9,10,11,12), A7)</f>
        <v>43471</v>
      </c>
      <c r="H7">
        <v>23.75</v>
      </c>
      <c r="I7">
        <v>32000</v>
      </c>
      <c r="J7" s="1">
        <f t="shared" si="1"/>
        <v>43472</v>
      </c>
      <c r="K7">
        <f t="shared" si="0"/>
        <v>53.25</v>
      </c>
    </row>
    <row r="8" spans="1:11" x14ac:dyDescent="0.25">
      <c r="A8">
        <v>7</v>
      </c>
      <c r="B8" t="s">
        <v>8</v>
      </c>
      <c r="C8">
        <v>2019</v>
      </c>
      <c r="D8">
        <v>47.25</v>
      </c>
      <c r="E8">
        <v>60</v>
      </c>
      <c r="F8">
        <v>54</v>
      </c>
      <c r="G8" s="1">
        <f>DATE(C8, CHOOSE(MATCH(UPPER(B8), {"ENERO","FEBRERO","MARZO","ABRIL","MAYO","JUNIO","JULIO","AGOSTO","SEPTIEMBRE","OCTUBRE","NOVIEMBRE","DICIEMBRE"}, 0), 1,2,3,4,5,6,7,8,9,10,11,12), A8)</f>
        <v>43472</v>
      </c>
      <c r="H8">
        <v>53.25</v>
      </c>
      <c r="I8">
        <v>32000</v>
      </c>
      <c r="J8" s="1">
        <f t="shared" si="1"/>
        <v>43473</v>
      </c>
      <c r="K8">
        <f t="shared" si="0"/>
        <v>53.75</v>
      </c>
    </row>
    <row r="9" spans="1:11" x14ac:dyDescent="0.25">
      <c r="A9">
        <v>8</v>
      </c>
      <c r="B9" t="s">
        <v>8</v>
      </c>
      <c r="C9">
        <v>2019</v>
      </c>
      <c r="D9">
        <v>54</v>
      </c>
      <c r="E9">
        <v>30</v>
      </c>
      <c r="F9">
        <v>30.25</v>
      </c>
      <c r="G9" s="1">
        <f>DATE(C9, CHOOSE(MATCH(UPPER(B9), {"ENERO","FEBRERO","MARZO","ABRIL","MAYO","JUNIO","JULIO","AGOSTO","SEPTIEMBRE","OCTUBRE","NOVIEMBRE","DICIEMBRE"}, 0), 1,2,3,4,5,6,7,8,9,10,11,12), A9)</f>
        <v>43473</v>
      </c>
      <c r="H9">
        <v>53.75</v>
      </c>
      <c r="I9">
        <v>32000</v>
      </c>
      <c r="J9" s="1">
        <f t="shared" si="1"/>
        <v>43474</v>
      </c>
      <c r="K9">
        <f t="shared" si="0"/>
        <v>52.25</v>
      </c>
    </row>
    <row r="10" spans="1:11" x14ac:dyDescent="0.25">
      <c r="A10">
        <v>9</v>
      </c>
      <c r="B10" t="s">
        <v>8</v>
      </c>
      <c r="C10">
        <v>2019</v>
      </c>
      <c r="D10">
        <v>30.25</v>
      </c>
      <c r="E10">
        <v>150</v>
      </c>
      <c r="F10">
        <v>128</v>
      </c>
      <c r="G10" s="1">
        <f>DATE(C10, CHOOSE(MATCH(UPPER(B10), {"ENERO","FEBRERO","MARZO","ABRIL","MAYO","JUNIO","JULIO","AGOSTO","SEPTIEMBRE","OCTUBRE","NOVIEMBRE","DICIEMBRE"}, 0), 1,2,3,4,5,6,7,8,9,10,11,12), A10)</f>
        <v>43474</v>
      </c>
      <c r="H10">
        <v>52.25</v>
      </c>
      <c r="I10">
        <v>32000</v>
      </c>
      <c r="J10" s="1">
        <f t="shared" si="1"/>
        <v>43475</v>
      </c>
      <c r="K10">
        <f t="shared" si="0"/>
        <v>46.5</v>
      </c>
    </row>
    <row r="11" spans="1:11" x14ac:dyDescent="0.25">
      <c r="A11">
        <v>10</v>
      </c>
      <c r="B11" t="s">
        <v>8</v>
      </c>
      <c r="C11">
        <v>2019</v>
      </c>
      <c r="D11">
        <v>128</v>
      </c>
      <c r="E11" t="s">
        <v>9</v>
      </c>
      <c r="F11">
        <v>81.5</v>
      </c>
      <c r="G11" s="1">
        <f>DATE(C11, CHOOSE(MATCH(UPPER(B11), {"ENERO","FEBRERO","MARZO","ABRIL","MAYO","JUNIO","JULIO","AGOSTO","SEPTIEMBRE","OCTUBRE","NOVIEMBRE","DICIEMBRE"}, 0), 1,2,3,4,5,6,7,8,9,10,11,12), A11)</f>
        <v>43475</v>
      </c>
      <c r="H11">
        <v>46.5</v>
      </c>
      <c r="I11">
        <v>32000</v>
      </c>
      <c r="J11" s="1">
        <f t="shared" si="1"/>
        <v>43476</v>
      </c>
      <c r="K11">
        <f t="shared" si="0"/>
        <v>50.5</v>
      </c>
    </row>
    <row r="12" spans="1:11" x14ac:dyDescent="0.25">
      <c r="A12">
        <v>11</v>
      </c>
      <c r="B12" t="s">
        <v>8</v>
      </c>
      <c r="C12">
        <v>2019</v>
      </c>
      <c r="D12">
        <v>81.5</v>
      </c>
      <c r="E12" t="s">
        <v>9</v>
      </c>
      <c r="F12">
        <v>31</v>
      </c>
      <c r="G12" s="1">
        <f>DATE(C12, CHOOSE(MATCH(UPPER(B12), {"ENERO","FEBRERO","MARZO","ABRIL","MAYO","JUNIO","JULIO","AGOSTO","SEPTIEMBRE","OCTUBRE","NOVIEMBRE","DICIEMBRE"}, 0), 1,2,3,4,5,6,7,8,9,10,11,12), A12)</f>
        <v>43476</v>
      </c>
      <c r="H12">
        <v>50.5</v>
      </c>
      <c r="I12">
        <v>32000</v>
      </c>
      <c r="J12" s="1">
        <f t="shared" si="1"/>
        <v>43477</v>
      </c>
      <c r="K12">
        <f t="shared" si="0"/>
        <v>73</v>
      </c>
    </row>
    <row r="13" spans="1:11" x14ac:dyDescent="0.25">
      <c r="A13">
        <v>12</v>
      </c>
      <c r="B13" t="s">
        <v>8</v>
      </c>
      <c r="C13">
        <v>2019</v>
      </c>
      <c r="D13">
        <v>31</v>
      </c>
      <c r="E13">
        <v>60</v>
      </c>
      <c r="F13">
        <v>18</v>
      </c>
      <c r="G13" s="1">
        <f>DATE(C13, CHOOSE(MATCH(UPPER(B13), {"ENERO","FEBRERO","MARZO","ABRIL","MAYO","JUNIO","JULIO","AGOSTO","SEPTIEMBRE","OCTUBRE","NOVIEMBRE","DICIEMBRE"}, 0), 1,2,3,4,5,6,7,8,9,10,11,12), A13)</f>
        <v>43477</v>
      </c>
      <c r="H13">
        <v>73</v>
      </c>
      <c r="I13">
        <v>32000</v>
      </c>
      <c r="J13" s="1">
        <f t="shared" si="1"/>
        <v>43478</v>
      </c>
      <c r="K13">
        <f t="shared" si="0"/>
        <v>48.75</v>
      </c>
    </row>
    <row r="14" spans="1:11" x14ac:dyDescent="0.25">
      <c r="A14">
        <v>13</v>
      </c>
      <c r="B14" t="s">
        <v>8</v>
      </c>
      <c r="C14">
        <v>2019</v>
      </c>
      <c r="D14">
        <v>18</v>
      </c>
      <c r="E14">
        <v>70</v>
      </c>
      <c r="F14">
        <v>39.25</v>
      </c>
      <c r="G14" s="1">
        <f>DATE(C14, CHOOSE(MATCH(UPPER(B14), {"ENERO","FEBRERO","MARZO","ABRIL","MAYO","JUNIO","JULIO","AGOSTO","SEPTIEMBRE","OCTUBRE","NOVIEMBRE","DICIEMBRE"}, 0), 1,2,3,4,5,6,7,8,9,10,11,12), A14)</f>
        <v>43478</v>
      </c>
      <c r="H14">
        <v>48.75</v>
      </c>
      <c r="I14">
        <v>32000</v>
      </c>
      <c r="J14" s="1">
        <f t="shared" si="1"/>
        <v>43479</v>
      </c>
      <c r="K14">
        <f t="shared" si="0"/>
        <v>18.25</v>
      </c>
    </row>
    <row r="15" spans="1:11" x14ac:dyDescent="0.25">
      <c r="A15">
        <v>14</v>
      </c>
      <c r="B15" t="s">
        <v>8</v>
      </c>
      <c r="C15">
        <v>2019</v>
      </c>
      <c r="D15">
        <v>39.25</v>
      </c>
      <c r="E15">
        <v>30</v>
      </c>
      <c r="F15">
        <v>51</v>
      </c>
      <c r="G15" s="1">
        <f>DATE(C15, CHOOSE(MATCH(UPPER(B15), {"ENERO","FEBRERO","MARZO","ABRIL","MAYO","JUNIO","JULIO","AGOSTO","SEPTIEMBRE","OCTUBRE","NOVIEMBRE","DICIEMBRE"}, 0), 1,2,3,4,5,6,7,8,9,10,11,12), A15)</f>
        <v>43479</v>
      </c>
      <c r="H15">
        <v>18.25</v>
      </c>
      <c r="I15">
        <v>32000</v>
      </c>
      <c r="J15" s="1">
        <f t="shared" si="1"/>
        <v>43480</v>
      </c>
      <c r="K15">
        <f t="shared" si="0"/>
        <v>45.5</v>
      </c>
    </row>
    <row r="16" spans="1:11" x14ac:dyDescent="0.25">
      <c r="A16">
        <v>15</v>
      </c>
      <c r="B16" t="s">
        <v>8</v>
      </c>
      <c r="C16">
        <v>2019</v>
      </c>
      <c r="D16">
        <v>51</v>
      </c>
      <c r="E16">
        <v>30</v>
      </c>
      <c r="F16">
        <v>35.5</v>
      </c>
      <c r="G16" s="1">
        <f>DATE(C16, CHOOSE(MATCH(UPPER(B16), {"ENERO","FEBRERO","MARZO","ABRIL","MAYO","JUNIO","JULIO","AGOSTO","SEPTIEMBRE","OCTUBRE","NOVIEMBRE","DICIEMBRE"}, 0), 1,2,3,4,5,6,7,8,9,10,11,12), A16)</f>
        <v>43480</v>
      </c>
      <c r="H16">
        <v>45.5</v>
      </c>
      <c r="I16">
        <v>32000</v>
      </c>
      <c r="J16" s="1">
        <f t="shared" si="1"/>
        <v>43481</v>
      </c>
      <c r="K16">
        <f t="shared" si="0"/>
        <v>49.75</v>
      </c>
    </row>
    <row r="17" spans="1:11" x14ac:dyDescent="0.25">
      <c r="A17">
        <v>16</v>
      </c>
      <c r="B17" t="s">
        <v>8</v>
      </c>
      <c r="C17">
        <v>2019</v>
      </c>
      <c r="D17">
        <v>35.5</v>
      </c>
      <c r="E17">
        <v>80</v>
      </c>
      <c r="F17">
        <v>65.75</v>
      </c>
      <c r="G17" s="1">
        <f>DATE(C17, CHOOSE(MATCH(UPPER(B17), {"ENERO","FEBRERO","MARZO","ABRIL","MAYO","JUNIO","JULIO","AGOSTO","SEPTIEMBRE","OCTUBRE","NOVIEMBRE","DICIEMBRE"}, 0), 1,2,3,4,5,6,7,8,9,10,11,12), A17)</f>
        <v>43481</v>
      </c>
      <c r="H17">
        <v>49.75</v>
      </c>
      <c r="I17">
        <v>32000</v>
      </c>
      <c r="J17" s="1">
        <f t="shared" si="1"/>
        <v>43482</v>
      </c>
      <c r="K17">
        <f t="shared" si="0"/>
        <v>26.75</v>
      </c>
    </row>
    <row r="18" spans="1:11" x14ac:dyDescent="0.25">
      <c r="A18">
        <v>17</v>
      </c>
      <c r="B18" t="s">
        <v>8</v>
      </c>
      <c r="C18">
        <v>2019</v>
      </c>
      <c r="D18">
        <v>65.75</v>
      </c>
      <c r="E18">
        <v>80</v>
      </c>
      <c r="F18">
        <v>119</v>
      </c>
      <c r="G18" s="1">
        <f>DATE(C18, CHOOSE(MATCH(UPPER(B18), {"ENERO","FEBRERO","MARZO","ABRIL","MAYO","JUNIO","JULIO","AGOSTO","SEPTIEMBRE","OCTUBRE","NOVIEMBRE","DICIEMBRE"}, 0), 1,2,3,4,5,6,7,8,9,10,11,12), A18)</f>
        <v>43482</v>
      </c>
      <c r="H18">
        <v>26.75</v>
      </c>
      <c r="I18">
        <v>32000</v>
      </c>
      <c r="J18" s="1">
        <f t="shared" si="1"/>
        <v>43483</v>
      </c>
      <c r="K18">
        <f t="shared" si="0"/>
        <v>32.75</v>
      </c>
    </row>
    <row r="19" spans="1:11" x14ac:dyDescent="0.25">
      <c r="A19">
        <v>18</v>
      </c>
      <c r="B19" t="s">
        <v>8</v>
      </c>
      <c r="C19">
        <v>2019</v>
      </c>
      <c r="D19">
        <v>119</v>
      </c>
      <c r="E19">
        <v>-50</v>
      </c>
      <c r="F19">
        <v>36.25</v>
      </c>
      <c r="G19" s="1">
        <f>DATE(C19, CHOOSE(MATCH(UPPER(B19), {"ENERO","FEBRERO","MARZO","ABRIL","MAYO","JUNIO","JULIO","AGOSTO","SEPTIEMBRE","OCTUBRE","NOVIEMBRE","DICIEMBRE"}, 0), 1,2,3,4,5,6,7,8,9,10,11,12), A19)</f>
        <v>43483</v>
      </c>
      <c r="H19">
        <v>32.75</v>
      </c>
      <c r="I19">
        <v>32000</v>
      </c>
      <c r="J19" s="1">
        <f t="shared" si="1"/>
        <v>43484</v>
      </c>
      <c r="K19">
        <f t="shared" si="0"/>
        <v>52.25</v>
      </c>
    </row>
    <row r="20" spans="1:11" x14ac:dyDescent="0.25">
      <c r="A20">
        <v>19</v>
      </c>
      <c r="B20" t="s">
        <v>8</v>
      </c>
      <c r="C20">
        <v>2019</v>
      </c>
      <c r="D20">
        <v>36.25</v>
      </c>
      <c r="E20">
        <v>100</v>
      </c>
      <c r="F20">
        <v>84</v>
      </c>
      <c r="G20" s="1">
        <f>DATE(C20, CHOOSE(MATCH(UPPER(B20), {"ENERO","FEBRERO","MARZO","ABRIL","MAYO","JUNIO","JULIO","AGOSTO","SEPTIEMBRE","OCTUBRE","NOVIEMBRE","DICIEMBRE"}, 0), 1,2,3,4,5,6,7,8,9,10,11,12), A20)</f>
        <v>43484</v>
      </c>
      <c r="H20">
        <v>52.25</v>
      </c>
      <c r="I20">
        <v>32000</v>
      </c>
      <c r="J20" s="1">
        <f t="shared" si="1"/>
        <v>43485</v>
      </c>
      <c r="K20">
        <f t="shared" si="0"/>
        <v>61</v>
      </c>
    </row>
    <row r="21" spans="1:11" x14ac:dyDescent="0.25">
      <c r="A21">
        <v>20</v>
      </c>
      <c r="B21" t="s">
        <v>8</v>
      </c>
      <c r="C21">
        <v>2019</v>
      </c>
      <c r="D21">
        <v>84</v>
      </c>
      <c r="E21" t="s">
        <v>9</v>
      </c>
      <c r="F21">
        <v>23</v>
      </c>
      <c r="G21" s="1">
        <f>DATE(C21, CHOOSE(MATCH(UPPER(B21), {"ENERO","FEBRERO","MARZO","ABRIL","MAYO","JUNIO","JULIO","AGOSTO","SEPTIEMBRE","OCTUBRE","NOVIEMBRE","DICIEMBRE"}, 0), 1,2,3,4,5,6,7,8,9,10,11,12), A21)</f>
        <v>43485</v>
      </c>
      <c r="H21">
        <v>61</v>
      </c>
      <c r="I21">
        <v>32000</v>
      </c>
      <c r="J21" s="1">
        <f t="shared" si="1"/>
        <v>43486</v>
      </c>
      <c r="K21">
        <f t="shared" si="0"/>
        <v>19</v>
      </c>
    </row>
    <row r="22" spans="1:11" x14ac:dyDescent="0.25">
      <c r="A22">
        <v>21</v>
      </c>
      <c r="B22" t="s">
        <v>8</v>
      </c>
      <c r="C22">
        <v>2019</v>
      </c>
      <c r="D22">
        <v>23</v>
      </c>
      <c r="E22">
        <v>120</v>
      </c>
      <c r="F22">
        <v>124</v>
      </c>
      <c r="G22" s="1">
        <f>DATE(C22, CHOOSE(MATCH(UPPER(B22), {"ENERO","FEBRERO","MARZO","ABRIL","MAYO","JUNIO","JULIO","AGOSTO","SEPTIEMBRE","OCTUBRE","NOVIEMBRE","DICIEMBRE"}, 0), 1,2,3,4,5,6,7,8,9,10,11,12), A22)</f>
        <v>43486</v>
      </c>
      <c r="H22">
        <v>19</v>
      </c>
      <c r="I22">
        <v>32000</v>
      </c>
      <c r="J22" s="1">
        <f t="shared" si="1"/>
        <v>43487</v>
      </c>
      <c r="K22">
        <f t="shared" si="0"/>
        <v>29.125</v>
      </c>
    </row>
    <row r="23" spans="1:11" x14ac:dyDescent="0.25">
      <c r="A23">
        <v>22</v>
      </c>
      <c r="B23" t="s">
        <v>8</v>
      </c>
      <c r="C23">
        <v>2019</v>
      </c>
      <c r="D23">
        <v>124</v>
      </c>
      <c r="E23" t="s">
        <v>9</v>
      </c>
      <c r="F23">
        <v>94.875</v>
      </c>
      <c r="G23" s="1">
        <f>DATE(C23, CHOOSE(MATCH(UPPER(B23), {"ENERO","FEBRERO","MARZO","ABRIL","MAYO","JUNIO","JULIO","AGOSTO","SEPTIEMBRE","OCTUBRE","NOVIEMBRE","DICIEMBRE"}, 0), 1,2,3,4,5,6,7,8,9,10,11,12), A23)</f>
        <v>43487</v>
      </c>
      <c r="H23">
        <v>29.125</v>
      </c>
      <c r="I23">
        <v>32000</v>
      </c>
      <c r="J23" s="1">
        <f t="shared" si="1"/>
        <v>43488</v>
      </c>
      <c r="K23">
        <f t="shared" si="0"/>
        <v>24.875</v>
      </c>
    </row>
    <row r="24" spans="1:11" x14ac:dyDescent="0.25">
      <c r="A24">
        <v>23</v>
      </c>
      <c r="B24" t="s">
        <v>8</v>
      </c>
      <c r="C24">
        <v>2019</v>
      </c>
      <c r="D24">
        <v>94.875</v>
      </c>
      <c r="E24" t="s">
        <v>9</v>
      </c>
      <c r="F24">
        <v>70</v>
      </c>
      <c r="G24" s="1">
        <f>DATE(C24, CHOOSE(MATCH(UPPER(B24), {"ENERO","FEBRERO","MARZO","ABRIL","MAYO","JUNIO","JULIO","AGOSTO","SEPTIEMBRE","OCTUBRE","NOVIEMBRE","DICIEMBRE"}, 0), 1,2,3,4,5,6,7,8,9,10,11,12), A24)</f>
        <v>43488</v>
      </c>
      <c r="H24">
        <v>24.875</v>
      </c>
      <c r="I24">
        <v>32000</v>
      </c>
      <c r="J24" s="1">
        <f t="shared" si="1"/>
        <v>43489</v>
      </c>
      <c r="K24">
        <f t="shared" si="0"/>
        <v>15</v>
      </c>
    </row>
    <row r="25" spans="1:11" x14ac:dyDescent="0.25">
      <c r="A25">
        <v>24</v>
      </c>
      <c r="B25" t="s">
        <v>8</v>
      </c>
      <c r="C25">
        <v>2019</v>
      </c>
      <c r="D25">
        <v>70</v>
      </c>
      <c r="E25">
        <v>120</v>
      </c>
      <c r="F25">
        <v>175</v>
      </c>
      <c r="G25" s="1">
        <f>DATE(C25, CHOOSE(MATCH(UPPER(B25), {"ENERO","FEBRERO","MARZO","ABRIL","MAYO","JUNIO","JULIO","AGOSTO","SEPTIEMBRE","OCTUBRE","NOVIEMBRE","DICIEMBRE"}, 0), 1,2,3,4,5,6,7,8,9,10,11,12), A25)</f>
        <v>43489</v>
      </c>
      <c r="H25">
        <v>15</v>
      </c>
      <c r="I25">
        <v>32000</v>
      </c>
      <c r="J25" s="1">
        <f t="shared" si="1"/>
        <v>43490</v>
      </c>
      <c r="K25">
        <f t="shared" si="0"/>
        <v>17</v>
      </c>
    </row>
    <row r="26" spans="1:11" x14ac:dyDescent="0.25">
      <c r="A26">
        <v>25</v>
      </c>
      <c r="B26" t="s">
        <v>8</v>
      </c>
      <c r="C26">
        <v>2019</v>
      </c>
      <c r="D26">
        <v>175</v>
      </c>
      <c r="E26" t="s">
        <v>9</v>
      </c>
      <c r="F26">
        <v>158</v>
      </c>
      <c r="G26" s="1">
        <f>DATE(C26, CHOOSE(MATCH(UPPER(B26), {"ENERO","FEBRERO","MARZO","ABRIL","MAYO","JUNIO","JULIO","AGOSTO","SEPTIEMBRE","OCTUBRE","NOVIEMBRE","DICIEMBRE"}, 0), 1,2,3,4,5,6,7,8,9,10,11,12), A26)</f>
        <v>43490</v>
      </c>
      <c r="H26">
        <v>17</v>
      </c>
      <c r="I26">
        <v>32000</v>
      </c>
      <c r="J26" s="1">
        <f t="shared" si="1"/>
        <v>43491</v>
      </c>
      <c r="K26">
        <f>VLOOKUP(J26, G:H, 2, FALSE)</f>
        <v>53</v>
      </c>
    </row>
    <row r="27" spans="1:11" x14ac:dyDescent="0.25">
      <c r="A27">
        <v>26</v>
      </c>
      <c r="B27" t="s">
        <v>8</v>
      </c>
      <c r="C27">
        <v>2019</v>
      </c>
      <c r="D27">
        <v>158</v>
      </c>
      <c r="E27" t="s">
        <v>9</v>
      </c>
      <c r="F27">
        <v>105</v>
      </c>
      <c r="G27" s="1">
        <f>DATE(C27, CHOOSE(MATCH(UPPER(B27), {"ENERO","FEBRERO","MARZO","ABRIL","MAYO","JUNIO","JULIO","AGOSTO","SEPTIEMBRE","OCTUBRE","NOVIEMBRE","DICIEMBRE"}, 0), 1,2,3,4,5,6,7,8,9,10,11,12), A27)</f>
        <v>43491</v>
      </c>
      <c r="H27">
        <v>53</v>
      </c>
      <c r="I27">
        <v>32000</v>
      </c>
      <c r="J27" s="1">
        <f>DATE(2019,1,1) + ROW()-1</f>
        <v>43492</v>
      </c>
      <c r="K27">
        <f t="shared" si="0"/>
        <v>37.375</v>
      </c>
    </row>
    <row r="28" spans="1:11" x14ac:dyDescent="0.25">
      <c r="A28">
        <v>27</v>
      </c>
      <c r="B28" t="s">
        <v>8</v>
      </c>
      <c r="C28">
        <v>2019</v>
      </c>
      <c r="D28">
        <v>105</v>
      </c>
      <c r="E28" t="s">
        <v>9</v>
      </c>
      <c r="F28">
        <v>67.625</v>
      </c>
      <c r="G28" s="1">
        <f>DATE(C28, CHOOSE(MATCH(UPPER(B28), {"ENERO","FEBRERO","MARZO","ABRIL","MAYO","JUNIO","JULIO","AGOSTO","SEPTIEMBRE","OCTUBRE","NOVIEMBRE","DICIEMBRE"}, 0), 1,2,3,4,5,6,7,8,9,10,11,12), A28)</f>
        <v>43492</v>
      </c>
      <c r="H28">
        <v>37.375</v>
      </c>
      <c r="I28">
        <v>32000</v>
      </c>
      <c r="J28" s="1">
        <f t="shared" si="1"/>
        <v>43493</v>
      </c>
      <c r="K28">
        <f t="shared" si="0"/>
        <v>14.625</v>
      </c>
    </row>
    <row r="29" spans="1:11" x14ac:dyDescent="0.25">
      <c r="A29">
        <v>28</v>
      </c>
      <c r="B29" t="s">
        <v>8</v>
      </c>
      <c r="C29">
        <v>2019</v>
      </c>
      <c r="D29">
        <v>67.625</v>
      </c>
      <c r="E29">
        <v>50</v>
      </c>
      <c r="F29">
        <v>103</v>
      </c>
      <c r="G29" s="1">
        <f>DATE(C29, CHOOSE(MATCH(UPPER(B29), {"ENERO","FEBRERO","MARZO","ABRIL","MAYO","JUNIO","JULIO","AGOSTO","SEPTIEMBRE","OCTUBRE","NOVIEMBRE","DICIEMBRE"}, 0), 1,2,3,4,5,6,7,8,9,10,11,12), A29)</f>
        <v>43493</v>
      </c>
      <c r="H29">
        <v>14.625</v>
      </c>
      <c r="I29">
        <v>32000</v>
      </c>
      <c r="J29" s="1">
        <f t="shared" si="1"/>
        <v>43494</v>
      </c>
      <c r="K29">
        <f t="shared" si="0"/>
        <v>27.25</v>
      </c>
    </row>
    <row r="30" spans="1:11" x14ac:dyDescent="0.25">
      <c r="A30">
        <v>29</v>
      </c>
      <c r="B30" t="s">
        <v>8</v>
      </c>
      <c r="C30">
        <v>2019</v>
      </c>
      <c r="D30">
        <v>103</v>
      </c>
      <c r="E30" t="s">
        <v>9</v>
      </c>
      <c r="F30">
        <v>75.75</v>
      </c>
      <c r="G30" s="1">
        <f>DATE(C30, CHOOSE(MATCH(UPPER(B30), {"ENERO","FEBRERO","MARZO","ABRIL","MAYO","JUNIO","JULIO","AGOSTO","SEPTIEMBRE","OCTUBRE","NOVIEMBRE","DICIEMBRE"}, 0), 1,2,3,4,5,6,7,8,9,10,11,12), A30)</f>
        <v>43494</v>
      </c>
      <c r="H30">
        <v>27.25</v>
      </c>
      <c r="I30">
        <v>32000</v>
      </c>
      <c r="J30" s="1">
        <f t="shared" si="1"/>
        <v>43495</v>
      </c>
      <c r="K30">
        <f t="shared" si="0"/>
        <v>19.75</v>
      </c>
    </row>
    <row r="31" spans="1:11" x14ac:dyDescent="0.25">
      <c r="A31">
        <v>30</v>
      </c>
      <c r="B31" t="s">
        <v>8</v>
      </c>
      <c r="C31">
        <v>2019</v>
      </c>
      <c r="D31">
        <v>75.75</v>
      </c>
      <c r="E31" t="s">
        <v>9</v>
      </c>
      <c r="F31">
        <v>56</v>
      </c>
      <c r="G31" s="1">
        <f>DATE(C31, CHOOSE(MATCH(UPPER(B31), {"ENERO","FEBRERO","MARZO","ABRIL","MAYO","JUNIO","JULIO","AGOSTO","SEPTIEMBRE","OCTUBRE","NOVIEMBRE","DICIEMBRE"}, 0), 1,2,3,4,5,6,7,8,9,10,11,12), A31)</f>
        <v>43495</v>
      </c>
      <c r="H31">
        <v>19.75</v>
      </c>
      <c r="I31">
        <v>32000</v>
      </c>
      <c r="J31" s="1">
        <f t="shared" si="1"/>
        <v>43496</v>
      </c>
      <c r="K31">
        <f t="shared" si="0"/>
        <v>23.5</v>
      </c>
    </row>
    <row r="32" spans="1:11" x14ac:dyDescent="0.25">
      <c r="A32">
        <v>31</v>
      </c>
      <c r="B32" t="s">
        <v>8</v>
      </c>
      <c r="C32">
        <v>2019</v>
      </c>
      <c r="D32">
        <v>56</v>
      </c>
      <c r="E32">
        <v>140</v>
      </c>
      <c r="F32">
        <v>172.5</v>
      </c>
      <c r="G32" s="1">
        <f>DATE(C32, CHOOSE(MATCH(UPPER(B32), {"ENERO","FEBRERO","MARZO","ABRIL","MAYO","JUNIO","JULIO","AGOSTO","SEPTIEMBRE","OCTUBRE","NOVIEMBRE","DICIEMBRE"}, 0), 1,2,3,4,5,6,7,8,9,10,11,12), A32)</f>
        <v>43496</v>
      </c>
      <c r="H32">
        <v>23.5</v>
      </c>
      <c r="I32">
        <v>32000</v>
      </c>
      <c r="J32" s="1">
        <f t="shared" si="1"/>
        <v>43497</v>
      </c>
      <c r="K32">
        <f t="shared" si="0"/>
        <v>34.5</v>
      </c>
    </row>
    <row r="33" spans="1:11" x14ac:dyDescent="0.25">
      <c r="A33">
        <v>1</v>
      </c>
      <c r="B33" t="s">
        <v>11</v>
      </c>
      <c r="C33">
        <v>2019</v>
      </c>
      <c r="D33">
        <v>172.5</v>
      </c>
      <c r="E33" t="s">
        <v>9</v>
      </c>
      <c r="F33">
        <v>138</v>
      </c>
      <c r="G33" s="1">
        <f>DATE(C33, CHOOSE(MATCH(UPPER(B33), {"ENERO","FEBRERO","MARZO","ABRIL","MAYO","JUNIO","JULIO","AGOSTO","SEPTIEMBRE","OCTUBRE","NOVIEMBRE","DICIEMBRE"}, 0), 1,2,3,4,5,6,7,8,9,10,11,12), A33)</f>
        <v>43497</v>
      </c>
      <c r="H33">
        <v>34.5</v>
      </c>
      <c r="I33">
        <v>32000</v>
      </c>
      <c r="J33" s="1">
        <f t="shared" si="1"/>
        <v>43498</v>
      </c>
      <c r="K33">
        <f t="shared" si="0"/>
        <v>45.5</v>
      </c>
    </row>
    <row r="34" spans="1:11" x14ac:dyDescent="0.25">
      <c r="A34">
        <v>2</v>
      </c>
      <c r="B34" t="s">
        <v>11</v>
      </c>
      <c r="C34">
        <v>2019</v>
      </c>
      <c r="D34">
        <v>138</v>
      </c>
      <c r="E34" t="s">
        <v>9</v>
      </c>
      <c r="F34">
        <v>92.5</v>
      </c>
      <c r="G34" s="1">
        <f>DATE(C34, CHOOSE(MATCH(UPPER(B34), {"ENERO","FEBRERO","MARZO","ABRIL","MAYO","JUNIO","JULIO","AGOSTO","SEPTIEMBRE","OCTUBRE","NOVIEMBRE","DICIEMBRE"}, 0), 1,2,3,4,5,6,7,8,9,10,11,12), A34)</f>
        <v>43498</v>
      </c>
      <c r="H34">
        <v>45.5</v>
      </c>
      <c r="I34">
        <v>32000</v>
      </c>
      <c r="J34" s="1">
        <f t="shared" si="1"/>
        <v>43499</v>
      </c>
      <c r="K34">
        <f t="shared" si="0"/>
        <v>43.75</v>
      </c>
    </row>
    <row r="35" spans="1:11" x14ac:dyDescent="0.25">
      <c r="A35">
        <v>3</v>
      </c>
      <c r="B35" t="s">
        <v>11</v>
      </c>
      <c r="C35">
        <v>2019</v>
      </c>
      <c r="D35">
        <v>92.5</v>
      </c>
      <c r="E35" t="s">
        <v>9</v>
      </c>
      <c r="F35">
        <v>48.75</v>
      </c>
      <c r="G35" s="1">
        <f>DATE(C35, CHOOSE(MATCH(UPPER(B35), {"ENERO","FEBRERO","MARZO","ABRIL","MAYO","JUNIO","JULIO","AGOSTO","SEPTIEMBRE","OCTUBRE","NOVIEMBRE","DICIEMBRE"}, 0), 1,2,3,4,5,6,7,8,9,10,11,12), A35)</f>
        <v>43499</v>
      </c>
      <c r="H35">
        <v>43.75</v>
      </c>
      <c r="I35">
        <v>32000</v>
      </c>
      <c r="J35" s="1">
        <f t="shared" si="1"/>
        <v>43500</v>
      </c>
      <c r="K35">
        <f t="shared" si="0"/>
        <v>13</v>
      </c>
    </row>
    <row r="36" spans="1:11" x14ac:dyDescent="0.25">
      <c r="A36">
        <v>4</v>
      </c>
      <c r="B36" t="s">
        <v>11</v>
      </c>
      <c r="C36">
        <v>2019</v>
      </c>
      <c r="D36">
        <v>48.75</v>
      </c>
      <c r="E36">
        <v>50</v>
      </c>
      <c r="F36">
        <v>85.75</v>
      </c>
      <c r="G36" s="1">
        <f>DATE(C36, CHOOSE(MATCH(UPPER(B36), {"ENERO","FEBRERO","MARZO","ABRIL","MAYO","JUNIO","JULIO","AGOSTO","SEPTIEMBRE","OCTUBRE","NOVIEMBRE","DICIEMBRE"}, 0), 1,2,3,4,5,6,7,8,9,10,11,12), A36)</f>
        <v>43500</v>
      </c>
      <c r="H36">
        <v>13</v>
      </c>
      <c r="I36">
        <v>32000</v>
      </c>
      <c r="J36" s="1">
        <f t="shared" si="1"/>
        <v>43501</v>
      </c>
      <c r="K36">
        <f t="shared" si="0"/>
        <v>17.75</v>
      </c>
    </row>
    <row r="37" spans="1:11" x14ac:dyDescent="0.25">
      <c r="A37">
        <v>5</v>
      </c>
      <c r="B37" t="s">
        <v>11</v>
      </c>
      <c r="C37">
        <v>2019</v>
      </c>
      <c r="D37">
        <v>85.75</v>
      </c>
      <c r="E37" t="s">
        <v>9</v>
      </c>
      <c r="F37">
        <v>68</v>
      </c>
      <c r="G37" s="1">
        <f>DATE(C37, CHOOSE(MATCH(UPPER(B37), {"ENERO","FEBRERO","MARZO","ABRIL","MAYO","JUNIO","JULIO","AGOSTO","SEPTIEMBRE","OCTUBRE","NOVIEMBRE","DICIEMBRE"}, 0), 1,2,3,4,5,6,7,8,9,10,11,12), A37)</f>
        <v>43501</v>
      </c>
      <c r="H37">
        <v>17.75</v>
      </c>
      <c r="I37">
        <v>32000</v>
      </c>
      <c r="J37" s="1">
        <f t="shared" si="1"/>
        <v>43502</v>
      </c>
      <c r="K37">
        <f t="shared" si="0"/>
        <v>22</v>
      </c>
    </row>
    <row r="38" spans="1:11" x14ac:dyDescent="0.25">
      <c r="A38">
        <v>6</v>
      </c>
      <c r="B38" t="s">
        <v>11</v>
      </c>
      <c r="C38">
        <v>2019</v>
      </c>
      <c r="D38">
        <v>68</v>
      </c>
      <c r="E38" t="s">
        <v>9</v>
      </c>
      <c r="F38">
        <v>46</v>
      </c>
      <c r="G38" s="1">
        <f>DATE(C38, CHOOSE(MATCH(UPPER(B38), {"ENERO","FEBRERO","MARZO","ABRIL","MAYO","JUNIO","JULIO","AGOSTO","SEPTIEMBRE","OCTUBRE","NOVIEMBRE","DICIEMBRE"}, 0), 1,2,3,4,5,6,7,8,9,10,11,12), A38)</f>
        <v>43502</v>
      </c>
      <c r="H38">
        <v>22</v>
      </c>
      <c r="I38">
        <v>32000</v>
      </c>
      <c r="J38" s="1">
        <f t="shared" si="1"/>
        <v>43503</v>
      </c>
      <c r="K38">
        <f t="shared" si="0"/>
        <v>14.5</v>
      </c>
    </row>
    <row r="39" spans="1:11" x14ac:dyDescent="0.25">
      <c r="A39">
        <v>7</v>
      </c>
      <c r="B39" t="s">
        <v>11</v>
      </c>
      <c r="C39">
        <v>2019</v>
      </c>
      <c r="D39">
        <v>46</v>
      </c>
      <c r="E39" t="s">
        <v>9</v>
      </c>
      <c r="F39">
        <v>31.5</v>
      </c>
      <c r="G39" s="1">
        <f>DATE(C39, CHOOSE(MATCH(UPPER(B39), {"ENERO","FEBRERO","MARZO","ABRIL","MAYO","JUNIO","JULIO","AGOSTO","SEPTIEMBRE","OCTUBRE","NOVIEMBRE","DICIEMBRE"}, 0), 1,2,3,4,5,6,7,8,9,10,11,12), A39)</f>
        <v>43503</v>
      </c>
      <c r="H39">
        <v>14.5</v>
      </c>
      <c r="I39">
        <v>32000</v>
      </c>
      <c r="J39" s="1">
        <f t="shared" si="1"/>
        <v>43504</v>
      </c>
      <c r="K39">
        <f t="shared" si="0"/>
        <v>29</v>
      </c>
    </row>
    <row r="40" spans="1:11" x14ac:dyDescent="0.25">
      <c r="A40">
        <v>8</v>
      </c>
      <c r="B40" t="s">
        <v>11</v>
      </c>
      <c r="C40">
        <v>2019</v>
      </c>
      <c r="D40">
        <v>31.5</v>
      </c>
      <c r="E40">
        <v>120</v>
      </c>
      <c r="F40">
        <v>122.5</v>
      </c>
      <c r="G40" s="1">
        <f>DATE(C40, CHOOSE(MATCH(UPPER(B40), {"ENERO","FEBRERO","MARZO","ABRIL","MAYO","JUNIO","JULIO","AGOSTO","SEPTIEMBRE","OCTUBRE","NOVIEMBRE","DICIEMBRE"}, 0), 1,2,3,4,5,6,7,8,9,10,11,12), A40)</f>
        <v>43504</v>
      </c>
      <c r="H40">
        <v>29</v>
      </c>
      <c r="I40">
        <v>32000</v>
      </c>
      <c r="J40" s="1">
        <f t="shared" si="1"/>
        <v>43505</v>
      </c>
      <c r="K40">
        <f t="shared" si="0"/>
        <v>33.5</v>
      </c>
    </row>
    <row r="41" spans="1:11" x14ac:dyDescent="0.25">
      <c r="A41">
        <v>9</v>
      </c>
      <c r="B41" t="s">
        <v>11</v>
      </c>
      <c r="C41">
        <v>2019</v>
      </c>
      <c r="D41">
        <v>122.5</v>
      </c>
      <c r="E41" t="s">
        <v>9</v>
      </c>
      <c r="F41">
        <v>89</v>
      </c>
      <c r="G41" s="1">
        <f>DATE(C41, CHOOSE(MATCH(UPPER(B41), {"ENERO","FEBRERO","MARZO","ABRIL","MAYO","JUNIO","JULIO","AGOSTO","SEPTIEMBRE","OCTUBRE","NOVIEMBRE","DICIEMBRE"}, 0), 1,2,3,4,5,6,7,8,9,10,11,12), A41)</f>
        <v>43505</v>
      </c>
      <c r="H41">
        <v>33.5</v>
      </c>
      <c r="I41">
        <v>32000</v>
      </c>
      <c r="J41" s="1">
        <f t="shared" si="1"/>
        <v>43506</v>
      </c>
      <c r="K41">
        <f t="shared" si="0"/>
        <v>33</v>
      </c>
    </row>
    <row r="42" spans="1:11" x14ac:dyDescent="0.25">
      <c r="A42">
        <v>10</v>
      </c>
      <c r="B42" t="s">
        <v>11</v>
      </c>
      <c r="C42">
        <v>2019</v>
      </c>
      <c r="D42">
        <v>89</v>
      </c>
      <c r="E42" t="s">
        <v>9</v>
      </c>
      <c r="F42">
        <v>56</v>
      </c>
      <c r="G42" s="1">
        <f>DATE(C42, CHOOSE(MATCH(UPPER(B42), {"ENERO","FEBRERO","MARZO","ABRIL","MAYO","JUNIO","JULIO","AGOSTO","SEPTIEMBRE","OCTUBRE","NOVIEMBRE","DICIEMBRE"}, 0), 1,2,3,4,5,6,7,8,9,10,11,12), A42)</f>
        <v>43506</v>
      </c>
      <c r="H42">
        <v>33</v>
      </c>
      <c r="I42">
        <v>32000</v>
      </c>
      <c r="J42" s="1">
        <f t="shared" si="1"/>
        <v>43507</v>
      </c>
      <c r="K42">
        <f t="shared" si="0"/>
        <v>10</v>
      </c>
    </row>
    <row r="43" spans="1:11" x14ac:dyDescent="0.25">
      <c r="A43">
        <v>11</v>
      </c>
      <c r="B43" t="s">
        <v>11</v>
      </c>
      <c r="C43">
        <v>2019</v>
      </c>
      <c r="D43">
        <v>56</v>
      </c>
      <c r="E43" t="s">
        <v>9</v>
      </c>
      <c r="F43">
        <v>46</v>
      </c>
      <c r="G43" s="1">
        <f>DATE(C43, CHOOSE(MATCH(UPPER(B43), {"ENERO","FEBRERO","MARZO","ABRIL","MAYO","JUNIO","JULIO","AGOSTO","SEPTIEMBRE","OCTUBRE","NOVIEMBRE","DICIEMBRE"}, 0), 1,2,3,4,5,6,7,8,9,10,11,12), A43)</f>
        <v>43507</v>
      </c>
      <c r="H43">
        <v>10</v>
      </c>
      <c r="I43">
        <v>32000</v>
      </c>
      <c r="J43" s="1">
        <f t="shared" si="1"/>
        <v>43508</v>
      </c>
      <c r="K43">
        <f t="shared" si="0"/>
        <v>16</v>
      </c>
    </row>
    <row r="44" spans="1:11" x14ac:dyDescent="0.25">
      <c r="A44">
        <v>12</v>
      </c>
      <c r="B44" t="s">
        <v>11</v>
      </c>
      <c r="C44">
        <v>2019</v>
      </c>
      <c r="D44">
        <v>46</v>
      </c>
      <c r="E44" t="s">
        <v>9</v>
      </c>
      <c r="F44">
        <v>30</v>
      </c>
      <c r="G44" s="1">
        <f>DATE(C44, CHOOSE(MATCH(UPPER(B44), {"ENERO","FEBRERO","MARZO","ABRIL","MAYO","JUNIO","JULIO","AGOSTO","SEPTIEMBRE","OCTUBRE","NOVIEMBRE","DICIEMBRE"}, 0), 1,2,3,4,5,6,7,8,9,10,11,12), A44)</f>
        <v>43508</v>
      </c>
      <c r="H44">
        <v>16</v>
      </c>
      <c r="I44">
        <v>32000</v>
      </c>
      <c r="J44" s="1">
        <f t="shared" si="1"/>
        <v>43509</v>
      </c>
      <c r="K44">
        <f t="shared" si="0"/>
        <v>16</v>
      </c>
    </row>
    <row r="45" spans="1:11" x14ac:dyDescent="0.25">
      <c r="A45">
        <v>13</v>
      </c>
      <c r="B45" t="s">
        <v>11</v>
      </c>
      <c r="C45">
        <v>2019</v>
      </c>
      <c r="D45">
        <v>30</v>
      </c>
      <c r="E45">
        <v>120</v>
      </c>
      <c r="F45">
        <v>134</v>
      </c>
      <c r="G45" s="1">
        <f>DATE(C45, CHOOSE(MATCH(UPPER(B45), {"ENERO","FEBRERO","MARZO","ABRIL","MAYO","JUNIO","JULIO","AGOSTO","SEPTIEMBRE","OCTUBRE","NOVIEMBRE","DICIEMBRE"}, 0), 1,2,3,4,5,6,7,8,9,10,11,12), A45)</f>
        <v>43509</v>
      </c>
      <c r="H45">
        <v>16</v>
      </c>
      <c r="I45">
        <v>32000</v>
      </c>
      <c r="J45" s="1">
        <f t="shared" si="1"/>
        <v>43510</v>
      </c>
      <c r="K45">
        <f t="shared" si="0"/>
        <v>17.5</v>
      </c>
    </row>
    <row r="46" spans="1:11" x14ac:dyDescent="0.25">
      <c r="A46">
        <v>14</v>
      </c>
      <c r="B46" t="s">
        <v>11</v>
      </c>
      <c r="C46">
        <v>2019</v>
      </c>
      <c r="D46">
        <v>134</v>
      </c>
      <c r="E46" t="s">
        <v>9</v>
      </c>
      <c r="F46">
        <v>116.5</v>
      </c>
      <c r="G46" s="1">
        <f>DATE(C46, CHOOSE(MATCH(UPPER(B46), {"ENERO","FEBRERO","MARZO","ABRIL","MAYO","JUNIO","JULIO","AGOSTO","SEPTIEMBRE","OCTUBRE","NOVIEMBRE","DICIEMBRE"}, 0), 1,2,3,4,5,6,7,8,9,10,11,12), A46)</f>
        <v>43510</v>
      </c>
      <c r="H46">
        <v>17.5</v>
      </c>
      <c r="I46">
        <v>32000</v>
      </c>
      <c r="J46" s="1">
        <f t="shared" si="1"/>
        <v>43511</v>
      </c>
      <c r="K46">
        <f t="shared" si="0"/>
        <v>21.5</v>
      </c>
    </row>
    <row r="47" spans="1:11" x14ac:dyDescent="0.25">
      <c r="A47">
        <v>15</v>
      </c>
      <c r="B47" t="s">
        <v>11</v>
      </c>
      <c r="C47">
        <v>2019</v>
      </c>
      <c r="D47">
        <v>116.5</v>
      </c>
      <c r="E47" t="s">
        <v>9</v>
      </c>
      <c r="F47">
        <v>95</v>
      </c>
      <c r="G47" s="1">
        <f>DATE(C47, CHOOSE(MATCH(UPPER(B47), {"ENERO","FEBRERO","MARZO","ABRIL","MAYO","JUNIO","JULIO","AGOSTO","SEPTIEMBRE","OCTUBRE","NOVIEMBRE","DICIEMBRE"}, 0), 1,2,3,4,5,6,7,8,9,10,11,12), A47)</f>
        <v>43511</v>
      </c>
      <c r="H47">
        <v>21.5</v>
      </c>
      <c r="I47">
        <v>32000</v>
      </c>
      <c r="J47" s="1">
        <f t="shared" si="1"/>
        <v>43512</v>
      </c>
      <c r="K47">
        <f t="shared" si="0"/>
        <v>35.5</v>
      </c>
    </row>
    <row r="48" spans="1:11" x14ac:dyDescent="0.25">
      <c r="A48">
        <v>16</v>
      </c>
      <c r="B48" t="s">
        <v>11</v>
      </c>
      <c r="C48">
        <v>2019</v>
      </c>
      <c r="D48">
        <v>95</v>
      </c>
      <c r="E48" t="s">
        <v>9</v>
      </c>
      <c r="F48">
        <v>59.5</v>
      </c>
      <c r="G48" s="1">
        <f>DATE(C48, CHOOSE(MATCH(UPPER(B48), {"ENERO","FEBRERO","MARZO","ABRIL","MAYO","JUNIO","JULIO","AGOSTO","SEPTIEMBRE","OCTUBRE","NOVIEMBRE","DICIEMBRE"}, 0), 1,2,3,4,5,6,7,8,9,10,11,12), A48)</f>
        <v>43512</v>
      </c>
      <c r="H48">
        <v>35.5</v>
      </c>
      <c r="I48">
        <v>32000</v>
      </c>
      <c r="J48" s="1">
        <f t="shared" si="1"/>
        <v>43513</v>
      </c>
      <c r="K48">
        <f t="shared" si="0"/>
        <v>38.25</v>
      </c>
    </row>
    <row r="49" spans="1:11" x14ac:dyDescent="0.25">
      <c r="A49">
        <v>17</v>
      </c>
      <c r="B49" t="s">
        <v>11</v>
      </c>
      <c r="C49">
        <v>2019</v>
      </c>
      <c r="D49">
        <v>59.5</v>
      </c>
      <c r="E49" t="s">
        <v>9</v>
      </c>
      <c r="F49">
        <v>21.25</v>
      </c>
      <c r="G49" s="1">
        <f>DATE(C49, CHOOSE(MATCH(UPPER(B49), {"ENERO","FEBRERO","MARZO","ABRIL","MAYO","JUNIO","JULIO","AGOSTO","SEPTIEMBRE","OCTUBRE","NOVIEMBRE","DICIEMBRE"}, 0), 1,2,3,4,5,6,7,8,9,10,11,12), A49)</f>
        <v>43513</v>
      </c>
      <c r="H49">
        <v>38.25</v>
      </c>
      <c r="I49">
        <v>32000</v>
      </c>
      <c r="J49" s="1">
        <f t="shared" si="1"/>
        <v>43514</v>
      </c>
      <c r="K49">
        <f t="shared" si="0"/>
        <v>7.25</v>
      </c>
    </row>
    <row r="50" spans="1:11" x14ac:dyDescent="0.25">
      <c r="A50">
        <v>18</v>
      </c>
      <c r="B50" t="s">
        <v>11</v>
      </c>
      <c r="C50">
        <v>2019</v>
      </c>
      <c r="D50">
        <v>21.25</v>
      </c>
      <c r="E50">
        <v>60</v>
      </c>
      <c r="F50">
        <v>74</v>
      </c>
      <c r="G50" s="1">
        <f>DATE(C50, CHOOSE(MATCH(UPPER(B50), {"ENERO","FEBRERO","MARZO","ABRIL","MAYO","JUNIO","JULIO","AGOSTO","SEPTIEMBRE","OCTUBRE","NOVIEMBRE","DICIEMBRE"}, 0), 1,2,3,4,5,6,7,8,9,10,11,12), A50)</f>
        <v>43514</v>
      </c>
      <c r="H50">
        <v>7.25</v>
      </c>
      <c r="I50">
        <v>32000</v>
      </c>
      <c r="J50" s="1">
        <f t="shared" si="1"/>
        <v>43515</v>
      </c>
      <c r="K50">
        <f t="shared" si="0"/>
        <v>13.5</v>
      </c>
    </row>
    <row r="51" spans="1:11" x14ac:dyDescent="0.25">
      <c r="A51">
        <v>19</v>
      </c>
      <c r="B51" t="s">
        <v>11</v>
      </c>
      <c r="C51">
        <v>2019</v>
      </c>
      <c r="D51">
        <v>74</v>
      </c>
      <c r="E51" t="s">
        <v>9</v>
      </c>
      <c r="F51">
        <v>60.5</v>
      </c>
      <c r="G51" s="1">
        <f>DATE(C51, CHOOSE(MATCH(UPPER(B51), {"ENERO","FEBRERO","MARZO","ABRIL","MAYO","JUNIO","JULIO","AGOSTO","SEPTIEMBRE","OCTUBRE","NOVIEMBRE","DICIEMBRE"}, 0), 1,2,3,4,5,6,7,8,9,10,11,12), A51)</f>
        <v>43515</v>
      </c>
      <c r="H51">
        <v>13.5</v>
      </c>
      <c r="I51">
        <v>32000</v>
      </c>
      <c r="J51" s="1">
        <f t="shared" si="1"/>
        <v>43516</v>
      </c>
      <c r="K51">
        <f t="shared" si="0"/>
        <v>14.5</v>
      </c>
    </row>
    <row r="52" spans="1:11" x14ac:dyDescent="0.25">
      <c r="A52">
        <v>20</v>
      </c>
      <c r="B52" t="s">
        <v>11</v>
      </c>
      <c r="C52">
        <v>2019</v>
      </c>
      <c r="D52">
        <v>60.5</v>
      </c>
      <c r="E52" t="s">
        <v>9</v>
      </c>
      <c r="F52">
        <v>46</v>
      </c>
      <c r="G52" s="1">
        <f>DATE(C52, CHOOSE(MATCH(UPPER(B52), {"ENERO","FEBRERO","MARZO","ABRIL","MAYO","JUNIO","JULIO","AGOSTO","SEPTIEMBRE","OCTUBRE","NOVIEMBRE","DICIEMBRE"}, 0), 1,2,3,4,5,6,7,8,9,10,11,12), A52)</f>
        <v>43516</v>
      </c>
      <c r="H52">
        <v>14.5</v>
      </c>
      <c r="I52">
        <v>32000</v>
      </c>
      <c r="J52" s="1">
        <f t="shared" si="1"/>
        <v>43517</v>
      </c>
      <c r="K52">
        <f t="shared" si="0"/>
        <v>14.375</v>
      </c>
    </row>
    <row r="53" spans="1:11" x14ac:dyDescent="0.25">
      <c r="A53">
        <v>21</v>
      </c>
      <c r="B53" t="s">
        <v>11</v>
      </c>
      <c r="C53">
        <v>2019</v>
      </c>
      <c r="D53">
        <v>46</v>
      </c>
      <c r="E53" t="s">
        <v>9</v>
      </c>
      <c r="F53">
        <v>31.625</v>
      </c>
      <c r="G53" s="1">
        <f>DATE(C53, CHOOSE(MATCH(UPPER(B53), {"ENERO","FEBRERO","MARZO","ABRIL","MAYO","JUNIO","JULIO","AGOSTO","SEPTIEMBRE","OCTUBRE","NOVIEMBRE","DICIEMBRE"}, 0), 1,2,3,4,5,6,7,8,9,10,11,12), A53)</f>
        <v>43517</v>
      </c>
      <c r="H53">
        <v>14.375</v>
      </c>
      <c r="I53">
        <v>32000</v>
      </c>
      <c r="J53" s="1">
        <f t="shared" si="1"/>
        <v>43518</v>
      </c>
      <c r="K53">
        <f t="shared" si="0"/>
        <v>19.125</v>
      </c>
    </row>
    <row r="54" spans="1:11" x14ac:dyDescent="0.25">
      <c r="A54">
        <v>22</v>
      </c>
      <c r="B54" t="s">
        <v>11</v>
      </c>
      <c r="C54">
        <v>2019</v>
      </c>
      <c r="D54">
        <v>31.625</v>
      </c>
      <c r="E54" t="s">
        <v>9</v>
      </c>
      <c r="F54">
        <v>12.5</v>
      </c>
      <c r="G54" s="1">
        <f>DATE(C54, CHOOSE(MATCH(UPPER(B54), {"ENERO","FEBRERO","MARZO","ABRIL","MAYO","JUNIO","JULIO","AGOSTO","SEPTIEMBRE","OCTUBRE","NOVIEMBRE","DICIEMBRE"}, 0), 1,2,3,4,5,6,7,8,9,10,11,12), A54)</f>
        <v>43518</v>
      </c>
      <c r="H54">
        <v>19.125</v>
      </c>
      <c r="I54">
        <v>32000</v>
      </c>
      <c r="J54" s="1">
        <f t="shared" si="1"/>
        <v>43519</v>
      </c>
      <c r="K54">
        <f t="shared" si="0"/>
        <v>27.25</v>
      </c>
    </row>
    <row r="55" spans="1:11" x14ac:dyDescent="0.25">
      <c r="A55">
        <v>23</v>
      </c>
      <c r="B55" t="s">
        <v>11</v>
      </c>
      <c r="C55">
        <v>2019</v>
      </c>
      <c r="D55">
        <v>12.5</v>
      </c>
      <c r="E55">
        <v>100</v>
      </c>
      <c r="F55">
        <v>85.25</v>
      </c>
      <c r="G55" s="1">
        <f>DATE(C55, CHOOSE(MATCH(UPPER(B55), {"ENERO","FEBRERO","MARZO","ABRIL","MAYO","JUNIO","JULIO","AGOSTO","SEPTIEMBRE","OCTUBRE","NOVIEMBRE","DICIEMBRE"}, 0), 1,2,3,4,5,6,7,8,9,10,11,12), A55)</f>
        <v>43519</v>
      </c>
      <c r="H55">
        <v>27.25</v>
      </c>
      <c r="I55">
        <v>32000</v>
      </c>
      <c r="J55" s="1">
        <f t="shared" si="1"/>
        <v>43520</v>
      </c>
      <c r="K55">
        <f t="shared" si="0"/>
        <v>42</v>
      </c>
    </row>
    <row r="56" spans="1:11" x14ac:dyDescent="0.25">
      <c r="A56">
        <v>24</v>
      </c>
      <c r="B56" t="s">
        <v>11</v>
      </c>
      <c r="C56">
        <v>2019</v>
      </c>
      <c r="D56">
        <v>85.25</v>
      </c>
      <c r="E56" t="s">
        <v>9</v>
      </c>
      <c r="F56">
        <v>43.25</v>
      </c>
      <c r="G56" s="1">
        <f>DATE(C56, CHOOSE(MATCH(UPPER(B56), {"ENERO","FEBRERO","MARZO","ABRIL","MAYO","JUNIO","JULIO","AGOSTO","SEPTIEMBRE","OCTUBRE","NOVIEMBRE","DICIEMBRE"}, 0), 1,2,3,4,5,6,7,8,9,10,11,12), A56)</f>
        <v>43520</v>
      </c>
      <c r="H56">
        <v>42</v>
      </c>
      <c r="I56">
        <v>32000</v>
      </c>
      <c r="J56" s="1">
        <f t="shared" si="1"/>
        <v>43521</v>
      </c>
      <c r="K56">
        <f t="shared" si="0"/>
        <v>9.75</v>
      </c>
    </row>
    <row r="57" spans="1:11" x14ac:dyDescent="0.25">
      <c r="A57">
        <v>25</v>
      </c>
      <c r="B57" t="s">
        <v>11</v>
      </c>
      <c r="C57">
        <v>2019</v>
      </c>
      <c r="D57">
        <v>43.25</v>
      </c>
      <c r="E57" t="s">
        <v>9</v>
      </c>
      <c r="F57">
        <v>33.5</v>
      </c>
      <c r="G57" s="1">
        <f>DATE(C57, CHOOSE(MATCH(UPPER(B57), {"ENERO","FEBRERO","MARZO","ABRIL","MAYO","JUNIO","JULIO","AGOSTO","SEPTIEMBRE","OCTUBRE","NOVIEMBRE","DICIEMBRE"}, 0), 1,2,3,4,5,6,7,8,9,10,11,12), A57)</f>
        <v>43521</v>
      </c>
      <c r="H57">
        <v>9.75</v>
      </c>
      <c r="I57">
        <v>32000</v>
      </c>
      <c r="J57" s="1">
        <f t="shared" si="1"/>
        <v>43522</v>
      </c>
      <c r="K57">
        <f t="shared" si="0"/>
        <v>13.75</v>
      </c>
    </row>
    <row r="58" spans="1:11" x14ac:dyDescent="0.25">
      <c r="A58">
        <v>26</v>
      </c>
      <c r="B58" t="s">
        <v>11</v>
      </c>
      <c r="C58">
        <v>2019</v>
      </c>
      <c r="D58">
        <v>33.5</v>
      </c>
      <c r="E58" t="s">
        <v>9</v>
      </c>
      <c r="F58">
        <v>19.75</v>
      </c>
      <c r="G58" s="1">
        <f>DATE(C58, CHOOSE(MATCH(UPPER(B58), {"ENERO","FEBRERO","MARZO","ABRIL","MAYO","JUNIO","JULIO","AGOSTO","SEPTIEMBRE","OCTUBRE","NOVIEMBRE","DICIEMBRE"}, 0), 1,2,3,4,5,6,7,8,9,10,11,12), A58)</f>
        <v>43522</v>
      </c>
      <c r="H58">
        <v>13.75</v>
      </c>
      <c r="I58">
        <v>32000</v>
      </c>
      <c r="J58" s="1">
        <f t="shared" si="1"/>
        <v>43523</v>
      </c>
      <c r="K58">
        <f t="shared" si="0"/>
        <v>15.5</v>
      </c>
    </row>
    <row r="59" spans="1:11" x14ac:dyDescent="0.25">
      <c r="A59">
        <v>27</v>
      </c>
      <c r="B59" t="s">
        <v>11</v>
      </c>
      <c r="C59">
        <v>2019</v>
      </c>
      <c r="D59">
        <v>19.75</v>
      </c>
      <c r="E59">
        <v>120</v>
      </c>
      <c r="F59">
        <v>124.25</v>
      </c>
      <c r="G59" s="1">
        <f>DATE(C59, CHOOSE(MATCH(UPPER(B59), {"ENERO","FEBRERO","MARZO","ABRIL","MAYO","JUNIO","JULIO","AGOSTO","SEPTIEMBRE","OCTUBRE","NOVIEMBRE","DICIEMBRE"}, 0), 1,2,3,4,5,6,7,8,9,10,11,12), A59)</f>
        <v>43523</v>
      </c>
      <c r="H59">
        <v>15.5</v>
      </c>
      <c r="I59">
        <v>32000</v>
      </c>
      <c r="J59" s="1">
        <f t="shared" si="1"/>
        <v>43524</v>
      </c>
      <c r="K59">
        <f t="shared" si="0"/>
        <v>25.25</v>
      </c>
    </row>
    <row r="60" spans="1:11" x14ac:dyDescent="0.25">
      <c r="A60">
        <v>28</v>
      </c>
      <c r="B60" t="s">
        <v>11</v>
      </c>
      <c r="C60">
        <v>2019</v>
      </c>
      <c r="D60">
        <v>124.25</v>
      </c>
      <c r="E60" t="s">
        <v>9</v>
      </c>
      <c r="F60">
        <v>99</v>
      </c>
      <c r="G60" s="1">
        <f>DATE(C60, CHOOSE(MATCH(UPPER(B60), {"ENERO","FEBRERO","MARZO","ABRIL","MAYO","JUNIO","JULIO","AGOSTO","SEPTIEMBRE","OCTUBRE","NOVIEMBRE","DICIEMBRE"}, 0), 1,2,3,4,5,6,7,8,9,10,11,12), A60)</f>
        <v>43524</v>
      </c>
      <c r="H60">
        <v>25.25</v>
      </c>
      <c r="I60">
        <v>32000</v>
      </c>
      <c r="J60" s="1">
        <f t="shared" si="1"/>
        <v>43525</v>
      </c>
      <c r="K60">
        <f t="shared" si="0"/>
        <v>29.5</v>
      </c>
    </row>
    <row r="61" spans="1:11" x14ac:dyDescent="0.25">
      <c r="A61">
        <v>1</v>
      </c>
      <c r="B61" t="s">
        <v>12</v>
      </c>
      <c r="C61">
        <v>2019</v>
      </c>
      <c r="D61">
        <v>99</v>
      </c>
      <c r="E61" t="s">
        <v>9</v>
      </c>
      <c r="F61">
        <v>69.5</v>
      </c>
      <c r="G61" s="1">
        <f>DATE(C61, CHOOSE(MATCH(UPPER(B61), {"ENERO","FEBRERO","MARZO","ABRIL","MAYO","JUNIO","JULIO","AGOSTO","SEPTIEMBRE","OCTUBRE","NOVIEMBRE","DICIEMBRE"}, 0), 1,2,3,4,5,6,7,8,9,10,11,12), A61)</f>
        <v>43525</v>
      </c>
      <c r="H61">
        <v>29.5</v>
      </c>
      <c r="I61">
        <v>36000</v>
      </c>
      <c r="J61" s="1">
        <f t="shared" si="1"/>
        <v>43526</v>
      </c>
      <c r="K61">
        <f t="shared" si="0"/>
        <v>37.5</v>
      </c>
    </row>
    <row r="62" spans="1:11" x14ac:dyDescent="0.25">
      <c r="A62">
        <v>2</v>
      </c>
      <c r="B62" t="s">
        <v>12</v>
      </c>
      <c r="C62">
        <v>2019</v>
      </c>
      <c r="D62">
        <v>69.5</v>
      </c>
      <c r="E62" t="s">
        <v>9</v>
      </c>
      <c r="F62">
        <v>32</v>
      </c>
      <c r="G62" s="1">
        <f>DATE(C62, CHOOSE(MATCH(UPPER(B62), {"ENERO","FEBRERO","MARZO","ABRIL","MAYO","JUNIO","JULIO","AGOSTO","SEPTIEMBRE","OCTUBRE","NOVIEMBRE","DICIEMBRE"}, 0), 1,2,3,4,5,6,7,8,9,10,11,12), A62)</f>
        <v>43526</v>
      </c>
      <c r="H62">
        <v>37.5</v>
      </c>
      <c r="I62">
        <v>36000</v>
      </c>
      <c r="J62" s="1">
        <f t="shared" si="1"/>
        <v>43527</v>
      </c>
      <c r="K62">
        <f t="shared" si="0"/>
        <v>39.5</v>
      </c>
    </row>
    <row r="63" spans="1:11" x14ac:dyDescent="0.25">
      <c r="A63">
        <v>3</v>
      </c>
      <c r="B63" t="s">
        <v>12</v>
      </c>
      <c r="C63">
        <v>2019</v>
      </c>
      <c r="D63">
        <v>32</v>
      </c>
      <c r="E63">
        <v>100</v>
      </c>
      <c r="F63">
        <v>92.5</v>
      </c>
      <c r="G63" s="1">
        <f>DATE(C63, CHOOSE(MATCH(UPPER(B63), {"ENERO","FEBRERO","MARZO","ABRIL","MAYO","JUNIO","JULIO","AGOSTO","SEPTIEMBRE","OCTUBRE","NOVIEMBRE","DICIEMBRE"}, 0), 1,2,3,4,5,6,7,8,9,10,11,12), A63)</f>
        <v>43527</v>
      </c>
      <c r="H63">
        <v>39.5</v>
      </c>
      <c r="I63">
        <v>36000</v>
      </c>
      <c r="J63" s="1">
        <f t="shared" si="1"/>
        <v>43528</v>
      </c>
      <c r="K63">
        <f t="shared" si="0"/>
        <v>11.625</v>
      </c>
    </row>
    <row r="64" spans="1:11" x14ac:dyDescent="0.25">
      <c r="A64">
        <v>4</v>
      </c>
      <c r="B64" t="s">
        <v>12</v>
      </c>
      <c r="C64">
        <v>2019</v>
      </c>
      <c r="D64">
        <v>92.5</v>
      </c>
      <c r="E64" t="s">
        <v>9</v>
      </c>
      <c r="F64">
        <v>80.875</v>
      </c>
      <c r="G64" s="1">
        <f>DATE(C64, CHOOSE(MATCH(UPPER(B64), {"ENERO","FEBRERO","MARZO","ABRIL","MAYO","JUNIO","JULIO","AGOSTO","SEPTIEMBRE","OCTUBRE","NOVIEMBRE","DICIEMBRE"}, 0), 1,2,3,4,5,6,7,8,9,10,11,12), A64)</f>
        <v>43528</v>
      </c>
      <c r="H64">
        <v>11.625</v>
      </c>
      <c r="I64">
        <v>36000</v>
      </c>
      <c r="J64" s="1">
        <f t="shared" si="1"/>
        <v>43529</v>
      </c>
      <c r="K64">
        <f t="shared" si="0"/>
        <v>11.375</v>
      </c>
    </row>
    <row r="65" spans="1:11" x14ac:dyDescent="0.25">
      <c r="A65">
        <v>5</v>
      </c>
      <c r="B65" t="s">
        <v>12</v>
      </c>
      <c r="C65">
        <v>2019</v>
      </c>
      <c r="D65">
        <v>80.875</v>
      </c>
      <c r="E65" t="s">
        <v>9</v>
      </c>
      <c r="F65">
        <v>69.5</v>
      </c>
      <c r="G65" s="1">
        <f>DATE(C65, CHOOSE(MATCH(UPPER(B65), {"ENERO","FEBRERO","MARZO","ABRIL","MAYO","JUNIO","JULIO","AGOSTO","SEPTIEMBRE","OCTUBRE","NOVIEMBRE","DICIEMBRE"}, 0), 1,2,3,4,5,6,7,8,9,10,11,12), A65)</f>
        <v>43529</v>
      </c>
      <c r="H65">
        <v>11.375</v>
      </c>
      <c r="I65">
        <v>36000</v>
      </c>
      <c r="J65" s="1">
        <f t="shared" si="1"/>
        <v>43530</v>
      </c>
      <c r="K65">
        <f t="shared" si="0"/>
        <v>13.5</v>
      </c>
    </row>
    <row r="66" spans="1:11" x14ac:dyDescent="0.25">
      <c r="A66">
        <v>6</v>
      </c>
      <c r="B66" t="s">
        <v>12</v>
      </c>
      <c r="C66">
        <v>2019</v>
      </c>
      <c r="D66">
        <v>69.5</v>
      </c>
      <c r="E66" t="s">
        <v>9</v>
      </c>
      <c r="F66">
        <v>56</v>
      </c>
      <c r="G66" s="1">
        <f>DATE(C66, CHOOSE(MATCH(UPPER(B66), {"ENERO","FEBRERO","MARZO","ABRIL","MAYO","JUNIO","JULIO","AGOSTO","SEPTIEMBRE","OCTUBRE","NOVIEMBRE","DICIEMBRE"}, 0), 1,2,3,4,5,6,7,8,9,10,11,12), A66)</f>
        <v>43530</v>
      </c>
      <c r="H66">
        <v>13.5</v>
      </c>
      <c r="I66">
        <v>36000</v>
      </c>
      <c r="J66" s="1">
        <f t="shared" si="1"/>
        <v>43531</v>
      </c>
      <c r="K66">
        <f t="shared" ref="K66:K129" si="2">VLOOKUP(J66, G:H, 2, FALSE)</f>
        <v>16.25</v>
      </c>
    </row>
    <row r="67" spans="1:11" x14ac:dyDescent="0.25">
      <c r="A67">
        <v>7</v>
      </c>
      <c r="B67" t="s">
        <v>12</v>
      </c>
      <c r="C67">
        <v>2019</v>
      </c>
      <c r="D67">
        <v>56</v>
      </c>
      <c r="E67">
        <v>150</v>
      </c>
      <c r="F67">
        <v>189.75</v>
      </c>
      <c r="G67" s="1">
        <f>DATE(C67, CHOOSE(MATCH(UPPER(B67), {"ENERO","FEBRERO","MARZO","ABRIL","MAYO","JUNIO","JULIO","AGOSTO","SEPTIEMBRE","OCTUBRE","NOVIEMBRE","DICIEMBRE"}, 0), 1,2,3,4,5,6,7,8,9,10,11,12), A67)</f>
        <v>43531</v>
      </c>
      <c r="H67">
        <v>16.25</v>
      </c>
      <c r="I67">
        <v>36000</v>
      </c>
      <c r="J67" s="1">
        <f t="shared" si="1"/>
        <v>43532</v>
      </c>
      <c r="K67">
        <f t="shared" si="2"/>
        <v>32</v>
      </c>
    </row>
    <row r="68" spans="1:11" x14ac:dyDescent="0.25">
      <c r="A68">
        <v>8</v>
      </c>
      <c r="B68" t="s">
        <v>12</v>
      </c>
      <c r="C68">
        <v>2019</v>
      </c>
      <c r="D68">
        <v>189.75</v>
      </c>
      <c r="E68" t="s">
        <v>9</v>
      </c>
      <c r="F68">
        <v>157.75</v>
      </c>
      <c r="G68" s="1">
        <f>DATE(C68, CHOOSE(MATCH(UPPER(B68), {"ENERO","FEBRERO","MARZO","ABRIL","MAYO","JUNIO","JULIO","AGOSTO","SEPTIEMBRE","OCTUBRE","NOVIEMBRE","DICIEMBRE"}, 0), 1,2,3,4,5,6,7,8,9,10,11,12), A68)</f>
        <v>43532</v>
      </c>
      <c r="H68">
        <v>32</v>
      </c>
      <c r="I68">
        <v>36000</v>
      </c>
      <c r="J68" s="1">
        <f t="shared" ref="J68:J131" si="3">DATE(2019,1,1) + ROW()-1</f>
        <v>43533</v>
      </c>
      <c r="K68">
        <f t="shared" si="2"/>
        <v>44.75</v>
      </c>
    </row>
    <row r="69" spans="1:11" x14ac:dyDescent="0.25">
      <c r="A69">
        <v>9</v>
      </c>
      <c r="B69" t="s">
        <v>12</v>
      </c>
      <c r="C69">
        <v>2019</v>
      </c>
      <c r="D69">
        <v>157.75</v>
      </c>
      <c r="E69" t="s">
        <v>9</v>
      </c>
      <c r="F69">
        <v>113</v>
      </c>
      <c r="G69" s="1">
        <f>DATE(C69, CHOOSE(MATCH(UPPER(B69), {"ENERO","FEBRERO","MARZO","ABRIL","MAYO","JUNIO","JULIO","AGOSTO","SEPTIEMBRE","OCTUBRE","NOVIEMBRE","DICIEMBRE"}, 0), 1,2,3,4,5,6,7,8,9,10,11,12), A69)</f>
        <v>43533</v>
      </c>
      <c r="H69">
        <v>44.75</v>
      </c>
      <c r="I69">
        <v>36000</v>
      </c>
      <c r="J69" s="1">
        <f t="shared" si="3"/>
        <v>43534</v>
      </c>
      <c r="K69">
        <f t="shared" si="2"/>
        <v>34</v>
      </c>
    </row>
    <row r="70" spans="1:11" x14ac:dyDescent="0.25">
      <c r="A70">
        <v>10</v>
      </c>
      <c r="B70" t="s">
        <v>12</v>
      </c>
      <c r="C70">
        <v>2019</v>
      </c>
      <c r="D70">
        <v>113</v>
      </c>
      <c r="E70" t="s">
        <v>9</v>
      </c>
      <c r="F70">
        <v>79</v>
      </c>
      <c r="G70" s="1">
        <f>DATE(C70, CHOOSE(MATCH(UPPER(B70), {"ENERO","FEBRERO","MARZO","ABRIL","MAYO","JUNIO","JULIO","AGOSTO","SEPTIEMBRE","OCTUBRE","NOVIEMBRE","DICIEMBRE"}, 0), 1,2,3,4,5,6,7,8,9,10,11,12), A70)</f>
        <v>43534</v>
      </c>
      <c r="H70">
        <v>34</v>
      </c>
      <c r="I70">
        <v>36000</v>
      </c>
      <c r="J70" s="1">
        <f t="shared" si="3"/>
        <v>43535</v>
      </c>
      <c r="K70">
        <f t="shared" si="2"/>
        <v>6.5</v>
      </c>
    </row>
    <row r="71" spans="1:11" x14ac:dyDescent="0.25">
      <c r="A71">
        <v>11</v>
      </c>
      <c r="B71" t="s">
        <v>12</v>
      </c>
      <c r="C71">
        <v>2019</v>
      </c>
      <c r="D71">
        <v>79</v>
      </c>
      <c r="E71" t="s">
        <v>9</v>
      </c>
      <c r="F71">
        <v>72.5</v>
      </c>
      <c r="G71" s="1">
        <f>DATE(C71, CHOOSE(MATCH(UPPER(B71), {"ENERO","FEBRERO","MARZO","ABRIL","MAYO","JUNIO","JULIO","AGOSTO","SEPTIEMBRE","OCTUBRE","NOVIEMBRE","DICIEMBRE"}, 0), 1,2,3,4,5,6,7,8,9,10,11,12), A71)</f>
        <v>43535</v>
      </c>
      <c r="H71">
        <v>6.5</v>
      </c>
      <c r="I71">
        <v>36000</v>
      </c>
      <c r="J71" s="1">
        <f t="shared" si="3"/>
        <v>43536</v>
      </c>
      <c r="K71">
        <f t="shared" si="2"/>
        <v>21</v>
      </c>
    </row>
    <row r="72" spans="1:11" x14ac:dyDescent="0.25">
      <c r="A72">
        <v>12</v>
      </c>
      <c r="B72" t="s">
        <v>12</v>
      </c>
      <c r="C72">
        <v>2019</v>
      </c>
      <c r="D72">
        <v>72.5</v>
      </c>
      <c r="E72" t="s">
        <v>9</v>
      </c>
      <c r="F72">
        <v>51.5</v>
      </c>
      <c r="G72" s="1">
        <f>DATE(C72, CHOOSE(MATCH(UPPER(B72), {"ENERO","FEBRERO","MARZO","ABRIL","MAYO","JUNIO","JULIO","AGOSTO","SEPTIEMBRE","OCTUBRE","NOVIEMBRE","DICIEMBRE"}, 0), 1,2,3,4,5,6,7,8,9,10,11,12), A72)</f>
        <v>43536</v>
      </c>
      <c r="H72">
        <v>21</v>
      </c>
      <c r="I72">
        <v>36000</v>
      </c>
      <c r="J72" s="1">
        <f t="shared" si="3"/>
        <v>43537</v>
      </c>
      <c r="K72">
        <f t="shared" si="2"/>
        <v>17.5</v>
      </c>
    </row>
    <row r="73" spans="1:11" x14ac:dyDescent="0.25">
      <c r="A73">
        <v>13</v>
      </c>
      <c r="B73" t="s">
        <v>12</v>
      </c>
      <c r="C73">
        <v>2019</v>
      </c>
      <c r="D73">
        <v>51.5</v>
      </c>
      <c r="E73" t="s">
        <v>9</v>
      </c>
      <c r="F73">
        <v>34</v>
      </c>
      <c r="G73" s="1">
        <f>DATE(C73, CHOOSE(MATCH(UPPER(B73), {"ENERO","FEBRERO","MARZO","ABRIL","MAYO","JUNIO","JULIO","AGOSTO","SEPTIEMBRE","OCTUBRE","NOVIEMBRE","DICIEMBRE"}, 0), 1,2,3,4,5,6,7,8,9,10,11,12), A73)</f>
        <v>43537</v>
      </c>
      <c r="H73">
        <v>17.5</v>
      </c>
      <c r="I73">
        <v>36000</v>
      </c>
      <c r="J73" s="1">
        <f t="shared" si="3"/>
        <v>43538</v>
      </c>
      <c r="K73">
        <f t="shared" si="2"/>
        <v>19</v>
      </c>
    </row>
    <row r="74" spans="1:11" x14ac:dyDescent="0.25">
      <c r="A74">
        <v>14</v>
      </c>
      <c r="B74" t="s">
        <v>12</v>
      </c>
      <c r="C74">
        <v>2019</v>
      </c>
      <c r="D74">
        <v>34</v>
      </c>
      <c r="E74">
        <v>120</v>
      </c>
      <c r="F74">
        <v>135</v>
      </c>
      <c r="G74" s="1">
        <f>DATE(C74, CHOOSE(MATCH(UPPER(B74), {"ENERO","FEBRERO","MARZO","ABRIL","MAYO","JUNIO","JULIO","AGOSTO","SEPTIEMBRE","OCTUBRE","NOVIEMBRE","DICIEMBRE"}, 0), 1,2,3,4,5,6,7,8,9,10,11,12), A74)</f>
        <v>43538</v>
      </c>
      <c r="H74">
        <v>19</v>
      </c>
      <c r="I74">
        <v>36000</v>
      </c>
      <c r="J74" s="1">
        <f t="shared" si="3"/>
        <v>43539</v>
      </c>
      <c r="K74">
        <f t="shared" si="2"/>
        <v>27</v>
      </c>
    </row>
    <row r="75" spans="1:11" x14ac:dyDescent="0.25">
      <c r="A75">
        <v>15</v>
      </c>
      <c r="B75" t="s">
        <v>12</v>
      </c>
      <c r="C75">
        <v>2019</v>
      </c>
      <c r="D75">
        <v>135</v>
      </c>
      <c r="E75" t="s">
        <v>9</v>
      </c>
      <c r="F75">
        <v>108</v>
      </c>
      <c r="G75" s="1">
        <f>DATE(C75, CHOOSE(MATCH(UPPER(B75), {"ENERO","FEBRERO","MARZO","ABRIL","MAYO","JUNIO","JULIO","AGOSTO","SEPTIEMBRE","OCTUBRE","NOVIEMBRE","DICIEMBRE"}, 0), 1,2,3,4,5,6,7,8,9,10,11,12), A75)</f>
        <v>43539</v>
      </c>
      <c r="H75">
        <v>27</v>
      </c>
      <c r="I75">
        <v>36000</v>
      </c>
      <c r="J75" s="1">
        <f t="shared" si="3"/>
        <v>43540</v>
      </c>
      <c r="K75">
        <f t="shared" si="2"/>
        <v>35</v>
      </c>
    </row>
    <row r="76" spans="1:11" x14ac:dyDescent="0.25">
      <c r="A76">
        <v>16</v>
      </c>
      <c r="B76" t="s">
        <v>12</v>
      </c>
      <c r="C76">
        <v>2019</v>
      </c>
      <c r="D76">
        <v>108</v>
      </c>
      <c r="E76" t="s">
        <v>9</v>
      </c>
      <c r="F76">
        <v>73</v>
      </c>
      <c r="G76" s="1">
        <f>DATE(C76, CHOOSE(MATCH(UPPER(B76), {"ENERO","FEBRERO","MARZO","ABRIL","MAYO","JUNIO","JULIO","AGOSTO","SEPTIEMBRE","OCTUBRE","NOVIEMBRE","DICIEMBRE"}, 0), 1,2,3,4,5,6,7,8,9,10,11,12), A76)</f>
        <v>43540</v>
      </c>
      <c r="H76">
        <v>35</v>
      </c>
      <c r="I76">
        <v>36000</v>
      </c>
      <c r="J76" s="1">
        <f t="shared" si="3"/>
        <v>43541</v>
      </c>
      <c r="K76">
        <f t="shared" si="2"/>
        <v>35.25</v>
      </c>
    </row>
    <row r="77" spans="1:11" x14ac:dyDescent="0.25">
      <c r="A77">
        <v>17</v>
      </c>
      <c r="B77" t="s">
        <v>12</v>
      </c>
      <c r="C77">
        <v>2019</v>
      </c>
      <c r="D77">
        <v>73</v>
      </c>
      <c r="E77" t="s">
        <v>9</v>
      </c>
      <c r="F77">
        <v>37.75</v>
      </c>
      <c r="G77" s="1">
        <f>DATE(C77, CHOOSE(MATCH(UPPER(B77), {"ENERO","FEBRERO","MARZO","ABRIL","MAYO","JUNIO","JULIO","AGOSTO","SEPTIEMBRE","OCTUBRE","NOVIEMBRE","DICIEMBRE"}, 0), 1,2,3,4,5,6,7,8,9,10,11,12), A77)</f>
        <v>43541</v>
      </c>
      <c r="H77">
        <v>35.25</v>
      </c>
      <c r="I77">
        <v>36000</v>
      </c>
      <c r="J77" s="1">
        <f t="shared" si="3"/>
        <v>43542</v>
      </c>
      <c r="K77">
        <f t="shared" si="2"/>
        <v>12.875</v>
      </c>
    </row>
    <row r="78" spans="1:11" x14ac:dyDescent="0.25">
      <c r="A78">
        <v>18</v>
      </c>
      <c r="B78" t="s">
        <v>12</v>
      </c>
      <c r="C78">
        <v>2019</v>
      </c>
      <c r="D78">
        <v>37.75</v>
      </c>
      <c r="E78" t="s">
        <v>9</v>
      </c>
      <c r="F78">
        <v>24.875</v>
      </c>
      <c r="G78" s="1">
        <f>DATE(C78, CHOOSE(MATCH(UPPER(B78), {"ENERO","FEBRERO","MARZO","ABRIL","MAYO","JUNIO","JULIO","AGOSTO","SEPTIEMBRE","OCTUBRE","NOVIEMBRE","DICIEMBRE"}, 0), 1,2,3,4,5,6,7,8,9,10,11,12), A78)</f>
        <v>43542</v>
      </c>
      <c r="H78">
        <v>12.875</v>
      </c>
      <c r="I78">
        <v>36000</v>
      </c>
      <c r="J78" s="1">
        <f t="shared" si="3"/>
        <v>43543</v>
      </c>
      <c r="K78">
        <f t="shared" si="2"/>
        <v>19.875</v>
      </c>
    </row>
    <row r="79" spans="1:11" x14ac:dyDescent="0.25">
      <c r="A79">
        <v>19</v>
      </c>
      <c r="B79" t="s">
        <v>12</v>
      </c>
      <c r="C79">
        <v>2019</v>
      </c>
      <c r="D79">
        <v>24.875</v>
      </c>
      <c r="E79">
        <v>119</v>
      </c>
      <c r="F79">
        <v>124</v>
      </c>
      <c r="G79" s="1">
        <f>DATE(C79, CHOOSE(MATCH(UPPER(B79), {"ENERO","FEBRERO","MARZO","ABRIL","MAYO","JUNIO","JULIO","AGOSTO","SEPTIEMBRE","OCTUBRE","NOVIEMBRE","DICIEMBRE"}, 0), 1,2,3,4,5,6,7,8,9,10,11,12), A79)</f>
        <v>43543</v>
      </c>
      <c r="H79">
        <v>19.875</v>
      </c>
      <c r="I79">
        <v>36000</v>
      </c>
      <c r="J79" s="1">
        <f t="shared" si="3"/>
        <v>43544</v>
      </c>
      <c r="K79">
        <f t="shared" si="2"/>
        <v>15.5</v>
      </c>
    </row>
    <row r="80" spans="1:11" x14ac:dyDescent="0.25">
      <c r="A80">
        <v>20</v>
      </c>
      <c r="B80" t="s">
        <v>12</v>
      </c>
      <c r="C80">
        <v>2019</v>
      </c>
      <c r="D80">
        <v>124</v>
      </c>
      <c r="E80" t="s">
        <v>9</v>
      </c>
      <c r="F80">
        <v>108.5</v>
      </c>
      <c r="G80" s="1">
        <f>DATE(C80, CHOOSE(MATCH(UPPER(B80), {"ENERO","FEBRERO","MARZO","ABRIL","MAYO","JUNIO","JULIO","AGOSTO","SEPTIEMBRE","OCTUBRE","NOVIEMBRE","DICIEMBRE"}, 0), 1,2,3,4,5,6,7,8,9,10,11,12), A80)</f>
        <v>43544</v>
      </c>
      <c r="H80">
        <v>15.5</v>
      </c>
      <c r="I80">
        <v>36000</v>
      </c>
      <c r="J80" s="1">
        <f t="shared" si="3"/>
        <v>43545</v>
      </c>
      <c r="K80">
        <f t="shared" si="2"/>
        <v>16.875</v>
      </c>
    </row>
    <row r="81" spans="1:11" x14ac:dyDescent="0.25">
      <c r="A81">
        <v>21</v>
      </c>
      <c r="B81" t="s">
        <v>12</v>
      </c>
      <c r="C81">
        <v>2019</v>
      </c>
      <c r="D81">
        <v>108.5</v>
      </c>
      <c r="E81" t="s">
        <v>9</v>
      </c>
      <c r="F81">
        <v>91.625</v>
      </c>
      <c r="G81" s="1">
        <f>DATE(C81, CHOOSE(MATCH(UPPER(B81), {"ENERO","FEBRERO","MARZO","ABRIL","MAYO","JUNIO","JULIO","AGOSTO","SEPTIEMBRE","OCTUBRE","NOVIEMBRE","DICIEMBRE"}, 0), 1,2,3,4,5,6,7,8,9,10,11,12), A81)</f>
        <v>43545</v>
      </c>
      <c r="H81">
        <v>16.875</v>
      </c>
      <c r="I81">
        <v>36000</v>
      </c>
      <c r="J81" s="1">
        <f t="shared" si="3"/>
        <v>43546</v>
      </c>
      <c r="K81">
        <f t="shared" si="2"/>
        <v>27.625</v>
      </c>
    </row>
    <row r="82" spans="1:11" x14ac:dyDescent="0.25">
      <c r="A82">
        <v>22</v>
      </c>
      <c r="B82" t="s">
        <v>12</v>
      </c>
      <c r="C82">
        <v>2019</v>
      </c>
      <c r="D82">
        <v>91.625</v>
      </c>
      <c r="E82" t="s">
        <v>9</v>
      </c>
      <c r="F82">
        <v>64</v>
      </c>
      <c r="G82" s="1">
        <f>DATE(C82, CHOOSE(MATCH(UPPER(B82), {"ENERO","FEBRERO","MARZO","ABRIL","MAYO","JUNIO","JULIO","AGOSTO","SEPTIEMBRE","OCTUBRE","NOVIEMBRE","DICIEMBRE"}, 0), 1,2,3,4,5,6,7,8,9,10,11,12), A82)</f>
        <v>43546</v>
      </c>
      <c r="H82">
        <v>27.625</v>
      </c>
      <c r="I82">
        <v>36000</v>
      </c>
      <c r="J82" s="1">
        <f t="shared" si="3"/>
        <v>43547</v>
      </c>
      <c r="K82">
        <f t="shared" si="2"/>
        <v>42</v>
      </c>
    </row>
    <row r="83" spans="1:11" x14ac:dyDescent="0.25">
      <c r="A83">
        <v>23</v>
      </c>
      <c r="B83" t="s">
        <v>12</v>
      </c>
      <c r="C83">
        <v>2019</v>
      </c>
      <c r="D83">
        <v>64</v>
      </c>
      <c r="E83" t="s">
        <v>9</v>
      </c>
      <c r="F83">
        <v>22</v>
      </c>
      <c r="G83" s="1">
        <f>DATE(C83, CHOOSE(MATCH(UPPER(B83), {"ENERO","FEBRERO","MARZO","ABRIL","MAYO","JUNIO","JULIO","AGOSTO","SEPTIEMBRE","OCTUBRE","NOVIEMBRE","DICIEMBRE"}, 0), 1,2,3,4,5,6,7,8,9,10,11,12), A83)</f>
        <v>43547</v>
      </c>
      <c r="H83">
        <v>42</v>
      </c>
      <c r="I83">
        <v>36000</v>
      </c>
      <c r="J83" s="1">
        <f t="shared" si="3"/>
        <v>43548</v>
      </c>
      <c r="K83">
        <f t="shared" si="2"/>
        <v>35</v>
      </c>
    </row>
    <row r="84" spans="1:11" x14ac:dyDescent="0.25">
      <c r="A84">
        <v>24</v>
      </c>
      <c r="B84" t="s">
        <v>12</v>
      </c>
      <c r="C84">
        <v>2019</v>
      </c>
      <c r="D84">
        <v>22</v>
      </c>
      <c r="E84">
        <v>100</v>
      </c>
      <c r="F84">
        <v>87</v>
      </c>
      <c r="G84" s="1">
        <f>DATE(C84, CHOOSE(MATCH(UPPER(B84), {"ENERO","FEBRERO","MARZO","ABRIL","MAYO","JUNIO","JULIO","AGOSTO","SEPTIEMBRE","OCTUBRE","NOVIEMBRE","DICIEMBRE"}, 0), 1,2,3,4,5,6,7,8,9,10,11,12), A84)</f>
        <v>43548</v>
      </c>
      <c r="H84">
        <v>35</v>
      </c>
      <c r="I84">
        <v>36000</v>
      </c>
      <c r="J84" s="1">
        <f t="shared" si="3"/>
        <v>43549</v>
      </c>
      <c r="K84">
        <f t="shared" si="2"/>
        <v>37</v>
      </c>
    </row>
    <row r="85" spans="1:11" x14ac:dyDescent="0.25">
      <c r="A85">
        <v>25</v>
      </c>
      <c r="B85" t="s">
        <v>12</v>
      </c>
      <c r="C85">
        <v>2019</v>
      </c>
      <c r="D85">
        <v>87</v>
      </c>
      <c r="E85" t="s">
        <v>9</v>
      </c>
      <c r="F85">
        <v>50</v>
      </c>
      <c r="G85" s="1">
        <f>DATE(C85, CHOOSE(MATCH(UPPER(B85), {"ENERO","FEBRERO","MARZO","ABRIL","MAYO","JUNIO","JULIO","AGOSTO","SEPTIEMBRE","OCTUBRE","NOVIEMBRE","DICIEMBRE"}, 0), 1,2,3,4,5,6,7,8,9,10,11,12), A85)</f>
        <v>43549</v>
      </c>
      <c r="H85">
        <v>37</v>
      </c>
      <c r="I85">
        <v>36000</v>
      </c>
      <c r="J85" s="1">
        <f t="shared" si="3"/>
        <v>43550</v>
      </c>
      <c r="K85">
        <f t="shared" si="2"/>
        <v>15.5</v>
      </c>
    </row>
    <row r="86" spans="1:11" x14ac:dyDescent="0.25">
      <c r="A86">
        <v>26</v>
      </c>
      <c r="B86" t="s">
        <v>12</v>
      </c>
      <c r="C86">
        <v>2019</v>
      </c>
      <c r="D86">
        <v>50</v>
      </c>
      <c r="E86">
        <v>100</v>
      </c>
      <c r="F86">
        <v>134.5</v>
      </c>
      <c r="G86" s="1">
        <f>DATE(C86, CHOOSE(MATCH(UPPER(B86), {"ENERO","FEBRERO","MARZO","ABRIL","MAYO","JUNIO","JULIO","AGOSTO","SEPTIEMBRE","OCTUBRE","NOVIEMBRE","DICIEMBRE"}, 0), 1,2,3,4,5,6,7,8,9,10,11,12), A86)</f>
        <v>43550</v>
      </c>
      <c r="H86">
        <v>15.5</v>
      </c>
      <c r="I86">
        <v>36000</v>
      </c>
      <c r="J86" s="1">
        <f t="shared" si="3"/>
        <v>43551</v>
      </c>
      <c r="K86">
        <f t="shared" si="2"/>
        <v>22.5</v>
      </c>
    </row>
    <row r="87" spans="1:11" x14ac:dyDescent="0.25">
      <c r="A87">
        <v>27</v>
      </c>
      <c r="B87" t="s">
        <v>12</v>
      </c>
      <c r="C87">
        <v>2019</v>
      </c>
      <c r="D87">
        <v>134.5</v>
      </c>
      <c r="E87" t="s">
        <v>9</v>
      </c>
      <c r="F87">
        <v>112</v>
      </c>
      <c r="G87" s="1">
        <f>DATE(C87, CHOOSE(MATCH(UPPER(B87), {"ENERO","FEBRERO","MARZO","ABRIL","MAYO","JUNIO","JULIO","AGOSTO","SEPTIEMBRE","OCTUBRE","NOVIEMBRE","DICIEMBRE"}, 0), 1,2,3,4,5,6,7,8,9,10,11,12), A87)</f>
        <v>43551</v>
      </c>
      <c r="H87">
        <v>22.5</v>
      </c>
      <c r="I87">
        <v>36000</v>
      </c>
      <c r="J87" s="1">
        <f t="shared" si="3"/>
        <v>43552</v>
      </c>
      <c r="K87">
        <f t="shared" si="2"/>
        <v>13.75</v>
      </c>
    </row>
    <row r="88" spans="1:11" x14ac:dyDescent="0.25">
      <c r="A88">
        <v>28</v>
      </c>
      <c r="B88" t="s">
        <v>12</v>
      </c>
      <c r="C88">
        <v>2019</v>
      </c>
      <c r="D88">
        <v>112</v>
      </c>
      <c r="E88" t="s">
        <v>9</v>
      </c>
      <c r="F88">
        <v>98.25</v>
      </c>
      <c r="G88" s="1">
        <f>DATE(C88, CHOOSE(MATCH(UPPER(B88), {"ENERO","FEBRERO","MARZO","ABRIL","MAYO","JUNIO","JULIO","AGOSTO","SEPTIEMBRE","OCTUBRE","NOVIEMBRE","DICIEMBRE"}, 0), 1,2,3,4,5,6,7,8,9,10,11,12), A88)</f>
        <v>43552</v>
      </c>
      <c r="H88">
        <v>13.75</v>
      </c>
      <c r="I88">
        <v>36000</v>
      </c>
      <c r="J88" s="1">
        <f t="shared" si="3"/>
        <v>43553</v>
      </c>
      <c r="K88">
        <f t="shared" si="2"/>
        <v>26.25</v>
      </c>
    </row>
    <row r="89" spans="1:11" x14ac:dyDescent="0.25">
      <c r="A89">
        <v>29</v>
      </c>
      <c r="B89" t="s">
        <v>12</v>
      </c>
      <c r="C89">
        <v>2019</v>
      </c>
      <c r="D89">
        <v>98.25</v>
      </c>
      <c r="E89" t="s">
        <v>9</v>
      </c>
      <c r="F89">
        <v>72</v>
      </c>
      <c r="G89" s="1">
        <f>DATE(C89, CHOOSE(MATCH(UPPER(B89), {"ENERO","FEBRERO","MARZO","ABRIL","MAYO","JUNIO","JULIO","AGOSTO","SEPTIEMBRE","OCTUBRE","NOVIEMBRE","DICIEMBRE"}, 0), 1,2,3,4,5,6,7,8,9,10,11,12), A89)</f>
        <v>43553</v>
      </c>
      <c r="H89">
        <v>26.25</v>
      </c>
      <c r="I89">
        <v>36000</v>
      </c>
      <c r="J89" s="1">
        <f t="shared" si="3"/>
        <v>43554</v>
      </c>
      <c r="K89">
        <f t="shared" si="2"/>
        <v>58.375</v>
      </c>
    </row>
    <row r="90" spans="1:11" x14ac:dyDescent="0.25">
      <c r="A90">
        <v>30</v>
      </c>
      <c r="B90" t="s">
        <v>12</v>
      </c>
      <c r="C90">
        <v>2019</v>
      </c>
      <c r="D90">
        <v>72</v>
      </c>
      <c r="E90">
        <v>70</v>
      </c>
      <c r="F90">
        <v>83.625</v>
      </c>
      <c r="G90" s="1">
        <f>DATE(C90, CHOOSE(MATCH(UPPER(B90), {"ENERO","FEBRERO","MARZO","ABRIL","MAYO","JUNIO","JULIO","AGOSTO","SEPTIEMBRE","OCTUBRE","NOVIEMBRE","DICIEMBRE"}, 0), 1,2,3,4,5,6,7,8,9,10,11,12), A90)</f>
        <v>43554</v>
      </c>
      <c r="H90">
        <v>58.375</v>
      </c>
      <c r="I90">
        <v>36000</v>
      </c>
      <c r="J90" s="1">
        <f t="shared" si="3"/>
        <v>43555</v>
      </c>
      <c r="K90">
        <f t="shared" si="2"/>
        <v>49.625</v>
      </c>
    </row>
    <row r="91" spans="1:11" x14ac:dyDescent="0.25">
      <c r="A91">
        <v>31</v>
      </c>
      <c r="B91" t="s">
        <v>12</v>
      </c>
      <c r="C91">
        <v>2019</v>
      </c>
      <c r="D91">
        <v>83.625</v>
      </c>
      <c r="E91" t="s">
        <v>9</v>
      </c>
      <c r="F91">
        <v>34</v>
      </c>
      <c r="G91" s="1">
        <f>DATE(C91, CHOOSE(MATCH(UPPER(B91), {"ENERO","FEBRERO","MARZO","ABRIL","MAYO","JUNIO","JULIO","AGOSTO","SEPTIEMBRE","OCTUBRE","NOVIEMBRE","DICIEMBRE"}, 0), 1,2,3,4,5,6,7,8,9,10,11,12), A91)</f>
        <v>43555</v>
      </c>
      <c r="H91">
        <v>49.625</v>
      </c>
      <c r="I91">
        <v>36000</v>
      </c>
      <c r="J91" s="1">
        <f t="shared" si="3"/>
        <v>43556</v>
      </c>
      <c r="K91">
        <f t="shared" si="2"/>
        <v>11.75</v>
      </c>
    </row>
    <row r="92" spans="1:11" x14ac:dyDescent="0.25">
      <c r="A92">
        <v>1</v>
      </c>
      <c r="B92" t="s">
        <v>13</v>
      </c>
      <c r="C92">
        <v>2019</v>
      </c>
      <c r="D92">
        <v>34</v>
      </c>
      <c r="E92" t="s">
        <v>9</v>
      </c>
      <c r="F92">
        <v>22.25</v>
      </c>
      <c r="G92" s="1">
        <f>DATE(C92, CHOOSE(MATCH(UPPER(B92), {"ENERO","FEBRERO","MARZO","ABRIL","MAYO","JUNIO","JULIO","AGOSTO","SEPTIEMBRE","OCTUBRE","NOVIEMBRE","DICIEMBRE"}, 0), 1,2,3,4,5,6,7,8,9,10,11,12), A92)</f>
        <v>43556</v>
      </c>
      <c r="H92">
        <v>11.75</v>
      </c>
      <c r="I92">
        <v>36000</v>
      </c>
      <c r="J92" s="1">
        <f t="shared" si="3"/>
        <v>43557</v>
      </c>
      <c r="K92">
        <f t="shared" si="2"/>
        <v>19</v>
      </c>
    </row>
    <row r="93" spans="1:11" x14ac:dyDescent="0.25">
      <c r="A93">
        <v>2</v>
      </c>
      <c r="B93" t="s">
        <v>13</v>
      </c>
      <c r="C93">
        <v>2019</v>
      </c>
      <c r="D93">
        <v>22.25</v>
      </c>
      <c r="E93">
        <v>40</v>
      </c>
      <c r="F93">
        <v>43.25</v>
      </c>
      <c r="G93" s="1">
        <f>DATE(C93, CHOOSE(MATCH(UPPER(B93), {"ENERO","FEBRERO","MARZO","ABRIL","MAYO","JUNIO","JULIO","AGOSTO","SEPTIEMBRE","OCTUBRE","NOVIEMBRE","DICIEMBRE"}, 0), 1,2,3,4,5,6,7,8,9,10,11,12), A93)</f>
        <v>43557</v>
      </c>
      <c r="H93">
        <v>19</v>
      </c>
      <c r="I93">
        <v>36000</v>
      </c>
      <c r="J93" s="1">
        <f t="shared" si="3"/>
        <v>43558</v>
      </c>
      <c r="K93">
        <f t="shared" si="2"/>
        <v>25.25</v>
      </c>
    </row>
    <row r="94" spans="1:11" x14ac:dyDescent="0.25">
      <c r="A94">
        <v>3</v>
      </c>
      <c r="B94" t="s">
        <v>13</v>
      </c>
      <c r="C94">
        <v>2019</v>
      </c>
      <c r="D94">
        <v>43.25</v>
      </c>
      <c r="E94" t="s">
        <v>9</v>
      </c>
      <c r="F94">
        <v>18</v>
      </c>
      <c r="G94" s="1">
        <f>DATE(C94, CHOOSE(MATCH(UPPER(B94), {"ENERO","FEBRERO","MARZO","ABRIL","MAYO","JUNIO","JULIO","AGOSTO","SEPTIEMBRE","OCTUBRE","NOVIEMBRE","DICIEMBRE"}, 0), 1,2,3,4,5,6,7,8,9,10,11,12), A94)</f>
        <v>43558</v>
      </c>
      <c r="H94">
        <v>25.25</v>
      </c>
      <c r="I94">
        <v>36000</v>
      </c>
      <c r="J94" s="1">
        <f t="shared" si="3"/>
        <v>43559</v>
      </c>
      <c r="K94">
        <f t="shared" si="2"/>
        <v>23</v>
      </c>
    </row>
    <row r="95" spans="1:11" x14ac:dyDescent="0.25">
      <c r="A95">
        <v>4</v>
      </c>
      <c r="B95" t="s">
        <v>13</v>
      </c>
      <c r="C95">
        <v>2019</v>
      </c>
      <c r="D95">
        <v>18</v>
      </c>
      <c r="E95">
        <v>60</v>
      </c>
      <c r="F95">
        <v>55</v>
      </c>
      <c r="G95" s="1">
        <f>DATE(C95, CHOOSE(MATCH(UPPER(B95), {"ENERO","FEBRERO","MARZO","ABRIL","MAYO","JUNIO","JULIO","AGOSTO","SEPTIEMBRE","OCTUBRE","NOVIEMBRE","DICIEMBRE"}, 0), 1,2,3,4,5,6,7,8,9,10,11,12), A95)</f>
        <v>43559</v>
      </c>
      <c r="H95">
        <v>23</v>
      </c>
      <c r="I95">
        <v>36000</v>
      </c>
      <c r="J95" s="1">
        <f t="shared" si="3"/>
        <v>43560</v>
      </c>
      <c r="K95">
        <f t="shared" si="2"/>
        <v>34</v>
      </c>
    </row>
    <row r="96" spans="1:11" x14ac:dyDescent="0.25">
      <c r="A96">
        <v>5</v>
      </c>
      <c r="B96" t="s">
        <v>13</v>
      </c>
      <c r="C96">
        <v>2019</v>
      </c>
      <c r="D96">
        <v>55</v>
      </c>
      <c r="E96" t="s">
        <v>9</v>
      </c>
      <c r="F96">
        <v>21</v>
      </c>
      <c r="G96" s="1">
        <f>DATE(C96, CHOOSE(MATCH(UPPER(B96), {"ENERO","FEBRERO","MARZO","ABRIL","MAYO","JUNIO","JULIO","AGOSTO","SEPTIEMBRE","OCTUBRE","NOVIEMBRE","DICIEMBRE"}, 0), 1,2,3,4,5,6,7,8,9,10,11,12), A96)</f>
        <v>43560</v>
      </c>
      <c r="H96">
        <v>34</v>
      </c>
      <c r="I96">
        <v>36000</v>
      </c>
      <c r="J96" s="1">
        <f t="shared" si="3"/>
        <v>43561</v>
      </c>
      <c r="K96">
        <f t="shared" si="2"/>
        <v>53</v>
      </c>
    </row>
    <row r="97" spans="1:11" x14ac:dyDescent="0.25">
      <c r="A97">
        <v>6</v>
      </c>
      <c r="B97" t="s">
        <v>13</v>
      </c>
      <c r="C97">
        <v>2019</v>
      </c>
      <c r="D97">
        <v>21</v>
      </c>
      <c r="E97">
        <v>50</v>
      </c>
      <c r="F97">
        <v>18</v>
      </c>
      <c r="G97" s="1">
        <f>DATE(C97, CHOOSE(MATCH(UPPER(B97), {"ENERO","FEBRERO","MARZO","ABRIL","MAYO","JUNIO","JULIO","AGOSTO","SEPTIEMBRE","OCTUBRE","NOVIEMBRE","DICIEMBRE"}, 0), 1,2,3,4,5,6,7,8,9,10,11,12), A97)</f>
        <v>43561</v>
      </c>
      <c r="H97">
        <v>53</v>
      </c>
      <c r="I97">
        <v>36000</v>
      </c>
      <c r="J97" s="1">
        <f t="shared" si="3"/>
        <v>43562</v>
      </c>
      <c r="K97">
        <f t="shared" si="2"/>
        <v>63</v>
      </c>
    </row>
    <row r="98" spans="1:11" x14ac:dyDescent="0.25">
      <c r="A98">
        <v>7</v>
      </c>
      <c r="B98" t="s">
        <v>13</v>
      </c>
      <c r="C98">
        <v>2019</v>
      </c>
      <c r="D98">
        <v>18</v>
      </c>
      <c r="E98">
        <v>99</v>
      </c>
      <c r="F98">
        <v>54</v>
      </c>
      <c r="G98" s="1">
        <f>DATE(C98, CHOOSE(MATCH(UPPER(B98), {"ENERO","FEBRERO","MARZO","ABRIL","MAYO","JUNIO","JULIO","AGOSTO","SEPTIEMBRE","OCTUBRE","NOVIEMBRE","DICIEMBRE"}, 0), 1,2,3,4,5,6,7,8,9,10,11,12), A98)</f>
        <v>43562</v>
      </c>
      <c r="H98">
        <v>63</v>
      </c>
      <c r="I98">
        <v>36000</v>
      </c>
      <c r="J98" s="1">
        <f t="shared" si="3"/>
        <v>43563</v>
      </c>
      <c r="K98">
        <f t="shared" si="2"/>
        <v>14.75</v>
      </c>
    </row>
    <row r="99" spans="1:11" x14ac:dyDescent="0.25">
      <c r="A99">
        <v>8</v>
      </c>
      <c r="B99" t="s">
        <v>13</v>
      </c>
      <c r="C99">
        <v>2019</v>
      </c>
      <c r="D99">
        <v>54</v>
      </c>
      <c r="E99">
        <v>120</v>
      </c>
      <c r="F99">
        <v>159.25</v>
      </c>
      <c r="G99" s="1">
        <f>DATE(C99, CHOOSE(MATCH(UPPER(B99), {"ENERO","FEBRERO","MARZO","ABRIL","MAYO","JUNIO","JULIO","AGOSTO","SEPTIEMBRE","OCTUBRE","NOVIEMBRE","DICIEMBRE"}, 0), 1,2,3,4,5,6,7,8,9,10,11,12), A99)</f>
        <v>43563</v>
      </c>
      <c r="H99">
        <v>14.75</v>
      </c>
      <c r="I99">
        <v>36000</v>
      </c>
      <c r="J99" s="1">
        <f t="shared" si="3"/>
        <v>43564</v>
      </c>
      <c r="K99">
        <f t="shared" si="2"/>
        <v>23.875</v>
      </c>
    </row>
    <row r="100" spans="1:11" x14ac:dyDescent="0.25">
      <c r="A100">
        <v>9</v>
      </c>
      <c r="B100" t="s">
        <v>13</v>
      </c>
      <c r="C100">
        <v>2019</v>
      </c>
      <c r="D100">
        <v>159.25</v>
      </c>
      <c r="E100" t="s">
        <v>9</v>
      </c>
      <c r="F100">
        <v>135.375</v>
      </c>
      <c r="G100" s="1">
        <f>DATE(C100, CHOOSE(MATCH(UPPER(B100), {"ENERO","FEBRERO","MARZO","ABRIL","MAYO","JUNIO","JULIO","AGOSTO","SEPTIEMBRE","OCTUBRE","NOVIEMBRE","DICIEMBRE"}, 0), 1,2,3,4,5,6,7,8,9,10,11,12), A100)</f>
        <v>43564</v>
      </c>
      <c r="H100">
        <v>23.875</v>
      </c>
      <c r="I100">
        <v>36000</v>
      </c>
      <c r="J100" s="1">
        <f t="shared" si="3"/>
        <v>43565</v>
      </c>
      <c r="K100">
        <f t="shared" si="2"/>
        <v>21.375</v>
      </c>
    </row>
    <row r="101" spans="1:11" x14ac:dyDescent="0.25">
      <c r="A101">
        <v>10</v>
      </c>
      <c r="B101" t="s">
        <v>13</v>
      </c>
      <c r="C101">
        <v>2019</v>
      </c>
      <c r="D101">
        <v>135.375</v>
      </c>
      <c r="E101" t="s">
        <v>9</v>
      </c>
      <c r="F101">
        <v>114</v>
      </c>
      <c r="G101" s="1">
        <f>DATE(C101, CHOOSE(MATCH(UPPER(B101), {"ENERO","FEBRERO","MARZO","ABRIL","MAYO","JUNIO","JULIO","AGOSTO","SEPTIEMBRE","OCTUBRE","NOVIEMBRE","DICIEMBRE"}, 0), 1,2,3,4,5,6,7,8,9,10,11,12), A101)</f>
        <v>43565</v>
      </c>
      <c r="H101">
        <v>21.375</v>
      </c>
      <c r="I101">
        <v>36000</v>
      </c>
      <c r="J101" s="1">
        <f t="shared" si="3"/>
        <v>43566</v>
      </c>
      <c r="K101">
        <f t="shared" si="2"/>
        <v>23.5</v>
      </c>
    </row>
    <row r="102" spans="1:11" x14ac:dyDescent="0.25">
      <c r="A102">
        <v>11</v>
      </c>
      <c r="B102" t="s">
        <v>13</v>
      </c>
      <c r="C102">
        <v>2019</v>
      </c>
      <c r="D102">
        <v>114</v>
      </c>
      <c r="E102">
        <v>150</v>
      </c>
      <c r="F102">
        <v>240.5</v>
      </c>
      <c r="G102" s="1">
        <f>DATE(C102, CHOOSE(MATCH(UPPER(B102), {"ENERO","FEBRERO","MARZO","ABRIL","MAYO","JUNIO","JULIO","AGOSTO","SEPTIEMBRE","OCTUBRE","NOVIEMBRE","DICIEMBRE"}, 0), 1,2,3,4,5,6,7,8,9,10,11,12), A102)</f>
        <v>43566</v>
      </c>
      <c r="H102">
        <v>23.5</v>
      </c>
      <c r="I102">
        <v>36000</v>
      </c>
      <c r="J102" s="1">
        <f t="shared" si="3"/>
        <v>43567</v>
      </c>
      <c r="K102">
        <f t="shared" si="2"/>
        <v>36.125</v>
      </c>
    </row>
    <row r="103" spans="1:11" x14ac:dyDescent="0.25">
      <c r="A103">
        <v>12</v>
      </c>
      <c r="B103" t="s">
        <v>13</v>
      </c>
      <c r="C103">
        <v>2019</v>
      </c>
      <c r="D103">
        <v>240.5</v>
      </c>
      <c r="E103" t="s">
        <v>9</v>
      </c>
      <c r="F103">
        <v>204.375</v>
      </c>
      <c r="G103" s="1">
        <f>DATE(C103, CHOOSE(MATCH(UPPER(B103), {"ENERO","FEBRERO","MARZO","ABRIL","MAYO","JUNIO","JULIO","AGOSTO","SEPTIEMBRE","OCTUBRE","NOVIEMBRE","DICIEMBRE"}, 0), 1,2,3,4,5,6,7,8,9,10,11,12), A103)</f>
        <v>43567</v>
      </c>
      <c r="H103">
        <v>36.125</v>
      </c>
      <c r="I103">
        <v>36000</v>
      </c>
      <c r="J103" s="1">
        <f t="shared" si="3"/>
        <v>43568</v>
      </c>
      <c r="K103">
        <f t="shared" si="2"/>
        <v>42.375</v>
      </c>
    </row>
    <row r="104" spans="1:11" x14ac:dyDescent="0.25">
      <c r="A104">
        <v>13</v>
      </c>
      <c r="B104" t="s">
        <v>13</v>
      </c>
      <c r="C104">
        <v>2019</v>
      </c>
      <c r="D104">
        <v>204.375</v>
      </c>
      <c r="E104" t="s">
        <v>9</v>
      </c>
      <c r="F104">
        <v>162</v>
      </c>
      <c r="G104" s="1">
        <f>DATE(C104, CHOOSE(MATCH(UPPER(B104), {"ENERO","FEBRERO","MARZO","ABRIL","MAYO","JUNIO","JULIO","AGOSTO","SEPTIEMBRE","OCTUBRE","NOVIEMBRE","DICIEMBRE"}, 0), 1,2,3,4,5,6,7,8,9,10,11,12), A104)</f>
        <v>43568</v>
      </c>
      <c r="H104">
        <v>42.375</v>
      </c>
      <c r="I104">
        <v>36000</v>
      </c>
      <c r="J104" s="1">
        <f t="shared" si="3"/>
        <v>43569</v>
      </c>
      <c r="K104">
        <f t="shared" si="2"/>
        <v>60</v>
      </c>
    </row>
    <row r="105" spans="1:11" x14ac:dyDescent="0.25">
      <c r="A105">
        <v>14</v>
      </c>
      <c r="B105" t="s">
        <v>13</v>
      </c>
      <c r="C105">
        <v>2019</v>
      </c>
      <c r="D105">
        <v>162</v>
      </c>
      <c r="E105" t="s">
        <v>9</v>
      </c>
      <c r="F105">
        <v>102</v>
      </c>
      <c r="G105" s="1">
        <f>DATE(C105, CHOOSE(MATCH(UPPER(B105), {"ENERO","FEBRERO","MARZO","ABRIL","MAYO","JUNIO","JULIO","AGOSTO","SEPTIEMBRE","OCTUBRE","NOVIEMBRE","DICIEMBRE"}, 0), 1,2,3,4,5,6,7,8,9,10,11,12), A105)</f>
        <v>43569</v>
      </c>
      <c r="H105">
        <v>60</v>
      </c>
      <c r="I105">
        <v>36000</v>
      </c>
      <c r="J105" s="1">
        <f t="shared" si="3"/>
        <v>43570</v>
      </c>
      <c r="K105">
        <f t="shared" si="2"/>
        <v>32.5</v>
      </c>
    </row>
    <row r="106" spans="1:11" x14ac:dyDescent="0.25">
      <c r="A106">
        <v>15</v>
      </c>
      <c r="B106" t="s">
        <v>13</v>
      </c>
      <c r="C106">
        <v>2019</v>
      </c>
      <c r="D106">
        <v>102</v>
      </c>
      <c r="E106">
        <v>60</v>
      </c>
      <c r="F106">
        <v>129.5</v>
      </c>
      <c r="G106" s="1">
        <f>DATE(C106, CHOOSE(MATCH(UPPER(B106), {"ENERO","FEBRERO","MARZO","ABRIL","MAYO","JUNIO","JULIO","AGOSTO","SEPTIEMBRE","OCTUBRE","NOVIEMBRE","DICIEMBRE"}, 0), 1,2,3,4,5,6,7,8,9,10,11,12), A106)</f>
        <v>43570</v>
      </c>
      <c r="H106">
        <v>32.5</v>
      </c>
      <c r="I106">
        <v>36000</v>
      </c>
      <c r="J106" s="1">
        <f t="shared" si="3"/>
        <v>43571</v>
      </c>
      <c r="K106">
        <f t="shared" si="2"/>
        <v>39.5</v>
      </c>
    </row>
    <row r="107" spans="1:11" x14ac:dyDescent="0.25">
      <c r="A107">
        <v>16</v>
      </c>
      <c r="B107" t="s">
        <v>13</v>
      </c>
      <c r="C107">
        <v>2019</v>
      </c>
      <c r="D107">
        <v>129.5</v>
      </c>
      <c r="E107">
        <v>-2</v>
      </c>
      <c r="F107">
        <v>88</v>
      </c>
      <c r="G107" s="1">
        <f>DATE(C107, CHOOSE(MATCH(UPPER(B107), {"ENERO","FEBRERO","MARZO","ABRIL","MAYO","JUNIO","JULIO","AGOSTO","SEPTIEMBRE","OCTUBRE","NOVIEMBRE","DICIEMBRE"}, 0), 1,2,3,4,5,6,7,8,9,10,11,12), A107)</f>
        <v>43571</v>
      </c>
      <c r="H107">
        <v>39.5</v>
      </c>
      <c r="I107">
        <v>36000</v>
      </c>
      <c r="J107" s="1">
        <f t="shared" si="3"/>
        <v>43572</v>
      </c>
      <c r="K107">
        <f t="shared" si="2"/>
        <v>55</v>
      </c>
    </row>
    <row r="108" spans="1:11" x14ac:dyDescent="0.25">
      <c r="A108">
        <v>17</v>
      </c>
      <c r="B108" t="s">
        <v>13</v>
      </c>
      <c r="C108">
        <v>2019</v>
      </c>
      <c r="D108">
        <v>88</v>
      </c>
      <c r="E108">
        <v>150</v>
      </c>
      <c r="F108">
        <v>183</v>
      </c>
      <c r="G108" s="1">
        <f>DATE(C108, CHOOSE(MATCH(UPPER(B108), {"ENERO","FEBRERO","MARZO","ABRIL","MAYO","JUNIO","JULIO","AGOSTO","SEPTIEMBRE","OCTUBRE","NOVIEMBRE","DICIEMBRE"}, 0), 1,2,3,4,5,6,7,8,9,10,11,12), A108)</f>
        <v>43572</v>
      </c>
      <c r="H108">
        <v>55</v>
      </c>
      <c r="I108">
        <v>36000</v>
      </c>
      <c r="J108" s="1">
        <f t="shared" si="3"/>
        <v>43573</v>
      </c>
      <c r="K108">
        <f t="shared" si="2"/>
        <v>43.75</v>
      </c>
    </row>
    <row r="109" spans="1:11" x14ac:dyDescent="0.25">
      <c r="A109">
        <v>18</v>
      </c>
      <c r="B109" t="s">
        <v>13</v>
      </c>
      <c r="C109">
        <v>2019</v>
      </c>
      <c r="D109">
        <v>183</v>
      </c>
      <c r="E109" t="s">
        <v>9</v>
      </c>
      <c r="F109">
        <v>139.25</v>
      </c>
      <c r="G109" s="1">
        <f>DATE(C109, CHOOSE(MATCH(UPPER(B109), {"ENERO","FEBRERO","MARZO","ABRIL","MAYO","JUNIO","JULIO","AGOSTO","SEPTIEMBRE","OCTUBRE","NOVIEMBRE","DICIEMBRE"}, 0), 1,2,3,4,5,6,7,8,9,10,11,12), A109)</f>
        <v>43573</v>
      </c>
      <c r="H109">
        <v>43.75</v>
      </c>
      <c r="I109">
        <v>36000</v>
      </c>
      <c r="J109" s="1">
        <f t="shared" si="3"/>
        <v>43574</v>
      </c>
      <c r="K109">
        <f t="shared" si="2"/>
        <v>62.25</v>
      </c>
    </row>
    <row r="110" spans="1:11" x14ac:dyDescent="0.25">
      <c r="A110">
        <v>19</v>
      </c>
      <c r="B110" t="s">
        <v>13</v>
      </c>
      <c r="C110">
        <v>2019</v>
      </c>
      <c r="D110">
        <v>139.25</v>
      </c>
      <c r="E110" t="s">
        <v>9</v>
      </c>
      <c r="F110">
        <v>77</v>
      </c>
      <c r="G110" s="1">
        <f>DATE(C110, CHOOSE(MATCH(UPPER(B110), {"ENERO","FEBRERO","MARZO","ABRIL","MAYO","JUNIO","JULIO","AGOSTO","SEPTIEMBRE","OCTUBRE","NOVIEMBRE","DICIEMBRE"}, 0), 1,2,3,4,5,6,7,8,9,10,11,12), A110)</f>
        <v>43574</v>
      </c>
      <c r="H110">
        <v>62.25</v>
      </c>
      <c r="I110">
        <v>36000</v>
      </c>
      <c r="J110" s="1">
        <f t="shared" si="3"/>
        <v>43575</v>
      </c>
      <c r="K110">
        <f t="shared" si="2"/>
        <v>47</v>
      </c>
    </row>
    <row r="111" spans="1:11" x14ac:dyDescent="0.25">
      <c r="A111">
        <v>20</v>
      </c>
      <c r="B111" t="s">
        <v>13</v>
      </c>
      <c r="C111">
        <v>2019</v>
      </c>
      <c r="D111">
        <v>77</v>
      </c>
      <c r="E111">
        <v>30</v>
      </c>
      <c r="F111">
        <v>60</v>
      </c>
      <c r="G111" s="1">
        <f>DATE(C111, CHOOSE(MATCH(UPPER(B111), {"ENERO","FEBRERO","MARZO","ABRIL","MAYO","JUNIO","JULIO","AGOSTO","SEPTIEMBRE","OCTUBRE","NOVIEMBRE","DICIEMBRE"}, 0), 1,2,3,4,5,6,7,8,9,10,11,12), A111)</f>
        <v>43575</v>
      </c>
      <c r="H111">
        <v>47</v>
      </c>
      <c r="I111">
        <v>36000</v>
      </c>
      <c r="J111" s="1">
        <f t="shared" si="3"/>
        <v>43576</v>
      </c>
      <c r="K111">
        <f t="shared" si="2"/>
        <v>51</v>
      </c>
    </row>
    <row r="112" spans="1:11" x14ac:dyDescent="0.25">
      <c r="A112">
        <v>21</v>
      </c>
      <c r="B112" t="s">
        <v>13</v>
      </c>
      <c r="C112">
        <v>2019</v>
      </c>
      <c r="D112">
        <v>60</v>
      </c>
      <c r="E112" t="s">
        <v>9</v>
      </c>
      <c r="F112">
        <v>9</v>
      </c>
      <c r="G112" s="1">
        <f>DATE(C112, CHOOSE(MATCH(UPPER(B112), {"ENERO","FEBRERO","MARZO","ABRIL","MAYO","JUNIO","JULIO","AGOSTO","SEPTIEMBRE","OCTUBRE","NOVIEMBRE","DICIEMBRE"}, 0), 1,2,3,4,5,6,7,8,9,10,11,12), A112)</f>
        <v>43576</v>
      </c>
      <c r="H112">
        <v>51</v>
      </c>
      <c r="I112">
        <v>36000</v>
      </c>
      <c r="J112" s="1">
        <f t="shared" si="3"/>
        <v>43577</v>
      </c>
      <c r="K112">
        <f t="shared" si="2"/>
        <v>9.5</v>
      </c>
    </row>
    <row r="113" spans="1:11" x14ac:dyDescent="0.25">
      <c r="A113">
        <v>22</v>
      </c>
      <c r="B113" t="s">
        <v>13</v>
      </c>
      <c r="C113">
        <v>2019</v>
      </c>
      <c r="D113">
        <v>9</v>
      </c>
      <c r="E113">
        <v>100</v>
      </c>
      <c r="F113">
        <v>99.5</v>
      </c>
      <c r="G113" s="1">
        <f>DATE(C113, CHOOSE(MATCH(UPPER(B113), {"ENERO","FEBRERO","MARZO","ABRIL","MAYO","JUNIO","JULIO","AGOSTO","SEPTIEMBRE","OCTUBRE","NOVIEMBRE","DICIEMBRE"}, 0), 1,2,3,4,5,6,7,8,9,10,11,12), A113)</f>
        <v>43577</v>
      </c>
      <c r="H113">
        <v>9.5</v>
      </c>
      <c r="I113">
        <v>36000</v>
      </c>
      <c r="J113" s="1">
        <f t="shared" si="3"/>
        <v>43578</v>
      </c>
      <c r="K113">
        <f t="shared" si="2"/>
        <v>25.25</v>
      </c>
    </row>
    <row r="114" spans="1:11" x14ac:dyDescent="0.25">
      <c r="A114">
        <v>23</v>
      </c>
      <c r="B114" t="s">
        <v>13</v>
      </c>
      <c r="C114">
        <v>2019</v>
      </c>
      <c r="D114">
        <v>99.5</v>
      </c>
      <c r="E114" t="s">
        <v>9</v>
      </c>
      <c r="F114">
        <v>74.25</v>
      </c>
      <c r="G114" s="1">
        <f>DATE(C114, CHOOSE(MATCH(UPPER(B114), {"ENERO","FEBRERO","MARZO","ABRIL","MAYO","JUNIO","JULIO","AGOSTO","SEPTIEMBRE","OCTUBRE","NOVIEMBRE","DICIEMBRE"}, 0), 1,2,3,4,5,6,7,8,9,10,11,12), A114)</f>
        <v>43578</v>
      </c>
      <c r="H114">
        <v>25.25</v>
      </c>
      <c r="I114">
        <v>36000</v>
      </c>
      <c r="J114" s="1">
        <f t="shared" si="3"/>
        <v>43579</v>
      </c>
      <c r="K114">
        <f t="shared" si="2"/>
        <v>33.5</v>
      </c>
    </row>
    <row r="115" spans="1:11" x14ac:dyDescent="0.25">
      <c r="A115">
        <v>24</v>
      </c>
      <c r="B115" t="s">
        <v>13</v>
      </c>
      <c r="C115">
        <v>2019</v>
      </c>
      <c r="D115">
        <v>74.25</v>
      </c>
      <c r="E115" t="s">
        <v>9</v>
      </c>
      <c r="F115">
        <v>40.75</v>
      </c>
      <c r="G115" s="1">
        <f>DATE(C115, CHOOSE(MATCH(UPPER(B115), {"ENERO","FEBRERO","MARZO","ABRIL","MAYO","JUNIO","JULIO","AGOSTO","SEPTIEMBRE","OCTUBRE","NOVIEMBRE","DICIEMBRE"}, 0), 1,2,3,4,5,6,7,8,9,10,11,12), A115)</f>
        <v>43579</v>
      </c>
      <c r="H115">
        <v>33.5</v>
      </c>
      <c r="I115">
        <v>36000</v>
      </c>
      <c r="J115" s="1">
        <f t="shared" si="3"/>
        <v>43580</v>
      </c>
      <c r="K115">
        <f t="shared" si="2"/>
        <v>41.75</v>
      </c>
    </row>
    <row r="116" spans="1:11" x14ac:dyDescent="0.25">
      <c r="A116">
        <v>25</v>
      </c>
      <c r="B116" t="s">
        <v>13</v>
      </c>
      <c r="C116">
        <v>2019</v>
      </c>
      <c r="D116">
        <v>40.75</v>
      </c>
      <c r="E116">
        <v>130</v>
      </c>
      <c r="F116">
        <v>129</v>
      </c>
      <c r="G116" s="1">
        <f>DATE(C116, CHOOSE(MATCH(UPPER(B116), {"ENERO","FEBRERO","MARZO","ABRIL","MAYO","JUNIO","JULIO","AGOSTO","SEPTIEMBRE","OCTUBRE","NOVIEMBRE","DICIEMBRE"}, 0), 1,2,3,4,5,6,7,8,9,10,11,12), A116)</f>
        <v>43580</v>
      </c>
      <c r="H116">
        <v>41.75</v>
      </c>
      <c r="I116">
        <v>36000</v>
      </c>
      <c r="J116" s="1">
        <f t="shared" si="3"/>
        <v>43581</v>
      </c>
      <c r="K116">
        <f t="shared" si="2"/>
        <v>40.25</v>
      </c>
    </row>
    <row r="117" spans="1:11" x14ac:dyDescent="0.25">
      <c r="A117">
        <v>26</v>
      </c>
      <c r="B117" t="s">
        <v>13</v>
      </c>
      <c r="C117">
        <v>2019</v>
      </c>
      <c r="D117">
        <v>129</v>
      </c>
      <c r="E117" t="s">
        <v>9</v>
      </c>
      <c r="F117">
        <v>88.75</v>
      </c>
      <c r="G117" s="1">
        <f>DATE(C117, CHOOSE(MATCH(UPPER(B117), {"ENERO","FEBRERO","MARZO","ABRIL","MAYO","JUNIO","JULIO","AGOSTO","SEPTIEMBRE","OCTUBRE","NOVIEMBRE","DICIEMBRE"}, 0), 1,2,3,4,5,6,7,8,9,10,11,12), A117)</f>
        <v>43581</v>
      </c>
      <c r="H117">
        <v>40.25</v>
      </c>
      <c r="I117">
        <v>36000</v>
      </c>
      <c r="J117" s="1">
        <f t="shared" si="3"/>
        <v>43582</v>
      </c>
      <c r="K117">
        <f t="shared" si="2"/>
        <v>78.75</v>
      </c>
    </row>
    <row r="118" spans="1:11" x14ac:dyDescent="0.25">
      <c r="A118">
        <v>27</v>
      </c>
      <c r="B118" t="s">
        <v>13</v>
      </c>
      <c r="C118">
        <v>2019</v>
      </c>
      <c r="D118">
        <v>88.75</v>
      </c>
      <c r="E118" t="s">
        <v>9</v>
      </c>
      <c r="F118">
        <v>10</v>
      </c>
      <c r="G118" s="1">
        <f>DATE(C118, CHOOSE(MATCH(UPPER(B118), {"ENERO","FEBRERO","MARZO","ABRIL","MAYO","JUNIO","JULIO","AGOSTO","SEPTIEMBRE","OCTUBRE","NOVIEMBRE","DICIEMBRE"}, 0), 1,2,3,4,5,6,7,8,9,10,11,12), A118)</f>
        <v>43582</v>
      </c>
      <c r="H118">
        <v>78.75</v>
      </c>
      <c r="I118">
        <v>36000</v>
      </c>
      <c r="J118" s="1">
        <f t="shared" si="3"/>
        <v>43583</v>
      </c>
      <c r="K118">
        <f t="shared" si="2"/>
        <v>80.5</v>
      </c>
    </row>
    <row r="119" spans="1:11" x14ac:dyDescent="0.25">
      <c r="A119">
        <v>28</v>
      </c>
      <c r="B119" t="s">
        <v>13</v>
      </c>
      <c r="C119">
        <v>2019</v>
      </c>
      <c r="D119">
        <v>10</v>
      </c>
      <c r="E119">
        <v>90</v>
      </c>
      <c r="F119">
        <v>19.5</v>
      </c>
      <c r="G119" s="1">
        <f>DATE(C119, CHOOSE(MATCH(UPPER(B119), {"ENERO","FEBRERO","MARZO","ABRIL","MAYO","JUNIO","JULIO","AGOSTO","SEPTIEMBRE","OCTUBRE","NOVIEMBRE","DICIEMBRE"}, 0), 1,2,3,4,5,6,7,8,9,10,11,12), A119)</f>
        <v>43583</v>
      </c>
      <c r="H119">
        <v>80.5</v>
      </c>
      <c r="I119">
        <v>36000</v>
      </c>
      <c r="J119" s="1">
        <f t="shared" si="3"/>
        <v>43584</v>
      </c>
      <c r="K119">
        <f t="shared" si="2"/>
        <v>12.5</v>
      </c>
    </row>
    <row r="120" spans="1:11" x14ac:dyDescent="0.25">
      <c r="A120">
        <v>29</v>
      </c>
      <c r="B120" t="s">
        <v>13</v>
      </c>
      <c r="C120">
        <v>2019</v>
      </c>
      <c r="D120">
        <v>19.5</v>
      </c>
      <c r="E120">
        <v>100</v>
      </c>
      <c r="F120">
        <v>107</v>
      </c>
      <c r="G120" s="1">
        <f>DATE(C120, CHOOSE(MATCH(UPPER(B120), {"ENERO","FEBRERO","MARZO","ABRIL","MAYO","JUNIO","JULIO","AGOSTO","SEPTIEMBRE","OCTUBRE","NOVIEMBRE","DICIEMBRE"}, 0), 1,2,3,4,5,6,7,8,9,10,11,12), A120)</f>
        <v>43584</v>
      </c>
      <c r="H120">
        <v>12.5</v>
      </c>
      <c r="I120">
        <v>36000</v>
      </c>
      <c r="J120" s="1">
        <f t="shared" si="3"/>
        <v>43585</v>
      </c>
      <c r="K120">
        <f t="shared" si="2"/>
        <v>54.25</v>
      </c>
    </row>
    <row r="121" spans="1:11" x14ac:dyDescent="0.25">
      <c r="A121">
        <v>30</v>
      </c>
      <c r="B121" t="s">
        <v>13</v>
      </c>
      <c r="C121">
        <v>2019</v>
      </c>
      <c r="D121">
        <v>107</v>
      </c>
      <c r="E121" t="s">
        <v>9</v>
      </c>
      <c r="F121">
        <v>52.75</v>
      </c>
      <c r="G121" s="1">
        <f>DATE(C121, CHOOSE(MATCH(UPPER(B121), {"ENERO","FEBRERO","MARZO","ABRIL","MAYO","JUNIO","JULIO","AGOSTO","SEPTIEMBRE","OCTUBRE","NOVIEMBRE","DICIEMBRE"}, 0), 1,2,3,4,5,6,7,8,9,10,11,12), A121)</f>
        <v>43585</v>
      </c>
      <c r="H121">
        <v>54.25</v>
      </c>
      <c r="I121">
        <v>36000</v>
      </c>
      <c r="J121" s="1">
        <f t="shared" si="3"/>
        <v>43586</v>
      </c>
      <c r="K121">
        <f t="shared" si="2"/>
        <v>68.75</v>
      </c>
    </row>
    <row r="122" spans="1:11" x14ac:dyDescent="0.25">
      <c r="A122">
        <v>1</v>
      </c>
      <c r="B122" t="s">
        <v>14</v>
      </c>
      <c r="C122">
        <v>2019</v>
      </c>
      <c r="D122">
        <v>52.75</v>
      </c>
      <c r="E122">
        <v>30</v>
      </c>
      <c r="F122">
        <v>14</v>
      </c>
      <c r="G122" s="1">
        <f>DATE(C122, CHOOSE(MATCH(UPPER(B122), {"ENERO","FEBRERO","MARZO","ABRIL","MAYO","JUNIO","JULIO","AGOSTO","SEPTIEMBRE","OCTUBRE","NOVIEMBRE","DICIEMBRE"}, 0), 1,2,3,4,5,6,7,8,9,10,11,12), A122)</f>
        <v>43586</v>
      </c>
      <c r="H122">
        <v>68.75</v>
      </c>
      <c r="I122">
        <v>36000</v>
      </c>
      <c r="J122" s="1">
        <f t="shared" si="3"/>
        <v>43587</v>
      </c>
      <c r="K122">
        <f t="shared" si="2"/>
        <v>21.75</v>
      </c>
    </row>
    <row r="123" spans="1:11" x14ac:dyDescent="0.25">
      <c r="A123">
        <v>2</v>
      </c>
      <c r="B123" t="s">
        <v>14</v>
      </c>
      <c r="C123">
        <v>2019</v>
      </c>
      <c r="D123">
        <v>14</v>
      </c>
      <c r="E123">
        <v>150</v>
      </c>
      <c r="F123">
        <v>142.25</v>
      </c>
      <c r="G123" s="1">
        <f>DATE(C123, CHOOSE(MATCH(UPPER(B123), {"ENERO","FEBRERO","MARZO","ABRIL","MAYO","JUNIO","JULIO","AGOSTO","SEPTIEMBRE","OCTUBRE","NOVIEMBRE","DICIEMBRE"}, 0), 1,2,3,4,5,6,7,8,9,10,11,12), A123)</f>
        <v>43587</v>
      </c>
      <c r="H123">
        <v>21.75</v>
      </c>
      <c r="I123">
        <v>36000</v>
      </c>
      <c r="J123" s="1">
        <f t="shared" si="3"/>
        <v>43588</v>
      </c>
      <c r="K123">
        <f t="shared" si="2"/>
        <v>30.875</v>
      </c>
    </row>
    <row r="124" spans="1:11" x14ac:dyDescent="0.25">
      <c r="A124">
        <v>3</v>
      </c>
      <c r="B124" t="s">
        <v>14</v>
      </c>
      <c r="C124">
        <v>2019</v>
      </c>
      <c r="D124">
        <v>142.25</v>
      </c>
      <c r="E124" t="s">
        <v>9</v>
      </c>
      <c r="F124">
        <v>111.375</v>
      </c>
      <c r="G124" s="1">
        <f>DATE(C124, CHOOSE(MATCH(UPPER(B124), {"ENERO","FEBRERO","MARZO","ABRIL","MAYO","JUNIO","JULIO","AGOSTO","SEPTIEMBRE","OCTUBRE","NOVIEMBRE","DICIEMBRE"}, 0), 1,2,3,4,5,6,7,8,9,10,11,12), A124)</f>
        <v>43588</v>
      </c>
      <c r="H124">
        <v>30.875</v>
      </c>
      <c r="I124">
        <v>36000</v>
      </c>
      <c r="J124" s="1">
        <f t="shared" si="3"/>
        <v>43589</v>
      </c>
      <c r="K124">
        <f t="shared" si="2"/>
        <v>51.375</v>
      </c>
    </row>
    <row r="125" spans="1:11" x14ac:dyDescent="0.25">
      <c r="A125">
        <v>4</v>
      </c>
      <c r="B125" t="s">
        <v>14</v>
      </c>
      <c r="C125">
        <v>2019</v>
      </c>
      <c r="D125">
        <v>111.375</v>
      </c>
      <c r="E125" t="s">
        <v>9</v>
      </c>
      <c r="F125">
        <v>60</v>
      </c>
      <c r="G125" s="1">
        <f>DATE(C125, CHOOSE(MATCH(UPPER(B125), {"ENERO","FEBRERO","MARZO","ABRIL","MAYO","JUNIO","JULIO","AGOSTO","SEPTIEMBRE","OCTUBRE","NOVIEMBRE","DICIEMBRE"}, 0), 1,2,3,4,5,6,7,8,9,10,11,12), A125)</f>
        <v>43589</v>
      </c>
      <c r="H125">
        <v>51.375</v>
      </c>
      <c r="I125">
        <v>36000</v>
      </c>
      <c r="J125" s="1">
        <f t="shared" si="3"/>
        <v>43590</v>
      </c>
      <c r="K125">
        <f t="shared" si="2"/>
        <v>47.75</v>
      </c>
    </row>
    <row r="126" spans="1:11" x14ac:dyDescent="0.25">
      <c r="A126">
        <v>5</v>
      </c>
      <c r="B126" t="s">
        <v>14</v>
      </c>
      <c r="C126">
        <v>2019</v>
      </c>
      <c r="D126">
        <v>60</v>
      </c>
      <c r="E126" t="s">
        <v>9</v>
      </c>
      <c r="F126">
        <v>12.25</v>
      </c>
      <c r="G126" s="1">
        <f>DATE(C126, CHOOSE(MATCH(UPPER(B126), {"ENERO","FEBRERO","MARZO","ABRIL","MAYO","JUNIO","JULIO","AGOSTO","SEPTIEMBRE","OCTUBRE","NOVIEMBRE","DICIEMBRE"}, 0), 1,2,3,4,5,6,7,8,9,10,11,12), A126)</f>
        <v>43590</v>
      </c>
      <c r="H126">
        <v>47.75</v>
      </c>
      <c r="I126">
        <v>36000</v>
      </c>
      <c r="J126" s="1">
        <f t="shared" si="3"/>
        <v>43591</v>
      </c>
      <c r="K126">
        <f t="shared" si="2"/>
        <v>10.25</v>
      </c>
    </row>
    <row r="127" spans="1:11" x14ac:dyDescent="0.25">
      <c r="A127">
        <v>6</v>
      </c>
      <c r="B127" t="s">
        <v>14</v>
      </c>
      <c r="C127">
        <v>2019</v>
      </c>
      <c r="D127">
        <v>12.25</v>
      </c>
      <c r="E127">
        <v>151</v>
      </c>
      <c r="F127">
        <v>153</v>
      </c>
      <c r="G127" s="1">
        <f>DATE(C127, CHOOSE(MATCH(UPPER(B127), {"ENERO","FEBRERO","MARZO","ABRIL","MAYO","JUNIO","JULIO","AGOSTO","SEPTIEMBRE","OCTUBRE","NOVIEMBRE","DICIEMBRE"}, 0), 1,2,3,4,5,6,7,8,9,10,11,12), A127)</f>
        <v>43591</v>
      </c>
      <c r="H127">
        <v>10.25</v>
      </c>
      <c r="I127">
        <v>36000</v>
      </c>
      <c r="J127" s="1">
        <f t="shared" si="3"/>
        <v>43592</v>
      </c>
      <c r="K127">
        <f t="shared" si="2"/>
        <v>27.5</v>
      </c>
    </row>
    <row r="128" spans="1:11" x14ac:dyDescent="0.25">
      <c r="A128">
        <v>7</v>
      </c>
      <c r="B128" t="s">
        <v>14</v>
      </c>
      <c r="C128">
        <v>2019</v>
      </c>
      <c r="D128">
        <v>153</v>
      </c>
      <c r="E128" t="s">
        <v>9</v>
      </c>
      <c r="F128">
        <v>125.5</v>
      </c>
      <c r="G128" s="1">
        <f>DATE(C128, CHOOSE(MATCH(UPPER(B128), {"ENERO","FEBRERO","MARZO","ABRIL","MAYO","JUNIO","JULIO","AGOSTO","SEPTIEMBRE","OCTUBRE","NOVIEMBRE","DICIEMBRE"}, 0), 1,2,3,4,5,6,7,8,9,10,11,12), A128)</f>
        <v>43592</v>
      </c>
      <c r="H128">
        <v>27.5</v>
      </c>
      <c r="I128">
        <v>36000</v>
      </c>
      <c r="J128" s="1">
        <f t="shared" si="3"/>
        <v>43593</v>
      </c>
      <c r="K128">
        <f t="shared" si="2"/>
        <v>16</v>
      </c>
    </row>
    <row r="129" spans="1:11" x14ac:dyDescent="0.25">
      <c r="A129">
        <v>8</v>
      </c>
      <c r="B129" t="s">
        <v>14</v>
      </c>
      <c r="C129">
        <v>2019</v>
      </c>
      <c r="D129">
        <v>125.5</v>
      </c>
      <c r="E129" t="s">
        <v>9</v>
      </c>
      <c r="F129">
        <v>109.5</v>
      </c>
      <c r="G129" s="1">
        <f>DATE(C129, CHOOSE(MATCH(UPPER(B129), {"ENERO","FEBRERO","MARZO","ABRIL","MAYO","JUNIO","JULIO","AGOSTO","SEPTIEMBRE","OCTUBRE","NOVIEMBRE","DICIEMBRE"}, 0), 1,2,3,4,5,6,7,8,9,10,11,12), A129)</f>
        <v>43593</v>
      </c>
      <c r="H129">
        <v>16</v>
      </c>
      <c r="I129">
        <v>36000</v>
      </c>
      <c r="J129" s="1">
        <f t="shared" si="3"/>
        <v>43594</v>
      </c>
      <c r="K129">
        <f t="shared" si="2"/>
        <v>27.25</v>
      </c>
    </row>
    <row r="130" spans="1:11" x14ac:dyDescent="0.25">
      <c r="A130">
        <v>9</v>
      </c>
      <c r="B130" t="s">
        <v>14</v>
      </c>
      <c r="C130">
        <v>2019</v>
      </c>
      <c r="D130">
        <v>109.5</v>
      </c>
      <c r="E130">
        <v>60</v>
      </c>
      <c r="F130">
        <v>142.25</v>
      </c>
      <c r="G130" s="1">
        <f>DATE(C130, CHOOSE(MATCH(UPPER(B130), {"ENERO","FEBRERO","MARZO","ABRIL","MAYO","JUNIO","JULIO","AGOSTO","SEPTIEMBRE","OCTUBRE","NOVIEMBRE","DICIEMBRE"}, 0), 1,2,3,4,5,6,7,8,9,10,11,12), A130)</f>
        <v>43594</v>
      </c>
      <c r="H130">
        <v>27.25</v>
      </c>
      <c r="I130">
        <v>36000</v>
      </c>
      <c r="J130" s="1">
        <f t="shared" si="3"/>
        <v>43595</v>
      </c>
      <c r="K130">
        <f t="shared" ref="K130:K193" si="4">VLOOKUP(J130, G:H, 2, FALSE)</f>
        <v>24.75</v>
      </c>
    </row>
    <row r="131" spans="1:11" x14ac:dyDescent="0.25">
      <c r="A131">
        <v>10</v>
      </c>
      <c r="B131" t="s">
        <v>14</v>
      </c>
      <c r="C131">
        <v>2019</v>
      </c>
      <c r="D131">
        <v>142.25</v>
      </c>
      <c r="E131" t="s">
        <v>9</v>
      </c>
      <c r="F131">
        <v>117.5</v>
      </c>
      <c r="G131" s="1">
        <f>DATE(C131, CHOOSE(MATCH(UPPER(B131), {"ENERO","FEBRERO","MARZO","ABRIL","MAYO","JUNIO","JULIO","AGOSTO","SEPTIEMBRE","OCTUBRE","NOVIEMBRE","DICIEMBRE"}, 0), 1,2,3,4,5,6,7,8,9,10,11,12), A131)</f>
        <v>43595</v>
      </c>
      <c r="H131">
        <v>24.75</v>
      </c>
      <c r="I131">
        <v>36000</v>
      </c>
      <c r="J131" s="1">
        <f t="shared" si="3"/>
        <v>43596</v>
      </c>
      <c r="K131">
        <f t="shared" si="4"/>
        <v>46.5</v>
      </c>
    </row>
    <row r="132" spans="1:11" x14ac:dyDescent="0.25">
      <c r="A132">
        <v>11</v>
      </c>
      <c r="B132" t="s">
        <v>14</v>
      </c>
      <c r="C132">
        <v>2019</v>
      </c>
      <c r="D132">
        <v>117.5</v>
      </c>
      <c r="E132" t="s">
        <v>9</v>
      </c>
      <c r="F132">
        <v>71</v>
      </c>
      <c r="G132" s="1">
        <f>DATE(C132, CHOOSE(MATCH(UPPER(B132), {"ENERO","FEBRERO","MARZO","ABRIL","MAYO","JUNIO","JULIO","AGOSTO","SEPTIEMBRE","OCTUBRE","NOVIEMBRE","DICIEMBRE"}, 0), 1,2,3,4,5,6,7,8,9,10,11,12), A132)</f>
        <v>43596</v>
      </c>
      <c r="H132">
        <v>46.5</v>
      </c>
      <c r="I132">
        <v>36000</v>
      </c>
      <c r="J132" s="1">
        <f t="shared" ref="J132:J195" si="5">DATE(2019,1,1) + ROW()-1</f>
        <v>43597</v>
      </c>
      <c r="K132">
        <f t="shared" si="4"/>
        <v>27</v>
      </c>
    </row>
    <row r="133" spans="1:11" x14ac:dyDescent="0.25">
      <c r="A133">
        <v>12</v>
      </c>
      <c r="B133" t="s">
        <v>14</v>
      </c>
      <c r="C133">
        <v>2019</v>
      </c>
      <c r="D133">
        <v>71</v>
      </c>
      <c r="E133" t="s">
        <v>9</v>
      </c>
      <c r="F133">
        <v>44</v>
      </c>
      <c r="G133" s="1">
        <f>DATE(C133, CHOOSE(MATCH(UPPER(B133), {"ENERO","FEBRERO","MARZO","ABRIL","MAYO","JUNIO","JULIO","AGOSTO","SEPTIEMBRE","OCTUBRE","NOVIEMBRE","DICIEMBRE"}, 0), 1,2,3,4,5,6,7,8,9,10,11,12), A133)</f>
        <v>43597</v>
      </c>
      <c r="H133">
        <v>27</v>
      </c>
      <c r="I133">
        <v>36000</v>
      </c>
      <c r="J133" s="1">
        <f t="shared" si="5"/>
        <v>43598</v>
      </c>
      <c r="K133">
        <f t="shared" si="4"/>
        <v>11</v>
      </c>
    </row>
    <row r="134" spans="1:11" x14ac:dyDescent="0.25">
      <c r="A134">
        <v>13</v>
      </c>
      <c r="B134" t="s">
        <v>14</v>
      </c>
      <c r="C134">
        <v>2019</v>
      </c>
      <c r="D134">
        <v>44</v>
      </c>
      <c r="E134" t="s">
        <v>9</v>
      </c>
      <c r="F134">
        <v>33</v>
      </c>
      <c r="G134" s="1">
        <f>DATE(C134, CHOOSE(MATCH(UPPER(B134), {"ENERO","FEBRERO","MARZO","ABRIL","MAYO","JUNIO","JULIO","AGOSTO","SEPTIEMBRE","OCTUBRE","NOVIEMBRE","DICIEMBRE"}, 0), 1,2,3,4,5,6,7,8,9,10,11,12), A134)</f>
        <v>43598</v>
      </c>
      <c r="H134">
        <v>11</v>
      </c>
      <c r="I134">
        <v>36000</v>
      </c>
      <c r="J134" s="1">
        <f t="shared" si="5"/>
        <v>43599</v>
      </c>
      <c r="K134">
        <f t="shared" si="4"/>
        <v>23</v>
      </c>
    </row>
    <row r="135" spans="1:11" x14ac:dyDescent="0.25">
      <c r="A135">
        <v>14</v>
      </c>
      <c r="B135" t="s">
        <v>14</v>
      </c>
      <c r="C135">
        <v>2019</v>
      </c>
      <c r="D135">
        <v>33</v>
      </c>
      <c r="E135">
        <v>30</v>
      </c>
      <c r="F135">
        <v>40</v>
      </c>
      <c r="G135" s="1">
        <f>DATE(C135, CHOOSE(MATCH(UPPER(B135), {"ENERO","FEBRERO","MARZO","ABRIL","MAYO","JUNIO","JULIO","AGOSTO","SEPTIEMBRE","OCTUBRE","NOVIEMBRE","DICIEMBRE"}, 0), 1,2,3,4,5,6,7,8,9,10,11,12), A135)</f>
        <v>43599</v>
      </c>
      <c r="H135">
        <v>23</v>
      </c>
      <c r="I135">
        <v>36000</v>
      </c>
      <c r="J135" s="1">
        <f t="shared" si="5"/>
        <v>43600</v>
      </c>
      <c r="K135">
        <f t="shared" si="4"/>
        <v>23</v>
      </c>
    </row>
    <row r="136" spans="1:11" x14ac:dyDescent="0.25">
      <c r="A136">
        <v>15</v>
      </c>
      <c r="B136" t="s">
        <v>14</v>
      </c>
      <c r="C136">
        <v>2019</v>
      </c>
      <c r="D136">
        <v>40</v>
      </c>
      <c r="E136" t="s">
        <v>9</v>
      </c>
      <c r="F136">
        <v>17</v>
      </c>
      <c r="G136" s="1">
        <f>DATE(C136, CHOOSE(MATCH(UPPER(B136), {"ENERO","FEBRERO","MARZO","ABRIL","MAYO","JUNIO","JULIO","AGOSTO","SEPTIEMBRE","OCTUBRE","NOVIEMBRE","DICIEMBRE"}, 0), 1,2,3,4,5,6,7,8,9,10,11,12), A136)</f>
        <v>43600</v>
      </c>
      <c r="H136">
        <v>23</v>
      </c>
      <c r="I136">
        <v>36000</v>
      </c>
      <c r="J136" s="1">
        <f t="shared" si="5"/>
        <v>43601</v>
      </c>
      <c r="K136">
        <f t="shared" si="4"/>
        <v>12</v>
      </c>
    </row>
    <row r="137" spans="1:11" x14ac:dyDescent="0.25">
      <c r="A137">
        <v>16</v>
      </c>
      <c r="B137" t="s">
        <v>14</v>
      </c>
      <c r="C137">
        <v>2019</v>
      </c>
      <c r="D137">
        <v>17</v>
      </c>
      <c r="E137">
        <v>120</v>
      </c>
      <c r="F137">
        <v>125</v>
      </c>
      <c r="G137" s="1">
        <f>DATE(C137, CHOOSE(MATCH(UPPER(B137), {"ENERO","FEBRERO","MARZO","ABRIL","MAYO","JUNIO","JULIO","AGOSTO","SEPTIEMBRE","OCTUBRE","NOVIEMBRE","DICIEMBRE"}, 0), 1,2,3,4,5,6,7,8,9,10,11,12), A137)</f>
        <v>43601</v>
      </c>
      <c r="H137">
        <v>12</v>
      </c>
      <c r="I137">
        <v>36000</v>
      </c>
      <c r="J137" s="1">
        <f t="shared" si="5"/>
        <v>43602</v>
      </c>
      <c r="K137">
        <f t="shared" si="4"/>
        <v>29</v>
      </c>
    </row>
    <row r="138" spans="1:11" x14ac:dyDescent="0.25">
      <c r="A138">
        <v>17</v>
      </c>
      <c r="B138" t="s">
        <v>14</v>
      </c>
      <c r="C138">
        <v>2019</v>
      </c>
      <c r="D138">
        <v>125</v>
      </c>
      <c r="E138" t="s">
        <v>9</v>
      </c>
      <c r="F138">
        <v>96</v>
      </c>
      <c r="G138" s="1">
        <f>DATE(C138, CHOOSE(MATCH(UPPER(B138), {"ENERO","FEBRERO","MARZO","ABRIL","MAYO","JUNIO","JULIO","AGOSTO","SEPTIEMBRE","OCTUBRE","NOVIEMBRE","DICIEMBRE"}, 0), 1,2,3,4,5,6,7,8,9,10,11,12), A138)</f>
        <v>43602</v>
      </c>
      <c r="H138">
        <v>29</v>
      </c>
      <c r="I138">
        <v>36000</v>
      </c>
      <c r="J138" s="1">
        <f t="shared" si="5"/>
        <v>43603</v>
      </c>
      <c r="K138">
        <f t="shared" si="4"/>
        <v>30</v>
      </c>
    </row>
    <row r="139" spans="1:11" x14ac:dyDescent="0.25">
      <c r="A139">
        <v>18</v>
      </c>
      <c r="B139" t="s">
        <v>14</v>
      </c>
      <c r="C139">
        <v>2019</v>
      </c>
      <c r="D139">
        <v>96</v>
      </c>
      <c r="E139" t="s">
        <v>9</v>
      </c>
      <c r="F139">
        <v>66</v>
      </c>
      <c r="G139" s="1">
        <f>DATE(C139, CHOOSE(MATCH(UPPER(B139), {"ENERO","FEBRERO","MARZO","ABRIL","MAYO","JUNIO","JULIO","AGOSTO","SEPTIEMBRE","OCTUBRE","NOVIEMBRE","DICIEMBRE"}, 0), 1,2,3,4,5,6,7,8,9,10,11,12), A139)</f>
        <v>43603</v>
      </c>
      <c r="H139">
        <v>30</v>
      </c>
      <c r="I139">
        <v>36000</v>
      </c>
      <c r="J139" s="1">
        <f t="shared" si="5"/>
        <v>43604</v>
      </c>
      <c r="K139">
        <f t="shared" si="4"/>
        <v>39</v>
      </c>
    </row>
    <row r="140" spans="1:11" x14ac:dyDescent="0.25">
      <c r="A140">
        <v>19</v>
      </c>
      <c r="B140" t="s">
        <v>14</v>
      </c>
      <c r="C140">
        <v>2019</v>
      </c>
      <c r="D140">
        <v>66</v>
      </c>
      <c r="E140" t="s">
        <v>9</v>
      </c>
      <c r="F140">
        <v>27</v>
      </c>
      <c r="G140" s="1">
        <f>DATE(C140, CHOOSE(MATCH(UPPER(B140), {"ENERO","FEBRERO","MARZO","ABRIL","MAYO","JUNIO","JULIO","AGOSTO","SEPTIEMBRE","OCTUBRE","NOVIEMBRE","DICIEMBRE"}, 0), 1,2,3,4,5,6,7,8,9,10,11,12), A140)</f>
        <v>43604</v>
      </c>
      <c r="H140">
        <v>39</v>
      </c>
      <c r="I140">
        <v>36000</v>
      </c>
      <c r="J140" s="1">
        <f t="shared" si="5"/>
        <v>43605</v>
      </c>
      <c r="K140">
        <f t="shared" si="4"/>
        <v>16.5</v>
      </c>
    </row>
    <row r="141" spans="1:11" x14ac:dyDescent="0.25">
      <c r="A141">
        <v>20</v>
      </c>
      <c r="B141" t="s">
        <v>14</v>
      </c>
      <c r="C141">
        <v>2019</v>
      </c>
      <c r="D141">
        <v>27</v>
      </c>
      <c r="E141" t="s">
        <v>9</v>
      </c>
      <c r="F141">
        <v>10.5</v>
      </c>
      <c r="G141" s="1">
        <f>DATE(C141, CHOOSE(MATCH(UPPER(B141), {"ENERO","FEBRERO","MARZO","ABRIL","MAYO","JUNIO","JULIO","AGOSTO","SEPTIEMBRE","OCTUBRE","NOVIEMBRE","DICIEMBRE"}, 0), 1,2,3,4,5,6,7,8,9,10,11,12), A141)</f>
        <v>43605</v>
      </c>
      <c r="H141">
        <v>16.5</v>
      </c>
      <c r="I141">
        <v>36000</v>
      </c>
      <c r="J141" s="1">
        <f t="shared" si="5"/>
        <v>43606</v>
      </c>
      <c r="K141">
        <f t="shared" si="4"/>
        <v>15.5</v>
      </c>
    </row>
    <row r="142" spans="1:11" x14ac:dyDescent="0.25">
      <c r="A142">
        <v>21</v>
      </c>
      <c r="B142" t="s">
        <v>14</v>
      </c>
      <c r="C142">
        <v>2019</v>
      </c>
      <c r="D142">
        <v>10.5</v>
      </c>
      <c r="E142">
        <v>85</v>
      </c>
      <c r="F142">
        <v>80</v>
      </c>
      <c r="G142" s="1">
        <f>DATE(C142, CHOOSE(MATCH(UPPER(B142), {"ENERO","FEBRERO","MARZO","ABRIL","MAYO","JUNIO","JULIO","AGOSTO","SEPTIEMBRE","OCTUBRE","NOVIEMBRE","DICIEMBRE"}, 0), 1,2,3,4,5,6,7,8,9,10,11,12), A142)</f>
        <v>43606</v>
      </c>
      <c r="H142">
        <v>15.5</v>
      </c>
      <c r="I142">
        <v>36000</v>
      </c>
      <c r="J142" s="1">
        <f t="shared" si="5"/>
        <v>43607</v>
      </c>
      <c r="K142">
        <f t="shared" si="4"/>
        <v>22.625</v>
      </c>
    </row>
    <row r="143" spans="1:11" x14ac:dyDescent="0.25">
      <c r="A143">
        <v>22</v>
      </c>
      <c r="B143" t="s">
        <v>14</v>
      </c>
      <c r="C143">
        <v>2019</v>
      </c>
      <c r="D143">
        <v>80</v>
      </c>
      <c r="E143" t="s">
        <v>9</v>
      </c>
      <c r="F143">
        <v>57.375</v>
      </c>
      <c r="G143" s="1">
        <f>DATE(C143, CHOOSE(MATCH(UPPER(B143), {"ENERO","FEBRERO","MARZO","ABRIL","MAYO","JUNIO","JULIO","AGOSTO","SEPTIEMBRE","OCTUBRE","NOVIEMBRE","DICIEMBRE"}, 0), 1,2,3,4,5,6,7,8,9,10,11,12), A143)</f>
        <v>43607</v>
      </c>
      <c r="H143">
        <v>22.625</v>
      </c>
      <c r="I143">
        <v>36000</v>
      </c>
      <c r="J143" s="1">
        <f t="shared" si="5"/>
        <v>43608</v>
      </c>
      <c r="K143">
        <f t="shared" si="4"/>
        <v>13</v>
      </c>
    </row>
    <row r="144" spans="1:11" x14ac:dyDescent="0.25">
      <c r="A144">
        <v>23</v>
      </c>
      <c r="B144" t="s">
        <v>14</v>
      </c>
      <c r="C144">
        <v>2019</v>
      </c>
      <c r="D144">
        <v>57.375</v>
      </c>
      <c r="E144" t="s">
        <v>9</v>
      </c>
      <c r="F144">
        <v>44.375</v>
      </c>
      <c r="G144" s="1">
        <f>DATE(C144, CHOOSE(MATCH(UPPER(B144), {"ENERO","FEBRERO","MARZO","ABRIL","MAYO","JUNIO","JULIO","AGOSTO","SEPTIEMBRE","OCTUBRE","NOVIEMBRE","DICIEMBRE"}, 0), 1,2,3,4,5,6,7,8,9,10,11,12), A144)</f>
        <v>43608</v>
      </c>
      <c r="H144">
        <v>13</v>
      </c>
      <c r="I144">
        <v>36000</v>
      </c>
      <c r="J144" s="1">
        <f t="shared" si="5"/>
        <v>43609</v>
      </c>
      <c r="K144">
        <f t="shared" si="4"/>
        <v>21.25</v>
      </c>
    </row>
    <row r="145" spans="1:11" x14ac:dyDescent="0.25">
      <c r="A145">
        <v>24</v>
      </c>
      <c r="B145" t="s">
        <v>14</v>
      </c>
      <c r="C145">
        <v>2019</v>
      </c>
      <c r="D145">
        <v>44.375</v>
      </c>
      <c r="E145" t="s">
        <v>9</v>
      </c>
      <c r="F145">
        <v>23.125</v>
      </c>
      <c r="G145" s="1">
        <f>DATE(C145, CHOOSE(MATCH(UPPER(B145), {"ENERO","FEBRERO","MARZO","ABRIL","MAYO","JUNIO","JULIO","AGOSTO","SEPTIEMBRE","OCTUBRE","NOVIEMBRE","DICIEMBRE"}, 0), 1,2,3,4,5,6,7,8,9,10,11,12), A145)</f>
        <v>43609</v>
      </c>
      <c r="H145">
        <v>21.25</v>
      </c>
      <c r="I145">
        <v>36000</v>
      </c>
      <c r="J145" s="1">
        <f t="shared" si="5"/>
        <v>43610</v>
      </c>
      <c r="K145">
        <f t="shared" si="4"/>
        <v>33.125</v>
      </c>
    </row>
    <row r="146" spans="1:11" x14ac:dyDescent="0.25">
      <c r="A146">
        <v>25</v>
      </c>
      <c r="B146" t="s">
        <v>14</v>
      </c>
      <c r="C146">
        <v>2019</v>
      </c>
      <c r="D146">
        <v>23.125</v>
      </c>
      <c r="E146">
        <v>120</v>
      </c>
      <c r="F146">
        <v>110</v>
      </c>
      <c r="G146" s="1">
        <f>DATE(C146, CHOOSE(MATCH(UPPER(B146), {"ENERO","FEBRERO","MARZO","ABRIL","MAYO","JUNIO","JULIO","AGOSTO","SEPTIEMBRE","OCTUBRE","NOVIEMBRE","DICIEMBRE"}, 0), 1,2,3,4,5,6,7,8,9,10,11,12), A146)</f>
        <v>43610</v>
      </c>
      <c r="H146">
        <v>33.125</v>
      </c>
      <c r="I146">
        <v>36000</v>
      </c>
      <c r="J146" s="1">
        <f t="shared" si="5"/>
        <v>43611</v>
      </c>
      <c r="K146">
        <f t="shared" si="4"/>
        <v>45.75</v>
      </c>
    </row>
    <row r="147" spans="1:11" x14ac:dyDescent="0.25">
      <c r="A147">
        <v>26</v>
      </c>
      <c r="B147" t="s">
        <v>14</v>
      </c>
      <c r="C147">
        <v>2019</v>
      </c>
      <c r="D147">
        <v>110</v>
      </c>
      <c r="E147" t="s">
        <v>9</v>
      </c>
      <c r="F147">
        <v>64.25</v>
      </c>
      <c r="G147" s="1">
        <f>DATE(C147, CHOOSE(MATCH(UPPER(B147), {"ENERO","FEBRERO","MARZO","ABRIL","MAYO","JUNIO","JULIO","AGOSTO","SEPTIEMBRE","OCTUBRE","NOVIEMBRE","DICIEMBRE"}, 0), 1,2,3,4,5,6,7,8,9,10,11,12), A147)</f>
        <v>43611</v>
      </c>
      <c r="H147">
        <v>45.75</v>
      </c>
      <c r="I147">
        <v>36000</v>
      </c>
      <c r="J147" s="1">
        <f t="shared" si="5"/>
        <v>43612</v>
      </c>
      <c r="K147">
        <f t="shared" si="4"/>
        <v>9.25</v>
      </c>
    </row>
    <row r="148" spans="1:11" x14ac:dyDescent="0.25">
      <c r="A148">
        <v>27</v>
      </c>
      <c r="B148" t="s">
        <v>14</v>
      </c>
      <c r="C148">
        <v>2019</v>
      </c>
      <c r="D148">
        <v>64.25</v>
      </c>
      <c r="E148" t="s">
        <v>9</v>
      </c>
      <c r="F148">
        <v>55</v>
      </c>
      <c r="G148" s="1">
        <f>DATE(C148, CHOOSE(MATCH(UPPER(B148), {"ENERO","FEBRERO","MARZO","ABRIL","MAYO","JUNIO","JULIO","AGOSTO","SEPTIEMBRE","OCTUBRE","NOVIEMBRE","DICIEMBRE"}, 0), 1,2,3,4,5,6,7,8,9,10,11,12), A148)</f>
        <v>43612</v>
      </c>
      <c r="H148">
        <v>9.25</v>
      </c>
      <c r="I148">
        <v>36000</v>
      </c>
      <c r="J148" s="1">
        <f t="shared" si="5"/>
        <v>43613</v>
      </c>
      <c r="K148">
        <f t="shared" si="4"/>
        <v>20.625</v>
      </c>
    </row>
    <row r="149" spans="1:11" x14ac:dyDescent="0.25">
      <c r="A149">
        <v>28</v>
      </c>
      <c r="B149" t="s">
        <v>14</v>
      </c>
      <c r="C149">
        <v>2019</v>
      </c>
      <c r="D149">
        <v>55</v>
      </c>
      <c r="E149" t="s">
        <v>9</v>
      </c>
      <c r="F149">
        <v>34.375</v>
      </c>
      <c r="G149" s="1">
        <f>DATE(C149, CHOOSE(MATCH(UPPER(B149), {"ENERO","FEBRERO","MARZO","ABRIL","MAYO","JUNIO","JULIO","AGOSTO","SEPTIEMBRE","OCTUBRE","NOVIEMBRE","DICIEMBRE"}, 0), 1,2,3,4,5,6,7,8,9,10,11,12), A149)</f>
        <v>43613</v>
      </c>
      <c r="H149">
        <v>20.625</v>
      </c>
      <c r="I149">
        <v>36000</v>
      </c>
      <c r="J149" s="1">
        <f t="shared" si="5"/>
        <v>43614</v>
      </c>
      <c r="K149">
        <f t="shared" si="4"/>
        <v>22.625</v>
      </c>
    </row>
    <row r="150" spans="1:11" x14ac:dyDescent="0.25">
      <c r="A150">
        <v>29</v>
      </c>
      <c r="B150" t="s">
        <v>14</v>
      </c>
      <c r="C150">
        <v>2019</v>
      </c>
      <c r="D150">
        <v>34.375</v>
      </c>
      <c r="E150">
        <v>100</v>
      </c>
      <c r="F150">
        <v>111.75</v>
      </c>
      <c r="G150" s="1">
        <f>DATE(C150, CHOOSE(MATCH(UPPER(B150), {"ENERO","FEBRERO","MARZO","ABRIL","MAYO","JUNIO","JULIO","AGOSTO","SEPTIEMBRE","OCTUBRE","NOVIEMBRE","DICIEMBRE"}, 0), 1,2,3,4,5,6,7,8,9,10,11,12), A150)</f>
        <v>43614</v>
      </c>
      <c r="H150">
        <v>22.625</v>
      </c>
      <c r="I150">
        <v>36000</v>
      </c>
      <c r="J150" s="1">
        <f t="shared" si="5"/>
        <v>43615</v>
      </c>
      <c r="K150">
        <f t="shared" si="4"/>
        <v>17.125</v>
      </c>
    </row>
    <row r="151" spans="1:11" x14ac:dyDescent="0.25">
      <c r="A151">
        <v>30</v>
      </c>
      <c r="B151" t="s">
        <v>14</v>
      </c>
      <c r="C151">
        <v>2019</v>
      </c>
      <c r="D151">
        <v>111.75</v>
      </c>
      <c r="E151" t="s">
        <v>9</v>
      </c>
      <c r="F151">
        <v>94.625</v>
      </c>
      <c r="G151" s="1">
        <f>DATE(C151, CHOOSE(MATCH(UPPER(B151), {"ENERO","FEBRERO","MARZO","ABRIL","MAYO","JUNIO","JULIO","AGOSTO","SEPTIEMBRE","OCTUBRE","NOVIEMBRE","DICIEMBRE"}, 0), 1,2,3,4,5,6,7,8,9,10,11,12), A151)</f>
        <v>43615</v>
      </c>
      <c r="H151">
        <v>17.125</v>
      </c>
      <c r="I151">
        <v>36000</v>
      </c>
      <c r="J151" s="1">
        <f t="shared" si="5"/>
        <v>43616</v>
      </c>
      <c r="K151">
        <f t="shared" si="4"/>
        <v>19.625</v>
      </c>
    </row>
    <row r="152" spans="1:11" x14ac:dyDescent="0.25">
      <c r="A152">
        <v>31</v>
      </c>
      <c r="B152" t="s">
        <v>14</v>
      </c>
      <c r="C152">
        <v>2019</v>
      </c>
      <c r="D152">
        <v>94.625</v>
      </c>
      <c r="E152" t="s">
        <v>9</v>
      </c>
      <c r="F152">
        <v>75</v>
      </c>
      <c r="G152" s="1">
        <f>DATE(C152, CHOOSE(MATCH(UPPER(B152), {"ENERO","FEBRERO","MARZO","ABRIL","MAYO","JUNIO","JULIO","AGOSTO","SEPTIEMBRE","OCTUBRE","NOVIEMBRE","DICIEMBRE"}, 0), 1,2,3,4,5,6,7,8,9,10,11,12), A152)</f>
        <v>43616</v>
      </c>
      <c r="H152">
        <v>19.625</v>
      </c>
      <c r="I152">
        <v>36000</v>
      </c>
      <c r="J152" s="1">
        <f t="shared" si="5"/>
        <v>43617</v>
      </c>
      <c r="K152">
        <f t="shared" si="4"/>
        <v>47.5</v>
      </c>
    </row>
    <row r="153" spans="1:11" x14ac:dyDescent="0.25">
      <c r="A153">
        <v>1</v>
      </c>
      <c r="B153" t="s">
        <v>15</v>
      </c>
      <c r="C153">
        <v>2019</v>
      </c>
      <c r="D153">
        <v>75</v>
      </c>
      <c r="E153" t="s">
        <v>9</v>
      </c>
      <c r="F153">
        <v>27.5</v>
      </c>
      <c r="G153" s="1">
        <f>DATE(C153, CHOOSE(MATCH(UPPER(B153), {"ENERO","FEBRERO","MARZO","ABRIL","MAYO","JUNIO","JULIO","AGOSTO","SEPTIEMBRE","OCTUBRE","NOVIEMBRE","DICIEMBRE"}, 0), 1,2,3,4,5,6,7,8,9,10,11,12), A153)</f>
        <v>43617</v>
      </c>
      <c r="H153">
        <v>47.5</v>
      </c>
      <c r="I153">
        <v>36000</v>
      </c>
      <c r="J153" s="1">
        <f t="shared" si="5"/>
        <v>43618</v>
      </c>
      <c r="K153">
        <f t="shared" si="4"/>
        <v>47.25</v>
      </c>
    </row>
    <row r="154" spans="1:11" x14ac:dyDescent="0.25">
      <c r="A154">
        <v>2</v>
      </c>
      <c r="B154" t="s">
        <v>15</v>
      </c>
      <c r="C154">
        <v>2019</v>
      </c>
      <c r="D154">
        <v>27.5</v>
      </c>
      <c r="E154">
        <v>50</v>
      </c>
      <c r="F154">
        <v>30.25</v>
      </c>
      <c r="G154" s="1">
        <f>DATE(C154, CHOOSE(MATCH(UPPER(B154), {"ENERO","FEBRERO","MARZO","ABRIL","MAYO","JUNIO","JULIO","AGOSTO","SEPTIEMBRE","OCTUBRE","NOVIEMBRE","DICIEMBRE"}, 0), 1,2,3,4,5,6,7,8,9,10,11,12), A154)</f>
        <v>43618</v>
      </c>
      <c r="H154">
        <v>47.25</v>
      </c>
      <c r="I154">
        <v>36000</v>
      </c>
      <c r="J154" s="1">
        <f t="shared" si="5"/>
        <v>43619</v>
      </c>
      <c r="K154">
        <f t="shared" si="4"/>
        <v>44.375</v>
      </c>
    </row>
    <row r="155" spans="1:11" x14ac:dyDescent="0.25">
      <c r="A155">
        <v>3</v>
      </c>
      <c r="B155" t="s">
        <v>15</v>
      </c>
      <c r="C155">
        <v>2019</v>
      </c>
      <c r="D155">
        <v>30.25</v>
      </c>
      <c r="E155">
        <v>70</v>
      </c>
      <c r="F155">
        <v>55.875</v>
      </c>
      <c r="G155" s="1">
        <f>DATE(C155, CHOOSE(MATCH(UPPER(B155), {"ENERO","FEBRERO","MARZO","ABRIL","MAYO","JUNIO","JULIO","AGOSTO","SEPTIEMBRE","OCTUBRE","NOVIEMBRE","DICIEMBRE"}, 0), 1,2,3,4,5,6,7,8,9,10,11,12), A155)</f>
        <v>43619</v>
      </c>
      <c r="H155">
        <v>44.375</v>
      </c>
      <c r="I155">
        <v>36000</v>
      </c>
      <c r="J155" s="1">
        <f t="shared" si="5"/>
        <v>43620</v>
      </c>
      <c r="K155">
        <f t="shared" si="4"/>
        <v>17.125</v>
      </c>
    </row>
    <row r="156" spans="1:11" x14ac:dyDescent="0.25">
      <c r="A156">
        <v>4</v>
      </c>
      <c r="B156" t="s">
        <v>15</v>
      </c>
      <c r="C156">
        <v>2019</v>
      </c>
      <c r="D156">
        <v>55.875</v>
      </c>
      <c r="E156" t="s">
        <v>9</v>
      </c>
      <c r="F156">
        <v>38.75</v>
      </c>
      <c r="G156" s="1">
        <f>DATE(C156, CHOOSE(MATCH(UPPER(B156), {"ENERO","FEBRERO","MARZO","ABRIL","MAYO","JUNIO","JULIO","AGOSTO","SEPTIEMBRE","OCTUBRE","NOVIEMBRE","DICIEMBRE"}, 0), 1,2,3,4,5,6,7,8,9,10,11,12), A156)</f>
        <v>43620</v>
      </c>
      <c r="H156">
        <v>17.125</v>
      </c>
      <c r="I156">
        <v>36000</v>
      </c>
      <c r="J156" s="1">
        <f t="shared" si="5"/>
        <v>43621</v>
      </c>
      <c r="K156">
        <f t="shared" si="4"/>
        <v>17.75</v>
      </c>
    </row>
    <row r="157" spans="1:11" x14ac:dyDescent="0.25">
      <c r="A157">
        <v>5</v>
      </c>
      <c r="B157" t="s">
        <v>15</v>
      </c>
      <c r="C157">
        <v>2019</v>
      </c>
      <c r="D157">
        <v>38.75</v>
      </c>
      <c r="E157" t="s">
        <v>9</v>
      </c>
      <c r="F157">
        <v>21</v>
      </c>
      <c r="G157" s="1">
        <f>DATE(C157, CHOOSE(MATCH(UPPER(B157), {"ENERO","FEBRERO","MARZO","ABRIL","MAYO","JUNIO","JULIO","AGOSTO","SEPTIEMBRE","OCTUBRE","NOVIEMBRE","DICIEMBRE"}, 0), 1,2,3,4,5,6,7,8,9,10,11,12), A157)</f>
        <v>43621</v>
      </c>
      <c r="H157">
        <v>17.75</v>
      </c>
      <c r="I157">
        <v>36000</v>
      </c>
      <c r="J157" s="1">
        <f t="shared" si="5"/>
        <v>43622</v>
      </c>
      <c r="K157">
        <f t="shared" si="4"/>
        <v>13</v>
      </c>
    </row>
    <row r="158" spans="1:11" x14ac:dyDescent="0.25">
      <c r="A158">
        <v>6</v>
      </c>
      <c r="B158" t="s">
        <v>15</v>
      </c>
      <c r="C158">
        <v>2019</v>
      </c>
      <c r="D158">
        <v>21</v>
      </c>
      <c r="E158">
        <v>110</v>
      </c>
      <c r="F158">
        <v>118</v>
      </c>
      <c r="G158" s="1">
        <f>DATE(C158, CHOOSE(MATCH(UPPER(B158), {"ENERO","FEBRERO","MARZO","ABRIL","MAYO","JUNIO","JULIO","AGOSTO","SEPTIEMBRE","OCTUBRE","NOVIEMBRE","DICIEMBRE"}, 0), 1,2,3,4,5,6,7,8,9,10,11,12), A158)</f>
        <v>43622</v>
      </c>
      <c r="H158">
        <v>13</v>
      </c>
      <c r="I158">
        <v>36000</v>
      </c>
      <c r="J158" s="1">
        <f t="shared" si="5"/>
        <v>43623</v>
      </c>
      <c r="K158">
        <f t="shared" si="4"/>
        <v>17.125</v>
      </c>
    </row>
    <row r="159" spans="1:11" x14ac:dyDescent="0.25">
      <c r="A159">
        <v>7</v>
      </c>
      <c r="B159" t="s">
        <v>15</v>
      </c>
      <c r="C159">
        <v>2019</v>
      </c>
      <c r="D159">
        <v>118</v>
      </c>
      <c r="E159" t="s">
        <v>9</v>
      </c>
      <c r="F159">
        <v>100.875</v>
      </c>
      <c r="G159" s="1">
        <f>DATE(C159, CHOOSE(MATCH(UPPER(B159), {"ENERO","FEBRERO","MARZO","ABRIL","MAYO","JUNIO","JULIO","AGOSTO","SEPTIEMBRE","OCTUBRE","NOVIEMBRE","DICIEMBRE"}, 0), 1,2,3,4,5,6,7,8,9,10,11,12), A159)</f>
        <v>43623</v>
      </c>
      <c r="H159">
        <v>17.125</v>
      </c>
      <c r="I159">
        <v>36000</v>
      </c>
      <c r="J159" s="1">
        <f t="shared" si="5"/>
        <v>43624</v>
      </c>
      <c r="K159">
        <f t="shared" si="4"/>
        <v>41.375</v>
      </c>
    </row>
    <row r="160" spans="1:11" x14ac:dyDescent="0.25">
      <c r="A160">
        <v>8</v>
      </c>
      <c r="B160" t="s">
        <v>15</v>
      </c>
      <c r="C160">
        <v>2019</v>
      </c>
      <c r="D160">
        <v>100.875</v>
      </c>
      <c r="E160" t="s">
        <v>9</v>
      </c>
      <c r="F160">
        <v>59.5</v>
      </c>
      <c r="G160" s="1">
        <f>DATE(C160, CHOOSE(MATCH(UPPER(B160), {"ENERO","FEBRERO","MARZO","ABRIL","MAYO","JUNIO","JULIO","AGOSTO","SEPTIEMBRE","OCTUBRE","NOVIEMBRE","DICIEMBRE"}, 0), 1,2,3,4,5,6,7,8,9,10,11,12), A160)</f>
        <v>43624</v>
      </c>
      <c r="H160">
        <v>41.375</v>
      </c>
      <c r="I160">
        <v>36000</v>
      </c>
      <c r="J160" s="1">
        <f t="shared" si="5"/>
        <v>43625</v>
      </c>
      <c r="K160">
        <f t="shared" si="4"/>
        <v>30</v>
      </c>
    </row>
    <row r="161" spans="1:11" x14ac:dyDescent="0.25">
      <c r="A161">
        <v>9</v>
      </c>
      <c r="B161" t="s">
        <v>15</v>
      </c>
      <c r="C161">
        <v>2019</v>
      </c>
      <c r="D161">
        <v>59.5</v>
      </c>
      <c r="E161" t="s">
        <v>9</v>
      </c>
      <c r="F161">
        <v>29.5</v>
      </c>
      <c r="G161" s="1">
        <f>DATE(C161, CHOOSE(MATCH(UPPER(B161), {"ENERO","FEBRERO","MARZO","ABRIL","MAYO","JUNIO","JULIO","AGOSTO","SEPTIEMBRE","OCTUBRE","NOVIEMBRE","DICIEMBRE"}, 0), 1,2,3,4,5,6,7,8,9,10,11,12), A161)</f>
        <v>43625</v>
      </c>
      <c r="H161">
        <v>30</v>
      </c>
      <c r="I161">
        <v>36000</v>
      </c>
      <c r="J161" s="1">
        <f t="shared" si="5"/>
        <v>43626</v>
      </c>
      <c r="K161">
        <f t="shared" si="4"/>
        <v>19.5</v>
      </c>
    </row>
    <row r="162" spans="1:11" x14ac:dyDescent="0.25">
      <c r="A162">
        <v>10</v>
      </c>
      <c r="B162" t="s">
        <v>15</v>
      </c>
      <c r="C162">
        <v>2019</v>
      </c>
      <c r="D162">
        <v>29.5</v>
      </c>
      <c r="E162">
        <v>100</v>
      </c>
      <c r="F162">
        <v>110</v>
      </c>
      <c r="G162" s="1">
        <f>DATE(C162, CHOOSE(MATCH(UPPER(B162), {"ENERO","FEBRERO","MARZO","ABRIL","MAYO","JUNIO","JULIO","AGOSTO","SEPTIEMBRE","OCTUBRE","NOVIEMBRE","DICIEMBRE"}, 0), 1,2,3,4,5,6,7,8,9,10,11,12), A162)</f>
        <v>43626</v>
      </c>
      <c r="H162">
        <v>19.5</v>
      </c>
      <c r="I162">
        <v>36000</v>
      </c>
      <c r="J162" s="1">
        <f t="shared" si="5"/>
        <v>43627</v>
      </c>
      <c r="K162">
        <f t="shared" si="4"/>
        <v>15</v>
      </c>
    </row>
    <row r="163" spans="1:11" x14ac:dyDescent="0.25">
      <c r="A163">
        <v>11</v>
      </c>
      <c r="B163" t="s">
        <v>15</v>
      </c>
      <c r="C163">
        <v>2019</v>
      </c>
      <c r="D163">
        <v>110</v>
      </c>
      <c r="E163" t="s">
        <v>9</v>
      </c>
      <c r="F163">
        <v>95</v>
      </c>
      <c r="G163" s="1">
        <f>DATE(C163, CHOOSE(MATCH(UPPER(B163), {"ENERO","FEBRERO","MARZO","ABRIL","MAYO","JUNIO","JULIO","AGOSTO","SEPTIEMBRE","OCTUBRE","NOVIEMBRE","DICIEMBRE"}, 0), 1,2,3,4,5,6,7,8,9,10,11,12), A163)</f>
        <v>43627</v>
      </c>
      <c r="H163">
        <v>15</v>
      </c>
      <c r="I163">
        <v>36000</v>
      </c>
      <c r="J163" s="1">
        <f t="shared" si="5"/>
        <v>43628</v>
      </c>
      <c r="K163">
        <f t="shared" si="4"/>
        <v>20.125</v>
      </c>
    </row>
    <row r="164" spans="1:11" x14ac:dyDescent="0.25">
      <c r="A164">
        <v>12</v>
      </c>
      <c r="B164" t="s">
        <v>15</v>
      </c>
      <c r="C164">
        <v>2019</v>
      </c>
      <c r="D164">
        <v>95</v>
      </c>
      <c r="E164" t="s">
        <v>9</v>
      </c>
      <c r="F164">
        <v>74.875</v>
      </c>
      <c r="G164" s="1">
        <f>DATE(C164, CHOOSE(MATCH(UPPER(B164), {"ENERO","FEBRERO","MARZO","ABRIL","MAYO","JUNIO","JULIO","AGOSTO","SEPTIEMBRE","OCTUBRE","NOVIEMBRE","DICIEMBRE"}, 0), 1,2,3,4,5,6,7,8,9,10,11,12), A164)</f>
        <v>43628</v>
      </c>
      <c r="H164">
        <v>20.125</v>
      </c>
      <c r="I164">
        <v>36000</v>
      </c>
      <c r="J164" s="1">
        <f t="shared" si="5"/>
        <v>43629</v>
      </c>
      <c r="K164">
        <f t="shared" si="4"/>
        <v>9.5</v>
      </c>
    </row>
    <row r="165" spans="1:11" x14ac:dyDescent="0.25">
      <c r="A165">
        <v>13</v>
      </c>
      <c r="B165" t="s">
        <v>15</v>
      </c>
      <c r="C165">
        <v>2019</v>
      </c>
      <c r="D165">
        <v>74.875</v>
      </c>
      <c r="E165">
        <v>40</v>
      </c>
      <c r="F165">
        <v>105.375</v>
      </c>
      <c r="G165" s="1">
        <f>DATE(C165, CHOOSE(MATCH(UPPER(B165), {"ENERO","FEBRERO","MARZO","ABRIL","MAYO","JUNIO","JULIO","AGOSTO","SEPTIEMBRE","OCTUBRE","NOVIEMBRE","DICIEMBRE"}, 0), 1,2,3,4,5,6,7,8,9,10,11,12), A165)</f>
        <v>43629</v>
      </c>
      <c r="H165">
        <v>9.5</v>
      </c>
      <c r="I165">
        <v>36000</v>
      </c>
      <c r="J165" s="1">
        <f t="shared" si="5"/>
        <v>43630</v>
      </c>
      <c r="K165">
        <f t="shared" si="4"/>
        <v>20.375</v>
      </c>
    </row>
    <row r="166" spans="1:11" x14ac:dyDescent="0.25">
      <c r="A166">
        <v>14</v>
      </c>
      <c r="B166" t="s">
        <v>15</v>
      </c>
      <c r="C166">
        <v>2019</v>
      </c>
      <c r="D166">
        <v>105.375</v>
      </c>
      <c r="E166" t="s">
        <v>9</v>
      </c>
      <c r="F166">
        <v>85</v>
      </c>
      <c r="G166" s="1">
        <f>DATE(C166, CHOOSE(MATCH(UPPER(B166), {"ENERO","FEBRERO","MARZO","ABRIL","MAYO","JUNIO","JULIO","AGOSTO","SEPTIEMBRE","OCTUBRE","NOVIEMBRE","DICIEMBRE"}, 0), 1,2,3,4,5,6,7,8,9,10,11,12), A166)</f>
        <v>43630</v>
      </c>
      <c r="H166">
        <v>20.375</v>
      </c>
      <c r="I166">
        <v>36000</v>
      </c>
      <c r="J166" s="1">
        <f t="shared" si="5"/>
        <v>43631</v>
      </c>
      <c r="K166">
        <f t="shared" si="4"/>
        <v>36</v>
      </c>
    </row>
    <row r="167" spans="1:11" x14ac:dyDescent="0.25">
      <c r="A167">
        <v>15</v>
      </c>
      <c r="B167" t="s">
        <v>15</v>
      </c>
      <c r="C167">
        <v>2019</v>
      </c>
      <c r="D167">
        <v>85</v>
      </c>
      <c r="E167" t="s">
        <v>9</v>
      </c>
      <c r="F167">
        <v>49</v>
      </c>
      <c r="G167" s="1">
        <f>DATE(C167, CHOOSE(MATCH(UPPER(B167), {"ENERO","FEBRERO","MARZO","ABRIL","MAYO","JUNIO","JULIO","AGOSTO","SEPTIEMBRE","OCTUBRE","NOVIEMBRE","DICIEMBRE"}, 0), 1,2,3,4,5,6,7,8,9,10,11,12), A167)</f>
        <v>43631</v>
      </c>
      <c r="H167">
        <v>36</v>
      </c>
      <c r="I167">
        <v>36000</v>
      </c>
      <c r="J167" s="1">
        <f t="shared" si="5"/>
        <v>43632</v>
      </c>
      <c r="K167">
        <f t="shared" si="4"/>
        <v>34.25</v>
      </c>
    </row>
    <row r="168" spans="1:11" x14ac:dyDescent="0.25">
      <c r="A168">
        <v>16</v>
      </c>
      <c r="B168" t="s">
        <v>15</v>
      </c>
      <c r="C168">
        <v>2019</v>
      </c>
      <c r="D168">
        <v>49</v>
      </c>
      <c r="E168">
        <v>20</v>
      </c>
      <c r="F168">
        <v>34.75</v>
      </c>
      <c r="G168" s="1">
        <f>DATE(C168, CHOOSE(MATCH(UPPER(B168), {"ENERO","FEBRERO","MARZO","ABRIL","MAYO","JUNIO","JULIO","AGOSTO","SEPTIEMBRE","OCTUBRE","NOVIEMBRE","DICIEMBRE"}, 0), 1,2,3,4,5,6,7,8,9,10,11,12), A168)</f>
        <v>43632</v>
      </c>
      <c r="H168">
        <v>34.25</v>
      </c>
      <c r="I168">
        <v>36000</v>
      </c>
      <c r="J168" s="1">
        <f t="shared" si="5"/>
        <v>43633</v>
      </c>
      <c r="K168">
        <f t="shared" si="4"/>
        <v>17.75</v>
      </c>
    </row>
    <row r="169" spans="1:11" x14ac:dyDescent="0.25">
      <c r="A169">
        <v>17</v>
      </c>
      <c r="B169" t="s">
        <v>15</v>
      </c>
      <c r="C169">
        <v>2019</v>
      </c>
      <c r="D169">
        <v>34.75</v>
      </c>
      <c r="E169">
        <v>70</v>
      </c>
      <c r="F169">
        <v>87</v>
      </c>
      <c r="G169" s="1">
        <f>DATE(C169, CHOOSE(MATCH(UPPER(B169), {"ENERO","FEBRERO","MARZO","ABRIL","MAYO","JUNIO","JULIO","AGOSTO","SEPTIEMBRE","OCTUBRE","NOVIEMBRE","DICIEMBRE"}, 0), 1,2,3,4,5,6,7,8,9,10,11,12), A169)</f>
        <v>43633</v>
      </c>
      <c r="H169">
        <v>17.75</v>
      </c>
      <c r="I169">
        <v>36000</v>
      </c>
      <c r="J169" s="1">
        <f t="shared" si="5"/>
        <v>43634</v>
      </c>
      <c r="K169">
        <f t="shared" si="4"/>
        <v>32</v>
      </c>
    </row>
    <row r="170" spans="1:11" x14ac:dyDescent="0.25">
      <c r="A170">
        <v>18</v>
      </c>
      <c r="B170" t="s">
        <v>15</v>
      </c>
      <c r="C170">
        <v>2019</v>
      </c>
      <c r="D170">
        <v>87</v>
      </c>
      <c r="E170" t="s">
        <v>9</v>
      </c>
      <c r="F170">
        <v>55</v>
      </c>
      <c r="G170" s="1">
        <f>DATE(C170, CHOOSE(MATCH(UPPER(B170), {"ENERO","FEBRERO","MARZO","ABRIL","MAYO","JUNIO","JULIO","AGOSTO","SEPTIEMBRE","OCTUBRE","NOVIEMBRE","DICIEMBRE"}, 0), 1,2,3,4,5,6,7,8,9,10,11,12), A170)</f>
        <v>43634</v>
      </c>
      <c r="H170">
        <v>32</v>
      </c>
      <c r="I170">
        <v>36000</v>
      </c>
      <c r="J170" s="1">
        <f t="shared" si="5"/>
        <v>43635</v>
      </c>
      <c r="K170">
        <f t="shared" si="4"/>
        <v>31.625</v>
      </c>
    </row>
    <row r="171" spans="1:11" x14ac:dyDescent="0.25">
      <c r="A171">
        <v>19</v>
      </c>
      <c r="B171" t="s">
        <v>15</v>
      </c>
      <c r="C171">
        <v>2019</v>
      </c>
      <c r="D171">
        <v>55</v>
      </c>
      <c r="E171" t="s">
        <v>9</v>
      </c>
      <c r="F171">
        <v>23.375</v>
      </c>
      <c r="G171" s="1">
        <f>DATE(C171, CHOOSE(MATCH(UPPER(B171), {"ENERO","FEBRERO","MARZO","ABRIL","MAYO","JUNIO","JULIO","AGOSTO","SEPTIEMBRE","OCTUBRE","NOVIEMBRE","DICIEMBRE"}, 0), 1,2,3,4,5,6,7,8,9,10,11,12), A171)</f>
        <v>43635</v>
      </c>
      <c r="H171">
        <v>31.625</v>
      </c>
      <c r="I171">
        <v>36000</v>
      </c>
      <c r="J171" s="1">
        <f t="shared" si="5"/>
        <v>43636</v>
      </c>
      <c r="K171">
        <f t="shared" si="4"/>
        <v>28.375</v>
      </c>
    </row>
    <row r="172" spans="1:11" x14ac:dyDescent="0.25">
      <c r="A172">
        <v>20</v>
      </c>
      <c r="B172" t="s">
        <v>15</v>
      </c>
      <c r="C172">
        <v>2019</v>
      </c>
      <c r="D172">
        <v>23.375</v>
      </c>
      <c r="E172">
        <v>100</v>
      </c>
      <c r="F172">
        <v>95</v>
      </c>
      <c r="G172" s="1">
        <f>DATE(C172, CHOOSE(MATCH(UPPER(B172), {"ENERO","FEBRERO","MARZO","ABRIL","MAYO","JUNIO","JULIO","AGOSTO","SEPTIEMBRE","OCTUBRE","NOVIEMBRE","DICIEMBRE"}, 0), 1,2,3,4,5,6,7,8,9,10,11,12), A172)</f>
        <v>43636</v>
      </c>
      <c r="H172">
        <v>28.375</v>
      </c>
      <c r="I172">
        <v>36000</v>
      </c>
      <c r="J172" s="1">
        <f t="shared" si="5"/>
        <v>43637</v>
      </c>
      <c r="K172">
        <f t="shared" si="4"/>
        <v>33.125</v>
      </c>
    </row>
    <row r="173" spans="1:11" x14ac:dyDescent="0.25">
      <c r="A173">
        <v>21</v>
      </c>
      <c r="B173" t="s">
        <v>15</v>
      </c>
      <c r="C173">
        <v>2019</v>
      </c>
      <c r="D173">
        <v>95</v>
      </c>
      <c r="E173" t="s">
        <v>9</v>
      </c>
      <c r="F173">
        <v>61.875</v>
      </c>
      <c r="G173" s="1">
        <f>DATE(C173, CHOOSE(MATCH(UPPER(B173), {"ENERO","FEBRERO","MARZO","ABRIL","MAYO","JUNIO","JULIO","AGOSTO","SEPTIEMBRE","OCTUBRE","NOVIEMBRE","DICIEMBRE"}, 0), 1,2,3,4,5,6,7,8,9,10,11,12), A173)</f>
        <v>43637</v>
      </c>
      <c r="H173">
        <v>33.125</v>
      </c>
      <c r="I173">
        <v>36000</v>
      </c>
      <c r="J173" s="1">
        <f t="shared" si="5"/>
        <v>43638</v>
      </c>
      <c r="K173">
        <f t="shared" si="4"/>
        <v>43.875</v>
      </c>
    </row>
    <row r="174" spans="1:11" x14ac:dyDescent="0.25">
      <c r="A174">
        <v>22</v>
      </c>
      <c r="B174" t="s">
        <v>15</v>
      </c>
      <c r="C174">
        <v>2019</v>
      </c>
      <c r="D174">
        <v>61.875</v>
      </c>
      <c r="E174" t="s">
        <v>9</v>
      </c>
      <c r="F174">
        <v>18</v>
      </c>
      <c r="G174" s="1">
        <f>DATE(C174, CHOOSE(MATCH(UPPER(B174), {"ENERO","FEBRERO","MARZO","ABRIL","MAYO","JUNIO","JULIO","AGOSTO","SEPTIEMBRE","OCTUBRE","NOVIEMBRE","DICIEMBRE"}, 0), 1,2,3,4,5,6,7,8,9,10,11,12), A174)</f>
        <v>43638</v>
      </c>
      <c r="H174">
        <v>43.875</v>
      </c>
      <c r="I174">
        <v>36000</v>
      </c>
      <c r="J174" s="1">
        <f t="shared" si="5"/>
        <v>43639</v>
      </c>
      <c r="K174">
        <f t="shared" si="4"/>
        <v>50.25</v>
      </c>
    </row>
    <row r="175" spans="1:11" x14ac:dyDescent="0.25">
      <c r="A175">
        <v>23</v>
      </c>
      <c r="B175" t="s">
        <v>15</v>
      </c>
      <c r="C175">
        <v>2019</v>
      </c>
      <c r="D175">
        <v>18</v>
      </c>
      <c r="E175">
        <v>60</v>
      </c>
      <c r="F175">
        <v>27.75</v>
      </c>
      <c r="G175" s="1">
        <f>DATE(C175, CHOOSE(MATCH(UPPER(B175), {"ENERO","FEBRERO","MARZO","ABRIL","MAYO","JUNIO","JULIO","AGOSTO","SEPTIEMBRE","OCTUBRE","NOVIEMBRE","DICIEMBRE"}, 0), 1,2,3,4,5,6,7,8,9,10,11,12), A175)</f>
        <v>43639</v>
      </c>
      <c r="H175">
        <v>50.25</v>
      </c>
      <c r="I175">
        <v>36000</v>
      </c>
      <c r="J175" s="1">
        <f t="shared" si="5"/>
        <v>43640</v>
      </c>
      <c r="K175">
        <f t="shared" si="4"/>
        <v>43.75</v>
      </c>
    </row>
    <row r="176" spans="1:11" x14ac:dyDescent="0.25">
      <c r="A176">
        <v>24</v>
      </c>
      <c r="B176" t="s">
        <v>15</v>
      </c>
      <c r="C176">
        <v>2019</v>
      </c>
      <c r="D176">
        <v>27.75</v>
      </c>
      <c r="E176">
        <v>60</v>
      </c>
      <c r="F176">
        <v>44</v>
      </c>
      <c r="G176" s="1">
        <f>DATE(C176, CHOOSE(MATCH(UPPER(B176), {"ENERO","FEBRERO","MARZO","ABRIL","MAYO","JUNIO","JULIO","AGOSTO","SEPTIEMBRE","OCTUBRE","NOVIEMBRE","DICIEMBRE"}, 0), 1,2,3,4,5,6,7,8,9,10,11,12), A176)</f>
        <v>43640</v>
      </c>
      <c r="H176">
        <v>43.75</v>
      </c>
      <c r="I176">
        <v>36000</v>
      </c>
      <c r="J176" s="1">
        <f t="shared" si="5"/>
        <v>43641</v>
      </c>
      <c r="K176">
        <f t="shared" si="4"/>
        <v>50</v>
      </c>
    </row>
    <row r="177" spans="1:11" x14ac:dyDescent="0.25">
      <c r="A177">
        <v>25</v>
      </c>
      <c r="B177" t="s">
        <v>15</v>
      </c>
      <c r="C177">
        <v>2019</v>
      </c>
      <c r="D177">
        <v>44</v>
      </c>
      <c r="E177">
        <v>70</v>
      </c>
      <c r="F177">
        <v>64</v>
      </c>
      <c r="G177" s="1">
        <f>DATE(C177, CHOOSE(MATCH(UPPER(B177), {"ENERO","FEBRERO","MARZO","ABRIL","MAYO","JUNIO","JULIO","AGOSTO","SEPTIEMBRE","OCTUBRE","NOVIEMBRE","DICIEMBRE"}, 0), 1,2,3,4,5,6,7,8,9,10,11,12), A177)</f>
        <v>43641</v>
      </c>
      <c r="H177">
        <v>50</v>
      </c>
      <c r="I177">
        <v>36000</v>
      </c>
      <c r="J177" s="1">
        <f t="shared" si="5"/>
        <v>43642</v>
      </c>
      <c r="K177">
        <f t="shared" si="4"/>
        <v>53.25</v>
      </c>
    </row>
    <row r="178" spans="1:11" x14ac:dyDescent="0.25">
      <c r="A178">
        <v>26</v>
      </c>
      <c r="B178" t="s">
        <v>15</v>
      </c>
      <c r="C178">
        <v>2019</v>
      </c>
      <c r="D178">
        <v>64</v>
      </c>
      <c r="E178">
        <v>100</v>
      </c>
      <c r="F178">
        <v>110.75</v>
      </c>
      <c r="G178" s="1">
        <f>DATE(C178, CHOOSE(MATCH(UPPER(B178), {"ENERO","FEBRERO","MARZO","ABRIL","MAYO","JUNIO","JULIO","AGOSTO","SEPTIEMBRE","OCTUBRE","NOVIEMBRE","DICIEMBRE"}, 0), 1,2,3,4,5,6,7,8,9,10,11,12), A178)</f>
        <v>43642</v>
      </c>
      <c r="H178">
        <v>53.25</v>
      </c>
      <c r="I178">
        <v>36000</v>
      </c>
      <c r="J178" s="1">
        <f t="shared" si="5"/>
        <v>43643</v>
      </c>
      <c r="K178">
        <f t="shared" si="4"/>
        <v>29.5</v>
      </c>
    </row>
    <row r="179" spans="1:11" x14ac:dyDescent="0.25">
      <c r="A179">
        <v>27</v>
      </c>
      <c r="B179" t="s">
        <v>15</v>
      </c>
      <c r="C179">
        <v>2019</v>
      </c>
      <c r="D179">
        <v>110.75</v>
      </c>
      <c r="E179" t="s">
        <v>9</v>
      </c>
      <c r="F179">
        <v>81.25</v>
      </c>
      <c r="G179" s="1">
        <f>DATE(C179, CHOOSE(MATCH(UPPER(B179), {"ENERO","FEBRERO","MARZO","ABRIL","MAYO","JUNIO","JULIO","AGOSTO","SEPTIEMBRE","OCTUBRE","NOVIEMBRE","DICIEMBRE"}, 0), 1,2,3,4,5,6,7,8,9,10,11,12), A179)</f>
        <v>43643</v>
      </c>
      <c r="H179">
        <v>29.5</v>
      </c>
      <c r="I179">
        <v>36000</v>
      </c>
      <c r="J179" s="1">
        <f t="shared" si="5"/>
        <v>43644</v>
      </c>
      <c r="K179">
        <f t="shared" si="4"/>
        <v>44.75</v>
      </c>
    </row>
    <row r="180" spans="1:11" x14ac:dyDescent="0.25">
      <c r="A180">
        <v>28</v>
      </c>
      <c r="B180" t="s">
        <v>15</v>
      </c>
      <c r="C180">
        <v>2019</v>
      </c>
      <c r="D180">
        <v>81.25</v>
      </c>
      <c r="E180" t="s">
        <v>9</v>
      </c>
      <c r="F180">
        <v>36.5</v>
      </c>
      <c r="G180" s="1">
        <f>DATE(C180, CHOOSE(MATCH(UPPER(B180), {"ENERO","FEBRERO","MARZO","ABRIL","MAYO","JUNIO","JULIO","AGOSTO","SEPTIEMBRE","OCTUBRE","NOVIEMBRE","DICIEMBRE"}, 0), 1,2,3,4,5,6,7,8,9,10,11,12), A180)</f>
        <v>43644</v>
      </c>
      <c r="H180">
        <v>44.75</v>
      </c>
      <c r="I180">
        <v>36000</v>
      </c>
      <c r="J180" s="1">
        <f t="shared" si="5"/>
        <v>43645</v>
      </c>
      <c r="K180">
        <f t="shared" si="4"/>
        <v>39.75</v>
      </c>
    </row>
    <row r="181" spans="1:11" x14ac:dyDescent="0.25">
      <c r="A181">
        <v>29</v>
      </c>
      <c r="B181" t="s">
        <v>15</v>
      </c>
      <c r="C181">
        <v>2019</v>
      </c>
      <c r="D181">
        <v>36.5</v>
      </c>
      <c r="E181">
        <v>50</v>
      </c>
      <c r="F181">
        <v>46.75</v>
      </c>
      <c r="G181" s="1">
        <f>DATE(C181, CHOOSE(MATCH(UPPER(B181), {"ENERO","FEBRERO","MARZO","ABRIL","MAYO","JUNIO","JULIO","AGOSTO","SEPTIEMBRE","OCTUBRE","NOVIEMBRE","DICIEMBRE"}, 0), 1,2,3,4,5,6,7,8,9,10,11,12), A181)</f>
        <v>43645</v>
      </c>
      <c r="H181">
        <v>39.75</v>
      </c>
      <c r="I181">
        <v>36000</v>
      </c>
      <c r="J181" s="1">
        <f t="shared" si="5"/>
        <v>43646</v>
      </c>
      <c r="K181">
        <f t="shared" si="4"/>
        <v>53.75</v>
      </c>
    </row>
    <row r="182" spans="1:11" x14ac:dyDescent="0.25">
      <c r="A182">
        <v>30</v>
      </c>
      <c r="B182" t="s">
        <v>15</v>
      </c>
      <c r="C182">
        <v>2019</v>
      </c>
      <c r="D182">
        <v>46.75</v>
      </c>
      <c r="E182">
        <v>90</v>
      </c>
      <c r="F182">
        <v>83</v>
      </c>
      <c r="G182" s="1">
        <f>DATE(C182, CHOOSE(MATCH(UPPER(B182), {"ENERO","FEBRERO","MARZO","ABRIL","MAYO","JUNIO","JULIO","AGOSTO","SEPTIEMBRE","OCTUBRE","NOVIEMBRE","DICIEMBRE"}, 0), 1,2,3,4,5,6,7,8,9,10,11,12), A182)</f>
        <v>43646</v>
      </c>
      <c r="H182">
        <v>53.75</v>
      </c>
      <c r="I182">
        <v>36000</v>
      </c>
      <c r="J182" s="1">
        <f t="shared" si="5"/>
        <v>43647</v>
      </c>
      <c r="K182">
        <f t="shared" si="4"/>
        <v>50</v>
      </c>
    </row>
    <row r="183" spans="1:11" x14ac:dyDescent="0.25">
      <c r="A183">
        <v>1</v>
      </c>
      <c r="B183" t="s">
        <v>16</v>
      </c>
      <c r="C183">
        <v>2019</v>
      </c>
      <c r="D183">
        <v>83</v>
      </c>
      <c r="E183" t="s">
        <v>9</v>
      </c>
      <c r="F183">
        <v>33</v>
      </c>
      <c r="G183" s="1">
        <f>DATE(C183, CHOOSE(MATCH(UPPER(B183), {"ENERO","FEBRERO","MARZO","ABRIL","MAYO","JUNIO","JULIO","AGOSTO","SEPTIEMBRE","OCTUBRE","NOVIEMBRE","DICIEMBRE"}, 0), 1,2,3,4,5,6,7,8,9,10,11,12), A183)</f>
        <v>43647</v>
      </c>
      <c r="H183">
        <v>50</v>
      </c>
      <c r="I183">
        <v>36000</v>
      </c>
      <c r="J183" s="1">
        <f t="shared" si="5"/>
        <v>43648</v>
      </c>
      <c r="K183">
        <f t="shared" si="4"/>
        <v>46</v>
      </c>
    </row>
    <row r="184" spans="1:11" x14ac:dyDescent="0.25">
      <c r="A184">
        <v>2</v>
      </c>
      <c r="B184" t="s">
        <v>16</v>
      </c>
      <c r="C184">
        <v>2019</v>
      </c>
      <c r="D184">
        <v>33</v>
      </c>
      <c r="E184">
        <v>90</v>
      </c>
      <c r="F184">
        <v>77</v>
      </c>
      <c r="G184" s="1">
        <f>DATE(C184, CHOOSE(MATCH(UPPER(B184), {"ENERO","FEBRERO","MARZO","ABRIL","MAYO","JUNIO","JULIO","AGOSTO","SEPTIEMBRE","OCTUBRE","NOVIEMBRE","DICIEMBRE"}, 0), 1,2,3,4,5,6,7,8,9,10,11,12), A184)</f>
        <v>43648</v>
      </c>
      <c r="H184">
        <v>46</v>
      </c>
      <c r="I184">
        <v>36000</v>
      </c>
      <c r="J184" s="1">
        <f t="shared" si="5"/>
        <v>43649</v>
      </c>
      <c r="K184">
        <f t="shared" si="4"/>
        <v>48</v>
      </c>
    </row>
    <row r="185" spans="1:11" x14ac:dyDescent="0.25">
      <c r="A185">
        <v>3</v>
      </c>
      <c r="B185" t="s">
        <v>16</v>
      </c>
      <c r="C185">
        <v>2019</v>
      </c>
      <c r="D185">
        <v>77</v>
      </c>
      <c r="E185" t="s">
        <v>9</v>
      </c>
      <c r="F185">
        <v>29</v>
      </c>
      <c r="G185" s="1">
        <f>DATE(C185, CHOOSE(MATCH(UPPER(B185), {"ENERO","FEBRERO","MARZO","ABRIL","MAYO","JUNIO","JULIO","AGOSTO","SEPTIEMBRE","OCTUBRE","NOVIEMBRE","DICIEMBRE"}, 0), 1,2,3,4,5,6,7,8,9,10,11,12), A185)</f>
        <v>43649</v>
      </c>
      <c r="H185">
        <v>48</v>
      </c>
      <c r="I185">
        <v>36000</v>
      </c>
      <c r="J185" s="1">
        <f t="shared" si="5"/>
        <v>43650</v>
      </c>
      <c r="K185">
        <f t="shared" si="4"/>
        <v>31</v>
      </c>
    </row>
    <row r="186" spans="1:11" x14ac:dyDescent="0.25">
      <c r="A186">
        <v>4</v>
      </c>
      <c r="B186" t="s">
        <v>16</v>
      </c>
      <c r="C186">
        <v>2019</v>
      </c>
      <c r="D186">
        <v>29</v>
      </c>
      <c r="E186">
        <v>130</v>
      </c>
      <c r="F186">
        <v>128</v>
      </c>
      <c r="G186" s="1">
        <f>DATE(C186, CHOOSE(MATCH(UPPER(B186), {"ENERO","FEBRERO","MARZO","ABRIL","MAYO","JUNIO","JULIO","AGOSTO","SEPTIEMBRE","OCTUBRE","NOVIEMBRE","DICIEMBRE"}, 0), 1,2,3,4,5,6,7,8,9,10,11,12), A186)</f>
        <v>43650</v>
      </c>
      <c r="H186">
        <v>31</v>
      </c>
      <c r="I186">
        <v>36000</v>
      </c>
      <c r="J186" s="1">
        <f t="shared" si="5"/>
        <v>43651</v>
      </c>
      <c r="K186">
        <f t="shared" si="4"/>
        <v>29.25</v>
      </c>
    </row>
    <row r="187" spans="1:11" x14ac:dyDescent="0.25">
      <c r="A187">
        <v>5</v>
      </c>
      <c r="B187" t="s">
        <v>16</v>
      </c>
      <c r="C187">
        <v>2019</v>
      </c>
      <c r="D187">
        <v>128</v>
      </c>
      <c r="E187" t="s">
        <v>9</v>
      </c>
      <c r="F187">
        <v>98.75</v>
      </c>
      <c r="G187" s="1">
        <f>DATE(C187, CHOOSE(MATCH(UPPER(B187), {"ENERO","FEBRERO","MARZO","ABRIL","MAYO","JUNIO","JULIO","AGOSTO","SEPTIEMBRE","OCTUBRE","NOVIEMBRE","DICIEMBRE"}, 0), 1,2,3,4,5,6,7,8,9,10,11,12), A187)</f>
        <v>43651</v>
      </c>
      <c r="H187">
        <v>29.25</v>
      </c>
      <c r="I187">
        <v>36000</v>
      </c>
      <c r="J187" s="1">
        <f t="shared" si="5"/>
        <v>43652</v>
      </c>
      <c r="K187">
        <f t="shared" si="4"/>
        <v>46.75</v>
      </c>
    </row>
    <row r="188" spans="1:11" x14ac:dyDescent="0.25">
      <c r="A188">
        <v>6</v>
      </c>
      <c r="B188" t="s">
        <v>16</v>
      </c>
      <c r="C188">
        <v>2019</v>
      </c>
      <c r="D188">
        <v>98.75</v>
      </c>
      <c r="E188" t="s">
        <v>9</v>
      </c>
      <c r="F188">
        <v>52</v>
      </c>
      <c r="G188" s="1">
        <f>DATE(C188, CHOOSE(MATCH(UPPER(B188), {"ENERO","FEBRERO","MARZO","ABRIL","MAYO","JUNIO","JULIO","AGOSTO","SEPTIEMBRE","OCTUBRE","NOVIEMBRE","DICIEMBRE"}, 0), 1,2,3,4,5,6,7,8,9,10,11,12), A188)</f>
        <v>43652</v>
      </c>
      <c r="H188">
        <v>46.75</v>
      </c>
      <c r="I188">
        <v>36000</v>
      </c>
      <c r="J188" s="1">
        <f t="shared" si="5"/>
        <v>43653</v>
      </c>
      <c r="K188">
        <f t="shared" si="4"/>
        <v>45.75</v>
      </c>
    </row>
    <row r="189" spans="1:11" x14ac:dyDescent="0.25">
      <c r="A189">
        <v>7</v>
      </c>
      <c r="B189" t="s">
        <v>16</v>
      </c>
      <c r="C189">
        <v>2019</v>
      </c>
      <c r="D189">
        <v>52</v>
      </c>
      <c r="E189">
        <v>50</v>
      </c>
      <c r="F189">
        <v>56.25</v>
      </c>
      <c r="G189" s="1">
        <f>DATE(C189, CHOOSE(MATCH(UPPER(B189), {"ENERO","FEBRERO","MARZO","ABRIL","MAYO","JUNIO","JULIO","AGOSTO","SEPTIEMBRE","OCTUBRE","NOVIEMBRE","DICIEMBRE"}, 0), 1,2,3,4,5,6,7,8,9,10,11,12), A189)</f>
        <v>43653</v>
      </c>
      <c r="H189">
        <v>45.75</v>
      </c>
      <c r="I189">
        <v>36000</v>
      </c>
      <c r="J189" s="1">
        <f t="shared" si="5"/>
        <v>43654</v>
      </c>
      <c r="K189">
        <f t="shared" si="4"/>
        <v>15.375</v>
      </c>
    </row>
    <row r="190" spans="1:11" x14ac:dyDescent="0.25">
      <c r="A190">
        <v>8</v>
      </c>
      <c r="B190" t="s">
        <v>16</v>
      </c>
      <c r="C190">
        <v>2019</v>
      </c>
      <c r="D190">
        <v>56.25</v>
      </c>
      <c r="E190">
        <v>100</v>
      </c>
      <c r="F190">
        <v>140.875</v>
      </c>
      <c r="G190" s="1">
        <f>DATE(C190, CHOOSE(MATCH(UPPER(B190), {"ENERO","FEBRERO","MARZO","ABRIL","MAYO","JUNIO","JULIO","AGOSTO","SEPTIEMBRE","OCTUBRE","NOVIEMBRE","DICIEMBRE"}, 0), 1,2,3,4,5,6,7,8,9,10,11,12), A190)</f>
        <v>43654</v>
      </c>
      <c r="H190">
        <v>15.375</v>
      </c>
      <c r="I190">
        <v>36000</v>
      </c>
      <c r="J190" s="1">
        <f t="shared" si="5"/>
        <v>43655</v>
      </c>
      <c r="K190">
        <f t="shared" si="4"/>
        <v>34.25</v>
      </c>
    </row>
    <row r="191" spans="1:11" x14ac:dyDescent="0.25">
      <c r="A191">
        <v>9</v>
      </c>
      <c r="B191" t="s">
        <v>16</v>
      </c>
      <c r="C191">
        <v>2019</v>
      </c>
      <c r="D191">
        <v>140.875</v>
      </c>
      <c r="E191" t="s">
        <v>9</v>
      </c>
      <c r="F191">
        <v>106.625</v>
      </c>
      <c r="G191" s="1">
        <f>DATE(C191, CHOOSE(MATCH(UPPER(B191), {"ENERO","FEBRERO","MARZO","ABRIL","MAYO","JUNIO","JULIO","AGOSTO","SEPTIEMBRE","OCTUBRE","NOVIEMBRE","DICIEMBRE"}, 0), 1,2,3,4,5,6,7,8,9,10,11,12), A191)</f>
        <v>43655</v>
      </c>
      <c r="H191">
        <v>34.25</v>
      </c>
      <c r="I191">
        <v>36000</v>
      </c>
      <c r="J191" s="1">
        <f t="shared" si="5"/>
        <v>43656</v>
      </c>
      <c r="K191">
        <f t="shared" si="4"/>
        <v>33.625</v>
      </c>
    </row>
    <row r="192" spans="1:11" x14ac:dyDescent="0.25">
      <c r="A192">
        <v>10</v>
      </c>
      <c r="B192" t="s">
        <v>16</v>
      </c>
      <c r="C192">
        <v>2019</v>
      </c>
      <c r="D192">
        <v>106.625</v>
      </c>
      <c r="E192" t="s">
        <v>9</v>
      </c>
      <c r="F192">
        <v>73</v>
      </c>
      <c r="G192" s="1">
        <f>DATE(C192, CHOOSE(MATCH(UPPER(B192), {"ENERO","FEBRERO","MARZO","ABRIL","MAYO","JUNIO","JULIO","AGOSTO","SEPTIEMBRE","OCTUBRE","NOVIEMBRE","DICIEMBRE"}, 0), 1,2,3,4,5,6,7,8,9,10,11,12), A192)</f>
        <v>43656</v>
      </c>
      <c r="H192">
        <v>33.625</v>
      </c>
      <c r="I192">
        <v>36000</v>
      </c>
      <c r="J192" s="1">
        <f t="shared" si="5"/>
        <v>43657</v>
      </c>
      <c r="K192">
        <f t="shared" si="4"/>
        <v>20.625</v>
      </c>
    </row>
    <row r="193" spans="1:11" x14ac:dyDescent="0.25">
      <c r="A193">
        <v>11</v>
      </c>
      <c r="B193" t="s">
        <v>16</v>
      </c>
      <c r="C193">
        <v>2019</v>
      </c>
      <c r="D193">
        <v>73</v>
      </c>
      <c r="E193">
        <v>120</v>
      </c>
      <c r="F193">
        <v>172.375</v>
      </c>
      <c r="G193" s="1">
        <f>DATE(C193, CHOOSE(MATCH(UPPER(B193), {"ENERO","FEBRERO","MARZO","ABRIL","MAYO","JUNIO","JULIO","AGOSTO","SEPTIEMBRE","OCTUBRE","NOVIEMBRE","DICIEMBRE"}, 0), 1,2,3,4,5,6,7,8,9,10,11,12), A193)</f>
        <v>43657</v>
      </c>
      <c r="H193">
        <v>20.625</v>
      </c>
      <c r="I193">
        <v>36000</v>
      </c>
      <c r="J193" s="1">
        <f t="shared" si="5"/>
        <v>43658</v>
      </c>
      <c r="K193">
        <f t="shared" si="4"/>
        <v>36.125</v>
      </c>
    </row>
    <row r="194" spans="1:11" x14ac:dyDescent="0.25">
      <c r="A194">
        <v>12</v>
      </c>
      <c r="B194" t="s">
        <v>16</v>
      </c>
      <c r="C194">
        <v>2019</v>
      </c>
      <c r="D194">
        <v>172.375</v>
      </c>
      <c r="E194" t="s">
        <v>9</v>
      </c>
      <c r="F194">
        <v>136.25</v>
      </c>
      <c r="G194" s="1">
        <f>DATE(C194, CHOOSE(MATCH(UPPER(B194), {"ENERO","FEBRERO","MARZO","ABRIL","MAYO","JUNIO","JULIO","AGOSTO","SEPTIEMBRE","OCTUBRE","NOVIEMBRE","DICIEMBRE"}, 0), 1,2,3,4,5,6,7,8,9,10,11,12), A194)</f>
        <v>43658</v>
      </c>
      <c r="H194">
        <v>36.125</v>
      </c>
      <c r="I194">
        <v>36000</v>
      </c>
      <c r="J194" s="1">
        <f t="shared" si="5"/>
        <v>43659</v>
      </c>
      <c r="K194">
        <f t="shared" ref="K194:K257" si="6">VLOOKUP(J194, G:H, 2, FALSE)</f>
        <v>43.25</v>
      </c>
    </row>
    <row r="195" spans="1:11" x14ac:dyDescent="0.25">
      <c r="A195">
        <v>13</v>
      </c>
      <c r="B195" t="s">
        <v>16</v>
      </c>
      <c r="C195">
        <v>2019</v>
      </c>
      <c r="D195">
        <v>136.25</v>
      </c>
      <c r="E195" t="s">
        <v>9</v>
      </c>
      <c r="F195">
        <v>93</v>
      </c>
      <c r="G195" s="1">
        <f>DATE(C195, CHOOSE(MATCH(UPPER(B195), {"ENERO","FEBRERO","MARZO","ABRIL","MAYO","JUNIO","JULIO","AGOSTO","SEPTIEMBRE","OCTUBRE","NOVIEMBRE","DICIEMBRE"}, 0), 1,2,3,4,5,6,7,8,9,10,11,12), A195)</f>
        <v>43659</v>
      </c>
      <c r="H195">
        <v>43.25</v>
      </c>
      <c r="I195">
        <v>36000</v>
      </c>
      <c r="J195" s="1">
        <f t="shared" si="5"/>
        <v>43660</v>
      </c>
      <c r="K195">
        <f t="shared" si="6"/>
        <v>30.75</v>
      </c>
    </row>
    <row r="196" spans="1:11" x14ac:dyDescent="0.25">
      <c r="A196">
        <v>14</v>
      </c>
      <c r="B196" t="s">
        <v>16</v>
      </c>
      <c r="C196">
        <v>2019</v>
      </c>
      <c r="D196">
        <v>93</v>
      </c>
      <c r="E196" t="s">
        <v>9</v>
      </c>
      <c r="F196">
        <v>62.25</v>
      </c>
      <c r="G196" s="1">
        <f>DATE(C196, CHOOSE(MATCH(UPPER(B196), {"ENERO","FEBRERO","MARZO","ABRIL","MAYO","JUNIO","JULIO","AGOSTO","SEPTIEMBRE","OCTUBRE","NOVIEMBRE","DICIEMBRE"}, 0), 1,2,3,4,5,6,7,8,9,10,11,12), A196)</f>
        <v>43660</v>
      </c>
      <c r="H196">
        <v>30.75</v>
      </c>
      <c r="I196">
        <v>36000</v>
      </c>
      <c r="J196" s="1">
        <f t="shared" ref="J196:J259" si="7">DATE(2019,1,1) + ROW()-1</f>
        <v>43661</v>
      </c>
      <c r="K196">
        <f t="shared" si="6"/>
        <v>15.875</v>
      </c>
    </row>
    <row r="197" spans="1:11" x14ac:dyDescent="0.25">
      <c r="A197">
        <v>15</v>
      </c>
      <c r="B197" t="s">
        <v>16</v>
      </c>
      <c r="C197">
        <v>2019</v>
      </c>
      <c r="D197">
        <v>62.25</v>
      </c>
      <c r="E197">
        <v>13</v>
      </c>
      <c r="F197">
        <v>59.375</v>
      </c>
      <c r="G197" s="1">
        <f>DATE(C197, CHOOSE(MATCH(UPPER(B197), {"ENERO","FEBRERO","MARZO","ABRIL","MAYO","JUNIO","JULIO","AGOSTO","SEPTIEMBRE","OCTUBRE","NOVIEMBRE","DICIEMBRE"}, 0), 1,2,3,4,5,6,7,8,9,10,11,12), A197)</f>
        <v>43661</v>
      </c>
      <c r="H197">
        <v>15.875</v>
      </c>
      <c r="I197">
        <v>36000</v>
      </c>
      <c r="J197" s="1">
        <f t="shared" si="7"/>
        <v>43662</v>
      </c>
      <c r="K197">
        <f t="shared" si="6"/>
        <v>29.375</v>
      </c>
    </row>
    <row r="198" spans="1:11" x14ac:dyDescent="0.25">
      <c r="A198">
        <v>16</v>
      </c>
      <c r="B198" t="s">
        <v>16</v>
      </c>
      <c r="C198">
        <v>2019</v>
      </c>
      <c r="D198">
        <v>59.375</v>
      </c>
      <c r="E198" t="s">
        <v>9</v>
      </c>
      <c r="F198">
        <v>30</v>
      </c>
      <c r="G198" s="1">
        <f>DATE(C198, CHOOSE(MATCH(UPPER(B198), {"ENERO","FEBRERO","MARZO","ABRIL","MAYO","JUNIO","JULIO","AGOSTO","SEPTIEMBRE","OCTUBRE","NOVIEMBRE","DICIEMBRE"}, 0), 1,2,3,4,5,6,7,8,9,10,11,12), A198)</f>
        <v>43662</v>
      </c>
      <c r="H198">
        <v>29.375</v>
      </c>
      <c r="I198">
        <v>36000</v>
      </c>
      <c r="J198" s="1">
        <f t="shared" si="7"/>
        <v>43663</v>
      </c>
      <c r="K198">
        <f t="shared" si="6"/>
        <v>27.5</v>
      </c>
    </row>
    <row r="199" spans="1:11" x14ac:dyDescent="0.25">
      <c r="A199">
        <v>17</v>
      </c>
      <c r="B199" t="s">
        <v>16</v>
      </c>
      <c r="C199">
        <v>2019</v>
      </c>
      <c r="D199">
        <v>30</v>
      </c>
      <c r="E199">
        <v>30</v>
      </c>
      <c r="F199">
        <v>32.5</v>
      </c>
      <c r="G199" s="1">
        <f>DATE(C199, CHOOSE(MATCH(UPPER(B199), {"ENERO","FEBRERO","MARZO","ABRIL","MAYO","JUNIO","JULIO","AGOSTO","SEPTIEMBRE","OCTUBRE","NOVIEMBRE","DICIEMBRE"}, 0), 1,2,3,4,5,6,7,8,9,10,11,12), A199)</f>
        <v>43663</v>
      </c>
      <c r="H199">
        <v>27.5</v>
      </c>
      <c r="I199">
        <v>36000</v>
      </c>
      <c r="J199" s="1">
        <f t="shared" si="7"/>
        <v>43664</v>
      </c>
      <c r="K199">
        <f t="shared" si="6"/>
        <v>21.875</v>
      </c>
    </row>
    <row r="200" spans="1:11" x14ac:dyDescent="0.25">
      <c r="A200">
        <v>18</v>
      </c>
      <c r="B200" t="s">
        <v>16</v>
      </c>
      <c r="C200">
        <v>2019</v>
      </c>
      <c r="D200">
        <v>32.5</v>
      </c>
      <c r="E200">
        <v>100</v>
      </c>
      <c r="F200">
        <v>110.625</v>
      </c>
      <c r="G200" s="1">
        <f>DATE(C200, CHOOSE(MATCH(UPPER(B200), {"ENERO","FEBRERO","MARZO","ABRIL","MAYO","JUNIO","JULIO","AGOSTO","SEPTIEMBRE","OCTUBRE","NOVIEMBRE","DICIEMBRE"}, 0), 1,2,3,4,5,6,7,8,9,10,11,12), A200)</f>
        <v>43664</v>
      </c>
      <c r="H200">
        <v>21.875</v>
      </c>
      <c r="I200">
        <v>36000</v>
      </c>
      <c r="J200" s="1">
        <f t="shared" si="7"/>
        <v>43665</v>
      </c>
      <c r="K200">
        <f t="shared" si="6"/>
        <v>31.875</v>
      </c>
    </row>
    <row r="201" spans="1:11" x14ac:dyDescent="0.25">
      <c r="A201">
        <v>19</v>
      </c>
      <c r="B201" t="s">
        <v>16</v>
      </c>
      <c r="C201">
        <v>2019</v>
      </c>
      <c r="D201">
        <v>110.625</v>
      </c>
      <c r="E201" t="s">
        <v>9</v>
      </c>
      <c r="F201">
        <v>78.75</v>
      </c>
      <c r="G201" s="1">
        <f>DATE(C201, CHOOSE(MATCH(UPPER(B201), {"ENERO","FEBRERO","MARZO","ABRIL","MAYO","JUNIO","JULIO","AGOSTO","SEPTIEMBRE","OCTUBRE","NOVIEMBRE","DICIEMBRE"}, 0), 1,2,3,4,5,6,7,8,9,10,11,12), A201)</f>
        <v>43665</v>
      </c>
      <c r="H201">
        <v>31.875</v>
      </c>
      <c r="I201">
        <v>36000</v>
      </c>
      <c r="J201" s="1">
        <f t="shared" si="7"/>
        <v>43666</v>
      </c>
      <c r="K201">
        <f t="shared" si="6"/>
        <v>49.75</v>
      </c>
    </row>
    <row r="202" spans="1:11" x14ac:dyDescent="0.25">
      <c r="A202">
        <v>20</v>
      </c>
      <c r="B202" t="s">
        <v>16</v>
      </c>
      <c r="C202">
        <v>2019</v>
      </c>
      <c r="D202">
        <v>78.75</v>
      </c>
      <c r="E202" t="s">
        <v>9</v>
      </c>
      <c r="F202">
        <v>29</v>
      </c>
      <c r="G202" s="1">
        <f>DATE(C202, CHOOSE(MATCH(UPPER(B202), {"ENERO","FEBRERO","MARZO","ABRIL","MAYO","JUNIO","JULIO","AGOSTO","SEPTIEMBRE","OCTUBRE","NOVIEMBRE","DICIEMBRE"}, 0), 1,2,3,4,5,6,7,8,9,10,11,12), A202)</f>
        <v>43666</v>
      </c>
      <c r="H202">
        <v>49.75</v>
      </c>
      <c r="I202">
        <v>36000</v>
      </c>
      <c r="J202" s="1">
        <f t="shared" si="7"/>
        <v>43667</v>
      </c>
      <c r="K202">
        <f t="shared" si="6"/>
        <v>46</v>
      </c>
    </row>
    <row r="203" spans="1:11" x14ac:dyDescent="0.25">
      <c r="A203">
        <v>21</v>
      </c>
      <c r="B203" t="s">
        <v>16</v>
      </c>
      <c r="C203">
        <v>2019</v>
      </c>
      <c r="D203">
        <v>29</v>
      </c>
      <c r="E203">
        <v>30</v>
      </c>
      <c r="F203">
        <v>13</v>
      </c>
      <c r="G203" s="1">
        <f>DATE(C203, CHOOSE(MATCH(UPPER(B203), {"ENERO","FEBRERO","MARZO","ABRIL","MAYO","JUNIO","JULIO","AGOSTO","SEPTIEMBRE","OCTUBRE","NOVIEMBRE","DICIEMBRE"}, 0), 1,2,3,4,5,6,7,8,9,10,11,12), A203)</f>
        <v>43667</v>
      </c>
      <c r="H203">
        <v>46</v>
      </c>
      <c r="I203">
        <v>36000</v>
      </c>
      <c r="J203" s="1">
        <f t="shared" si="7"/>
        <v>43668</v>
      </c>
      <c r="K203">
        <f t="shared" si="6"/>
        <v>14.625</v>
      </c>
    </row>
    <row r="204" spans="1:11" x14ac:dyDescent="0.25">
      <c r="A204">
        <v>22</v>
      </c>
      <c r="B204" t="s">
        <v>16</v>
      </c>
      <c r="C204">
        <v>2019</v>
      </c>
      <c r="D204">
        <v>13</v>
      </c>
      <c r="E204">
        <v>100</v>
      </c>
      <c r="F204">
        <v>98.375</v>
      </c>
      <c r="G204" s="1">
        <f>DATE(C204, CHOOSE(MATCH(UPPER(B204), {"ENERO","FEBRERO","MARZO","ABRIL","MAYO","JUNIO","JULIO","AGOSTO","SEPTIEMBRE","OCTUBRE","NOVIEMBRE","DICIEMBRE"}, 0), 1,2,3,4,5,6,7,8,9,10,11,12), A204)</f>
        <v>43668</v>
      </c>
      <c r="H204">
        <v>14.625</v>
      </c>
      <c r="I204">
        <v>36000</v>
      </c>
      <c r="J204" s="1">
        <f t="shared" si="7"/>
        <v>43669</v>
      </c>
      <c r="K204">
        <f t="shared" si="6"/>
        <v>40.375</v>
      </c>
    </row>
    <row r="205" spans="1:11" x14ac:dyDescent="0.25">
      <c r="A205">
        <v>23</v>
      </c>
      <c r="B205" t="s">
        <v>16</v>
      </c>
      <c r="C205">
        <v>2019</v>
      </c>
      <c r="D205">
        <v>98.375</v>
      </c>
      <c r="E205" t="s">
        <v>9</v>
      </c>
      <c r="F205">
        <v>58</v>
      </c>
      <c r="G205" s="1">
        <f>DATE(C205, CHOOSE(MATCH(UPPER(B205), {"ENERO","FEBRERO","MARZO","ABRIL","MAYO","JUNIO","JULIO","AGOSTO","SEPTIEMBRE","OCTUBRE","NOVIEMBRE","DICIEMBRE"}, 0), 1,2,3,4,5,6,7,8,9,10,11,12), A205)</f>
        <v>43669</v>
      </c>
      <c r="H205">
        <v>40.375</v>
      </c>
      <c r="I205">
        <v>36000</v>
      </c>
      <c r="J205" s="1">
        <f t="shared" si="7"/>
        <v>43670</v>
      </c>
      <c r="K205">
        <f t="shared" si="6"/>
        <v>36.125</v>
      </c>
    </row>
    <row r="206" spans="1:11" x14ac:dyDescent="0.25">
      <c r="A206">
        <v>24</v>
      </c>
      <c r="B206" t="s">
        <v>16</v>
      </c>
      <c r="C206">
        <v>2019</v>
      </c>
      <c r="D206">
        <v>58</v>
      </c>
      <c r="E206" t="s">
        <v>9</v>
      </c>
      <c r="F206">
        <v>21.875</v>
      </c>
      <c r="G206" s="1">
        <f>DATE(C206, CHOOSE(MATCH(UPPER(B206), {"ENERO","FEBRERO","MARZO","ABRIL","MAYO","JUNIO","JULIO","AGOSTO","SEPTIEMBRE","OCTUBRE","NOVIEMBRE","DICIEMBRE"}, 0), 1,2,3,4,5,6,7,8,9,10,11,12), A206)</f>
        <v>43670</v>
      </c>
      <c r="H206">
        <v>36.125</v>
      </c>
      <c r="I206">
        <v>36000</v>
      </c>
      <c r="J206" s="1">
        <f t="shared" si="7"/>
        <v>43671</v>
      </c>
      <c r="K206">
        <f t="shared" si="6"/>
        <v>24</v>
      </c>
    </row>
    <row r="207" spans="1:11" x14ac:dyDescent="0.25">
      <c r="A207">
        <v>25</v>
      </c>
      <c r="B207" t="s">
        <v>16</v>
      </c>
      <c r="C207">
        <v>2019</v>
      </c>
      <c r="D207">
        <v>21.875</v>
      </c>
      <c r="E207">
        <v>120</v>
      </c>
      <c r="F207">
        <v>117.875</v>
      </c>
      <c r="G207" s="1">
        <f>DATE(C207, CHOOSE(MATCH(UPPER(B207), {"ENERO","FEBRERO","MARZO","ABRIL","MAYO","JUNIO","JULIO","AGOSTO","SEPTIEMBRE","OCTUBRE","NOVIEMBRE","DICIEMBRE"}, 0), 1,2,3,4,5,6,7,8,9,10,11,12), A207)</f>
        <v>43671</v>
      </c>
      <c r="H207">
        <v>24</v>
      </c>
      <c r="I207">
        <v>36000</v>
      </c>
      <c r="J207" s="1">
        <f t="shared" si="7"/>
        <v>43672</v>
      </c>
      <c r="K207">
        <f t="shared" si="6"/>
        <v>22</v>
      </c>
    </row>
    <row r="208" spans="1:11" x14ac:dyDescent="0.25">
      <c r="A208">
        <v>26</v>
      </c>
      <c r="B208" t="s">
        <v>16</v>
      </c>
      <c r="C208">
        <v>2019</v>
      </c>
      <c r="D208">
        <v>117.875</v>
      </c>
      <c r="E208" t="s">
        <v>9</v>
      </c>
      <c r="F208">
        <v>95.875</v>
      </c>
      <c r="G208" s="1">
        <f>DATE(C208, CHOOSE(MATCH(UPPER(B208), {"ENERO","FEBRERO","MARZO","ABRIL","MAYO","JUNIO","JULIO","AGOSTO","SEPTIEMBRE","OCTUBRE","NOVIEMBRE","DICIEMBRE"}, 0), 1,2,3,4,5,6,7,8,9,10,11,12), A208)</f>
        <v>43672</v>
      </c>
      <c r="H208">
        <v>22</v>
      </c>
      <c r="I208">
        <v>36000</v>
      </c>
      <c r="J208" s="1">
        <f t="shared" si="7"/>
        <v>43673</v>
      </c>
      <c r="K208">
        <f t="shared" si="6"/>
        <v>44</v>
      </c>
    </row>
    <row r="209" spans="1:11" x14ac:dyDescent="0.25">
      <c r="A209">
        <v>27</v>
      </c>
      <c r="B209" t="s">
        <v>16</v>
      </c>
      <c r="C209">
        <v>2019</v>
      </c>
      <c r="D209">
        <v>95.875</v>
      </c>
      <c r="E209" t="s">
        <v>9</v>
      </c>
      <c r="F209">
        <v>51.875</v>
      </c>
      <c r="G209" s="1">
        <f>DATE(C209, CHOOSE(MATCH(UPPER(B209), {"ENERO","FEBRERO","MARZO","ABRIL","MAYO","JUNIO","JULIO","AGOSTO","SEPTIEMBRE","OCTUBRE","NOVIEMBRE","DICIEMBRE"}, 0), 1,2,3,4,5,6,7,8,9,10,11,12), A209)</f>
        <v>43673</v>
      </c>
      <c r="H209">
        <v>44</v>
      </c>
      <c r="I209">
        <v>36000</v>
      </c>
      <c r="J209" s="1">
        <f t="shared" si="7"/>
        <v>43674</v>
      </c>
      <c r="K209">
        <f t="shared" si="6"/>
        <v>50.75</v>
      </c>
    </row>
    <row r="210" spans="1:11" x14ac:dyDescent="0.25">
      <c r="A210">
        <v>28</v>
      </c>
      <c r="B210" t="s">
        <v>16</v>
      </c>
      <c r="C210">
        <v>2019</v>
      </c>
      <c r="D210">
        <v>51.875</v>
      </c>
      <c r="E210">
        <v>40</v>
      </c>
      <c r="F210">
        <v>41.125</v>
      </c>
      <c r="G210" s="1">
        <f>DATE(C210, CHOOSE(MATCH(UPPER(B210), {"ENERO","FEBRERO","MARZO","ABRIL","MAYO","JUNIO","JULIO","AGOSTO","SEPTIEMBRE","OCTUBRE","NOVIEMBRE","DICIEMBRE"}, 0), 1,2,3,4,5,6,7,8,9,10,11,12), A210)</f>
        <v>43674</v>
      </c>
      <c r="H210">
        <v>50.75</v>
      </c>
      <c r="I210">
        <v>36000</v>
      </c>
      <c r="J210" s="1">
        <f t="shared" si="7"/>
        <v>43675</v>
      </c>
      <c r="K210">
        <f t="shared" si="6"/>
        <v>14.625</v>
      </c>
    </row>
    <row r="211" spans="1:11" x14ac:dyDescent="0.25">
      <c r="A211">
        <v>29</v>
      </c>
      <c r="B211" t="s">
        <v>16</v>
      </c>
      <c r="C211">
        <v>2019</v>
      </c>
      <c r="D211">
        <v>41.125</v>
      </c>
      <c r="E211">
        <v>100</v>
      </c>
      <c r="F211">
        <v>126.5</v>
      </c>
      <c r="G211" s="1">
        <f>DATE(C211, CHOOSE(MATCH(UPPER(B211), {"ENERO","FEBRERO","MARZO","ABRIL","MAYO","JUNIO","JULIO","AGOSTO","SEPTIEMBRE","OCTUBRE","NOVIEMBRE","DICIEMBRE"}, 0), 1,2,3,4,5,6,7,8,9,10,11,12), A211)</f>
        <v>43675</v>
      </c>
      <c r="H211">
        <v>14.625</v>
      </c>
      <c r="I211">
        <v>36000</v>
      </c>
      <c r="J211" s="1">
        <f t="shared" si="7"/>
        <v>43676</v>
      </c>
      <c r="K211">
        <f t="shared" si="6"/>
        <v>27.5</v>
      </c>
    </row>
    <row r="212" spans="1:11" x14ac:dyDescent="0.25">
      <c r="A212">
        <v>30</v>
      </c>
      <c r="B212" t="s">
        <v>16</v>
      </c>
      <c r="C212">
        <v>2019</v>
      </c>
      <c r="D212">
        <v>126.5</v>
      </c>
      <c r="E212" t="s">
        <v>9</v>
      </c>
      <c r="F212">
        <v>99</v>
      </c>
      <c r="G212" s="1">
        <f>DATE(C212, CHOOSE(MATCH(UPPER(B212), {"ENERO","FEBRERO","MARZO","ABRIL","MAYO","JUNIO","JULIO","AGOSTO","SEPTIEMBRE","OCTUBRE","NOVIEMBRE","DICIEMBRE"}, 0), 1,2,3,4,5,6,7,8,9,10,11,12), A212)</f>
        <v>43676</v>
      </c>
      <c r="H212">
        <v>27.5</v>
      </c>
      <c r="I212">
        <v>36000</v>
      </c>
      <c r="J212" s="1">
        <f t="shared" si="7"/>
        <v>43677</v>
      </c>
      <c r="K212">
        <f t="shared" si="6"/>
        <v>35</v>
      </c>
    </row>
    <row r="213" spans="1:11" x14ac:dyDescent="0.25">
      <c r="A213">
        <v>31</v>
      </c>
      <c r="B213" t="s">
        <v>16</v>
      </c>
      <c r="C213">
        <v>2019</v>
      </c>
      <c r="D213">
        <v>99</v>
      </c>
      <c r="E213" t="s">
        <v>9</v>
      </c>
      <c r="F213">
        <v>64</v>
      </c>
      <c r="G213" s="1">
        <f>DATE(C213, CHOOSE(MATCH(UPPER(B213), {"ENERO","FEBRERO","MARZO","ABRIL","MAYO","JUNIO","JULIO","AGOSTO","SEPTIEMBRE","OCTUBRE","NOVIEMBRE","DICIEMBRE"}, 0), 1,2,3,4,5,6,7,8,9,10,11,12), A213)</f>
        <v>43677</v>
      </c>
      <c r="H213">
        <v>35</v>
      </c>
      <c r="I213">
        <v>36000</v>
      </c>
      <c r="J213" s="1">
        <f t="shared" si="7"/>
        <v>43678</v>
      </c>
      <c r="K213">
        <f t="shared" si="6"/>
        <v>20</v>
      </c>
    </row>
    <row r="214" spans="1:11" x14ac:dyDescent="0.25">
      <c r="A214">
        <v>1</v>
      </c>
      <c r="B214" t="s">
        <v>17</v>
      </c>
      <c r="C214">
        <v>2019</v>
      </c>
      <c r="D214">
        <v>64</v>
      </c>
      <c r="E214">
        <v>100</v>
      </c>
      <c r="F214">
        <v>144</v>
      </c>
      <c r="G214" s="1">
        <f>DATE(C214, CHOOSE(MATCH(UPPER(B214), {"ENERO","FEBRERO","MARZO","ABRIL","MAYO","JUNIO","JULIO","AGOSTO","SEPTIEMBRE","OCTUBRE","NOVIEMBRE","DICIEMBRE"}, 0), 1,2,3,4,5,6,7,8,9,10,11,12), A214)</f>
        <v>43678</v>
      </c>
      <c r="H214">
        <v>20</v>
      </c>
      <c r="I214">
        <v>36000</v>
      </c>
      <c r="J214" s="1">
        <f t="shared" si="7"/>
        <v>43679</v>
      </c>
      <c r="K214">
        <f t="shared" si="6"/>
        <v>39</v>
      </c>
    </row>
    <row r="215" spans="1:11" x14ac:dyDescent="0.25">
      <c r="A215">
        <v>2</v>
      </c>
      <c r="B215" t="s">
        <v>17</v>
      </c>
      <c r="C215">
        <v>2019</v>
      </c>
      <c r="D215">
        <v>144</v>
      </c>
      <c r="E215" t="s">
        <v>9</v>
      </c>
      <c r="F215">
        <v>105</v>
      </c>
      <c r="G215" s="1">
        <f>DATE(C215, CHOOSE(MATCH(UPPER(B215), {"ENERO","FEBRERO","MARZO","ABRIL","MAYO","JUNIO","JULIO","AGOSTO","SEPTIEMBRE","OCTUBRE","NOVIEMBRE","DICIEMBRE"}, 0), 1,2,3,4,5,6,7,8,9,10,11,12), A215)</f>
        <v>43679</v>
      </c>
      <c r="H215">
        <v>39</v>
      </c>
      <c r="I215">
        <v>36000</v>
      </c>
      <c r="J215" s="1">
        <f t="shared" si="7"/>
        <v>43680</v>
      </c>
      <c r="K215">
        <f t="shared" si="6"/>
        <v>33</v>
      </c>
    </row>
    <row r="216" spans="1:11" x14ac:dyDescent="0.25">
      <c r="A216">
        <v>3</v>
      </c>
      <c r="B216" t="s">
        <v>17</v>
      </c>
      <c r="C216">
        <v>2019</v>
      </c>
      <c r="D216">
        <v>105</v>
      </c>
      <c r="E216" t="s">
        <v>9</v>
      </c>
      <c r="F216">
        <v>72</v>
      </c>
      <c r="G216" s="1">
        <f>DATE(C216, CHOOSE(MATCH(UPPER(B216), {"ENERO","FEBRERO","MARZO","ABRIL","MAYO","JUNIO","JULIO","AGOSTO","SEPTIEMBRE","OCTUBRE","NOVIEMBRE","DICIEMBRE"}, 0), 1,2,3,4,5,6,7,8,9,10,11,12), A216)</f>
        <v>43680</v>
      </c>
      <c r="H216">
        <v>33</v>
      </c>
      <c r="I216">
        <v>36000</v>
      </c>
      <c r="J216" s="1">
        <f t="shared" si="7"/>
        <v>43681</v>
      </c>
      <c r="K216">
        <f t="shared" si="6"/>
        <v>47</v>
      </c>
    </row>
    <row r="217" spans="1:11" x14ac:dyDescent="0.25">
      <c r="A217">
        <v>4</v>
      </c>
      <c r="B217" t="s">
        <v>17</v>
      </c>
      <c r="C217">
        <v>2019</v>
      </c>
      <c r="D217">
        <v>72</v>
      </c>
      <c r="E217" t="s">
        <v>9</v>
      </c>
      <c r="F217">
        <v>25</v>
      </c>
      <c r="G217" s="1">
        <f>DATE(C217, CHOOSE(MATCH(UPPER(B217), {"ENERO","FEBRERO","MARZO","ABRIL","MAYO","JUNIO","JULIO","AGOSTO","SEPTIEMBRE","OCTUBRE","NOVIEMBRE","DICIEMBRE"}, 0), 1,2,3,4,5,6,7,8,9,10,11,12), A217)</f>
        <v>43681</v>
      </c>
      <c r="H217">
        <v>47</v>
      </c>
      <c r="I217">
        <v>36000</v>
      </c>
      <c r="J217" s="1">
        <f t="shared" si="7"/>
        <v>43682</v>
      </c>
      <c r="K217">
        <f t="shared" si="6"/>
        <v>11.5</v>
      </c>
    </row>
    <row r="218" spans="1:11" x14ac:dyDescent="0.25">
      <c r="A218">
        <v>5</v>
      </c>
      <c r="B218" t="s">
        <v>17</v>
      </c>
      <c r="C218">
        <v>2019</v>
      </c>
      <c r="D218">
        <v>25</v>
      </c>
      <c r="E218">
        <v>30</v>
      </c>
      <c r="F218">
        <v>43.5</v>
      </c>
      <c r="G218" s="1">
        <f>DATE(C218, CHOOSE(MATCH(UPPER(B218), {"ENERO","FEBRERO","MARZO","ABRIL","MAYO","JUNIO","JULIO","AGOSTO","SEPTIEMBRE","OCTUBRE","NOVIEMBRE","DICIEMBRE"}, 0), 1,2,3,4,5,6,7,8,9,10,11,12), A218)</f>
        <v>43682</v>
      </c>
      <c r="H218">
        <v>11.5</v>
      </c>
      <c r="I218">
        <v>36000</v>
      </c>
      <c r="J218" s="1">
        <f t="shared" si="7"/>
        <v>43683</v>
      </c>
      <c r="K218">
        <f t="shared" si="6"/>
        <v>34.5</v>
      </c>
    </row>
    <row r="219" spans="1:11" x14ac:dyDescent="0.25">
      <c r="A219">
        <v>6</v>
      </c>
      <c r="B219" t="s">
        <v>17</v>
      </c>
      <c r="C219">
        <v>2019</v>
      </c>
      <c r="D219">
        <v>43.5</v>
      </c>
      <c r="E219" t="s">
        <v>9</v>
      </c>
      <c r="F219">
        <v>9</v>
      </c>
      <c r="G219" s="1">
        <f>DATE(C219, CHOOSE(MATCH(UPPER(B219), {"ENERO","FEBRERO","MARZO","ABRIL","MAYO","JUNIO","JULIO","AGOSTO","SEPTIEMBRE","OCTUBRE","NOVIEMBRE","DICIEMBRE"}, 0), 1,2,3,4,5,6,7,8,9,10,11,12), A219)</f>
        <v>43683</v>
      </c>
      <c r="H219">
        <v>34.5</v>
      </c>
      <c r="I219">
        <v>36000</v>
      </c>
      <c r="J219" s="1">
        <f t="shared" si="7"/>
        <v>43684</v>
      </c>
      <c r="K219">
        <f t="shared" si="6"/>
        <v>54.5</v>
      </c>
    </row>
    <row r="220" spans="1:11" x14ac:dyDescent="0.25">
      <c r="A220">
        <v>7</v>
      </c>
      <c r="B220" t="s">
        <v>17</v>
      </c>
      <c r="C220">
        <v>2019</v>
      </c>
      <c r="D220">
        <v>9</v>
      </c>
      <c r="E220">
        <v>60</v>
      </c>
      <c r="F220">
        <v>14.5</v>
      </c>
      <c r="G220" s="1">
        <f>DATE(C220, CHOOSE(MATCH(UPPER(B220), {"ENERO","FEBRERO","MARZO","ABRIL","MAYO","JUNIO","JULIO","AGOSTO","SEPTIEMBRE","OCTUBRE","NOVIEMBRE","DICIEMBRE"}, 0), 1,2,3,4,5,6,7,8,9,10,11,12), A220)</f>
        <v>43684</v>
      </c>
      <c r="H220">
        <v>54.5</v>
      </c>
      <c r="I220">
        <v>36000</v>
      </c>
      <c r="J220" s="1">
        <f t="shared" si="7"/>
        <v>43685</v>
      </c>
      <c r="K220">
        <f t="shared" si="6"/>
        <v>13</v>
      </c>
    </row>
    <row r="221" spans="1:11" x14ac:dyDescent="0.25">
      <c r="A221">
        <v>8</v>
      </c>
      <c r="B221" t="s">
        <v>17</v>
      </c>
      <c r="C221">
        <v>2019</v>
      </c>
      <c r="D221">
        <v>14.5</v>
      </c>
      <c r="E221">
        <v>100</v>
      </c>
      <c r="F221">
        <v>101.5</v>
      </c>
      <c r="G221" s="1">
        <f>DATE(C221, CHOOSE(MATCH(UPPER(B221), {"ENERO","FEBRERO","MARZO","ABRIL","MAYO","JUNIO","JULIO","AGOSTO","SEPTIEMBRE","OCTUBRE","NOVIEMBRE","DICIEMBRE"}, 0), 1,2,3,4,5,6,7,8,9,10,11,12), A221)</f>
        <v>43685</v>
      </c>
      <c r="H221">
        <v>13</v>
      </c>
      <c r="I221">
        <v>36000</v>
      </c>
      <c r="J221" s="1">
        <f t="shared" si="7"/>
        <v>43686</v>
      </c>
      <c r="K221">
        <f t="shared" si="6"/>
        <v>19</v>
      </c>
    </row>
    <row r="222" spans="1:11" x14ac:dyDescent="0.25">
      <c r="A222">
        <v>9</v>
      </c>
      <c r="B222" t="s">
        <v>17</v>
      </c>
      <c r="C222">
        <v>2019</v>
      </c>
      <c r="D222">
        <v>101.5</v>
      </c>
      <c r="E222" t="s">
        <v>9</v>
      </c>
      <c r="F222">
        <v>82.5</v>
      </c>
      <c r="G222" s="1">
        <f>DATE(C222, CHOOSE(MATCH(UPPER(B222), {"ENERO","FEBRERO","MARZO","ABRIL","MAYO","JUNIO","JULIO","AGOSTO","SEPTIEMBRE","OCTUBRE","NOVIEMBRE","DICIEMBRE"}, 0), 1,2,3,4,5,6,7,8,9,10,11,12), A222)</f>
        <v>43686</v>
      </c>
      <c r="H222">
        <v>19</v>
      </c>
      <c r="I222">
        <v>36000</v>
      </c>
      <c r="J222" s="1">
        <f t="shared" si="7"/>
        <v>43687</v>
      </c>
      <c r="K222">
        <f t="shared" si="6"/>
        <v>29.5</v>
      </c>
    </row>
    <row r="223" spans="1:11" x14ac:dyDescent="0.25">
      <c r="A223">
        <v>10</v>
      </c>
      <c r="B223" t="s">
        <v>17</v>
      </c>
      <c r="C223">
        <v>2019</v>
      </c>
      <c r="D223">
        <v>82.5</v>
      </c>
      <c r="E223" t="s">
        <v>9</v>
      </c>
      <c r="F223">
        <v>53</v>
      </c>
      <c r="G223" s="1">
        <f>DATE(C223, CHOOSE(MATCH(UPPER(B223), {"ENERO","FEBRERO","MARZO","ABRIL","MAYO","JUNIO","JULIO","AGOSTO","SEPTIEMBRE","OCTUBRE","NOVIEMBRE","DICIEMBRE"}, 0), 1,2,3,4,5,6,7,8,9,10,11,12), A223)</f>
        <v>43687</v>
      </c>
      <c r="H223">
        <v>29.5</v>
      </c>
      <c r="I223">
        <v>36000</v>
      </c>
      <c r="J223" s="1">
        <f t="shared" si="7"/>
        <v>43688</v>
      </c>
      <c r="K223">
        <f t="shared" si="6"/>
        <v>33</v>
      </c>
    </row>
    <row r="224" spans="1:11" x14ac:dyDescent="0.25">
      <c r="A224">
        <v>11</v>
      </c>
      <c r="B224" t="s">
        <v>17</v>
      </c>
      <c r="C224">
        <v>2019</v>
      </c>
      <c r="D224">
        <v>53</v>
      </c>
      <c r="E224">
        <v>50</v>
      </c>
      <c r="F224">
        <v>70</v>
      </c>
      <c r="G224" s="1">
        <f>DATE(C224, CHOOSE(MATCH(UPPER(B224), {"ENERO","FEBRERO","MARZO","ABRIL","MAYO","JUNIO","JULIO","AGOSTO","SEPTIEMBRE","OCTUBRE","NOVIEMBRE","DICIEMBRE"}, 0), 1,2,3,4,5,6,7,8,9,10,11,12), A224)</f>
        <v>43688</v>
      </c>
      <c r="H224">
        <v>33</v>
      </c>
      <c r="I224">
        <v>36000</v>
      </c>
      <c r="J224" s="1">
        <f t="shared" si="7"/>
        <v>43689</v>
      </c>
      <c r="K224">
        <f t="shared" si="6"/>
        <v>9.125</v>
      </c>
    </row>
    <row r="225" spans="1:11" x14ac:dyDescent="0.25">
      <c r="A225">
        <v>12</v>
      </c>
      <c r="B225" t="s">
        <v>17</v>
      </c>
      <c r="C225">
        <v>2019</v>
      </c>
      <c r="D225">
        <v>70</v>
      </c>
      <c r="E225">
        <v>60</v>
      </c>
      <c r="F225">
        <v>120.875</v>
      </c>
      <c r="G225" s="1">
        <f>DATE(C225, CHOOSE(MATCH(UPPER(B225), {"ENERO","FEBRERO","MARZO","ABRIL","MAYO","JUNIO","JULIO","AGOSTO","SEPTIEMBRE","OCTUBRE","NOVIEMBRE","DICIEMBRE"}, 0), 1,2,3,4,5,6,7,8,9,10,11,12), A225)</f>
        <v>43689</v>
      </c>
      <c r="H225">
        <v>9.125</v>
      </c>
      <c r="I225">
        <v>36000</v>
      </c>
      <c r="J225" s="1">
        <f t="shared" si="7"/>
        <v>43690</v>
      </c>
      <c r="K225">
        <f t="shared" si="6"/>
        <v>18.875</v>
      </c>
    </row>
    <row r="226" spans="1:11" x14ac:dyDescent="0.25">
      <c r="A226">
        <v>13</v>
      </c>
      <c r="B226" t="s">
        <v>17</v>
      </c>
      <c r="C226">
        <v>2019</v>
      </c>
      <c r="D226">
        <v>120.875</v>
      </c>
      <c r="E226" t="s">
        <v>9</v>
      </c>
      <c r="F226">
        <v>102</v>
      </c>
      <c r="G226" s="1">
        <f>DATE(C226, CHOOSE(MATCH(UPPER(B226), {"ENERO","FEBRERO","MARZO","ABRIL","MAYO","JUNIO","JULIO","AGOSTO","SEPTIEMBRE","OCTUBRE","NOVIEMBRE","DICIEMBRE"}, 0), 1,2,3,4,5,6,7,8,9,10,11,12), A226)</f>
        <v>43690</v>
      </c>
      <c r="H226">
        <v>18.875</v>
      </c>
      <c r="I226">
        <v>36000</v>
      </c>
      <c r="J226" s="1">
        <f t="shared" si="7"/>
        <v>43691</v>
      </c>
      <c r="K226">
        <f t="shared" si="6"/>
        <v>26</v>
      </c>
    </row>
    <row r="227" spans="1:11" x14ac:dyDescent="0.25">
      <c r="A227">
        <v>14</v>
      </c>
      <c r="B227" t="s">
        <v>17</v>
      </c>
      <c r="C227">
        <v>2019</v>
      </c>
      <c r="D227">
        <v>102</v>
      </c>
      <c r="E227" t="s">
        <v>9</v>
      </c>
      <c r="F227">
        <v>76</v>
      </c>
      <c r="G227" s="1">
        <f>DATE(C227, CHOOSE(MATCH(UPPER(B227), {"ENERO","FEBRERO","MARZO","ABRIL","MAYO","JUNIO","JULIO","AGOSTO","SEPTIEMBRE","OCTUBRE","NOVIEMBRE","DICIEMBRE"}, 0), 1,2,3,4,5,6,7,8,9,10,11,12), A227)</f>
        <v>43691</v>
      </c>
      <c r="H227">
        <v>26</v>
      </c>
      <c r="I227">
        <v>36000</v>
      </c>
      <c r="J227" s="1">
        <f t="shared" si="7"/>
        <v>43692</v>
      </c>
      <c r="K227">
        <f t="shared" si="6"/>
        <v>11</v>
      </c>
    </row>
    <row r="228" spans="1:11" x14ac:dyDescent="0.25">
      <c r="A228">
        <v>15</v>
      </c>
      <c r="B228" t="s">
        <v>17</v>
      </c>
      <c r="C228">
        <v>2019</v>
      </c>
      <c r="D228">
        <v>76</v>
      </c>
      <c r="E228">
        <v>40</v>
      </c>
      <c r="F228">
        <v>105</v>
      </c>
      <c r="G228" s="1">
        <f>DATE(C228, CHOOSE(MATCH(UPPER(B228), {"ENERO","FEBRERO","MARZO","ABRIL","MAYO","JUNIO","JULIO","AGOSTO","SEPTIEMBRE","OCTUBRE","NOVIEMBRE","DICIEMBRE"}, 0), 1,2,3,4,5,6,7,8,9,10,11,12), A228)</f>
        <v>43692</v>
      </c>
      <c r="H228">
        <v>11</v>
      </c>
      <c r="I228">
        <v>36000</v>
      </c>
      <c r="J228" s="1">
        <f t="shared" si="7"/>
        <v>43693</v>
      </c>
      <c r="K228">
        <f t="shared" si="6"/>
        <v>27</v>
      </c>
    </row>
    <row r="229" spans="1:11" x14ac:dyDescent="0.25">
      <c r="A229">
        <v>16</v>
      </c>
      <c r="B229" t="s">
        <v>17</v>
      </c>
      <c r="C229">
        <v>2019</v>
      </c>
      <c r="D229">
        <v>105</v>
      </c>
      <c r="E229" t="s">
        <v>9</v>
      </c>
      <c r="F229">
        <v>78</v>
      </c>
      <c r="G229" s="1">
        <f>DATE(C229, CHOOSE(MATCH(UPPER(B229), {"ENERO","FEBRERO","MARZO","ABRIL","MAYO","JUNIO","JULIO","AGOSTO","SEPTIEMBRE","OCTUBRE","NOVIEMBRE","DICIEMBRE"}, 0), 1,2,3,4,5,6,7,8,9,10,11,12), A229)</f>
        <v>43693</v>
      </c>
      <c r="H229">
        <v>27</v>
      </c>
      <c r="I229">
        <v>36000</v>
      </c>
      <c r="J229" s="1">
        <f t="shared" si="7"/>
        <v>43694</v>
      </c>
      <c r="K229">
        <f t="shared" si="6"/>
        <v>38</v>
      </c>
    </row>
    <row r="230" spans="1:11" x14ac:dyDescent="0.25">
      <c r="A230">
        <v>17</v>
      </c>
      <c r="B230" t="s">
        <v>17</v>
      </c>
      <c r="C230">
        <v>2019</v>
      </c>
      <c r="D230">
        <v>78</v>
      </c>
      <c r="E230" t="s">
        <v>9</v>
      </c>
      <c r="F230">
        <v>40</v>
      </c>
      <c r="G230" s="1">
        <f>DATE(C230, CHOOSE(MATCH(UPPER(B230), {"ENERO","FEBRERO","MARZO","ABRIL","MAYO","JUNIO","JULIO","AGOSTO","SEPTIEMBRE","OCTUBRE","NOVIEMBRE","DICIEMBRE"}, 0), 1,2,3,4,5,6,7,8,9,10,11,12), A230)</f>
        <v>43694</v>
      </c>
      <c r="H230">
        <v>38</v>
      </c>
      <c r="I230">
        <v>36000</v>
      </c>
      <c r="J230" s="1">
        <f t="shared" si="7"/>
        <v>43695</v>
      </c>
      <c r="K230">
        <f t="shared" si="6"/>
        <v>35</v>
      </c>
    </row>
    <row r="231" spans="1:11" x14ac:dyDescent="0.25">
      <c r="A231">
        <v>18</v>
      </c>
      <c r="B231" t="s">
        <v>17</v>
      </c>
      <c r="C231">
        <v>2019</v>
      </c>
      <c r="D231">
        <v>40</v>
      </c>
      <c r="E231">
        <v>30</v>
      </c>
      <c r="F231">
        <v>35</v>
      </c>
      <c r="G231" s="1">
        <f>DATE(C231, CHOOSE(MATCH(UPPER(B231), {"ENERO","FEBRERO","MARZO","ABRIL","MAYO","JUNIO","JULIO","AGOSTO","SEPTIEMBRE","OCTUBRE","NOVIEMBRE","DICIEMBRE"}, 0), 1,2,3,4,5,6,7,8,9,10,11,12), A231)</f>
        <v>43695</v>
      </c>
      <c r="H231">
        <v>35</v>
      </c>
      <c r="I231">
        <v>36000</v>
      </c>
      <c r="J231" s="1">
        <f t="shared" si="7"/>
        <v>43696</v>
      </c>
      <c r="K231">
        <f t="shared" si="6"/>
        <v>34</v>
      </c>
    </row>
    <row r="232" spans="1:11" x14ac:dyDescent="0.25">
      <c r="A232">
        <v>19</v>
      </c>
      <c r="B232" t="s">
        <v>17</v>
      </c>
      <c r="C232">
        <v>2019</v>
      </c>
      <c r="D232">
        <v>35</v>
      </c>
      <c r="E232">
        <v>100</v>
      </c>
      <c r="F232">
        <v>101</v>
      </c>
      <c r="G232" s="1">
        <f>DATE(C232, CHOOSE(MATCH(UPPER(B232), {"ENERO","FEBRERO","MARZO","ABRIL","MAYO","JUNIO","JULIO","AGOSTO","SEPTIEMBRE","OCTUBRE","NOVIEMBRE","DICIEMBRE"}, 0), 1,2,3,4,5,6,7,8,9,10,11,12), A232)</f>
        <v>43696</v>
      </c>
      <c r="H232">
        <v>34</v>
      </c>
      <c r="I232">
        <v>36000</v>
      </c>
      <c r="J232" s="1">
        <f t="shared" si="7"/>
        <v>43697</v>
      </c>
      <c r="K232">
        <f t="shared" si="6"/>
        <v>11</v>
      </c>
    </row>
    <row r="233" spans="1:11" x14ac:dyDescent="0.25">
      <c r="A233">
        <v>20</v>
      </c>
      <c r="B233" t="s">
        <v>17</v>
      </c>
      <c r="C233">
        <v>2019</v>
      </c>
      <c r="D233">
        <v>101</v>
      </c>
      <c r="E233" t="s">
        <v>9</v>
      </c>
      <c r="F233">
        <v>90</v>
      </c>
      <c r="G233" s="1">
        <f>DATE(C233, CHOOSE(MATCH(UPPER(B233), {"ENERO","FEBRERO","MARZO","ABRIL","MAYO","JUNIO","JULIO","AGOSTO","SEPTIEMBRE","OCTUBRE","NOVIEMBRE","DICIEMBRE"}, 0), 1,2,3,4,5,6,7,8,9,10,11,12), A233)</f>
        <v>43697</v>
      </c>
      <c r="H233">
        <v>11</v>
      </c>
      <c r="I233">
        <v>36000</v>
      </c>
      <c r="J233" s="1">
        <f t="shared" si="7"/>
        <v>43698</v>
      </c>
      <c r="K233">
        <f t="shared" si="6"/>
        <v>15</v>
      </c>
    </row>
    <row r="234" spans="1:11" x14ac:dyDescent="0.25">
      <c r="A234">
        <v>21</v>
      </c>
      <c r="B234" t="s">
        <v>17</v>
      </c>
      <c r="C234">
        <v>2019</v>
      </c>
      <c r="D234">
        <v>90</v>
      </c>
      <c r="E234" t="s">
        <v>9</v>
      </c>
      <c r="F234">
        <v>75</v>
      </c>
      <c r="G234" s="1">
        <f>DATE(C234, CHOOSE(MATCH(UPPER(B234), {"ENERO","FEBRERO","MARZO","ABRIL","MAYO","JUNIO","JULIO","AGOSTO","SEPTIEMBRE","OCTUBRE","NOVIEMBRE","DICIEMBRE"}, 0), 1,2,3,4,5,6,7,8,9,10,11,12), A234)</f>
        <v>43698</v>
      </c>
      <c r="H234">
        <v>15</v>
      </c>
      <c r="I234">
        <v>36000</v>
      </c>
      <c r="J234" s="1">
        <f t="shared" si="7"/>
        <v>43699</v>
      </c>
      <c r="K234">
        <f t="shared" si="6"/>
        <v>15</v>
      </c>
    </row>
    <row r="235" spans="1:11" x14ac:dyDescent="0.25">
      <c r="A235">
        <v>22</v>
      </c>
      <c r="B235" t="s">
        <v>17</v>
      </c>
      <c r="C235">
        <v>2019</v>
      </c>
      <c r="D235">
        <v>75</v>
      </c>
      <c r="E235" t="s">
        <v>9</v>
      </c>
      <c r="F235">
        <v>60</v>
      </c>
      <c r="G235" s="1">
        <f>DATE(C235, CHOOSE(MATCH(UPPER(B235), {"ENERO","FEBRERO","MARZO","ABRIL","MAYO","JUNIO","JULIO","AGOSTO","SEPTIEMBRE","OCTUBRE","NOVIEMBRE","DICIEMBRE"}, 0), 1,2,3,4,5,6,7,8,9,10,11,12), A235)</f>
        <v>43699</v>
      </c>
      <c r="H235">
        <v>15</v>
      </c>
      <c r="I235">
        <v>36000</v>
      </c>
      <c r="J235" s="1">
        <f t="shared" si="7"/>
        <v>43700</v>
      </c>
      <c r="K235">
        <f t="shared" si="6"/>
        <v>20</v>
      </c>
    </row>
    <row r="236" spans="1:11" x14ac:dyDescent="0.25">
      <c r="A236">
        <v>23</v>
      </c>
      <c r="B236" t="s">
        <v>17</v>
      </c>
      <c r="C236">
        <v>2019</v>
      </c>
      <c r="D236">
        <v>60</v>
      </c>
      <c r="E236" t="s">
        <v>9</v>
      </c>
      <c r="F236">
        <v>40</v>
      </c>
      <c r="G236" s="1">
        <f>DATE(C236, CHOOSE(MATCH(UPPER(B236), {"ENERO","FEBRERO","MARZO","ABRIL","MAYO","JUNIO","JULIO","AGOSTO","SEPTIEMBRE","OCTUBRE","NOVIEMBRE","DICIEMBRE"}, 0), 1,2,3,4,5,6,7,8,9,10,11,12), A236)</f>
        <v>43700</v>
      </c>
      <c r="H236">
        <v>20</v>
      </c>
      <c r="I236">
        <v>36000</v>
      </c>
      <c r="J236" s="1">
        <f t="shared" si="7"/>
        <v>43701</v>
      </c>
      <c r="K236">
        <f t="shared" si="6"/>
        <v>13.5</v>
      </c>
    </row>
    <row r="237" spans="1:11" x14ac:dyDescent="0.25">
      <c r="A237">
        <v>24</v>
      </c>
      <c r="B237" t="s">
        <v>17</v>
      </c>
      <c r="C237">
        <v>2019</v>
      </c>
      <c r="D237">
        <v>40</v>
      </c>
      <c r="E237">
        <v>100</v>
      </c>
      <c r="F237">
        <v>126.5</v>
      </c>
      <c r="G237" s="1">
        <f>DATE(C237, CHOOSE(MATCH(UPPER(B237), {"ENERO","FEBRERO","MARZO","ABRIL","MAYO","JUNIO","JULIO","AGOSTO","SEPTIEMBRE","OCTUBRE","NOVIEMBRE","DICIEMBRE"}, 0), 1,2,3,4,5,6,7,8,9,10,11,12), A237)</f>
        <v>43701</v>
      </c>
      <c r="H237">
        <v>13.5</v>
      </c>
      <c r="I237">
        <v>36000</v>
      </c>
      <c r="J237" s="1">
        <f t="shared" si="7"/>
        <v>43702</v>
      </c>
      <c r="K237">
        <f t="shared" si="6"/>
        <v>27.5</v>
      </c>
    </row>
    <row r="238" spans="1:11" x14ac:dyDescent="0.25">
      <c r="A238">
        <v>25</v>
      </c>
      <c r="B238" t="s">
        <v>17</v>
      </c>
      <c r="C238">
        <v>2019</v>
      </c>
      <c r="D238">
        <v>126.5</v>
      </c>
      <c r="E238" t="s">
        <v>9</v>
      </c>
      <c r="F238">
        <v>99</v>
      </c>
      <c r="G238" s="1">
        <f>DATE(C238, CHOOSE(MATCH(UPPER(B238), {"ENERO","FEBRERO","MARZO","ABRIL","MAYO","JUNIO","JULIO","AGOSTO","SEPTIEMBRE","OCTUBRE","NOVIEMBRE","DICIEMBRE"}, 0), 1,2,3,4,5,6,7,8,9,10,11,12), A238)</f>
        <v>43702</v>
      </c>
      <c r="H238">
        <v>27.5</v>
      </c>
      <c r="I238">
        <v>36000</v>
      </c>
      <c r="J238" s="1">
        <f t="shared" si="7"/>
        <v>43703</v>
      </c>
      <c r="K238">
        <f t="shared" si="6"/>
        <v>9.75</v>
      </c>
    </row>
    <row r="239" spans="1:11" x14ac:dyDescent="0.25">
      <c r="A239">
        <v>26</v>
      </c>
      <c r="B239" t="s">
        <v>17</v>
      </c>
      <c r="C239">
        <v>2019</v>
      </c>
      <c r="D239">
        <v>99</v>
      </c>
      <c r="E239" t="s">
        <v>9</v>
      </c>
      <c r="F239">
        <v>89.25</v>
      </c>
      <c r="G239" s="1">
        <f>DATE(C239, CHOOSE(MATCH(UPPER(B239), {"ENERO","FEBRERO","MARZO","ABRIL","MAYO","JUNIO","JULIO","AGOSTO","SEPTIEMBRE","OCTUBRE","NOVIEMBRE","DICIEMBRE"}, 0), 1,2,3,4,5,6,7,8,9,10,11,12), A239)</f>
        <v>43703</v>
      </c>
      <c r="H239">
        <v>9.75</v>
      </c>
      <c r="I239">
        <v>36000</v>
      </c>
      <c r="J239" s="1">
        <f t="shared" si="7"/>
        <v>43704</v>
      </c>
      <c r="K239">
        <f t="shared" si="6"/>
        <v>15.25</v>
      </c>
    </row>
    <row r="240" spans="1:11" x14ac:dyDescent="0.25">
      <c r="A240">
        <v>27</v>
      </c>
      <c r="B240" t="s">
        <v>17</v>
      </c>
      <c r="C240">
        <v>2019</v>
      </c>
      <c r="D240">
        <v>89.25</v>
      </c>
      <c r="E240" t="s">
        <v>9</v>
      </c>
      <c r="F240">
        <v>74</v>
      </c>
      <c r="G240" s="1">
        <f>DATE(C240, CHOOSE(MATCH(UPPER(B240), {"ENERO","FEBRERO","MARZO","ABRIL","MAYO","JUNIO","JULIO","AGOSTO","SEPTIEMBRE","OCTUBRE","NOVIEMBRE","DICIEMBRE"}, 0), 1,2,3,4,5,6,7,8,9,10,11,12), A240)</f>
        <v>43704</v>
      </c>
      <c r="H240">
        <v>15.25</v>
      </c>
      <c r="I240">
        <v>36000</v>
      </c>
      <c r="J240" s="1">
        <f t="shared" si="7"/>
        <v>43705</v>
      </c>
      <c r="K240">
        <f t="shared" si="6"/>
        <v>15</v>
      </c>
    </row>
    <row r="241" spans="1:11" x14ac:dyDescent="0.25">
      <c r="A241">
        <v>28</v>
      </c>
      <c r="B241" t="s">
        <v>17</v>
      </c>
      <c r="C241">
        <v>2019</v>
      </c>
      <c r="D241">
        <v>74</v>
      </c>
      <c r="E241" t="s">
        <v>9</v>
      </c>
      <c r="F241">
        <v>59</v>
      </c>
      <c r="G241" s="1">
        <f>DATE(C241, CHOOSE(MATCH(UPPER(B241), {"ENERO","FEBRERO","MARZO","ABRIL","MAYO","JUNIO","JULIO","AGOSTO","SEPTIEMBRE","OCTUBRE","NOVIEMBRE","DICIEMBRE"}, 0), 1,2,3,4,5,6,7,8,9,10,11,12), A241)</f>
        <v>43705</v>
      </c>
      <c r="H241">
        <v>15</v>
      </c>
      <c r="I241">
        <v>36000</v>
      </c>
      <c r="J241" s="1">
        <f t="shared" si="7"/>
        <v>43706</v>
      </c>
      <c r="K241">
        <f t="shared" si="6"/>
        <v>11</v>
      </c>
    </row>
    <row r="242" spans="1:11" x14ac:dyDescent="0.25">
      <c r="A242">
        <v>29</v>
      </c>
      <c r="B242" t="s">
        <v>17</v>
      </c>
      <c r="C242">
        <v>2019</v>
      </c>
      <c r="D242">
        <v>59</v>
      </c>
      <c r="E242" t="s">
        <v>9</v>
      </c>
      <c r="F242">
        <v>48</v>
      </c>
      <c r="G242" s="1">
        <f>DATE(C242, CHOOSE(MATCH(UPPER(B242), {"ENERO","FEBRERO","MARZO","ABRIL","MAYO","JUNIO","JULIO","AGOSTO","SEPTIEMBRE","OCTUBRE","NOVIEMBRE","DICIEMBRE"}, 0), 1,2,3,4,5,6,7,8,9,10,11,12), A242)</f>
        <v>43706</v>
      </c>
      <c r="H242">
        <v>11</v>
      </c>
      <c r="I242">
        <v>36000</v>
      </c>
      <c r="J242" s="1">
        <f t="shared" si="7"/>
        <v>43707</v>
      </c>
      <c r="K242">
        <f t="shared" si="6"/>
        <v>20</v>
      </c>
    </row>
    <row r="243" spans="1:11" x14ac:dyDescent="0.25">
      <c r="A243">
        <v>30</v>
      </c>
      <c r="B243" t="s">
        <v>17</v>
      </c>
      <c r="C243">
        <v>2019</v>
      </c>
      <c r="D243">
        <v>48</v>
      </c>
      <c r="E243" t="s">
        <v>9</v>
      </c>
      <c r="F243">
        <v>28</v>
      </c>
      <c r="G243" s="1">
        <f>DATE(C243, CHOOSE(MATCH(UPPER(B243), {"ENERO","FEBRERO","MARZO","ABRIL","MAYO","JUNIO","JULIO","AGOSTO","SEPTIEMBRE","OCTUBRE","NOVIEMBRE","DICIEMBRE"}, 0), 1,2,3,4,5,6,7,8,9,10,11,12), A243)</f>
        <v>43707</v>
      </c>
      <c r="H243">
        <v>20</v>
      </c>
      <c r="I243">
        <v>36000</v>
      </c>
      <c r="J243" s="1">
        <f t="shared" si="7"/>
        <v>43708</v>
      </c>
      <c r="K243">
        <f t="shared" si="6"/>
        <v>38.5</v>
      </c>
    </row>
    <row r="244" spans="1:11" x14ac:dyDescent="0.25">
      <c r="A244">
        <v>31</v>
      </c>
      <c r="B244" t="s">
        <v>17</v>
      </c>
      <c r="C244">
        <v>2019</v>
      </c>
      <c r="D244">
        <v>28</v>
      </c>
      <c r="E244">
        <v>22</v>
      </c>
      <c r="F244">
        <v>11.5</v>
      </c>
      <c r="G244" s="1">
        <f>DATE(C244, CHOOSE(MATCH(UPPER(B244), {"ENERO","FEBRERO","MARZO","ABRIL","MAYO","JUNIO","JULIO","AGOSTO","SEPTIEMBRE","OCTUBRE","NOVIEMBRE","DICIEMBRE"}, 0), 1,2,3,4,5,6,7,8,9,10,11,12), A244)</f>
        <v>43708</v>
      </c>
      <c r="H244">
        <v>38.5</v>
      </c>
      <c r="I244">
        <v>36000</v>
      </c>
      <c r="J244" s="1">
        <f t="shared" si="7"/>
        <v>43709</v>
      </c>
      <c r="K244">
        <f t="shared" si="6"/>
        <v>35.5</v>
      </c>
    </row>
    <row r="245" spans="1:11" x14ac:dyDescent="0.25">
      <c r="A245">
        <v>1</v>
      </c>
      <c r="B245" t="s">
        <v>10</v>
      </c>
      <c r="C245">
        <v>2019</v>
      </c>
      <c r="D245">
        <v>11.5</v>
      </c>
      <c r="E245">
        <v>50</v>
      </c>
      <c r="F245">
        <v>26</v>
      </c>
      <c r="G245" s="1">
        <f>DATE(C245, CHOOSE(MATCH(UPPER(B245), {"ENERO","FEBRERO","MARZO","ABRIL","MAYO","JUNIO","JULIO","AGOSTO","SEPTIEMBRE","OCTUBRE","NOVIEMBRE","DICIEMBRE"}, 0), 1,2,3,4,5,6,7,8,9,10,11,12), A245)</f>
        <v>43709</v>
      </c>
      <c r="H245">
        <v>35.5</v>
      </c>
      <c r="I245">
        <v>36000</v>
      </c>
      <c r="J245" s="1">
        <f t="shared" si="7"/>
        <v>43710</v>
      </c>
      <c r="K245">
        <f t="shared" si="6"/>
        <v>11.5</v>
      </c>
    </row>
    <row r="246" spans="1:11" x14ac:dyDescent="0.25">
      <c r="A246">
        <v>2</v>
      </c>
      <c r="B246" t="s">
        <v>10</v>
      </c>
      <c r="C246">
        <v>2019</v>
      </c>
      <c r="D246">
        <v>26</v>
      </c>
      <c r="E246" t="s">
        <v>9</v>
      </c>
      <c r="F246">
        <v>14.5</v>
      </c>
      <c r="G246" s="1">
        <f>DATE(C246, CHOOSE(MATCH(UPPER(B246), {"ENERO","FEBRERO","MARZO","ABRIL","MAYO","JUNIO","JULIO","AGOSTO","SEPTIEMBRE","OCTUBRE","NOVIEMBRE","DICIEMBRE"}, 0), 1,2,3,4,5,6,7,8,9,10,11,12), A246)</f>
        <v>43710</v>
      </c>
      <c r="H246">
        <v>11.5</v>
      </c>
      <c r="I246">
        <v>36000</v>
      </c>
      <c r="J246" s="1">
        <f t="shared" si="7"/>
        <v>43711</v>
      </c>
      <c r="K246">
        <f t="shared" si="6"/>
        <v>18.375</v>
      </c>
    </row>
    <row r="247" spans="1:11" x14ac:dyDescent="0.25">
      <c r="A247">
        <v>3</v>
      </c>
      <c r="B247" t="s">
        <v>10</v>
      </c>
      <c r="C247">
        <v>2019</v>
      </c>
      <c r="D247">
        <v>14.5</v>
      </c>
      <c r="E247">
        <v>40</v>
      </c>
      <c r="F247">
        <v>36.125</v>
      </c>
      <c r="G247" s="1">
        <f>DATE(C247, CHOOSE(MATCH(UPPER(B247), {"ENERO","FEBRERO","MARZO","ABRIL","MAYO","JUNIO","JULIO","AGOSTO","SEPTIEMBRE","OCTUBRE","NOVIEMBRE","DICIEMBRE"}, 0), 1,2,3,4,5,6,7,8,9,10,11,12), A247)</f>
        <v>43711</v>
      </c>
      <c r="H247">
        <v>18.375</v>
      </c>
      <c r="I247">
        <v>36000</v>
      </c>
      <c r="J247" s="1">
        <f t="shared" si="7"/>
        <v>43712</v>
      </c>
      <c r="K247">
        <f t="shared" si="6"/>
        <v>20.125</v>
      </c>
    </row>
    <row r="248" spans="1:11" x14ac:dyDescent="0.25">
      <c r="A248">
        <v>4</v>
      </c>
      <c r="B248" t="s">
        <v>10</v>
      </c>
      <c r="C248">
        <v>2019</v>
      </c>
      <c r="D248">
        <v>36.125</v>
      </c>
      <c r="E248" t="s">
        <v>9</v>
      </c>
      <c r="F248">
        <v>16</v>
      </c>
      <c r="G248" s="1">
        <f>DATE(C248, CHOOSE(MATCH(UPPER(B248), {"ENERO","FEBRERO","MARZO","ABRIL","MAYO","JUNIO","JULIO","AGOSTO","SEPTIEMBRE","OCTUBRE","NOVIEMBRE","DICIEMBRE"}, 0), 1,2,3,4,5,6,7,8,9,10,11,12), A248)</f>
        <v>43712</v>
      </c>
      <c r="H248">
        <v>20.125</v>
      </c>
      <c r="I248">
        <v>36000</v>
      </c>
      <c r="J248" s="1">
        <f t="shared" si="7"/>
        <v>43713</v>
      </c>
      <c r="K248">
        <f t="shared" si="6"/>
        <v>16.75</v>
      </c>
    </row>
    <row r="249" spans="1:11" x14ac:dyDescent="0.25">
      <c r="A249">
        <v>5</v>
      </c>
      <c r="B249" t="s">
        <v>10</v>
      </c>
      <c r="C249">
        <v>2019</v>
      </c>
      <c r="D249">
        <v>16</v>
      </c>
      <c r="E249">
        <v>100</v>
      </c>
      <c r="F249">
        <v>99.25</v>
      </c>
      <c r="G249" s="1">
        <f>DATE(C249, CHOOSE(MATCH(UPPER(B249), {"ENERO","FEBRERO","MARZO","ABRIL","MAYO","JUNIO","JULIO","AGOSTO","SEPTIEMBRE","OCTUBRE","NOVIEMBRE","DICIEMBRE"}, 0), 1,2,3,4,5,6,7,8,9,10,11,12), A249)</f>
        <v>43713</v>
      </c>
      <c r="H249">
        <v>16.75</v>
      </c>
      <c r="I249">
        <v>36000</v>
      </c>
      <c r="J249" s="1">
        <f t="shared" si="7"/>
        <v>43714</v>
      </c>
      <c r="K249">
        <f t="shared" si="6"/>
        <v>23.625</v>
      </c>
    </row>
    <row r="250" spans="1:11" x14ac:dyDescent="0.25">
      <c r="A250">
        <v>6</v>
      </c>
      <c r="B250" t="s">
        <v>10</v>
      </c>
      <c r="C250">
        <v>2019</v>
      </c>
      <c r="D250">
        <v>99.25</v>
      </c>
      <c r="E250" t="s">
        <v>9</v>
      </c>
      <c r="F250">
        <v>75.625</v>
      </c>
      <c r="G250" s="1">
        <f>DATE(C250, CHOOSE(MATCH(UPPER(B250), {"ENERO","FEBRERO","MARZO","ABRIL","MAYO","JUNIO","JULIO","AGOSTO","SEPTIEMBRE","OCTUBRE","NOVIEMBRE","DICIEMBRE"}, 0), 1,2,3,4,5,6,7,8,9,10,11,12), A250)</f>
        <v>43714</v>
      </c>
      <c r="H250">
        <v>23.625</v>
      </c>
      <c r="I250">
        <v>36000</v>
      </c>
      <c r="J250" s="1">
        <f t="shared" si="7"/>
        <v>43715</v>
      </c>
      <c r="K250">
        <f t="shared" si="6"/>
        <v>37.875</v>
      </c>
    </row>
    <row r="251" spans="1:11" x14ac:dyDescent="0.25">
      <c r="A251">
        <v>7</v>
      </c>
      <c r="B251" t="s">
        <v>10</v>
      </c>
      <c r="C251">
        <v>2019</v>
      </c>
      <c r="D251">
        <v>75.625</v>
      </c>
      <c r="E251" t="s">
        <v>9</v>
      </c>
      <c r="F251">
        <v>37.75</v>
      </c>
      <c r="G251" s="1">
        <f>DATE(C251, CHOOSE(MATCH(UPPER(B251), {"ENERO","FEBRERO","MARZO","ABRIL","MAYO","JUNIO","JULIO","AGOSTO","SEPTIEMBRE","OCTUBRE","NOVIEMBRE","DICIEMBRE"}, 0), 1,2,3,4,5,6,7,8,9,10,11,12), A251)</f>
        <v>43715</v>
      </c>
      <c r="H251">
        <v>37.875</v>
      </c>
      <c r="I251">
        <v>36000</v>
      </c>
      <c r="J251" s="1">
        <f t="shared" si="7"/>
        <v>43716</v>
      </c>
      <c r="K251">
        <f t="shared" si="6"/>
        <v>31.25</v>
      </c>
    </row>
    <row r="252" spans="1:11" x14ac:dyDescent="0.25">
      <c r="A252">
        <v>8</v>
      </c>
      <c r="B252" t="s">
        <v>10</v>
      </c>
      <c r="C252">
        <v>2019</v>
      </c>
      <c r="D252">
        <v>37.75</v>
      </c>
      <c r="E252">
        <v>30</v>
      </c>
      <c r="F252">
        <v>36.5</v>
      </c>
      <c r="G252" s="1">
        <f>DATE(C252, CHOOSE(MATCH(UPPER(B252), {"ENERO","FEBRERO","MARZO","ABRIL","MAYO","JUNIO","JULIO","AGOSTO","SEPTIEMBRE","OCTUBRE","NOVIEMBRE","DICIEMBRE"}, 0), 1,2,3,4,5,6,7,8,9,10,11,12), A252)</f>
        <v>43716</v>
      </c>
      <c r="H252">
        <v>31.25</v>
      </c>
      <c r="I252">
        <v>36000</v>
      </c>
      <c r="J252" s="1">
        <f t="shared" si="7"/>
        <v>43717</v>
      </c>
      <c r="K252">
        <f t="shared" si="6"/>
        <v>12.25</v>
      </c>
    </row>
    <row r="253" spans="1:11" x14ac:dyDescent="0.25">
      <c r="A253">
        <v>9</v>
      </c>
      <c r="B253" t="s">
        <v>10</v>
      </c>
      <c r="C253">
        <v>2019</v>
      </c>
      <c r="D253">
        <v>36.5</v>
      </c>
      <c r="E253">
        <v>100</v>
      </c>
      <c r="F253">
        <v>124.25</v>
      </c>
      <c r="G253" s="1">
        <f>DATE(C253, CHOOSE(MATCH(UPPER(B253), {"ENERO","FEBRERO","MARZO","ABRIL","MAYO","JUNIO","JULIO","AGOSTO","SEPTIEMBRE","OCTUBRE","NOVIEMBRE","DICIEMBRE"}, 0), 1,2,3,4,5,6,7,8,9,10,11,12), A253)</f>
        <v>43717</v>
      </c>
      <c r="H253">
        <v>12.25</v>
      </c>
      <c r="I253">
        <v>36000</v>
      </c>
      <c r="J253" s="1">
        <f t="shared" si="7"/>
        <v>43718</v>
      </c>
      <c r="K253">
        <f t="shared" si="6"/>
        <v>15.25</v>
      </c>
    </row>
    <row r="254" spans="1:11" x14ac:dyDescent="0.25">
      <c r="A254">
        <v>10</v>
      </c>
      <c r="B254" t="s">
        <v>10</v>
      </c>
      <c r="C254">
        <v>2019</v>
      </c>
      <c r="D254">
        <v>124.25</v>
      </c>
      <c r="E254" t="s">
        <v>9</v>
      </c>
      <c r="F254">
        <v>109</v>
      </c>
      <c r="G254" s="1">
        <f>DATE(C254, CHOOSE(MATCH(UPPER(B254), {"ENERO","FEBRERO","MARZO","ABRIL","MAYO","JUNIO","JULIO","AGOSTO","SEPTIEMBRE","OCTUBRE","NOVIEMBRE","DICIEMBRE"}, 0), 1,2,3,4,5,6,7,8,9,10,11,12), A254)</f>
        <v>43718</v>
      </c>
      <c r="H254">
        <v>15.25</v>
      </c>
      <c r="I254">
        <v>36000</v>
      </c>
      <c r="J254" s="1">
        <f t="shared" si="7"/>
        <v>43719</v>
      </c>
      <c r="K254">
        <f t="shared" si="6"/>
        <v>22.5</v>
      </c>
    </row>
    <row r="255" spans="1:11" x14ac:dyDescent="0.25">
      <c r="A255">
        <v>11</v>
      </c>
      <c r="B255" t="s">
        <v>10</v>
      </c>
      <c r="C255">
        <v>2019</v>
      </c>
      <c r="D255">
        <v>109</v>
      </c>
      <c r="E255" t="s">
        <v>9</v>
      </c>
      <c r="F255">
        <v>86.5</v>
      </c>
      <c r="G255" s="1">
        <f>DATE(C255, CHOOSE(MATCH(UPPER(B255), {"ENERO","FEBRERO","MARZO","ABRIL","MAYO","JUNIO","JULIO","AGOSTO","SEPTIEMBRE","OCTUBRE","NOVIEMBRE","DICIEMBRE"}, 0), 1,2,3,4,5,6,7,8,9,10,11,12), A255)</f>
        <v>43719</v>
      </c>
      <c r="H255">
        <v>22.5</v>
      </c>
      <c r="I255">
        <v>36000</v>
      </c>
      <c r="J255" s="1">
        <f t="shared" si="7"/>
        <v>43720</v>
      </c>
      <c r="K255">
        <f t="shared" si="6"/>
        <v>15</v>
      </c>
    </row>
    <row r="256" spans="1:11" x14ac:dyDescent="0.25">
      <c r="A256">
        <v>12</v>
      </c>
      <c r="B256" t="s">
        <v>10</v>
      </c>
      <c r="C256">
        <v>2019</v>
      </c>
      <c r="D256">
        <v>86.5</v>
      </c>
      <c r="E256" t="s">
        <v>9</v>
      </c>
      <c r="F256">
        <v>71.5</v>
      </c>
      <c r="G256" s="1">
        <f>DATE(C256, CHOOSE(MATCH(UPPER(B256), {"ENERO","FEBRERO","MARZO","ABRIL","MAYO","JUNIO","JULIO","AGOSTO","SEPTIEMBRE","OCTUBRE","NOVIEMBRE","DICIEMBRE"}, 0), 1,2,3,4,5,6,7,8,9,10,11,12), A256)</f>
        <v>43720</v>
      </c>
      <c r="H256">
        <v>15</v>
      </c>
      <c r="I256">
        <v>36000</v>
      </c>
      <c r="J256" s="1">
        <f t="shared" si="7"/>
        <v>43721</v>
      </c>
      <c r="K256">
        <f t="shared" si="6"/>
        <v>14.625</v>
      </c>
    </row>
    <row r="257" spans="1:11" x14ac:dyDescent="0.25">
      <c r="A257">
        <v>13</v>
      </c>
      <c r="B257" t="s">
        <v>10</v>
      </c>
      <c r="C257">
        <v>2019</v>
      </c>
      <c r="D257">
        <v>71.5</v>
      </c>
      <c r="E257" t="s">
        <v>9</v>
      </c>
      <c r="F257">
        <v>56.875</v>
      </c>
      <c r="G257" s="1">
        <f>DATE(C257, CHOOSE(MATCH(UPPER(B257), {"ENERO","FEBRERO","MARZO","ABRIL","MAYO","JUNIO","JULIO","AGOSTO","SEPTIEMBRE","OCTUBRE","NOVIEMBRE","DICIEMBRE"}, 0), 1,2,3,4,5,6,7,8,9,10,11,12), A257)</f>
        <v>43721</v>
      </c>
      <c r="H257">
        <v>14.625</v>
      </c>
      <c r="I257">
        <v>36000</v>
      </c>
      <c r="J257" s="1">
        <f t="shared" si="7"/>
        <v>43722</v>
      </c>
      <c r="K257">
        <f t="shared" si="6"/>
        <v>40.875</v>
      </c>
    </row>
    <row r="258" spans="1:11" x14ac:dyDescent="0.25">
      <c r="A258">
        <v>14</v>
      </c>
      <c r="B258" t="s">
        <v>10</v>
      </c>
      <c r="C258">
        <v>2019</v>
      </c>
      <c r="D258">
        <v>56.875</v>
      </c>
      <c r="E258">
        <v>40</v>
      </c>
      <c r="F258">
        <v>56</v>
      </c>
      <c r="G258" s="1">
        <f>DATE(C258, CHOOSE(MATCH(UPPER(B258), {"ENERO","FEBRERO","MARZO","ABRIL","MAYO","JUNIO","JULIO","AGOSTO","SEPTIEMBRE","OCTUBRE","NOVIEMBRE","DICIEMBRE"}, 0), 1,2,3,4,5,6,7,8,9,10,11,12), A258)</f>
        <v>43722</v>
      </c>
      <c r="H258">
        <v>40.875</v>
      </c>
      <c r="I258">
        <v>36000</v>
      </c>
      <c r="J258" s="1">
        <f t="shared" si="7"/>
        <v>43723</v>
      </c>
      <c r="K258">
        <f t="shared" ref="K258:K321" si="8">VLOOKUP(J258, G:H, 2, FALSE)</f>
        <v>34.5</v>
      </c>
    </row>
    <row r="259" spans="1:11" x14ac:dyDescent="0.25">
      <c r="A259">
        <v>15</v>
      </c>
      <c r="B259" t="s">
        <v>10</v>
      </c>
      <c r="C259">
        <v>2019</v>
      </c>
      <c r="D259">
        <v>56</v>
      </c>
      <c r="E259">
        <v>20</v>
      </c>
      <c r="F259">
        <v>41.5</v>
      </c>
      <c r="G259" s="1">
        <f>DATE(C259, CHOOSE(MATCH(UPPER(B259), {"ENERO","FEBRERO","MARZO","ABRIL","MAYO","JUNIO","JULIO","AGOSTO","SEPTIEMBRE","OCTUBRE","NOVIEMBRE","DICIEMBRE"}, 0), 1,2,3,4,5,6,7,8,9,10,11,12), A259)</f>
        <v>43723</v>
      </c>
      <c r="H259">
        <v>34.5</v>
      </c>
      <c r="I259">
        <v>36000</v>
      </c>
      <c r="J259" s="1">
        <f t="shared" si="7"/>
        <v>43724</v>
      </c>
      <c r="K259">
        <f t="shared" si="8"/>
        <v>9</v>
      </c>
    </row>
    <row r="260" spans="1:11" x14ac:dyDescent="0.25">
      <c r="A260">
        <v>16</v>
      </c>
      <c r="B260" t="s">
        <v>10</v>
      </c>
      <c r="C260">
        <v>2019</v>
      </c>
      <c r="D260">
        <v>41.5</v>
      </c>
      <c r="E260">
        <v>100</v>
      </c>
      <c r="F260">
        <v>132.5</v>
      </c>
      <c r="G260" s="1">
        <f>DATE(C260, CHOOSE(MATCH(UPPER(B260), {"ENERO","FEBRERO","MARZO","ABRIL","MAYO","JUNIO","JULIO","AGOSTO","SEPTIEMBRE","OCTUBRE","NOVIEMBRE","DICIEMBRE"}, 0), 1,2,3,4,5,6,7,8,9,10,11,12), A260)</f>
        <v>43724</v>
      </c>
      <c r="H260">
        <v>9</v>
      </c>
      <c r="I260">
        <v>36000</v>
      </c>
      <c r="J260" s="1">
        <f t="shared" ref="J260:J323" si="9">DATE(2019,1,1) + ROW()-1</f>
        <v>43725</v>
      </c>
      <c r="K260">
        <f t="shared" si="8"/>
        <v>16</v>
      </c>
    </row>
    <row r="261" spans="1:11" x14ac:dyDescent="0.25">
      <c r="A261">
        <v>17</v>
      </c>
      <c r="B261" t="s">
        <v>10</v>
      </c>
      <c r="C261">
        <v>2019</v>
      </c>
      <c r="D261">
        <v>132.5</v>
      </c>
      <c r="E261" t="s">
        <v>9</v>
      </c>
      <c r="F261">
        <v>116.5</v>
      </c>
      <c r="G261" s="1">
        <f>DATE(C261, CHOOSE(MATCH(UPPER(B261), {"ENERO","FEBRERO","MARZO","ABRIL","MAYO","JUNIO","JULIO","AGOSTO","SEPTIEMBRE","OCTUBRE","NOVIEMBRE","DICIEMBRE"}, 0), 1,2,3,4,5,6,7,8,9,10,11,12), A261)</f>
        <v>43725</v>
      </c>
      <c r="H261">
        <v>16</v>
      </c>
      <c r="I261">
        <v>36000</v>
      </c>
      <c r="J261" s="1">
        <f t="shared" si="9"/>
        <v>43726</v>
      </c>
      <c r="K261">
        <f t="shared" si="8"/>
        <v>16.25</v>
      </c>
    </row>
    <row r="262" spans="1:11" x14ac:dyDescent="0.25">
      <c r="A262">
        <v>18</v>
      </c>
      <c r="B262" t="s">
        <v>10</v>
      </c>
      <c r="C262">
        <v>2019</v>
      </c>
      <c r="D262">
        <v>116.5</v>
      </c>
      <c r="E262" t="s">
        <v>9</v>
      </c>
      <c r="F262">
        <v>100.25</v>
      </c>
      <c r="G262" s="1">
        <f>DATE(C262, CHOOSE(MATCH(UPPER(B262), {"ENERO","FEBRERO","MARZO","ABRIL","MAYO","JUNIO","JULIO","AGOSTO","SEPTIEMBRE","OCTUBRE","NOVIEMBRE","DICIEMBRE"}, 0), 1,2,3,4,5,6,7,8,9,10,11,12), A262)</f>
        <v>43726</v>
      </c>
      <c r="H262">
        <v>16.25</v>
      </c>
      <c r="I262">
        <v>36000</v>
      </c>
      <c r="J262" s="1">
        <f t="shared" si="9"/>
        <v>43727</v>
      </c>
      <c r="K262">
        <f t="shared" si="8"/>
        <v>16.25</v>
      </c>
    </row>
    <row r="263" spans="1:11" x14ac:dyDescent="0.25">
      <c r="A263">
        <v>19</v>
      </c>
      <c r="B263" t="s">
        <v>10</v>
      </c>
      <c r="C263">
        <v>2019</v>
      </c>
      <c r="D263">
        <v>100.25</v>
      </c>
      <c r="E263">
        <v>60</v>
      </c>
      <c r="F263">
        <v>144</v>
      </c>
      <c r="G263" s="1">
        <f>DATE(C263, CHOOSE(MATCH(UPPER(B263), {"ENERO","FEBRERO","MARZO","ABRIL","MAYO","JUNIO","JULIO","AGOSTO","SEPTIEMBRE","OCTUBRE","NOVIEMBRE","DICIEMBRE"}, 0), 1,2,3,4,5,6,7,8,9,10,11,12), A263)</f>
        <v>43727</v>
      </c>
      <c r="H263">
        <v>16.25</v>
      </c>
      <c r="I263">
        <v>36000</v>
      </c>
      <c r="J263" s="1">
        <f t="shared" si="9"/>
        <v>43728</v>
      </c>
      <c r="K263">
        <f t="shared" si="8"/>
        <v>21</v>
      </c>
    </row>
    <row r="264" spans="1:11" x14ac:dyDescent="0.25">
      <c r="A264">
        <v>20</v>
      </c>
      <c r="B264" t="s">
        <v>10</v>
      </c>
      <c r="C264">
        <v>2019</v>
      </c>
      <c r="D264">
        <v>144</v>
      </c>
      <c r="E264" t="s">
        <v>9</v>
      </c>
      <c r="F264">
        <v>123</v>
      </c>
      <c r="G264" s="1">
        <f>DATE(C264, CHOOSE(MATCH(UPPER(B264), {"ENERO","FEBRERO","MARZO","ABRIL","MAYO","JUNIO","JULIO","AGOSTO","SEPTIEMBRE","OCTUBRE","NOVIEMBRE","DICIEMBRE"}, 0), 1,2,3,4,5,6,7,8,9,10,11,12), A264)</f>
        <v>43728</v>
      </c>
      <c r="H264">
        <v>21</v>
      </c>
      <c r="I264">
        <v>36000</v>
      </c>
      <c r="J264" s="1">
        <f t="shared" si="9"/>
        <v>43729</v>
      </c>
      <c r="K264">
        <f t="shared" si="8"/>
        <v>45.125</v>
      </c>
    </row>
    <row r="265" spans="1:11" x14ac:dyDescent="0.25">
      <c r="A265">
        <v>21</v>
      </c>
      <c r="B265" t="s">
        <v>10</v>
      </c>
      <c r="C265">
        <v>2019</v>
      </c>
      <c r="D265">
        <v>123</v>
      </c>
      <c r="E265" t="s">
        <v>9</v>
      </c>
      <c r="F265">
        <v>77.875</v>
      </c>
      <c r="G265" s="1">
        <f>DATE(C265, CHOOSE(MATCH(UPPER(B265), {"ENERO","FEBRERO","MARZO","ABRIL","MAYO","JUNIO","JULIO","AGOSTO","SEPTIEMBRE","OCTUBRE","NOVIEMBRE","DICIEMBRE"}, 0), 1,2,3,4,5,6,7,8,9,10,11,12), A265)</f>
        <v>43729</v>
      </c>
      <c r="H265">
        <v>45.125</v>
      </c>
      <c r="I265">
        <v>36000</v>
      </c>
      <c r="J265" s="1">
        <f t="shared" si="9"/>
        <v>43730</v>
      </c>
      <c r="K265">
        <f t="shared" si="8"/>
        <v>29.5</v>
      </c>
    </row>
    <row r="266" spans="1:11" x14ac:dyDescent="0.25">
      <c r="A266">
        <v>22</v>
      </c>
      <c r="B266" t="s">
        <v>10</v>
      </c>
      <c r="C266">
        <v>2019</v>
      </c>
      <c r="D266">
        <v>77.875</v>
      </c>
      <c r="E266" t="s">
        <v>9</v>
      </c>
      <c r="F266">
        <v>48.375</v>
      </c>
      <c r="G266" s="1">
        <f>DATE(C266, CHOOSE(MATCH(UPPER(B266), {"ENERO","FEBRERO","MARZO","ABRIL","MAYO","JUNIO","JULIO","AGOSTO","SEPTIEMBRE","OCTUBRE","NOVIEMBRE","DICIEMBRE"}, 0), 1,2,3,4,5,6,7,8,9,10,11,12), A266)</f>
        <v>43730</v>
      </c>
      <c r="H266">
        <v>29.5</v>
      </c>
      <c r="I266">
        <v>36000</v>
      </c>
      <c r="J266" s="1">
        <f t="shared" si="9"/>
        <v>43731</v>
      </c>
      <c r="K266">
        <f t="shared" si="8"/>
        <v>10.375</v>
      </c>
    </row>
    <row r="267" spans="1:11" x14ac:dyDescent="0.25">
      <c r="A267">
        <v>23</v>
      </c>
      <c r="B267" t="s">
        <v>10</v>
      </c>
      <c r="C267">
        <v>2019</v>
      </c>
      <c r="D267">
        <v>48.375</v>
      </c>
      <c r="E267" t="s">
        <v>9</v>
      </c>
      <c r="F267">
        <v>38</v>
      </c>
      <c r="G267" s="1">
        <f>DATE(C267, CHOOSE(MATCH(UPPER(B267), {"ENERO","FEBRERO","MARZO","ABRIL","MAYO","JUNIO","JULIO","AGOSTO","SEPTIEMBRE","OCTUBRE","NOVIEMBRE","DICIEMBRE"}, 0), 1,2,3,4,5,6,7,8,9,10,11,12), A267)</f>
        <v>43731</v>
      </c>
      <c r="H267">
        <v>10.375</v>
      </c>
      <c r="I267">
        <v>36000</v>
      </c>
      <c r="J267" s="1">
        <f t="shared" si="9"/>
        <v>43732</v>
      </c>
      <c r="K267">
        <f t="shared" si="8"/>
        <v>9.5</v>
      </c>
    </row>
    <row r="268" spans="1:11" x14ac:dyDescent="0.25">
      <c r="A268">
        <v>24</v>
      </c>
      <c r="B268" t="s">
        <v>10</v>
      </c>
      <c r="C268">
        <v>2019</v>
      </c>
      <c r="D268">
        <v>38</v>
      </c>
      <c r="E268" t="s">
        <v>9</v>
      </c>
      <c r="F268">
        <v>28.5</v>
      </c>
      <c r="G268" s="1">
        <f>DATE(C268, CHOOSE(MATCH(UPPER(B268), {"ENERO","FEBRERO","MARZO","ABRIL","MAYO","JUNIO","JULIO","AGOSTO","SEPTIEMBRE","OCTUBRE","NOVIEMBRE","DICIEMBRE"}, 0), 1,2,3,4,5,6,7,8,9,10,11,12), A268)</f>
        <v>43732</v>
      </c>
      <c r="H268">
        <v>9.5</v>
      </c>
      <c r="I268">
        <v>36000</v>
      </c>
      <c r="J268" s="1">
        <f t="shared" si="9"/>
        <v>43733</v>
      </c>
      <c r="K268">
        <f t="shared" si="8"/>
        <v>14.875</v>
      </c>
    </row>
    <row r="269" spans="1:11" x14ac:dyDescent="0.25">
      <c r="A269">
        <v>25</v>
      </c>
      <c r="B269" t="s">
        <v>10</v>
      </c>
      <c r="C269">
        <v>2019</v>
      </c>
      <c r="D269">
        <v>28.5</v>
      </c>
      <c r="E269" t="s">
        <v>9</v>
      </c>
      <c r="F269">
        <v>13.625</v>
      </c>
      <c r="G269" s="1">
        <f>DATE(C269, CHOOSE(MATCH(UPPER(B269), {"ENERO","FEBRERO","MARZO","ABRIL","MAYO","JUNIO","JULIO","AGOSTO","SEPTIEMBRE","OCTUBRE","NOVIEMBRE","DICIEMBRE"}, 0), 1,2,3,4,5,6,7,8,9,10,11,12), A269)</f>
        <v>43733</v>
      </c>
      <c r="H269">
        <v>14.875</v>
      </c>
      <c r="I269">
        <v>36000</v>
      </c>
      <c r="J269" s="1">
        <f t="shared" si="9"/>
        <v>43734</v>
      </c>
      <c r="K269">
        <f t="shared" si="8"/>
        <v>9.75</v>
      </c>
    </row>
    <row r="270" spans="1:11" x14ac:dyDescent="0.25">
      <c r="A270">
        <v>26</v>
      </c>
      <c r="B270" t="s">
        <v>10</v>
      </c>
      <c r="C270">
        <v>2019</v>
      </c>
      <c r="D270">
        <v>13.625</v>
      </c>
      <c r="E270">
        <v>120</v>
      </c>
      <c r="F270">
        <v>123.875</v>
      </c>
      <c r="G270" s="1">
        <f>DATE(C270, CHOOSE(MATCH(UPPER(B270), {"ENERO","FEBRERO","MARZO","ABRIL","MAYO","JUNIO","JULIO","AGOSTO","SEPTIEMBRE","OCTUBRE","NOVIEMBRE","DICIEMBRE"}, 0), 1,2,3,4,5,6,7,8,9,10,11,12), A270)</f>
        <v>43734</v>
      </c>
      <c r="H270">
        <v>9.75</v>
      </c>
      <c r="I270">
        <v>36000</v>
      </c>
      <c r="J270" s="1">
        <f t="shared" si="9"/>
        <v>43735</v>
      </c>
      <c r="K270">
        <f t="shared" si="8"/>
        <v>19.5</v>
      </c>
    </row>
    <row r="271" spans="1:11" x14ac:dyDescent="0.25">
      <c r="A271">
        <v>27</v>
      </c>
      <c r="B271" t="s">
        <v>10</v>
      </c>
      <c r="C271">
        <v>2019</v>
      </c>
      <c r="D271">
        <v>123.875</v>
      </c>
      <c r="E271" t="s">
        <v>9</v>
      </c>
      <c r="F271">
        <v>104.375</v>
      </c>
      <c r="G271" s="1">
        <f>DATE(C271, CHOOSE(MATCH(UPPER(B271), {"ENERO","FEBRERO","MARZO","ABRIL","MAYO","JUNIO","JULIO","AGOSTO","SEPTIEMBRE","OCTUBRE","NOVIEMBRE","DICIEMBRE"}, 0), 1,2,3,4,5,6,7,8,9,10,11,12), A271)</f>
        <v>43735</v>
      </c>
      <c r="H271">
        <v>19.5</v>
      </c>
      <c r="I271">
        <v>36000</v>
      </c>
      <c r="J271" s="1">
        <f t="shared" si="9"/>
        <v>43736</v>
      </c>
      <c r="K271">
        <f t="shared" si="8"/>
        <v>33.75</v>
      </c>
    </row>
    <row r="272" spans="1:11" x14ac:dyDescent="0.25">
      <c r="A272">
        <v>28</v>
      </c>
      <c r="B272" t="s">
        <v>10</v>
      </c>
      <c r="C272">
        <v>2019</v>
      </c>
      <c r="D272">
        <v>104.375</v>
      </c>
      <c r="E272" t="s">
        <v>9</v>
      </c>
      <c r="F272">
        <v>70.625</v>
      </c>
      <c r="G272" s="1">
        <f>DATE(C272, CHOOSE(MATCH(UPPER(B272), {"ENERO","FEBRERO","MARZO","ABRIL","MAYO","JUNIO","JULIO","AGOSTO","SEPTIEMBRE","OCTUBRE","NOVIEMBRE","DICIEMBRE"}, 0), 1,2,3,4,5,6,7,8,9,10,11,12), A272)</f>
        <v>43736</v>
      </c>
      <c r="H272">
        <v>33.75</v>
      </c>
      <c r="I272">
        <v>36000</v>
      </c>
      <c r="J272" s="1">
        <f t="shared" si="9"/>
        <v>43737</v>
      </c>
      <c r="K272">
        <f t="shared" si="8"/>
        <v>42.5</v>
      </c>
    </row>
    <row r="273" spans="1:11" x14ac:dyDescent="0.25">
      <c r="A273">
        <v>29</v>
      </c>
      <c r="B273" t="s">
        <v>10</v>
      </c>
      <c r="C273">
        <v>2019</v>
      </c>
      <c r="D273">
        <v>70.625</v>
      </c>
      <c r="E273" t="s">
        <v>9</v>
      </c>
      <c r="F273">
        <v>28.125</v>
      </c>
      <c r="G273" s="1">
        <f>DATE(C273, CHOOSE(MATCH(UPPER(B273), {"ENERO","FEBRERO","MARZO","ABRIL","MAYO","JUNIO","JULIO","AGOSTO","SEPTIEMBRE","OCTUBRE","NOVIEMBRE","DICIEMBRE"}, 0), 1,2,3,4,5,6,7,8,9,10,11,12), A273)</f>
        <v>43737</v>
      </c>
      <c r="H273">
        <v>42.5</v>
      </c>
      <c r="I273">
        <v>36000</v>
      </c>
      <c r="J273" s="1">
        <f t="shared" si="9"/>
        <v>43738</v>
      </c>
      <c r="K273">
        <f t="shared" si="8"/>
        <v>15.125</v>
      </c>
    </row>
    <row r="274" spans="1:11" x14ac:dyDescent="0.25">
      <c r="A274">
        <v>30</v>
      </c>
      <c r="B274" t="s">
        <v>10</v>
      </c>
      <c r="C274">
        <v>2019</v>
      </c>
      <c r="D274">
        <v>28.125</v>
      </c>
      <c r="E274">
        <v>100</v>
      </c>
      <c r="F274">
        <v>113</v>
      </c>
      <c r="G274" s="1">
        <f>DATE(C274, CHOOSE(MATCH(UPPER(B274), {"ENERO","FEBRERO","MARZO","ABRIL","MAYO","JUNIO","JULIO","AGOSTO","SEPTIEMBRE","OCTUBRE","NOVIEMBRE","DICIEMBRE"}, 0), 1,2,3,4,5,6,7,8,9,10,11,12), A274)</f>
        <v>43738</v>
      </c>
      <c r="H274">
        <v>15.125</v>
      </c>
      <c r="I274">
        <v>36000</v>
      </c>
      <c r="J274" s="1">
        <f t="shared" si="9"/>
        <v>43739</v>
      </c>
      <c r="K274">
        <f t="shared" si="8"/>
        <v>13.25</v>
      </c>
    </row>
    <row r="275" spans="1:11" x14ac:dyDescent="0.25">
      <c r="A275">
        <v>1</v>
      </c>
      <c r="B275" t="s">
        <v>18</v>
      </c>
      <c r="C275">
        <v>2019</v>
      </c>
      <c r="D275">
        <v>113</v>
      </c>
      <c r="E275" t="s">
        <v>9</v>
      </c>
      <c r="F275">
        <v>99.75</v>
      </c>
      <c r="G275" s="1">
        <f>DATE(C275, CHOOSE(MATCH(UPPER(B275), {"ENERO","FEBRERO","MARZO","ABRIL","MAYO","JUNIO","JULIO","AGOSTO","SEPTIEMBRE","OCTUBRE","NOVIEMBRE","DICIEMBRE"}, 0), 1,2,3,4,5,6,7,8,9,10,11,12), A275)</f>
        <v>43739</v>
      </c>
      <c r="H275">
        <v>13.25</v>
      </c>
      <c r="I275">
        <v>36000</v>
      </c>
      <c r="J275" s="1">
        <f t="shared" si="9"/>
        <v>43740</v>
      </c>
      <c r="K275">
        <f t="shared" si="8"/>
        <v>19.25</v>
      </c>
    </row>
    <row r="276" spans="1:11" x14ac:dyDescent="0.25">
      <c r="A276">
        <v>2</v>
      </c>
      <c r="B276" t="s">
        <v>18</v>
      </c>
      <c r="C276">
        <v>2019</v>
      </c>
      <c r="D276">
        <v>99.75</v>
      </c>
      <c r="E276" t="s">
        <v>9</v>
      </c>
      <c r="F276">
        <v>80.5</v>
      </c>
      <c r="G276" s="1">
        <f>DATE(C276, CHOOSE(MATCH(UPPER(B276), {"ENERO","FEBRERO","MARZO","ABRIL","MAYO","JUNIO","JULIO","AGOSTO","SEPTIEMBRE","OCTUBRE","NOVIEMBRE","DICIEMBRE"}, 0), 1,2,3,4,5,6,7,8,9,10,11,12), A276)</f>
        <v>43740</v>
      </c>
      <c r="H276">
        <v>19.25</v>
      </c>
      <c r="I276">
        <v>36000</v>
      </c>
      <c r="J276" s="1">
        <f t="shared" si="9"/>
        <v>43741</v>
      </c>
      <c r="K276">
        <f t="shared" si="8"/>
        <v>21.75</v>
      </c>
    </row>
    <row r="277" spans="1:11" x14ac:dyDescent="0.25">
      <c r="A277">
        <v>3</v>
      </c>
      <c r="B277" t="s">
        <v>18</v>
      </c>
      <c r="C277">
        <v>2019</v>
      </c>
      <c r="D277">
        <v>80.5</v>
      </c>
      <c r="E277" t="s">
        <v>9</v>
      </c>
      <c r="F277">
        <v>58.75</v>
      </c>
      <c r="G277" s="1">
        <f>DATE(C277, CHOOSE(MATCH(UPPER(B277), {"ENERO","FEBRERO","MARZO","ABRIL","MAYO","JUNIO","JULIO","AGOSTO","SEPTIEMBRE","OCTUBRE","NOVIEMBRE","DICIEMBRE"}, 0), 1,2,3,4,5,6,7,8,9,10,11,12), A277)</f>
        <v>43741</v>
      </c>
      <c r="H277">
        <v>21.75</v>
      </c>
      <c r="I277">
        <v>36000</v>
      </c>
      <c r="J277" s="1">
        <f t="shared" si="9"/>
        <v>43742</v>
      </c>
      <c r="K277">
        <f t="shared" si="8"/>
        <v>31</v>
      </c>
    </row>
    <row r="278" spans="1:11" x14ac:dyDescent="0.25">
      <c r="A278">
        <v>4</v>
      </c>
      <c r="B278" t="s">
        <v>18</v>
      </c>
      <c r="C278">
        <v>2019</v>
      </c>
      <c r="D278">
        <v>58.75</v>
      </c>
      <c r="E278" t="s">
        <v>9</v>
      </c>
      <c r="F278">
        <v>27.75</v>
      </c>
      <c r="G278" s="1">
        <f>DATE(C278, CHOOSE(MATCH(UPPER(B278), {"ENERO","FEBRERO","MARZO","ABRIL","MAYO","JUNIO","JULIO","AGOSTO","SEPTIEMBRE","OCTUBRE","NOVIEMBRE","DICIEMBRE"}, 0), 1,2,3,4,5,6,7,8,9,10,11,12), A278)</f>
        <v>43742</v>
      </c>
      <c r="H278">
        <v>31</v>
      </c>
      <c r="I278">
        <v>36000</v>
      </c>
      <c r="J278" s="1">
        <f t="shared" si="9"/>
        <v>43743</v>
      </c>
      <c r="K278">
        <f t="shared" si="8"/>
        <v>55.75</v>
      </c>
    </row>
    <row r="279" spans="1:11" x14ac:dyDescent="0.25">
      <c r="A279">
        <v>5</v>
      </c>
      <c r="B279" t="s">
        <v>18</v>
      </c>
      <c r="C279">
        <v>2019</v>
      </c>
      <c r="D279">
        <v>27.75</v>
      </c>
      <c r="E279">
        <v>50</v>
      </c>
      <c r="F279">
        <v>22</v>
      </c>
      <c r="G279" s="1">
        <f>DATE(C279, CHOOSE(MATCH(UPPER(B279), {"ENERO","FEBRERO","MARZO","ABRIL","MAYO","JUNIO","JULIO","AGOSTO","SEPTIEMBRE","OCTUBRE","NOVIEMBRE","DICIEMBRE"}, 0), 1,2,3,4,5,6,7,8,9,10,11,12), A279)</f>
        <v>43743</v>
      </c>
      <c r="H279">
        <v>55.75</v>
      </c>
      <c r="I279">
        <v>36000</v>
      </c>
      <c r="J279" s="1">
        <f t="shared" si="9"/>
        <v>43744</v>
      </c>
      <c r="K279">
        <f t="shared" si="8"/>
        <v>56</v>
      </c>
    </row>
    <row r="280" spans="1:11" x14ac:dyDescent="0.25">
      <c r="A280">
        <v>6</v>
      </c>
      <c r="B280" t="s">
        <v>18</v>
      </c>
      <c r="C280">
        <v>2019</v>
      </c>
      <c r="D280">
        <v>22</v>
      </c>
      <c r="E280">
        <v>50</v>
      </c>
      <c r="F280">
        <v>16</v>
      </c>
      <c r="G280" s="1">
        <f>DATE(C280, CHOOSE(MATCH(UPPER(B280), {"ENERO","FEBRERO","MARZO","ABRIL","MAYO","JUNIO","JULIO","AGOSTO","SEPTIEMBRE","OCTUBRE","NOVIEMBRE","DICIEMBRE"}, 0), 1,2,3,4,5,6,7,8,9,10,11,12), A280)</f>
        <v>43744</v>
      </c>
      <c r="H280">
        <v>56</v>
      </c>
      <c r="I280">
        <v>36000</v>
      </c>
      <c r="J280" s="1">
        <f t="shared" si="9"/>
        <v>43745</v>
      </c>
      <c r="K280">
        <f t="shared" si="8"/>
        <v>26</v>
      </c>
    </row>
    <row r="281" spans="1:11" x14ac:dyDescent="0.25">
      <c r="A281">
        <v>7</v>
      </c>
      <c r="B281" t="s">
        <v>18</v>
      </c>
      <c r="C281">
        <v>2019</v>
      </c>
      <c r="D281">
        <v>16</v>
      </c>
      <c r="E281">
        <v>100</v>
      </c>
      <c r="F281">
        <v>90</v>
      </c>
      <c r="G281" s="1">
        <f>DATE(C281, CHOOSE(MATCH(UPPER(B281), {"ENERO","FEBRERO","MARZO","ABRIL","MAYO","JUNIO","JULIO","AGOSTO","SEPTIEMBRE","OCTUBRE","NOVIEMBRE","DICIEMBRE"}, 0), 1,2,3,4,5,6,7,8,9,10,11,12), A281)</f>
        <v>43745</v>
      </c>
      <c r="H281">
        <v>26</v>
      </c>
      <c r="I281">
        <v>36000</v>
      </c>
      <c r="J281" s="1">
        <f t="shared" si="9"/>
        <v>43746</v>
      </c>
      <c r="K281">
        <f t="shared" si="8"/>
        <v>50</v>
      </c>
    </row>
    <row r="282" spans="1:11" x14ac:dyDescent="0.25">
      <c r="A282">
        <v>8</v>
      </c>
      <c r="B282" t="s">
        <v>18</v>
      </c>
      <c r="C282">
        <v>2019</v>
      </c>
      <c r="D282">
        <v>90</v>
      </c>
      <c r="E282" t="s">
        <v>9</v>
      </c>
      <c r="F282">
        <v>40</v>
      </c>
      <c r="G282" s="1">
        <f>DATE(C282, CHOOSE(MATCH(UPPER(B282), {"ENERO","FEBRERO","MARZO","ABRIL","MAYO","JUNIO","JULIO","AGOSTO","SEPTIEMBRE","OCTUBRE","NOVIEMBRE","DICIEMBRE"}, 0), 1,2,3,4,5,6,7,8,9,10,11,12), A282)</f>
        <v>43746</v>
      </c>
      <c r="H282">
        <v>50</v>
      </c>
      <c r="I282">
        <v>36000</v>
      </c>
      <c r="J282" s="1">
        <f t="shared" si="9"/>
        <v>43747</v>
      </c>
      <c r="K282">
        <f t="shared" si="8"/>
        <v>52</v>
      </c>
    </row>
    <row r="283" spans="1:11" x14ac:dyDescent="0.25">
      <c r="A283">
        <v>9</v>
      </c>
      <c r="B283" t="s">
        <v>18</v>
      </c>
      <c r="C283">
        <v>2019</v>
      </c>
      <c r="D283">
        <v>40</v>
      </c>
      <c r="E283">
        <v>30</v>
      </c>
      <c r="F283">
        <v>18</v>
      </c>
      <c r="G283" s="1">
        <f>DATE(C283, CHOOSE(MATCH(UPPER(B283), {"ENERO","FEBRERO","MARZO","ABRIL","MAYO","JUNIO","JULIO","AGOSTO","SEPTIEMBRE","OCTUBRE","NOVIEMBRE","DICIEMBRE"}, 0), 1,2,3,4,5,6,7,8,9,10,11,12), A283)</f>
        <v>43747</v>
      </c>
      <c r="H283">
        <v>52</v>
      </c>
      <c r="I283">
        <v>36000</v>
      </c>
      <c r="J283" s="1">
        <f t="shared" si="9"/>
        <v>43748</v>
      </c>
      <c r="K283">
        <f t="shared" si="8"/>
        <v>38</v>
      </c>
    </row>
    <row r="284" spans="1:11" x14ac:dyDescent="0.25">
      <c r="A284">
        <v>10</v>
      </c>
      <c r="B284" t="s">
        <v>18</v>
      </c>
      <c r="C284">
        <v>2019</v>
      </c>
      <c r="D284">
        <v>18</v>
      </c>
      <c r="E284">
        <v>150</v>
      </c>
      <c r="F284">
        <v>130</v>
      </c>
      <c r="G284" s="1">
        <f>DATE(C284, CHOOSE(MATCH(UPPER(B284), {"ENERO","FEBRERO","MARZO","ABRIL","MAYO","JUNIO","JULIO","AGOSTO","SEPTIEMBRE","OCTUBRE","NOVIEMBRE","DICIEMBRE"}, 0), 1,2,3,4,5,6,7,8,9,10,11,12), A284)</f>
        <v>43748</v>
      </c>
      <c r="H284">
        <v>38</v>
      </c>
      <c r="I284">
        <v>36000</v>
      </c>
      <c r="J284" s="1">
        <f t="shared" si="9"/>
        <v>43749</v>
      </c>
      <c r="K284">
        <f t="shared" si="8"/>
        <v>43.25</v>
      </c>
    </row>
    <row r="285" spans="1:11" x14ac:dyDescent="0.25">
      <c r="A285">
        <v>11</v>
      </c>
      <c r="B285" t="s">
        <v>18</v>
      </c>
      <c r="C285">
        <v>2019</v>
      </c>
      <c r="D285">
        <v>130</v>
      </c>
      <c r="E285" t="s">
        <v>9</v>
      </c>
      <c r="F285">
        <v>86.75</v>
      </c>
      <c r="G285" s="1">
        <f>DATE(C285, CHOOSE(MATCH(UPPER(B285), {"ENERO","FEBRERO","MARZO","ABRIL","MAYO","JUNIO","JULIO","AGOSTO","SEPTIEMBRE","OCTUBRE","NOVIEMBRE","DICIEMBRE"}, 0), 1,2,3,4,5,6,7,8,9,10,11,12), A285)</f>
        <v>43749</v>
      </c>
      <c r="H285">
        <v>43.25</v>
      </c>
      <c r="I285">
        <v>36000</v>
      </c>
      <c r="J285" s="1">
        <f t="shared" si="9"/>
        <v>43750</v>
      </c>
      <c r="K285">
        <f t="shared" si="8"/>
        <v>40.75</v>
      </c>
    </row>
    <row r="286" spans="1:11" x14ac:dyDescent="0.25">
      <c r="A286">
        <v>12</v>
      </c>
      <c r="B286" t="s">
        <v>18</v>
      </c>
      <c r="C286">
        <v>2019</v>
      </c>
      <c r="D286">
        <v>86.75</v>
      </c>
      <c r="E286" t="s">
        <v>9</v>
      </c>
      <c r="F286">
        <v>46</v>
      </c>
      <c r="G286" s="1">
        <f>DATE(C286, CHOOSE(MATCH(UPPER(B286), {"ENERO","FEBRERO","MARZO","ABRIL","MAYO","JUNIO","JULIO","AGOSTO","SEPTIEMBRE","OCTUBRE","NOVIEMBRE","DICIEMBRE"}, 0), 1,2,3,4,5,6,7,8,9,10,11,12), A286)</f>
        <v>43750</v>
      </c>
      <c r="H286">
        <v>40.75</v>
      </c>
      <c r="I286">
        <v>36000</v>
      </c>
      <c r="J286" s="1">
        <f t="shared" si="9"/>
        <v>43751</v>
      </c>
      <c r="K286">
        <f t="shared" si="8"/>
        <v>52.125</v>
      </c>
    </row>
    <row r="287" spans="1:11" x14ac:dyDescent="0.25">
      <c r="A287">
        <v>13</v>
      </c>
      <c r="B287" t="s">
        <v>18</v>
      </c>
      <c r="C287">
        <v>2019</v>
      </c>
      <c r="D287">
        <v>46</v>
      </c>
      <c r="E287">
        <v>60</v>
      </c>
      <c r="F287">
        <v>53.875</v>
      </c>
      <c r="G287" s="1">
        <f>DATE(C287, CHOOSE(MATCH(UPPER(B287), {"ENERO","FEBRERO","MARZO","ABRIL","MAYO","JUNIO","JULIO","AGOSTO","SEPTIEMBRE","OCTUBRE","NOVIEMBRE","DICIEMBRE"}, 0), 1,2,3,4,5,6,7,8,9,10,11,12), A287)</f>
        <v>43751</v>
      </c>
      <c r="H287">
        <v>52.125</v>
      </c>
      <c r="I287">
        <v>36000</v>
      </c>
      <c r="J287" s="1">
        <f t="shared" si="9"/>
        <v>43752</v>
      </c>
      <c r="K287">
        <f t="shared" si="8"/>
        <v>46.375</v>
      </c>
    </row>
    <row r="288" spans="1:11" x14ac:dyDescent="0.25">
      <c r="A288">
        <v>14</v>
      </c>
      <c r="B288" t="s">
        <v>18</v>
      </c>
      <c r="C288">
        <v>2019</v>
      </c>
      <c r="D288">
        <v>53.875</v>
      </c>
      <c r="E288">
        <v>50</v>
      </c>
      <c r="F288">
        <v>57.5</v>
      </c>
      <c r="G288" s="1">
        <f>DATE(C288, CHOOSE(MATCH(UPPER(B288), {"ENERO","FEBRERO","MARZO","ABRIL","MAYO","JUNIO","JULIO","AGOSTO","SEPTIEMBRE","OCTUBRE","NOVIEMBRE","DICIEMBRE"}, 0), 1,2,3,4,5,6,7,8,9,10,11,12), A288)</f>
        <v>43752</v>
      </c>
      <c r="H288">
        <v>46.375</v>
      </c>
      <c r="I288">
        <v>36000</v>
      </c>
      <c r="J288" s="1">
        <f t="shared" si="9"/>
        <v>43753</v>
      </c>
      <c r="K288">
        <f t="shared" si="8"/>
        <v>21.25</v>
      </c>
    </row>
    <row r="289" spans="1:11" x14ac:dyDescent="0.25">
      <c r="A289">
        <v>15</v>
      </c>
      <c r="B289" t="s">
        <v>18</v>
      </c>
      <c r="C289">
        <v>2019</v>
      </c>
      <c r="D289">
        <v>57.5</v>
      </c>
      <c r="E289" t="s">
        <v>9</v>
      </c>
      <c r="F289">
        <v>36.25</v>
      </c>
      <c r="G289" s="1">
        <f>DATE(C289, CHOOSE(MATCH(UPPER(B289), {"ENERO","FEBRERO","MARZO","ABRIL","MAYO","JUNIO","JULIO","AGOSTO","SEPTIEMBRE","OCTUBRE","NOVIEMBRE","DICIEMBRE"}, 0), 1,2,3,4,5,6,7,8,9,10,11,12), A289)</f>
        <v>43753</v>
      </c>
      <c r="H289">
        <v>21.25</v>
      </c>
      <c r="I289">
        <v>36000</v>
      </c>
      <c r="J289" s="1">
        <f t="shared" si="9"/>
        <v>43754</v>
      </c>
      <c r="K289">
        <f t="shared" si="8"/>
        <v>27.625</v>
      </c>
    </row>
    <row r="290" spans="1:11" x14ac:dyDescent="0.25">
      <c r="A290">
        <v>16</v>
      </c>
      <c r="B290" t="s">
        <v>18</v>
      </c>
      <c r="C290">
        <v>2019</v>
      </c>
      <c r="D290">
        <v>36.25</v>
      </c>
      <c r="E290">
        <v>20</v>
      </c>
      <c r="F290">
        <v>28.625</v>
      </c>
      <c r="G290" s="1">
        <f>DATE(C290, CHOOSE(MATCH(UPPER(B290), {"ENERO","FEBRERO","MARZO","ABRIL","MAYO","JUNIO","JULIO","AGOSTO","SEPTIEMBRE","OCTUBRE","NOVIEMBRE","DICIEMBRE"}, 0), 1,2,3,4,5,6,7,8,9,10,11,12), A290)</f>
        <v>43754</v>
      </c>
      <c r="H290">
        <v>27.625</v>
      </c>
      <c r="I290">
        <v>36000</v>
      </c>
      <c r="J290" s="1">
        <f t="shared" si="9"/>
        <v>43755</v>
      </c>
      <c r="K290">
        <f t="shared" si="8"/>
        <v>19</v>
      </c>
    </row>
    <row r="291" spans="1:11" x14ac:dyDescent="0.25">
      <c r="A291">
        <v>17</v>
      </c>
      <c r="B291" t="s">
        <v>18</v>
      </c>
      <c r="C291">
        <v>2019</v>
      </c>
      <c r="D291">
        <v>28.625</v>
      </c>
      <c r="E291">
        <v>120</v>
      </c>
      <c r="F291">
        <v>129.625</v>
      </c>
      <c r="G291" s="1">
        <f>DATE(C291, CHOOSE(MATCH(UPPER(B291), {"ENERO","FEBRERO","MARZO","ABRIL","MAYO","JUNIO","JULIO","AGOSTO","SEPTIEMBRE","OCTUBRE","NOVIEMBRE","DICIEMBRE"}, 0), 1,2,3,4,5,6,7,8,9,10,11,12), A291)</f>
        <v>43755</v>
      </c>
      <c r="H291">
        <v>19</v>
      </c>
      <c r="I291">
        <v>36000</v>
      </c>
      <c r="J291" s="1">
        <f t="shared" si="9"/>
        <v>43756</v>
      </c>
      <c r="K291">
        <f t="shared" si="8"/>
        <v>26.25</v>
      </c>
    </row>
    <row r="292" spans="1:11" x14ac:dyDescent="0.25">
      <c r="A292">
        <v>18</v>
      </c>
      <c r="B292" t="s">
        <v>18</v>
      </c>
      <c r="C292">
        <v>2019</v>
      </c>
      <c r="D292">
        <v>129.625</v>
      </c>
      <c r="E292" t="s">
        <v>9</v>
      </c>
      <c r="F292">
        <v>103.375</v>
      </c>
      <c r="G292" s="1">
        <f>DATE(C292, CHOOSE(MATCH(UPPER(B292), {"ENERO","FEBRERO","MARZO","ABRIL","MAYO","JUNIO","JULIO","AGOSTO","SEPTIEMBRE","OCTUBRE","NOVIEMBRE","DICIEMBRE"}, 0), 1,2,3,4,5,6,7,8,9,10,11,12), A292)</f>
        <v>43756</v>
      </c>
      <c r="H292">
        <v>26.25</v>
      </c>
      <c r="I292">
        <v>36000</v>
      </c>
      <c r="J292" s="1">
        <f t="shared" si="9"/>
        <v>43757</v>
      </c>
      <c r="K292">
        <f t="shared" si="8"/>
        <v>37.625</v>
      </c>
    </row>
    <row r="293" spans="1:11" x14ac:dyDescent="0.25">
      <c r="A293">
        <v>19</v>
      </c>
      <c r="B293" t="s">
        <v>18</v>
      </c>
      <c r="C293">
        <v>2019</v>
      </c>
      <c r="D293">
        <v>103.375</v>
      </c>
      <c r="E293" t="s">
        <v>9</v>
      </c>
      <c r="F293">
        <v>65.75</v>
      </c>
      <c r="G293" s="1">
        <f>DATE(C293, CHOOSE(MATCH(UPPER(B293), {"ENERO","FEBRERO","MARZO","ABRIL","MAYO","JUNIO","JULIO","AGOSTO","SEPTIEMBRE","OCTUBRE","NOVIEMBRE","DICIEMBRE"}, 0), 1,2,3,4,5,6,7,8,9,10,11,12), A293)</f>
        <v>43757</v>
      </c>
      <c r="H293">
        <v>37.625</v>
      </c>
      <c r="I293">
        <v>36000</v>
      </c>
      <c r="J293" s="1">
        <f t="shared" si="9"/>
        <v>43758</v>
      </c>
      <c r="K293">
        <f t="shared" si="8"/>
        <v>50.75</v>
      </c>
    </row>
    <row r="294" spans="1:11" x14ac:dyDescent="0.25">
      <c r="A294">
        <v>20</v>
      </c>
      <c r="B294" t="s">
        <v>18</v>
      </c>
      <c r="C294">
        <v>2019</v>
      </c>
      <c r="D294">
        <v>65.75</v>
      </c>
      <c r="E294">
        <v>40</v>
      </c>
      <c r="F294">
        <v>55</v>
      </c>
      <c r="G294" s="1">
        <f>DATE(C294, CHOOSE(MATCH(UPPER(B294), {"ENERO","FEBRERO","MARZO","ABRIL","MAYO","JUNIO","JULIO","AGOSTO","SEPTIEMBRE","OCTUBRE","NOVIEMBRE","DICIEMBRE"}, 0), 1,2,3,4,5,6,7,8,9,10,11,12), A294)</f>
        <v>43758</v>
      </c>
      <c r="H294">
        <v>50.75</v>
      </c>
      <c r="I294">
        <v>36000</v>
      </c>
      <c r="J294" s="1">
        <f t="shared" si="9"/>
        <v>43759</v>
      </c>
      <c r="K294">
        <f t="shared" si="8"/>
        <v>11.25</v>
      </c>
    </row>
    <row r="295" spans="1:11" x14ac:dyDescent="0.25">
      <c r="A295">
        <v>21</v>
      </c>
      <c r="B295" t="s">
        <v>18</v>
      </c>
      <c r="C295">
        <v>2019</v>
      </c>
      <c r="D295">
        <v>55</v>
      </c>
      <c r="E295" t="s">
        <v>9</v>
      </c>
      <c r="F295">
        <v>43.75</v>
      </c>
      <c r="G295" s="1">
        <f>DATE(C295, CHOOSE(MATCH(UPPER(B295), {"ENERO","FEBRERO","MARZO","ABRIL","MAYO","JUNIO","JULIO","AGOSTO","SEPTIEMBRE","OCTUBRE","NOVIEMBRE","DICIEMBRE"}, 0), 1,2,3,4,5,6,7,8,9,10,11,12), A295)</f>
        <v>43759</v>
      </c>
      <c r="H295">
        <v>11.25</v>
      </c>
      <c r="I295">
        <v>36000</v>
      </c>
      <c r="J295" s="1">
        <f t="shared" si="9"/>
        <v>43760</v>
      </c>
      <c r="K295">
        <f t="shared" si="8"/>
        <v>17.75</v>
      </c>
    </row>
    <row r="296" spans="1:11" x14ac:dyDescent="0.25">
      <c r="A296">
        <v>22</v>
      </c>
      <c r="B296" t="s">
        <v>18</v>
      </c>
      <c r="C296">
        <v>2019</v>
      </c>
      <c r="D296">
        <v>43.75</v>
      </c>
      <c r="E296">
        <v>80</v>
      </c>
      <c r="F296">
        <v>106</v>
      </c>
      <c r="G296" s="1">
        <f>DATE(C296, CHOOSE(MATCH(UPPER(B296), {"ENERO","FEBRERO","MARZO","ABRIL","MAYO","JUNIO","JULIO","AGOSTO","SEPTIEMBRE","OCTUBRE","NOVIEMBRE","DICIEMBRE"}, 0), 1,2,3,4,5,6,7,8,9,10,11,12), A296)</f>
        <v>43760</v>
      </c>
      <c r="H296">
        <v>17.75</v>
      </c>
      <c r="I296">
        <v>36000</v>
      </c>
      <c r="J296" s="1">
        <f t="shared" si="9"/>
        <v>43761</v>
      </c>
      <c r="K296">
        <f t="shared" si="8"/>
        <v>25</v>
      </c>
    </row>
    <row r="297" spans="1:11" x14ac:dyDescent="0.25">
      <c r="A297">
        <v>23</v>
      </c>
      <c r="B297" t="s">
        <v>18</v>
      </c>
      <c r="C297">
        <v>2019</v>
      </c>
      <c r="D297">
        <v>106</v>
      </c>
      <c r="E297" t="s">
        <v>9</v>
      </c>
      <c r="F297">
        <v>81</v>
      </c>
      <c r="G297" s="1">
        <f>DATE(C297, CHOOSE(MATCH(UPPER(B297), {"ENERO","FEBRERO","MARZO","ABRIL","MAYO","JUNIO","JULIO","AGOSTO","SEPTIEMBRE","OCTUBRE","NOVIEMBRE","DICIEMBRE"}, 0), 1,2,3,4,5,6,7,8,9,10,11,12), A297)</f>
        <v>43761</v>
      </c>
      <c r="H297">
        <v>25</v>
      </c>
      <c r="I297">
        <v>36000</v>
      </c>
      <c r="J297" s="1">
        <f t="shared" si="9"/>
        <v>43762</v>
      </c>
      <c r="K297">
        <f t="shared" si="8"/>
        <v>19.625</v>
      </c>
    </row>
    <row r="298" spans="1:11" x14ac:dyDescent="0.25">
      <c r="A298">
        <v>24</v>
      </c>
      <c r="B298" t="s">
        <v>18</v>
      </c>
      <c r="C298">
        <v>2019</v>
      </c>
      <c r="D298">
        <v>81</v>
      </c>
      <c r="E298">
        <v>80</v>
      </c>
      <c r="F298">
        <v>141.375</v>
      </c>
      <c r="G298" s="1">
        <f>DATE(C298, CHOOSE(MATCH(UPPER(B298), {"ENERO","FEBRERO","MARZO","ABRIL","MAYO","JUNIO","JULIO","AGOSTO","SEPTIEMBRE","OCTUBRE","NOVIEMBRE","DICIEMBRE"}, 0), 1,2,3,4,5,6,7,8,9,10,11,12), A298)</f>
        <v>43762</v>
      </c>
      <c r="H298">
        <v>19.625</v>
      </c>
      <c r="I298">
        <v>36000</v>
      </c>
      <c r="J298" s="1">
        <f t="shared" si="9"/>
        <v>43763</v>
      </c>
      <c r="K298">
        <f t="shared" si="8"/>
        <v>18.375</v>
      </c>
    </row>
    <row r="299" spans="1:11" x14ac:dyDescent="0.25">
      <c r="A299">
        <v>25</v>
      </c>
      <c r="B299" t="s">
        <v>18</v>
      </c>
      <c r="C299">
        <v>2019</v>
      </c>
      <c r="D299">
        <v>141.375</v>
      </c>
      <c r="E299" t="s">
        <v>9</v>
      </c>
      <c r="F299">
        <v>123</v>
      </c>
      <c r="G299" s="1">
        <f>DATE(C299, CHOOSE(MATCH(UPPER(B299), {"ENERO","FEBRERO","MARZO","ABRIL","MAYO","JUNIO","JULIO","AGOSTO","SEPTIEMBRE","OCTUBRE","NOVIEMBRE","DICIEMBRE"}, 0), 1,2,3,4,5,6,7,8,9,10,11,12), A299)</f>
        <v>43763</v>
      </c>
      <c r="H299">
        <v>18.375</v>
      </c>
      <c r="I299">
        <v>36000</v>
      </c>
      <c r="J299" s="1">
        <f t="shared" si="9"/>
        <v>43764</v>
      </c>
      <c r="K299">
        <f t="shared" si="8"/>
        <v>45.5</v>
      </c>
    </row>
    <row r="300" spans="1:11" x14ac:dyDescent="0.25">
      <c r="A300">
        <v>26</v>
      </c>
      <c r="B300" t="s">
        <v>18</v>
      </c>
      <c r="C300">
        <v>2019</v>
      </c>
      <c r="D300">
        <v>123</v>
      </c>
      <c r="E300" t="s">
        <v>9</v>
      </c>
      <c r="F300">
        <v>77.5</v>
      </c>
      <c r="G300" s="1">
        <f>DATE(C300, CHOOSE(MATCH(UPPER(B300), {"ENERO","FEBRERO","MARZO","ABRIL","MAYO","JUNIO","JULIO","AGOSTO","SEPTIEMBRE","OCTUBRE","NOVIEMBRE","DICIEMBRE"}, 0), 1,2,3,4,5,6,7,8,9,10,11,12), A300)</f>
        <v>43764</v>
      </c>
      <c r="H300">
        <v>45.5</v>
      </c>
      <c r="I300">
        <v>36000</v>
      </c>
      <c r="J300" s="1">
        <f t="shared" si="9"/>
        <v>43765</v>
      </c>
      <c r="K300">
        <f t="shared" si="8"/>
        <v>36</v>
      </c>
    </row>
    <row r="301" spans="1:11" x14ac:dyDescent="0.25">
      <c r="A301">
        <v>27</v>
      </c>
      <c r="B301" t="s">
        <v>18</v>
      </c>
      <c r="C301">
        <v>2019</v>
      </c>
      <c r="D301">
        <v>77.5</v>
      </c>
      <c r="E301" t="s">
        <v>9</v>
      </c>
      <c r="F301">
        <v>41.5</v>
      </c>
      <c r="G301" s="1">
        <f>DATE(C301, CHOOSE(MATCH(UPPER(B301), {"ENERO","FEBRERO","MARZO","ABRIL","MAYO","JUNIO","JULIO","AGOSTO","SEPTIEMBRE","OCTUBRE","NOVIEMBRE","DICIEMBRE"}, 0), 1,2,3,4,5,6,7,8,9,10,11,12), A301)</f>
        <v>43765</v>
      </c>
      <c r="H301">
        <v>36</v>
      </c>
      <c r="I301">
        <v>36000</v>
      </c>
      <c r="J301" s="1">
        <f t="shared" si="9"/>
        <v>43766</v>
      </c>
      <c r="K301">
        <f t="shared" si="8"/>
        <v>9.75</v>
      </c>
    </row>
    <row r="302" spans="1:11" x14ac:dyDescent="0.25">
      <c r="A302">
        <v>28</v>
      </c>
      <c r="B302" t="s">
        <v>18</v>
      </c>
      <c r="C302">
        <v>2019</v>
      </c>
      <c r="D302">
        <v>41.5</v>
      </c>
      <c r="E302">
        <v>50</v>
      </c>
      <c r="F302">
        <v>81.75</v>
      </c>
      <c r="G302" s="1">
        <f>DATE(C302, CHOOSE(MATCH(UPPER(B302), {"ENERO","FEBRERO","MARZO","ABRIL","MAYO","JUNIO","JULIO","AGOSTO","SEPTIEMBRE","OCTUBRE","NOVIEMBRE","DICIEMBRE"}, 0), 1,2,3,4,5,6,7,8,9,10,11,12), A302)</f>
        <v>43766</v>
      </c>
      <c r="H302">
        <v>9.75</v>
      </c>
      <c r="I302">
        <v>36000</v>
      </c>
      <c r="J302" s="1">
        <f t="shared" si="9"/>
        <v>43767</v>
      </c>
      <c r="K302">
        <f t="shared" si="8"/>
        <v>17.75</v>
      </c>
    </row>
    <row r="303" spans="1:11" x14ac:dyDescent="0.25">
      <c r="A303">
        <v>29</v>
      </c>
      <c r="B303" t="s">
        <v>18</v>
      </c>
      <c r="C303">
        <v>2019</v>
      </c>
      <c r="D303">
        <v>81.75</v>
      </c>
      <c r="E303" t="s">
        <v>9</v>
      </c>
      <c r="F303">
        <v>64</v>
      </c>
      <c r="G303" s="1">
        <f>DATE(C303, CHOOSE(MATCH(UPPER(B303), {"ENERO","FEBRERO","MARZO","ABRIL","MAYO","JUNIO","JULIO","AGOSTO","SEPTIEMBRE","OCTUBRE","NOVIEMBRE","DICIEMBRE"}, 0), 1,2,3,4,5,6,7,8,9,10,11,12), A303)</f>
        <v>43767</v>
      </c>
      <c r="H303">
        <v>17.75</v>
      </c>
      <c r="I303">
        <v>36000</v>
      </c>
      <c r="J303" s="1">
        <f t="shared" si="9"/>
        <v>43768</v>
      </c>
      <c r="K303">
        <f t="shared" si="8"/>
        <v>17</v>
      </c>
    </row>
    <row r="304" spans="1:11" x14ac:dyDescent="0.25">
      <c r="A304">
        <v>30</v>
      </c>
      <c r="B304" t="s">
        <v>18</v>
      </c>
      <c r="C304">
        <v>2019</v>
      </c>
      <c r="D304">
        <v>64</v>
      </c>
      <c r="E304">
        <v>179</v>
      </c>
      <c r="F304">
        <v>226</v>
      </c>
      <c r="G304" s="1">
        <f>DATE(C304, CHOOSE(MATCH(UPPER(B304), {"ENERO","FEBRERO","MARZO","ABRIL","MAYO","JUNIO","JULIO","AGOSTO","SEPTIEMBRE","OCTUBRE","NOVIEMBRE","DICIEMBRE"}, 0), 1,2,3,4,5,6,7,8,9,10,11,12), A304)</f>
        <v>43768</v>
      </c>
      <c r="H304">
        <v>17</v>
      </c>
      <c r="I304">
        <v>36000</v>
      </c>
      <c r="J304" s="1">
        <f t="shared" si="9"/>
        <v>43769</v>
      </c>
      <c r="K304">
        <f t="shared" si="8"/>
        <v>106</v>
      </c>
    </row>
    <row r="305" spans="1:11" x14ac:dyDescent="0.25">
      <c r="A305">
        <v>31</v>
      </c>
      <c r="B305" t="s">
        <v>18</v>
      </c>
      <c r="C305">
        <v>2019</v>
      </c>
      <c r="D305">
        <v>226</v>
      </c>
      <c r="E305" t="s">
        <v>9</v>
      </c>
      <c r="F305">
        <v>120</v>
      </c>
      <c r="G305" s="1">
        <f>DATE(C305, CHOOSE(MATCH(UPPER(B305), {"ENERO","FEBRERO","MARZO","ABRIL","MAYO","JUNIO","JULIO","AGOSTO","SEPTIEMBRE","OCTUBRE","NOVIEMBRE","DICIEMBRE"}, 0), 1,2,3,4,5,6,7,8,9,10,11,12), A305)</f>
        <v>43769</v>
      </c>
      <c r="H305">
        <v>106</v>
      </c>
      <c r="I305">
        <v>36000</v>
      </c>
      <c r="J305" s="1">
        <f t="shared" si="9"/>
        <v>43770</v>
      </c>
      <c r="K305">
        <f t="shared" si="8"/>
        <v>28.5</v>
      </c>
    </row>
    <row r="306" spans="1:11" x14ac:dyDescent="0.25">
      <c r="A306">
        <v>1</v>
      </c>
      <c r="B306" t="s">
        <v>19</v>
      </c>
      <c r="C306">
        <v>2019</v>
      </c>
      <c r="D306">
        <v>120</v>
      </c>
      <c r="E306" t="s">
        <v>9</v>
      </c>
      <c r="F306">
        <v>91.5</v>
      </c>
      <c r="G306" s="1">
        <f>DATE(C306, CHOOSE(MATCH(UPPER(B306), {"ENERO","FEBRERO","MARZO","ABRIL","MAYO","JUNIO","JULIO","AGOSTO","SEPTIEMBRE","OCTUBRE","NOVIEMBRE","DICIEMBRE"}, 0), 1,2,3,4,5,6,7,8,9,10,11,12), A306)</f>
        <v>43770</v>
      </c>
      <c r="H306">
        <v>28.5</v>
      </c>
      <c r="I306">
        <v>36000</v>
      </c>
      <c r="J306" s="1">
        <f t="shared" si="9"/>
        <v>43771</v>
      </c>
      <c r="K306">
        <f t="shared" si="8"/>
        <v>43.125</v>
      </c>
    </row>
    <row r="307" spans="1:11" x14ac:dyDescent="0.25">
      <c r="A307">
        <v>2</v>
      </c>
      <c r="B307" t="s">
        <v>19</v>
      </c>
      <c r="C307">
        <v>2019</v>
      </c>
      <c r="D307">
        <v>91.5</v>
      </c>
      <c r="E307" t="s">
        <v>9</v>
      </c>
      <c r="F307">
        <v>48.375</v>
      </c>
      <c r="G307" s="1">
        <f>DATE(C307, CHOOSE(MATCH(UPPER(B307), {"ENERO","FEBRERO","MARZO","ABRIL","MAYO","JUNIO","JULIO","AGOSTO","SEPTIEMBRE","OCTUBRE","NOVIEMBRE","DICIEMBRE"}, 0), 1,2,3,4,5,6,7,8,9,10,11,12), A307)</f>
        <v>43771</v>
      </c>
      <c r="H307">
        <v>43.125</v>
      </c>
      <c r="I307">
        <v>36000</v>
      </c>
      <c r="J307" s="1">
        <f t="shared" si="9"/>
        <v>43772</v>
      </c>
      <c r="K307">
        <f t="shared" si="8"/>
        <v>58.375</v>
      </c>
    </row>
    <row r="308" spans="1:11" x14ac:dyDescent="0.25">
      <c r="A308">
        <v>3</v>
      </c>
      <c r="B308" t="s">
        <v>19</v>
      </c>
      <c r="C308">
        <v>2019</v>
      </c>
      <c r="D308">
        <v>48.375</v>
      </c>
      <c r="E308">
        <v>40</v>
      </c>
      <c r="F308">
        <v>30</v>
      </c>
      <c r="G308" s="1">
        <f>DATE(C308, CHOOSE(MATCH(UPPER(B308), {"ENERO","FEBRERO","MARZO","ABRIL","MAYO","JUNIO","JULIO","AGOSTO","SEPTIEMBRE","OCTUBRE","NOVIEMBRE","DICIEMBRE"}, 0), 1,2,3,4,5,6,7,8,9,10,11,12), A308)</f>
        <v>43772</v>
      </c>
      <c r="H308">
        <v>58.375</v>
      </c>
      <c r="I308">
        <v>36000</v>
      </c>
      <c r="J308" s="1">
        <f t="shared" si="9"/>
        <v>43773</v>
      </c>
      <c r="K308">
        <f t="shared" si="8"/>
        <v>43.25</v>
      </c>
    </row>
    <row r="309" spans="1:11" x14ac:dyDescent="0.25">
      <c r="A309">
        <v>4</v>
      </c>
      <c r="B309" t="s">
        <v>19</v>
      </c>
      <c r="C309">
        <v>2019</v>
      </c>
      <c r="D309">
        <v>30</v>
      </c>
      <c r="E309">
        <v>30</v>
      </c>
      <c r="F309">
        <v>16.75</v>
      </c>
      <c r="G309" s="1">
        <f>DATE(C309, CHOOSE(MATCH(UPPER(B309), {"ENERO","FEBRERO","MARZO","ABRIL","MAYO","JUNIO","JULIO","AGOSTO","SEPTIEMBRE","OCTUBRE","NOVIEMBRE","DICIEMBRE"}, 0), 1,2,3,4,5,6,7,8,9,10,11,12), A309)</f>
        <v>43773</v>
      </c>
      <c r="H309">
        <v>43.25</v>
      </c>
      <c r="I309">
        <v>36000</v>
      </c>
      <c r="J309" s="1">
        <f t="shared" si="9"/>
        <v>43774</v>
      </c>
      <c r="K309">
        <f t="shared" si="8"/>
        <v>20.75</v>
      </c>
    </row>
    <row r="310" spans="1:11" x14ac:dyDescent="0.25">
      <c r="A310">
        <v>5</v>
      </c>
      <c r="B310" t="s">
        <v>19</v>
      </c>
      <c r="C310">
        <v>2019</v>
      </c>
      <c r="D310">
        <v>16.75</v>
      </c>
      <c r="E310">
        <v>44</v>
      </c>
      <c r="F310">
        <v>40</v>
      </c>
      <c r="G310" s="1">
        <f>DATE(C310, CHOOSE(MATCH(UPPER(B310), {"ENERO","FEBRERO","MARZO","ABRIL","MAYO","JUNIO","JULIO","AGOSTO","SEPTIEMBRE","OCTUBRE","NOVIEMBRE","DICIEMBRE"}, 0), 1,2,3,4,5,6,7,8,9,10,11,12), A310)</f>
        <v>43774</v>
      </c>
      <c r="H310">
        <v>20.75</v>
      </c>
      <c r="I310">
        <v>36000</v>
      </c>
      <c r="J310" s="1">
        <f t="shared" si="9"/>
        <v>43775</v>
      </c>
      <c r="K310">
        <f t="shared" si="8"/>
        <v>27</v>
      </c>
    </row>
    <row r="311" spans="1:11" x14ac:dyDescent="0.25">
      <c r="A311">
        <v>6</v>
      </c>
      <c r="B311" t="s">
        <v>19</v>
      </c>
      <c r="C311">
        <v>2019</v>
      </c>
      <c r="D311">
        <v>40</v>
      </c>
      <c r="E311" t="s">
        <v>9</v>
      </c>
      <c r="F311">
        <v>13</v>
      </c>
      <c r="G311" s="1">
        <f>DATE(C311, CHOOSE(MATCH(UPPER(B311), {"ENERO","FEBRERO","MARZO","ABRIL","MAYO","JUNIO","JULIO","AGOSTO","SEPTIEMBRE","OCTUBRE","NOVIEMBRE","DICIEMBRE"}, 0), 1,2,3,4,5,6,7,8,9,10,11,12), A311)</f>
        <v>43775</v>
      </c>
      <c r="H311">
        <v>27</v>
      </c>
      <c r="I311">
        <v>36000</v>
      </c>
      <c r="J311" s="1">
        <f t="shared" si="9"/>
        <v>43776</v>
      </c>
      <c r="K311">
        <f t="shared" si="8"/>
        <v>7.5</v>
      </c>
    </row>
    <row r="312" spans="1:11" x14ac:dyDescent="0.25">
      <c r="A312">
        <v>7</v>
      </c>
      <c r="B312" t="s">
        <v>19</v>
      </c>
      <c r="C312">
        <v>2019</v>
      </c>
      <c r="D312">
        <v>13</v>
      </c>
      <c r="E312">
        <v>27</v>
      </c>
      <c r="F312">
        <v>32.5</v>
      </c>
      <c r="G312" s="1">
        <f>DATE(C312, CHOOSE(MATCH(UPPER(B312), {"ENERO","FEBRERO","MARZO","ABRIL","MAYO","JUNIO","JULIO","AGOSTO","SEPTIEMBRE","OCTUBRE","NOVIEMBRE","DICIEMBRE"}, 0), 1,2,3,4,5,6,7,8,9,10,11,12), A312)</f>
        <v>43776</v>
      </c>
      <c r="H312">
        <v>7.5</v>
      </c>
      <c r="I312">
        <v>36000</v>
      </c>
      <c r="J312" s="1">
        <f t="shared" si="9"/>
        <v>43777</v>
      </c>
      <c r="K312">
        <f t="shared" si="8"/>
        <v>26.5</v>
      </c>
    </row>
    <row r="313" spans="1:11" x14ac:dyDescent="0.25">
      <c r="A313">
        <v>8</v>
      </c>
      <c r="B313" t="s">
        <v>19</v>
      </c>
      <c r="C313">
        <v>2019</v>
      </c>
      <c r="D313">
        <v>32.5</v>
      </c>
      <c r="E313">
        <v>8</v>
      </c>
      <c r="F313">
        <v>14</v>
      </c>
      <c r="G313" s="1">
        <f>DATE(C313, CHOOSE(MATCH(UPPER(B313), {"ENERO","FEBRERO","MARZO","ABRIL","MAYO","JUNIO","JULIO","AGOSTO","SEPTIEMBRE","OCTUBRE","NOVIEMBRE","DICIEMBRE"}, 0), 1,2,3,4,5,6,7,8,9,10,11,12), A313)</f>
        <v>43777</v>
      </c>
      <c r="H313">
        <v>26.5</v>
      </c>
      <c r="I313">
        <v>36000</v>
      </c>
      <c r="J313" s="1">
        <f t="shared" si="9"/>
        <v>43778</v>
      </c>
      <c r="K313">
        <f t="shared" si="8"/>
        <v>42</v>
      </c>
    </row>
    <row r="314" spans="1:11" x14ac:dyDescent="0.25">
      <c r="A314">
        <v>9</v>
      </c>
      <c r="B314" t="s">
        <v>19</v>
      </c>
      <c r="C314">
        <v>2019</v>
      </c>
      <c r="D314">
        <v>14</v>
      </c>
      <c r="E314">
        <v>46</v>
      </c>
      <c r="F314">
        <v>18</v>
      </c>
      <c r="G314" s="1">
        <f>DATE(C314, CHOOSE(MATCH(UPPER(B314), {"ENERO","FEBRERO","MARZO","ABRIL","MAYO","JUNIO","JULIO","AGOSTO","SEPTIEMBRE","OCTUBRE","NOVIEMBRE","DICIEMBRE"}, 0), 1,2,3,4,5,6,7,8,9,10,11,12), A314)</f>
        <v>43778</v>
      </c>
      <c r="H314">
        <v>42</v>
      </c>
      <c r="I314">
        <v>36000</v>
      </c>
      <c r="J314" s="1">
        <f t="shared" si="9"/>
        <v>43779</v>
      </c>
      <c r="K314">
        <f t="shared" si="8"/>
        <v>52</v>
      </c>
    </row>
    <row r="315" spans="1:11" x14ac:dyDescent="0.25">
      <c r="A315">
        <v>10</v>
      </c>
      <c r="B315" t="s">
        <v>19</v>
      </c>
      <c r="C315">
        <v>2019</v>
      </c>
      <c r="D315">
        <v>18</v>
      </c>
      <c r="E315">
        <v>52</v>
      </c>
      <c r="F315">
        <v>18</v>
      </c>
      <c r="G315" s="1">
        <f>DATE(C315, CHOOSE(MATCH(UPPER(B315), {"ENERO","FEBRERO","MARZO","ABRIL","MAYO","JUNIO","JULIO","AGOSTO","SEPTIEMBRE","OCTUBRE","NOVIEMBRE","DICIEMBRE"}, 0), 1,2,3,4,5,6,7,8,9,10,11,12), A315)</f>
        <v>43779</v>
      </c>
      <c r="H315">
        <v>52</v>
      </c>
      <c r="I315">
        <v>36000</v>
      </c>
      <c r="J315" s="1">
        <f t="shared" si="9"/>
        <v>43780</v>
      </c>
      <c r="K315">
        <f t="shared" si="8"/>
        <v>38</v>
      </c>
    </row>
    <row r="316" spans="1:11" x14ac:dyDescent="0.25">
      <c r="A316">
        <v>11</v>
      </c>
      <c r="B316" t="s">
        <v>19</v>
      </c>
      <c r="C316">
        <v>2019</v>
      </c>
      <c r="D316">
        <v>18</v>
      </c>
      <c r="E316">
        <v>42</v>
      </c>
      <c r="F316">
        <v>22</v>
      </c>
      <c r="G316" s="1">
        <f>DATE(C316, CHOOSE(MATCH(UPPER(B316), {"ENERO","FEBRERO","MARZO","ABRIL","MAYO","JUNIO","JULIO","AGOSTO","SEPTIEMBRE","OCTUBRE","NOVIEMBRE","DICIEMBRE"}, 0), 1,2,3,4,5,6,7,8,9,10,11,12), A316)</f>
        <v>43780</v>
      </c>
      <c r="H316">
        <v>38</v>
      </c>
      <c r="I316">
        <v>36000</v>
      </c>
      <c r="J316" s="1">
        <f t="shared" si="9"/>
        <v>43781</v>
      </c>
      <c r="K316">
        <f t="shared" si="8"/>
        <v>18.375</v>
      </c>
    </row>
    <row r="317" spans="1:11" x14ac:dyDescent="0.25">
      <c r="A317">
        <v>12</v>
      </c>
      <c r="B317" t="s">
        <v>19</v>
      </c>
      <c r="C317">
        <v>2019</v>
      </c>
      <c r="D317">
        <v>22</v>
      </c>
      <c r="E317">
        <v>8</v>
      </c>
      <c r="F317">
        <v>11.625</v>
      </c>
      <c r="G317" s="1">
        <f>DATE(C317, CHOOSE(MATCH(UPPER(B317), {"ENERO","FEBRERO","MARZO","ABRIL","MAYO","JUNIO","JULIO","AGOSTO","SEPTIEMBRE","OCTUBRE","NOVIEMBRE","DICIEMBRE"}, 0), 1,2,3,4,5,6,7,8,9,10,11,12), A317)</f>
        <v>43781</v>
      </c>
      <c r="H317">
        <v>18.375</v>
      </c>
      <c r="I317">
        <v>36000</v>
      </c>
      <c r="J317" s="1">
        <f t="shared" si="9"/>
        <v>43782</v>
      </c>
      <c r="K317">
        <f t="shared" si="8"/>
        <v>18.625</v>
      </c>
    </row>
    <row r="318" spans="1:11" x14ac:dyDescent="0.25">
      <c r="A318">
        <v>13</v>
      </c>
      <c r="B318" t="s">
        <v>19</v>
      </c>
      <c r="C318">
        <v>2019</v>
      </c>
      <c r="D318">
        <v>11.625</v>
      </c>
      <c r="E318">
        <v>19</v>
      </c>
      <c r="F318">
        <v>12</v>
      </c>
      <c r="G318" s="1">
        <f>DATE(C318, CHOOSE(MATCH(UPPER(B318), {"ENERO","FEBRERO","MARZO","ABRIL","MAYO","JUNIO","JULIO","AGOSTO","SEPTIEMBRE","OCTUBRE","NOVIEMBRE","DICIEMBRE"}, 0), 1,2,3,4,5,6,7,8,9,10,11,12), A318)</f>
        <v>43782</v>
      </c>
      <c r="H318">
        <v>18.625</v>
      </c>
      <c r="I318">
        <v>36000</v>
      </c>
      <c r="J318" s="1">
        <f t="shared" si="9"/>
        <v>43783</v>
      </c>
      <c r="K318">
        <f t="shared" si="8"/>
        <v>13</v>
      </c>
    </row>
    <row r="319" spans="1:11" x14ac:dyDescent="0.25">
      <c r="A319">
        <v>14</v>
      </c>
      <c r="B319" t="s">
        <v>19</v>
      </c>
      <c r="C319">
        <v>2019</v>
      </c>
      <c r="D319">
        <v>12</v>
      </c>
      <c r="E319">
        <v>88</v>
      </c>
      <c r="F319">
        <v>87</v>
      </c>
      <c r="G319" s="1">
        <f>DATE(C319, CHOOSE(MATCH(UPPER(B319), {"ENERO","FEBRERO","MARZO","ABRIL","MAYO","JUNIO","JULIO","AGOSTO","SEPTIEMBRE","OCTUBRE","NOVIEMBRE","DICIEMBRE"}, 0), 1,2,3,4,5,6,7,8,9,10,11,12), A319)</f>
        <v>43783</v>
      </c>
      <c r="H319">
        <v>13</v>
      </c>
      <c r="I319">
        <v>36000</v>
      </c>
      <c r="J319" s="1">
        <f t="shared" si="9"/>
        <v>43784</v>
      </c>
      <c r="K319">
        <f t="shared" si="8"/>
        <v>29.5</v>
      </c>
    </row>
    <row r="320" spans="1:11" x14ac:dyDescent="0.25">
      <c r="A320">
        <v>15</v>
      </c>
      <c r="B320" t="s">
        <v>19</v>
      </c>
      <c r="C320">
        <v>2019</v>
      </c>
      <c r="D320">
        <v>87</v>
      </c>
      <c r="E320" t="s">
        <v>9</v>
      </c>
      <c r="F320">
        <v>57.5</v>
      </c>
      <c r="G320" s="1">
        <f>DATE(C320, CHOOSE(MATCH(UPPER(B320), {"ENERO","FEBRERO","MARZO","ABRIL","MAYO","JUNIO","JULIO","AGOSTO","SEPTIEMBRE","OCTUBRE","NOVIEMBRE","DICIEMBRE"}, 0), 1,2,3,4,5,6,7,8,9,10,11,12), A320)</f>
        <v>43784</v>
      </c>
      <c r="H320">
        <v>29.5</v>
      </c>
      <c r="I320">
        <v>36000</v>
      </c>
      <c r="J320" s="1">
        <f t="shared" si="9"/>
        <v>43785</v>
      </c>
      <c r="K320">
        <f t="shared" si="8"/>
        <v>49.75</v>
      </c>
    </row>
    <row r="321" spans="1:11" x14ac:dyDescent="0.25">
      <c r="A321">
        <v>16</v>
      </c>
      <c r="B321" t="s">
        <v>19</v>
      </c>
      <c r="C321">
        <v>2019</v>
      </c>
      <c r="D321">
        <v>57.5</v>
      </c>
      <c r="E321">
        <v>30</v>
      </c>
      <c r="F321">
        <v>37.75</v>
      </c>
      <c r="G321" s="1">
        <f>DATE(C321, CHOOSE(MATCH(UPPER(B321), {"ENERO","FEBRERO","MARZO","ABRIL","MAYO","JUNIO","JULIO","AGOSTO","SEPTIEMBRE","OCTUBRE","NOVIEMBRE","DICIEMBRE"}, 0), 1,2,3,4,5,6,7,8,9,10,11,12), A321)</f>
        <v>43785</v>
      </c>
      <c r="H321">
        <v>49.75</v>
      </c>
      <c r="I321">
        <v>36000</v>
      </c>
      <c r="J321" s="1">
        <f t="shared" si="9"/>
        <v>43786</v>
      </c>
      <c r="K321">
        <f t="shared" si="8"/>
        <v>51.75</v>
      </c>
    </row>
    <row r="322" spans="1:11" x14ac:dyDescent="0.25">
      <c r="A322">
        <v>17</v>
      </c>
      <c r="B322" t="s">
        <v>19</v>
      </c>
      <c r="C322">
        <v>2019</v>
      </c>
      <c r="D322">
        <v>37.75</v>
      </c>
      <c r="E322">
        <v>100</v>
      </c>
      <c r="F322">
        <v>86</v>
      </c>
      <c r="G322" s="1">
        <f>DATE(C322, CHOOSE(MATCH(UPPER(B322), {"ENERO","FEBRERO","MARZO","ABRIL","MAYO","JUNIO","JULIO","AGOSTO","SEPTIEMBRE","OCTUBRE","NOVIEMBRE","DICIEMBRE"}, 0), 1,2,3,4,5,6,7,8,9,10,11,12), A322)</f>
        <v>43786</v>
      </c>
      <c r="H322">
        <v>51.75</v>
      </c>
      <c r="I322">
        <v>36000</v>
      </c>
      <c r="J322" s="1">
        <f t="shared" si="9"/>
        <v>43787</v>
      </c>
      <c r="K322">
        <f t="shared" ref="K322:K385" si="10">VLOOKUP(J322, G:H, 2, FALSE)</f>
        <v>13.5</v>
      </c>
    </row>
    <row r="323" spans="1:11" x14ac:dyDescent="0.25">
      <c r="A323">
        <v>18</v>
      </c>
      <c r="B323" t="s">
        <v>19</v>
      </c>
      <c r="C323">
        <v>2019</v>
      </c>
      <c r="D323">
        <v>86</v>
      </c>
      <c r="E323" t="s">
        <v>9</v>
      </c>
      <c r="F323">
        <v>72.5</v>
      </c>
      <c r="G323" s="1">
        <f>DATE(C323, CHOOSE(MATCH(UPPER(B323), {"ENERO","FEBRERO","MARZO","ABRIL","MAYO","JUNIO","JULIO","AGOSTO","SEPTIEMBRE","OCTUBRE","NOVIEMBRE","DICIEMBRE"}, 0), 1,2,3,4,5,6,7,8,9,10,11,12), A323)</f>
        <v>43787</v>
      </c>
      <c r="H323">
        <v>13.5</v>
      </c>
      <c r="I323">
        <v>36000</v>
      </c>
      <c r="J323" s="1">
        <f t="shared" si="9"/>
        <v>43788</v>
      </c>
      <c r="K323">
        <f t="shared" si="10"/>
        <v>17</v>
      </c>
    </row>
    <row r="324" spans="1:11" x14ac:dyDescent="0.25">
      <c r="A324">
        <v>19</v>
      </c>
      <c r="B324" t="s">
        <v>19</v>
      </c>
      <c r="C324">
        <v>2019</v>
      </c>
      <c r="D324">
        <v>72.5</v>
      </c>
      <c r="E324" t="s">
        <v>9</v>
      </c>
      <c r="F324">
        <v>55.5</v>
      </c>
      <c r="G324" s="1">
        <f>DATE(C324, CHOOSE(MATCH(UPPER(B324), {"ENERO","FEBRERO","MARZO","ABRIL","MAYO","JUNIO","JULIO","AGOSTO","SEPTIEMBRE","OCTUBRE","NOVIEMBRE","DICIEMBRE"}, 0), 1,2,3,4,5,6,7,8,9,10,11,12), A324)</f>
        <v>43788</v>
      </c>
      <c r="H324">
        <v>17</v>
      </c>
      <c r="I324">
        <v>36000</v>
      </c>
      <c r="J324" s="1">
        <f t="shared" ref="J324:J387" si="11">DATE(2019,1,1) + ROW()-1</f>
        <v>43789</v>
      </c>
      <c r="K324">
        <f t="shared" si="10"/>
        <v>19.75</v>
      </c>
    </row>
    <row r="325" spans="1:11" x14ac:dyDescent="0.25">
      <c r="A325">
        <v>20</v>
      </c>
      <c r="B325" t="s">
        <v>19</v>
      </c>
      <c r="C325">
        <v>2019</v>
      </c>
      <c r="D325">
        <v>55.5</v>
      </c>
      <c r="E325">
        <v>100</v>
      </c>
      <c r="F325">
        <v>135.75</v>
      </c>
      <c r="G325" s="1">
        <f>DATE(C325, CHOOSE(MATCH(UPPER(B325), {"ENERO","FEBRERO","MARZO","ABRIL","MAYO","JUNIO","JULIO","AGOSTO","SEPTIEMBRE","OCTUBRE","NOVIEMBRE","DICIEMBRE"}, 0), 1,2,3,4,5,6,7,8,9,10,11,12), A325)</f>
        <v>43789</v>
      </c>
      <c r="H325">
        <v>19.75</v>
      </c>
      <c r="I325">
        <v>36000</v>
      </c>
      <c r="J325" s="1">
        <f t="shared" si="11"/>
        <v>43790</v>
      </c>
      <c r="K325">
        <f t="shared" si="10"/>
        <v>24.75</v>
      </c>
    </row>
    <row r="326" spans="1:11" x14ac:dyDescent="0.25">
      <c r="A326">
        <v>21</v>
      </c>
      <c r="B326" t="s">
        <v>19</v>
      </c>
      <c r="C326">
        <v>2019</v>
      </c>
      <c r="D326">
        <v>135.75</v>
      </c>
      <c r="E326" t="s">
        <v>9</v>
      </c>
      <c r="F326">
        <v>111</v>
      </c>
      <c r="G326" s="1">
        <f>DATE(C326, CHOOSE(MATCH(UPPER(B326), {"ENERO","FEBRERO","MARZO","ABRIL","MAYO","JUNIO","JULIO","AGOSTO","SEPTIEMBRE","OCTUBRE","NOVIEMBRE","DICIEMBRE"}, 0), 1,2,3,4,5,6,7,8,9,10,11,12), A326)</f>
        <v>43790</v>
      </c>
      <c r="H326">
        <v>24.75</v>
      </c>
      <c r="I326">
        <v>36000</v>
      </c>
      <c r="J326" s="1">
        <f t="shared" si="11"/>
        <v>43791</v>
      </c>
      <c r="K326">
        <f t="shared" si="10"/>
        <v>22.125</v>
      </c>
    </row>
    <row r="327" spans="1:11" x14ac:dyDescent="0.25">
      <c r="A327">
        <v>22</v>
      </c>
      <c r="B327" t="s">
        <v>19</v>
      </c>
      <c r="C327">
        <v>2019</v>
      </c>
      <c r="D327">
        <v>111</v>
      </c>
      <c r="E327" t="s">
        <v>9</v>
      </c>
      <c r="F327">
        <v>88.875</v>
      </c>
      <c r="G327" s="1">
        <f>DATE(C327, CHOOSE(MATCH(UPPER(B327), {"ENERO","FEBRERO","MARZO","ABRIL","MAYO","JUNIO","JULIO","AGOSTO","SEPTIEMBRE","OCTUBRE","NOVIEMBRE","DICIEMBRE"}, 0), 1,2,3,4,5,6,7,8,9,10,11,12), A327)</f>
        <v>43791</v>
      </c>
      <c r="H327">
        <v>22.125</v>
      </c>
      <c r="I327">
        <v>36000</v>
      </c>
      <c r="J327" s="1">
        <f t="shared" si="11"/>
        <v>43792</v>
      </c>
      <c r="K327">
        <f t="shared" si="10"/>
        <v>34</v>
      </c>
    </row>
    <row r="328" spans="1:11" x14ac:dyDescent="0.25">
      <c r="A328">
        <v>23</v>
      </c>
      <c r="B328" t="s">
        <v>19</v>
      </c>
      <c r="C328">
        <v>2019</v>
      </c>
      <c r="D328">
        <v>88.875</v>
      </c>
      <c r="E328" t="s">
        <v>9</v>
      </c>
      <c r="F328">
        <v>54.875</v>
      </c>
      <c r="G328" s="1">
        <f>DATE(C328, CHOOSE(MATCH(UPPER(B328), {"ENERO","FEBRERO","MARZO","ABRIL","MAYO","JUNIO","JULIO","AGOSTO","SEPTIEMBRE","OCTUBRE","NOVIEMBRE","DICIEMBRE"}, 0), 1,2,3,4,5,6,7,8,9,10,11,12), A328)</f>
        <v>43792</v>
      </c>
      <c r="H328">
        <v>34</v>
      </c>
      <c r="I328">
        <v>36000</v>
      </c>
      <c r="J328" s="1">
        <f t="shared" si="11"/>
        <v>43793</v>
      </c>
      <c r="K328">
        <f t="shared" si="10"/>
        <v>43.875</v>
      </c>
    </row>
    <row r="329" spans="1:11" x14ac:dyDescent="0.25">
      <c r="A329">
        <v>24</v>
      </c>
      <c r="B329" t="s">
        <v>19</v>
      </c>
      <c r="C329">
        <v>2019</v>
      </c>
      <c r="D329">
        <v>54.875</v>
      </c>
      <c r="E329">
        <v>70</v>
      </c>
      <c r="F329">
        <v>81</v>
      </c>
      <c r="G329" s="1">
        <f>DATE(C329, CHOOSE(MATCH(UPPER(B329), {"ENERO","FEBRERO","MARZO","ABRIL","MAYO","JUNIO","JULIO","AGOSTO","SEPTIEMBRE","OCTUBRE","NOVIEMBRE","DICIEMBRE"}, 0), 1,2,3,4,5,6,7,8,9,10,11,12), A329)</f>
        <v>43793</v>
      </c>
      <c r="H329">
        <v>43.875</v>
      </c>
      <c r="I329">
        <v>36000</v>
      </c>
      <c r="J329" s="1">
        <f t="shared" si="11"/>
        <v>43794</v>
      </c>
      <c r="K329">
        <f t="shared" si="10"/>
        <v>10.375</v>
      </c>
    </row>
    <row r="330" spans="1:11" x14ac:dyDescent="0.25">
      <c r="A330">
        <v>25</v>
      </c>
      <c r="B330" t="s">
        <v>19</v>
      </c>
      <c r="C330">
        <v>2019</v>
      </c>
      <c r="D330">
        <v>81</v>
      </c>
      <c r="E330" t="s">
        <v>9</v>
      </c>
      <c r="F330">
        <v>70.625</v>
      </c>
      <c r="G330" s="1">
        <f>DATE(C330, CHOOSE(MATCH(UPPER(B330), {"ENERO","FEBRERO","MARZO","ABRIL","MAYO","JUNIO","JULIO","AGOSTO","SEPTIEMBRE","OCTUBRE","NOVIEMBRE","DICIEMBRE"}, 0), 1,2,3,4,5,6,7,8,9,10,11,12), A330)</f>
        <v>43794</v>
      </c>
      <c r="H330">
        <v>10.375</v>
      </c>
      <c r="I330">
        <v>36000</v>
      </c>
      <c r="J330" s="1">
        <f t="shared" si="11"/>
        <v>43795</v>
      </c>
      <c r="K330">
        <f t="shared" si="10"/>
        <v>23.625</v>
      </c>
    </row>
    <row r="331" spans="1:11" x14ac:dyDescent="0.25">
      <c r="A331">
        <v>26</v>
      </c>
      <c r="B331" t="s">
        <v>19</v>
      </c>
      <c r="C331">
        <v>2019</v>
      </c>
      <c r="D331">
        <v>70.625</v>
      </c>
      <c r="E331" t="s">
        <v>9</v>
      </c>
      <c r="F331">
        <v>47</v>
      </c>
      <c r="G331" s="1">
        <f>DATE(C331, CHOOSE(MATCH(UPPER(B331), {"ENERO","FEBRERO","MARZO","ABRIL","MAYO","JUNIO","JULIO","AGOSTO","SEPTIEMBRE","OCTUBRE","NOVIEMBRE","DICIEMBRE"}, 0), 1,2,3,4,5,6,7,8,9,10,11,12), A331)</f>
        <v>43795</v>
      </c>
      <c r="H331">
        <v>23.625</v>
      </c>
      <c r="I331">
        <v>36000</v>
      </c>
      <c r="J331" s="1">
        <f t="shared" si="11"/>
        <v>43796</v>
      </c>
      <c r="K331">
        <f t="shared" si="10"/>
        <v>18</v>
      </c>
    </row>
    <row r="332" spans="1:11" x14ac:dyDescent="0.25">
      <c r="A332">
        <v>27</v>
      </c>
      <c r="B332" t="s">
        <v>19</v>
      </c>
      <c r="C332">
        <v>2019</v>
      </c>
      <c r="D332">
        <v>47</v>
      </c>
      <c r="E332" t="s">
        <v>9</v>
      </c>
      <c r="F332">
        <v>29</v>
      </c>
      <c r="G332" s="1">
        <f>DATE(C332, CHOOSE(MATCH(UPPER(B332), {"ENERO","FEBRERO","MARZO","ABRIL","MAYO","JUNIO","JULIO","AGOSTO","SEPTIEMBRE","OCTUBRE","NOVIEMBRE","DICIEMBRE"}, 0), 1,2,3,4,5,6,7,8,9,10,11,12), A332)</f>
        <v>43796</v>
      </c>
      <c r="H332">
        <v>18</v>
      </c>
      <c r="I332">
        <v>36000</v>
      </c>
      <c r="J332" s="1">
        <f t="shared" si="11"/>
        <v>43797</v>
      </c>
      <c r="K332">
        <f t="shared" si="10"/>
        <v>17</v>
      </c>
    </row>
    <row r="333" spans="1:11" x14ac:dyDescent="0.25">
      <c r="A333">
        <v>28</v>
      </c>
      <c r="B333" t="s">
        <v>19</v>
      </c>
      <c r="C333">
        <v>2019</v>
      </c>
      <c r="D333">
        <v>29</v>
      </c>
      <c r="E333">
        <v>100</v>
      </c>
      <c r="F333">
        <v>112</v>
      </c>
      <c r="G333" s="1">
        <f>DATE(C333, CHOOSE(MATCH(UPPER(B333), {"ENERO","FEBRERO","MARZO","ABRIL","MAYO","JUNIO","JULIO","AGOSTO","SEPTIEMBRE","OCTUBRE","NOVIEMBRE","DICIEMBRE"}, 0), 1,2,3,4,5,6,7,8,9,10,11,12), A333)</f>
        <v>43797</v>
      </c>
      <c r="H333">
        <v>17</v>
      </c>
      <c r="I333">
        <v>36000</v>
      </c>
      <c r="J333" s="1">
        <f t="shared" si="11"/>
        <v>43798</v>
      </c>
      <c r="K333">
        <f t="shared" si="10"/>
        <v>32.5</v>
      </c>
    </row>
    <row r="334" spans="1:11" x14ac:dyDescent="0.25">
      <c r="A334">
        <v>29</v>
      </c>
      <c r="B334" t="s">
        <v>19</v>
      </c>
      <c r="C334">
        <v>2019</v>
      </c>
      <c r="D334">
        <v>112</v>
      </c>
      <c r="E334" t="s">
        <v>9</v>
      </c>
      <c r="F334">
        <v>79.5</v>
      </c>
      <c r="G334" s="1">
        <f>DATE(C334, CHOOSE(MATCH(UPPER(B334), {"ENERO","FEBRERO","MARZO","ABRIL","MAYO","JUNIO","JULIO","AGOSTO","SEPTIEMBRE","OCTUBRE","NOVIEMBRE","DICIEMBRE"}, 0), 1,2,3,4,5,6,7,8,9,10,11,12), A334)</f>
        <v>43798</v>
      </c>
      <c r="H334">
        <v>32.5</v>
      </c>
      <c r="I334">
        <v>36000</v>
      </c>
      <c r="J334" s="1">
        <f t="shared" si="11"/>
        <v>43799</v>
      </c>
      <c r="K334">
        <f t="shared" si="10"/>
        <v>37</v>
      </c>
    </row>
    <row r="335" spans="1:11" x14ac:dyDescent="0.25">
      <c r="A335">
        <v>30</v>
      </c>
      <c r="B335" t="s">
        <v>19</v>
      </c>
      <c r="C335">
        <v>2019</v>
      </c>
      <c r="D335">
        <v>79.5</v>
      </c>
      <c r="E335" t="s">
        <v>9</v>
      </c>
      <c r="F335">
        <v>42.5</v>
      </c>
      <c r="G335" s="1">
        <f>DATE(C335, CHOOSE(MATCH(UPPER(B335), {"ENERO","FEBRERO","MARZO","ABRIL","MAYO","JUNIO","JULIO","AGOSTO","SEPTIEMBRE","OCTUBRE","NOVIEMBRE","DICIEMBRE"}, 0), 1,2,3,4,5,6,7,8,9,10,11,12), A335)</f>
        <v>43799</v>
      </c>
      <c r="H335">
        <v>37</v>
      </c>
      <c r="I335">
        <v>36000</v>
      </c>
      <c r="J335" s="1">
        <f t="shared" si="11"/>
        <v>43800</v>
      </c>
      <c r="K335">
        <f t="shared" si="10"/>
        <v>51.125</v>
      </c>
    </row>
    <row r="336" spans="1:11" x14ac:dyDescent="0.25">
      <c r="A336">
        <v>1</v>
      </c>
      <c r="B336" t="s">
        <v>20</v>
      </c>
      <c r="C336">
        <v>2019</v>
      </c>
      <c r="D336">
        <v>42.5</v>
      </c>
      <c r="E336">
        <v>20</v>
      </c>
      <c r="F336">
        <v>11.375</v>
      </c>
      <c r="G336" s="1">
        <f>DATE(C336, CHOOSE(MATCH(UPPER(B336), {"ENERO","FEBRERO","MARZO","ABRIL","MAYO","JUNIO","JULIO","AGOSTO","SEPTIEMBRE","OCTUBRE","NOVIEMBRE","DICIEMBRE"}, 0), 1,2,3,4,5,6,7,8,9,10,11,12), A336)</f>
        <v>43800</v>
      </c>
      <c r="H336">
        <v>51.125</v>
      </c>
      <c r="I336">
        <v>36000</v>
      </c>
      <c r="J336" s="1">
        <f t="shared" si="11"/>
        <v>43801</v>
      </c>
      <c r="K336">
        <f t="shared" si="10"/>
        <v>17</v>
      </c>
    </row>
    <row r="337" spans="1:11" x14ac:dyDescent="0.25">
      <c r="A337">
        <v>2</v>
      </c>
      <c r="B337" t="s">
        <v>20</v>
      </c>
      <c r="C337">
        <v>2019</v>
      </c>
      <c r="D337">
        <v>11.375</v>
      </c>
      <c r="E337">
        <v>100</v>
      </c>
      <c r="F337">
        <v>94.375</v>
      </c>
      <c r="G337" s="1">
        <f>DATE(C337, CHOOSE(MATCH(UPPER(B337), {"ENERO","FEBRERO","MARZO","ABRIL","MAYO","JUNIO","JULIO","AGOSTO","SEPTIEMBRE","OCTUBRE","NOVIEMBRE","DICIEMBRE"}, 0), 1,2,3,4,5,6,7,8,9,10,11,12), A337)</f>
        <v>43801</v>
      </c>
      <c r="H337">
        <v>17</v>
      </c>
      <c r="I337">
        <v>36000</v>
      </c>
      <c r="J337" s="1">
        <f t="shared" si="11"/>
        <v>43802</v>
      </c>
      <c r="K337">
        <f t="shared" si="10"/>
        <v>19.375</v>
      </c>
    </row>
    <row r="338" spans="1:11" x14ac:dyDescent="0.25">
      <c r="A338">
        <v>3</v>
      </c>
      <c r="B338" t="s">
        <v>20</v>
      </c>
      <c r="C338">
        <v>2019</v>
      </c>
      <c r="D338">
        <v>94.375</v>
      </c>
      <c r="E338" t="s">
        <v>9</v>
      </c>
      <c r="F338">
        <v>75</v>
      </c>
      <c r="G338" s="1">
        <f>DATE(C338, CHOOSE(MATCH(UPPER(B338), {"ENERO","FEBRERO","MARZO","ABRIL","MAYO","JUNIO","JULIO","AGOSTO","SEPTIEMBRE","OCTUBRE","NOVIEMBRE","DICIEMBRE"}, 0), 1,2,3,4,5,6,7,8,9,10,11,12), A338)</f>
        <v>43802</v>
      </c>
      <c r="H338">
        <v>19.375</v>
      </c>
      <c r="I338">
        <v>36000</v>
      </c>
      <c r="J338" s="1">
        <f t="shared" si="11"/>
        <v>43803</v>
      </c>
      <c r="K338">
        <f t="shared" si="10"/>
        <v>29.75</v>
      </c>
    </row>
    <row r="339" spans="1:11" x14ac:dyDescent="0.25">
      <c r="A339">
        <v>4</v>
      </c>
      <c r="B339" t="s">
        <v>20</v>
      </c>
      <c r="C339">
        <v>2019</v>
      </c>
      <c r="D339">
        <v>75</v>
      </c>
      <c r="E339" t="s">
        <v>9</v>
      </c>
      <c r="F339">
        <v>45.25</v>
      </c>
      <c r="G339" s="1">
        <f>DATE(C339, CHOOSE(MATCH(UPPER(B339), {"ENERO","FEBRERO","MARZO","ABRIL","MAYO","JUNIO","JULIO","AGOSTO","SEPTIEMBRE","OCTUBRE","NOVIEMBRE","DICIEMBRE"}, 0), 1,2,3,4,5,6,7,8,9,10,11,12), A339)</f>
        <v>43803</v>
      </c>
      <c r="H339">
        <v>29.75</v>
      </c>
      <c r="I339">
        <v>36000</v>
      </c>
      <c r="J339" s="1">
        <f t="shared" si="11"/>
        <v>43804</v>
      </c>
      <c r="K339">
        <f t="shared" si="10"/>
        <v>20</v>
      </c>
    </row>
    <row r="340" spans="1:11" x14ac:dyDescent="0.25">
      <c r="A340">
        <v>5</v>
      </c>
      <c r="B340" t="s">
        <v>20</v>
      </c>
      <c r="C340">
        <v>2019</v>
      </c>
      <c r="D340">
        <v>45.25</v>
      </c>
      <c r="E340">
        <v>150</v>
      </c>
      <c r="F340">
        <v>175.25</v>
      </c>
      <c r="G340" s="1">
        <f>DATE(C340, CHOOSE(MATCH(UPPER(B340), {"ENERO","FEBRERO","MARZO","ABRIL","MAYO","JUNIO","JULIO","AGOSTO","SEPTIEMBRE","OCTUBRE","NOVIEMBRE","DICIEMBRE"}, 0), 1,2,3,4,5,6,7,8,9,10,11,12), A340)</f>
        <v>43804</v>
      </c>
      <c r="H340">
        <v>20</v>
      </c>
      <c r="I340">
        <v>36000</v>
      </c>
      <c r="J340" s="1">
        <f t="shared" si="11"/>
        <v>43805</v>
      </c>
      <c r="K340">
        <f t="shared" si="10"/>
        <v>23.5</v>
      </c>
    </row>
    <row r="341" spans="1:11" x14ac:dyDescent="0.25">
      <c r="A341">
        <v>6</v>
      </c>
      <c r="B341" t="s">
        <v>20</v>
      </c>
      <c r="C341">
        <v>2019</v>
      </c>
      <c r="D341">
        <v>175.25</v>
      </c>
      <c r="E341" t="s">
        <v>9</v>
      </c>
      <c r="F341">
        <v>151.75</v>
      </c>
      <c r="G341" s="1">
        <f>DATE(C341, CHOOSE(MATCH(UPPER(B341), {"ENERO","FEBRERO","MARZO","ABRIL","MAYO","JUNIO","JULIO","AGOSTO","SEPTIEMBRE","OCTUBRE","NOVIEMBRE","DICIEMBRE"}, 0), 1,2,3,4,5,6,7,8,9,10,11,12), A341)</f>
        <v>43805</v>
      </c>
      <c r="H341">
        <v>23.5</v>
      </c>
      <c r="I341">
        <v>36000</v>
      </c>
      <c r="J341" s="1">
        <f t="shared" si="11"/>
        <v>43806</v>
      </c>
      <c r="K341">
        <f t="shared" si="10"/>
        <v>26.25</v>
      </c>
    </row>
    <row r="342" spans="1:11" x14ac:dyDescent="0.25">
      <c r="A342">
        <v>7</v>
      </c>
      <c r="B342" t="s">
        <v>20</v>
      </c>
      <c r="C342">
        <v>2019</v>
      </c>
      <c r="D342">
        <v>151.75</v>
      </c>
      <c r="E342" t="s">
        <v>9</v>
      </c>
      <c r="F342">
        <v>125.5</v>
      </c>
      <c r="G342" s="1">
        <f>DATE(C342, CHOOSE(MATCH(UPPER(B342), {"ENERO","FEBRERO","MARZO","ABRIL","MAYO","JUNIO","JULIO","AGOSTO","SEPTIEMBRE","OCTUBRE","NOVIEMBRE","DICIEMBRE"}, 0), 1,2,3,4,5,6,7,8,9,10,11,12), A342)</f>
        <v>43806</v>
      </c>
      <c r="H342">
        <v>26.25</v>
      </c>
      <c r="I342">
        <v>36000</v>
      </c>
      <c r="J342" s="1">
        <f t="shared" si="11"/>
        <v>43807</v>
      </c>
      <c r="K342">
        <f t="shared" si="10"/>
        <v>49.5</v>
      </c>
    </row>
    <row r="343" spans="1:11" x14ac:dyDescent="0.25">
      <c r="A343">
        <v>8</v>
      </c>
      <c r="B343" t="s">
        <v>20</v>
      </c>
      <c r="C343">
        <v>2019</v>
      </c>
      <c r="D343">
        <v>125.5</v>
      </c>
      <c r="E343" t="s">
        <v>9</v>
      </c>
      <c r="F343">
        <v>76</v>
      </c>
      <c r="G343" s="1">
        <f>DATE(C343, CHOOSE(MATCH(UPPER(B343), {"ENERO","FEBRERO","MARZO","ABRIL","MAYO","JUNIO","JULIO","AGOSTO","SEPTIEMBRE","OCTUBRE","NOVIEMBRE","DICIEMBRE"}, 0), 1,2,3,4,5,6,7,8,9,10,11,12), A343)</f>
        <v>43807</v>
      </c>
      <c r="H343">
        <v>49.5</v>
      </c>
      <c r="I343">
        <v>36000</v>
      </c>
      <c r="J343" s="1">
        <f t="shared" si="11"/>
        <v>43808</v>
      </c>
      <c r="K343">
        <f t="shared" si="10"/>
        <v>18.25</v>
      </c>
    </row>
    <row r="344" spans="1:11" x14ac:dyDescent="0.25">
      <c r="A344">
        <v>9</v>
      </c>
      <c r="B344" t="s">
        <v>20</v>
      </c>
      <c r="C344">
        <v>2019</v>
      </c>
      <c r="D344">
        <v>76</v>
      </c>
      <c r="E344">
        <v>30</v>
      </c>
      <c r="F344">
        <v>87.75</v>
      </c>
      <c r="G344" s="1">
        <f>DATE(C344, CHOOSE(MATCH(UPPER(B344), {"ENERO","FEBRERO","MARZO","ABRIL","MAYO","JUNIO","JULIO","AGOSTO","SEPTIEMBRE","OCTUBRE","NOVIEMBRE","DICIEMBRE"}, 0), 1,2,3,4,5,6,7,8,9,10,11,12), A344)</f>
        <v>43808</v>
      </c>
      <c r="H344">
        <v>18.25</v>
      </c>
      <c r="I344">
        <v>36000</v>
      </c>
      <c r="J344" s="1">
        <f t="shared" si="11"/>
        <v>43809</v>
      </c>
      <c r="K344">
        <f t="shared" si="10"/>
        <v>27.75</v>
      </c>
    </row>
    <row r="345" spans="1:11" x14ac:dyDescent="0.25">
      <c r="A345">
        <v>10</v>
      </c>
      <c r="B345" t="s">
        <v>20</v>
      </c>
      <c r="C345">
        <v>2019</v>
      </c>
      <c r="D345">
        <v>87.75</v>
      </c>
      <c r="E345" t="s">
        <v>9</v>
      </c>
      <c r="F345">
        <v>60</v>
      </c>
      <c r="G345" s="1">
        <f>DATE(C345, CHOOSE(MATCH(UPPER(B345), {"ENERO","FEBRERO","MARZO","ABRIL","MAYO","JUNIO","JULIO","AGOSTO","SEPTIEMBRE","OCTUBRE","NOVIEMBRE","DICIEMBRE"}, 0), 1,2,3,4,5,6,7,8,9,10,11,12), A345)</f>
        <v>43809</v>
      </c>
      <c r="H345">
        <v>27.75</v>
      </c>
      <c r="I345">
        <v>36000</v>
      </c>
      <c r="J345" s="1">
        <f t="shared" si="11"/>
        <v>43810</v>
      </c>
      <c r="K345">
        <f t="shared" si="10"/>
        <v>40</v>
      </c>
    </row>
    <row r="346" spans="1:11" x14ac:dyDescent="0.25">
      <c r="A346">
        <v>11</v>
      </c>
      <c r="B346" t="s">
        <v>20</v>
      </c>
      <c r="C346">
        <v>2019</v>
      </c>
      <c r="D346">
        <v>60</v>
      </c>
      <c r="E346" t="s">
        <v>9</v>
      </c>
      <c r="F346">
        <v>20</v>
      </c>
      <c r="G346" s="1">
        <f>DATE(C346, CHOOSE(MATCH(UPPER(B346), {"ENERO","FEBRERO","MARZO","ABRIL","MAYO","JUNIO","JULIO","AGOSTO","SEPTIEMBRE","OCTUBRE","NOVIEMBRE","DICIEMBRE"}, 0), 1,2,3,4,5,6,7,8,9,10,11,12), A346)</f>
        <v>43810</v>
      </c>
      <c r="H346">
        <v>40</v>
      </c>
      <c r="I346">
        <v>36000</v>
      </c>
      <c r="J346" s="1">
        <f t="shared" si="11"/>
        <v>43811</v>
      </c>
      <c r="K346">
        <f t="shared" si="10"/>
        <v>17</v>
      </c>
    </row>
    <row r="347" spans="1:11" x14ac:dyDescent="0.25">
      <c r="A347">
        <v>12</v>
      </c>
      <c r="B347" t="s">
        <v>20</v>
      </c>
      <c r="C347">
        <v>2019</v>
      </c>
      <c r="D347">
        <v>20</v>
      </c>
      <c r="E347">
        <v>50</v>
      </c>
      <c r="F347">
        <v>53</v>
      </c>
      <c r="G347" s="1">
        <f>DATE(C347, CHOOSE(MATCH(UPPER(B347), {"ENERO","FEBRERO","MARZO","ABRIL","MAYO","JUNIO","JULIO","AGOSTO","SEPTIEMBRE","OCTUBRE","NOVIEMBRE","DICIEMBRE"}, 0), 1,2,3,4,5,6,7,8,9,10,11,12), A347)</f>
        <v>43811</v>
      </c>
      <c r="H347">
        <v>17</v>
      </c>
      <c r="I347">
        <v>36000</v>
      </c>
      <c r="J347" s="1">
        <f t="shared" si="11"/>
        <v>43812</v>
      </c>
      <c r="K347">
        <f t="shared" si="10"/>
        <v>38</v>
      </c>
    </row>
    <row r="348" spans="1:11" x14ac:dyDescent="0.25">
      <c r="A348">
        <v>13</v>
      </c>
      <c r="B348" t="s">
        <v>20</v>
      </c>
      <c r="C348">
        <v>2019</v>
      </c>
      <c r="D348">
        <v>53</v>
      </c>
      <c r="E348" t="s">
        <v>9</v>
      </c>
      <c r="F348">
        <v>15</v>
      </c>
      <c r="G348" s="1">
        <f>DATE(C348, CHOOSE(MATCH(UPPER(B348), {"ENERO","FEBRERO","MARZO","ABRIL","MAYO","JUNIO","JULIO","AGOSTO","SEPTIEMBRE","OCTUBRE","NOVIEMBRE","DICIEMBRE"}, 0), 1,2,3,4,5,6,7,8,9,10,11,12), A348)</f>
        <v>43812</v>
      </c>
      <c r="H348">
        <v>38</v>
      </c>
      <c r="I348">
        <v>36000</v>
      </c>
      <c r="J348" s="1">
        <f t="shared" si="11"/>
        <v>43813</v>
      </c>
      <c r="K348">
        <f t="shared" si="10"/>
        <v>54.5</v>
      </c>
    </row>
    <row r="349" spans="1:11" x14ac:dyDescent="0.25">
      <c r="A349">
        <v>14</v>
      </c>
      <c r="B349" t="s">
        <v>20</v>
      </c>
      <c r="C349">
        <v>2019</v>
      </c>
      <c r="D349">
        <v>15</v>
      </c>
      <c r="E349">
        <v>120</v>
      </c>
      <c r="F349">
        <v>80.5</v>
      </c>
      <c r="G349" s="1">
        <f>DATE(C349, CHOOSE(MATCH(UPPER(B349), {"ENERO","FEBRERO","MARZO","ABRIL","MAYO","JUNIO","JULIO","AGOSTO","SEPTIEMBRE","OCTUBRE","NOVIEMBRE","DICIEMBRE"}, 0), 1,2,3,4,5,6,7,8,9,10,11,12), A349)</f>
        <v>43813</v>
      </c>
      <c r="H349">
        <v>54.5</v>
      </c>
      <c r="I349">
        <v>36000</v>
      </c>
      <c r="J349" s="1">
        <f t="shared" si="11"/>
        <v>43814</v>
      </c>
      <c r="K349">
        <f t="shared" si="10"/>
        <v>50.5</v>
      </c>
    </row>
    <row r="350" spans="1:11" x14ac:dyDescent="0.25">
      <c r="A350">
        <v>15</v>
      </c>
      <c r="B350" t="s">
        <v>20</v>
      </c>
      <c r="C350">
        <v>2019</v>
      </c>
      <c r="D350">
        <v>80.5</v>
      </c>
      <c r="E350" t="s">
        <v>9</v>
      </c>
      <c r="F350">
        <v>30</v>
      </c>
      <c r="G350" s="1">
        <f>DATE(C350, CHOOSE(MATCH(UPPER(B350), {"ENERO","FEBRERO","MARZO","ABRIL","MAYO","JUNIO","JULIO","AGOSTO","SEPTIEMBRE","OCTUBRE","NOVIEMBRE","DICIEMBRE"}, 0), 1,2,3,4,5,6,7,8,9,10,11,12), A350)</f>
        <v>43814</v>
      </c>
      <c r="H350">
        <v>50.5</v>
      </c>
      <c r="I350">
        <v>36000</v>
      </c>
      <c r="J350" s="1">
        <f t="shared" si="11"/>
        <v>43815</v>
      </c>
      <c r="K350">
        <f t="shared" si="10"/>
        <v>14.75</v>
      </c>
    </row>
    <row r="351" spans="1:11" x14ac:dyDescent="0.25">
      <c r="A351">
        <v>16</v>
      </c>
      <c r="B351" t="s">
        <v>20</v>
      </c>
      <c r="C351">
        <v>2019</v>
      </c>
      <c r="D351">
        <v>30</v>
      </c>
      <c r="E351">
        <v>120</v>
      </c>
      <c r="F351">
        <v>135.25</v>
      </c>
      <c r="G351" s="1">
        <f>DATE(C351, CHOOSE(MATCH(UPPER(B351), {"ENERO","FEBRERO","MARZO","ABRIL","MAYO","JUNIO","JULIO","AGOSTO","SEPTIEMBRE","OCTUBRE","NOVIEMBRE","DICIEMBRE"}, 0), 1,2,3,4,5,6,7,8,9,10,11,12), A351)</f>
        <v>43815</v>
      </c>
      <c r="H351">
        <v>14.75</v>
      </c>
      <c r="I351">
        <v>36000</v>
      </c>
      <c r="J351" s="1">
        <f t="shared" si="11"/>
        <v>43816</v>
      </c>
      <c r="K351">
        <f t="shared" si="10"/>
        <v>28</v>
      </c>
    </row>
    <row r="352" spans="1:11" x14ac:dyDescent="0.25">
      <c r="A352">
        <v>17</v>
      </c>
      <c r="B352" t="s">
        <v>20</v>
      </c>
      <c r="C352">
        <v>2019</v>
      </c>
      <c r="D352">
        <v>135.25</v>
      </c>
      <c r="E352" t="s">
        <v>9</v>
      </c>
      <c r="F352">
        <v>107.25</v>
      </c>
      <c r="G352" s="1">
        <f>DATE(C352, CHOOSE(MATCH(UPPER(B352), {"ENERO","FEBRERO","MARZO","ABRIL","MAYO","JUNIO","JULIO","AGOSTO","SEPTIEMBRE","OCTUBRE","NOVIEMBRE","DICIEMBRE"}, 0), 1,2,3,4,5,6,7,8,9,10,11,12), A352)</f>
        <v>43816</v>
      </c>
      <c r="H352">
        <v>28</v>
      </c>
      <c r="I352">
        <v>36000</v>
      </c>
      <c r="J352" s="1">
        <f t="shared" si="11"/>
        <v>43817</v>
      </c>
      <c r="K352">
        <f t="shared" si="10"/>
        <v>33.75</v>
      </c>
    </row>
    <row r="353" spans="1:11" x14ac:dyDescent="0.25">
      <c r="A353">
        <v>18</v>
      </c>
      <c r="B353" t="s">
        <v>20</v>
      </c>
      <c r="C353">
        <v>2019</v>
      </c>
      <c r="D353">
        <v>107.25</v>
      </c>
      <c r="E353" t="s">
        <v>9</v>
      </c>
      <c r="F353">
        <v>73.5</v>
      </c>
      <c r="G353" s="1">
        <f>DATE(C353, CHOOSE(MATCH(UPPER(B353), {"ENERO","FEBRERO","MARZO","ABRIL","MAYO","JUNIO","JULIO","AGOSTO","SEPTIEMBRE","OCTUBRE","NOVIEMBRE","DICIEMBRE"}, 0), 1,2,3,4,5,6,7,8,9,10,11,12), A353)</f>
        <v>43817</v>
      </c>
      <c r="H353">
        <v>33.75</v>
      </c>
      <c r="I353">
        <v>36000</v>
      </c>
      <c r="J353" s="1">
        <f t="shared" si="11"/>
        <v>43818</v>
      </c>
      <c r="K353">
        <f t="shared" si="10"/>
        <v>24.5</v>
      </c>
    </row>
    <row r="354" spans="1:11" x14ac:dyDescent="0.25">
      <c r="A354">
        <v>19</v>
      </c>
      <c r="B354" t="s">
        <v>20</v>
      </c>
      <c r="C354">
        <v>2019</v>
      </c>
      <c r="D354">
        <v>73.5</v>
      </c>
      <c r="E354">
        <v>120</v>
      </c>
      <c r="F354">
        <v>169</v>
      </c>
      <c r="G354" s="1">
        <f>DATE(C354, CHOOSE(MATCH(UPPER(B354), {"ENERO","FEBRERO","MARZO","ABRIL","MAYO","JUNIO","JULIO","AGOSTO","SEPTIEMBRE","OCTUBRE","NOVIEMBRE","DICIEMBRE"}, 0), 1,2,3,4,5,6,7,8,9,10,11,12), A354)</f>
        <v>43818</v>
      </c>
      <c r="H354">
        <v>24.5</v>
      </c>
      <c r="I354">
        <v>36000</v>
      </c>
      <c r="J354" s="1">
        <f t="shared" si="11"/>
        <v>43819</v>
      </c>
      <c r="K354">
        <f t="shared" si="10"/>
        <v>37.75</v>
      </c>
    </row>
    <row r="355" spans="1:11" x14ac:dyDescent="0.25">
      <c r="A355">
        <v>20</v>
      </c>
      <c r="B355" t="s">
        <v>20</v>
      </c>
      <c r="C355">
        <v>2019</v>
      </c>
      <c r="D355">
        <v>169</v>
      </c>
      <c r="E355" t="s">
        <v>9</v>
      </c>
      <c r="F355">
        <v>131.25</v>
      </c>
      <c r="G355" s="1">
        <f>DATE(C355, CHOOSE(MATCH(UPPER(B355), {"ENERO","FEBRERO","MARZO","ABRIL","MAYO","JUNIO","JULIO","AGOSTO","SEPTIEMBRE","OCTUBRE","NOVIEMBRE","DICIEMBRE"}, 0), 1,2,3,4,5,6,7,8,9,10,11,12), A355)</f>
        <v>43819</v>
      </c>
      <c r="H355">
        <v>37.75</v>
      </c>
      <c r="I355">
        <v>36000</v>
      </c>
      <c r="J355" s="1">
        <f t="shared" si="11"/>
        <v>43820</v>
      </c>
      <c r="K355">
        <f t="shared" si="10"/>
        <v>43.75</v>
      </c>
    </row>
    <row r="356" spans="1:11" x14ac:dyDescent="0.25">
      <c r="A356">
        <v>21</v>
      </c>
      <c r="B356" t="s">
        <v>20</v>
      </c>
      <c r="C356">
        <v>2019</v>
      </c>
      <c r="D356">
        <v>131.25</v>
      </c>
      <c r="E356" t="s">
        <v>9</v>
      </c>
      <c r="F356">
        <v>87.5</v>
      </c>
      <c r="G356" s="1">
        <f>DATE(C356, CHOOSE(MATCH(UPPER(B356), {"ENERO","FEBRERO","MARZO","ABRIL","MAYO","JUNIO","JULIO","AGOSTO","SEPTIEMBRE","OCTUBRE","NOVIEMBRE","DICIEMBRE"}, 0), 1,2,3,4,5,6,7,8,9,10,11,12), A356)</f>
        <v>43820</v>
      </c>
      <c r="H356">
        <v>43.75</v>
      </c>
      <c r="I356">
        <v>36000</v>
      </c>
      <c r="J356" s="1">
        <f t="shared" si="11"/>
        <v>43821</v>
      </c>
      <c r="K356">
        <f t="shared" si="10"/>
        <v>46</v>
      </c>
    </row>
    <row r="357" spans="1:11" x14ac:dyDescent="0.25">
      <c r="A357">
        <v>22</v>
      </c>
      <c r="B357" t="s">
        <v>20</v>
      </c>
      <c r="C357">
        <v>2019</v>
      </c>
      <c r="D357">
        <v>87.5</v>
      </c>
      <c r="E357" t="s">
        <v>9</v>
      </c>
      <c r="F357">
        <v>41.5</v>
      </c>
      <c r="G357" s="1">
        <f>DATE(C357, CHOOSE(MATCH(UPPER(B357), {"ENERO","FEBRERO","MARZO","ABRIL","MAYO","JUNIO","JULIO","AGOSTO","SEPTIEMBRE","OCTUBRE","NOVIEMBRE","DICIEMBRE"}, 0), 1,2,3,4,5,6,7,8,9,10,11,12), A357)</f>
        <v>43821</v>
      </c>
      <c r="H357">
        <v>46</v>
      </c>
      <c r="I357">
        <v>36000</v>
      </c>
      <c r="J357" s="1">
        <f t="shared" si="11"/>
        <v>43822</v>
      </c>
      <c r="K357">
        <f t="shared" si="10"/>
        <v>31.75</v>
      </c>
    </row>
    <row r="358" spans="1:11" x14ac:dyDescent="0.25">
      <c r="A358">
        <v>23</v>
      </c>
      <c r="B358" t="s">
        <v>20</v>
      </c>
      <c r="C358">
        <v>2019</v>
      </c>
      <c r="D358">
        <v>41.5</v>
      </c>
      <c r="E358">
        <v>100</v>
      </c>
      <c r="F358">
        <v>109.75</v>
      </c>
      <c r="G358" s="1">
        <f>DATE(C358, CHOOSE(MATCH(UPPER(B358), {"ENERO","FEBRERO","MARZO","ABRIL","MAYO","JUNIO","JULIO","AGOSTO","SEPTIEMBRE","OCTUBRE","NOVIEMBRE","DICIEMBRE"}, 0), 1,2,3,4,5,6,7,8,9,10,11,12), A358)</f>
        <v>43822</v>
      </c>
      <c r="H358">
        <v>31.75</v>
      </c>
      <c r="I358">
        <v>36000</v>
      </c>
      <c r="J358" s="1">
        <f t="shared" si="11"/>
        <v>43823</v>
      </c>
      <c r="K358">
        <f t="shared" si="10"/>
        <v>12</v>
      </c>
    </row>
    <row r="359" spans="1:11" x14ac:dyDescent="0.25">
      <c r="A359">
        <v>24</v>
      </c>
      <c r="B359" t="s">
        <v>20</v>
      </c>
      <c r="C359">
        <v>2019</v>
      </c>
      <c r="D359">
        <v>109.75</v>
      </c>
      <c r="E359" t="s">
        <v>9</v>
      </c>
      <c r="F359">
        <v>97.75</v>
      </c>
      <c r="G359" s="1">
        <f>DATE(C359, CHOOSE(MATCH(UPPER(B359), {"ENERO","FEBRERO","MARZO","ABRIL","MAYO","JUNIO","JULIO","AGOSTO","SEPTIEMBRE","OCTUBRE","NOVIEMBRE","DICIEMBRE"}, 0), 1,2,3,4,5,6,7,8,9,10,11,12), A359)</f>
        <v>43823</v>
      </c>
      <c r="H359">
        <v>12</v>
      </c>
      <c r="I359">
        <v>36000</v>
      </c>
      <c r="J359" s="1">
        <f t="shared" si="11"/>
        <v>43824</v>
      </c>
      <c r="K359">
        <f t="shared" si="10"/>
        <v>64.75</v>
      </c>
    </row>
    <row r="360" spans="1:11" x14ac:dyDescent="0.25">
      <c r="A360">
        <v>25</v>
      </c>
      <c r="B360" t="s">
        <v>20</v>
      </c>
      <c r="C360">
        <v>2019</v>
      </c>
      <c r="D360">
        <v>97.75</v>
      </c>
      <c r="E360" t="s">
        <v>9</v>
      </c>
      <c r="F360">
        <v>33</v>
      </c>
      <c r="G360" s="1">
        <f>DATE(C360, CHOOSE(MATCH(UPPER(B360), {"ENERO","FEBRERO","MARZO","ABRIL","MAYO","JUNIO","JULIO","AGOSTO","SEPTIEMBRE","OCTUBRE","NOVIEMBRE","DICIEMBRE"}, 0), 1,2,3,4,5,6,7,8,9,10,11,12), A360)</f>
        <v>43824</v>
      </c>
      <c r="H360">
        <v>64.75</v>
      </c>
      <c r="I360">
        <v>36000</v>
      </c>
      <c r="J360" s="1">
        <f t="shared" si="11"/>
        <v>43825</v>
      </c>
      <c r="K360">
        <f t="shared" si="10"/>
        <v>46.5</v>
      </c>
    </row>
    <row r="361" spans="1:11" x14ac:dyDescent="0.25">
      <c r="A361">
        <v>26</v>
      </c>
      <c r="B361" t="s">
        <v>20</v>
      </c>
      <c r="C361">
        <v>2019</v>
      </c>
      <c r="D361">
        <v>33</v>
      </c>
      <c r="E361">
        <v>120</v>
      </c>
      <c r="F361">
        <v>106.5</v>
      </c>
      <c r="G361" s="1">
        <f>DATE(C361, CHOOSE(MATCH(UPPER(B361), {"ENERO","FEBRERO","MARZO","ABRIL","MAYO","JUNIO","JULIO","AGOSTO","SEPTIEMBRE","OCTUBRE","NOVIEMBRE","DICIEMBRE"}, 0), 1,2,3,4,5,6,7,8,9,10,11,12), A361)</f>
        <v>43825</v>
      </c>
      <c r="H361">
        <v>46.5</v>
      </c>
      <c r="I361">
        <v>36000</v>
      </c>
      <c r="J361" s="1">
        <f t="shared" si="11"/>
        <v>43826</v>
      </c>
      <c r="K361">
        <f t="shared" si="10"/>
        <v>39</v>
      </c>
    </row>
    <row r="362" spans="1:11" x14ac:dyDescent="0.25">
      <c r="A362">
        <v>27</v>
      </c>
      <c r="B362" t="s">
        <v>20</v>
      </c>
      <c r="C362">
        <v>2019</v>
      </c>
      <c r="D362">
        <v>106.5</v>
      </c>
      <c r="E362" t="s">
        <v>9</v>
      </c>
      <c r="F362">
        <v>67.5</v>
      </c>
      <c r="G362" s="1">
        <f>DATE(C362, CHOOSE(MATCH(UPPER(B362), {"ENERO","FEBRERO","MARZO","ABRIL","MAYO","JUNIO","JULIO","AGOSTO","SEPTIEMBRE","OCTUBRE","NOVIEMBRE","DICIEMBRE"}, 0), 1,2,3,4,5,6,7,8,9,10,11,12), A362)</f>
        <v>43826</v>
      </c>
      <c r="H362">
        <v>39</v>
      </c>
      <c r="I362">
        <v>36000</v>
      </c>
      <c r="J362" s="1">
        <f t="shared" si="11"/>
        <v>43827</v>
      </c>
      <c r="K362">
        <f t="shared" si="10"/>
        <v>43.75</v>
      </c>
    </row>
    <row r="363" spans="1:11" x14ac:dyDescent="0.25">
      <c r="A363">
        <v>28</v>
      </c>
      <c r="B363" t="s">
        <v>20</v>
      </c>
      <c r="C363">
        <v>2019</v>
      </c>
      <c r="D363">
        <v>67.5</v>
      </c>
      <c r="E363" t="s">
        <v>9</v>
      </c>
      <c r="F363">
        <v>23.75</v>
      </c>
      <c r="G363" s="1">
        <f>DATE(C363, CHOOSE(MATCH(UPPER(B363), {"ENERO","FEBRERO","MARZO","ABRIL","MAYO","JUNIO","JULIO","AGOSTO","SEPTIEMBRE","OCTUBRE","NOVIEMBRE","DICIEMBRE"}, 0), 1,2,3,4,5,6,7,8,9,10,11,12), A363)</f>
        <v>43827</v>
      </c>
      <c r="H363">
        <v>43.75</v>
      </c>
      <c r="I363">
        <v>36000</v>
      </c>
      <c r="J363" s="1">
        <f t="shared" si="11"/>
        <v>43828</v>
      </c>
      <c r="K363">
        <f t="shared" si="10"/>
        <v>56.875</v>
      </c>
    </row>
    <row r="364" spans="1:11" x14ac:dyDescent="0.25">
      <c r="A364">
        <v>29</v>
      </c>
      <c r="B364" t="s">
        <v>20</v>
      </c>
      <c r="C364">
        <v>2019</v>
      </c>
      <c r="D364">
        <v>23.75</v>
      </c>
      <c r="E364">
        <v>150</v>
      </c>
      <c r="F364">
        <v>116.875</v>
      </c>
      <c r="G364" s="1">
        <f>DATE(C364, CHOOSE(MATCH(UPPER(B364), {"ENERO","FEBRERO","MARZO","ABRIL","MAYO","JUNIO","JULIO","AGOSTO","SEPTIEMBRE","OCTUBRE","NOVIEMBRE","DICIEMBRE"}, 0), 1,2,3,4,5,6,7,8,9,10,11,12), A364)</f>
        <v>43828</v>
      </c>
      <c r="H364">
        <v>56.875</v>
      </c>
      <c r="I364">
        <v>36000</v>
      </c>
      <c r="J364" s="1">
        <f t="shared" si="11"/>
        <v>43829</v>
      </c>
      <c r="K364">
        <f t="shared" si="10"/>
        <v>46.875</v>
      </c>
    </row>
    <row r="365" spans="1:11" x14ac:dyDescent="0.25">
      <c r="A365">
        <v>30</v>
      </c>
      <c r="B365" t="s">
        <v>20</v>
      </c>
      <c r="C365">
        <v>2019</v>
      </c>
      <c r="D365">
        <v>116.875</v>
      </c>
      <c r="E365" t="s">
        <v>9</v>
      </c>
      <c r="F365">
        <v>70</v>
      </c>
      <c r="G365" s="1">
        <f>DATE(C365, CHOOSE(MATCH(UPPER(B365), {"ENERO","FEBRERO","MARZO","ABRIL","MAYO","JUNIO","JULIO","AGOSTO","SEPTIEMBRE","OCTUBRE","NOVIEMBRE","DICIEMBRE"}, 0), 1,2,3,4,5,6,7,8,9,10,11,12), A365)</f>
        <v>43829</v>
      </c>
      <c r="H365">
        <v>46.875</v>
      </c>
      <c r="I365">
        <v>36000</v>
      </c>
      <c r="J365" s="1">
        <f t="shared" si="11"/>
        <v>43830</v>
      </c>
      <c r="K365">
        <f t="shared" si="10"/>
        <v>0</v>
      </c>
    </row>
    <row r="366" spans="1:11" x14ac:dyDescent="0.25">
      <c r="A366">
        <v>31</v>
      </c>
      <c r="B366" t="s">
        <v>20</v>
      </c>
      <c r="C366">
        <v>2019</v>
      </c>
      <c r="D366">
        <v>70</v>
      </c>
      <c r="E366" t="s">
        <v>9</v>
      </c>
      <c r="F366">
        <v>70</v>
      </c>
      <c r="G366" s="1">
        <f>DATE(C366, CHOOSE(MATCH(UPPER(B366), {"ENERO","FEBRERO","MARZO","ABRIL","MAYO","JUNIO","JULIO","AGOSTO","SEPTIEMBRE","OCTUBRE","NOVIEMBRE","DICIEMBRE"}, 0), 1,2,3,4,5,6,7,8,9,10,11,12), A366)</f>
        <v>43830</v>
      </c>
      <c r="H366">
        <v>0</v>
      </c>
      <c r="I366">
        <v>36000</v>
      </c>
      <c r="J366" s="1">
        <f t="shared" si="11"/>
        <v>43831</v>
      </c>
      <c r="K366">
        <f t="shared" si="10"/>
        <v>74</v>
      </c>
    </row>
    <row r="367" spans="1:11" x14ac:dyDescent="0.25">
      <c r="A367">
        <v>1</v>
      </c>
      <c r="B367" t="s">
        <v>8</v>
      </c>
      <c r="C367">
        <v>2020</v>
      </c>
      <c r="D367">
        <v>70</v>
      </c>
      <c r="E367">
        <v>20</v>
      </c>
      <c r="F367">
        <v>16</v>
      </c>
      <c r="G367" s="1">
        <f>DATE(C367, CHOOSE(MATCH(UPPER(B367), {"ENERO","FEBRERO","MARZO","ABRIL","MAYO","JUNIO","JULIO","AGOSTO","SEPTIEMBRE","OCTUBRE","NOVIEMBRE","DICIEMBRE"}, 0), 1,2,3,4,5,6,7,8,9,10,11,12), A367)</f>
        <v>43831</v>
      </c>
      <c r="H367">
        <v>74</v>
      </c>
      <c r="I367">
        <v>36000</v>
      </c>
      <c r="J367" s="1">
        <f t="shared" si="11"/>
        <v>43832</v>
      </c>
      <c r="K367">
        <f t="shared" si="10"/>
        <v>57</v>
      </c>
    </row>
    <row r="368" spans="1:11" x14ac:dyDescent="0.25">
      <c r="A368">
        <v>2</v>
      </c>
      <c r="B368" t="s">
        <v>8</v>
      </c>
      <c r="C368">
        <v>2020</v>
      </c>
      <c r="D368">
        <v>16</v>
      </c>
      <c r="E368">
        <v>120</v>
      </c>
      <c r="F368">
        <v>79</v>
      </c>
      <c r="G368" s="1">
        <f>DATE(C368, CHOOSE(MATCH(UPPER(B368), {"ENERO","FEBRERO","MARZO","ABRIL","MAYO","JUNIO","JULIO","AGOSTO","SEPTIEMBRE","OCTUBRE","NOVIEMBRE","DICIEMBRE"}, 0), 1,2,3,4,5,6,7,8,9,10,11,12), A368)</f>
        <v>43832</v>
      </c>
      <c r="H368">
        <v>57</v>
      </c>
      <c r="I368">
        <v>36000</v>
      </c>
      <c r="J368" s="1">
        <f t="shared" si="11"/>
        <v>43833</v>
      </c>
      <c r="K368">
        <f t="shared" si="10"/>
        <v>35.5</v>
      </c>
    </row>
    <row r="369" spans="1:11" x14ac:dyDescent="0.25">
      <c r="A369">
        <v>3</v>
      </c>
      <c r="B369" t="s">
        <v>8</v>
      </c>
      <c r="C369">
        <v>2020</v>
      </c>
      <c r="D369">
        <v>79</v>
      </c>
      <c r="E369" t="s">
        <v>9</v>
      </c>
      <c r="F369">
        <v>43.5</v>
      </c>
      <c r="G369" s="1">
        <f>DATE(C369, CHOOSE(MATCH(UPPER(B369), {"ENERO","FEBRERO","MARZO","ABRIL","MAYO","JUNIO","JULIO","AGOSTO","SEPTIEMBRE","OCTUBRE","NOVIEMBRE","DICIEMBRE"}, 0), 1,2,3,4,5,6,7,8,9,10,11,12), A369)</f>
        <v>43833</v>
      </c>
      <c r="H369">
        <v>35.5</v>
      </c>
      <c r="I369">
        <v>36000</v>
      </c>
      <c r="J369" s="1">
        <f t="shared" si="11"/>
        <v>43834</v>
      </c>
      <c r="K369">
        <f t="shared" si="10"/>
        <v>29.75</v>
      </c>
    </row>
    <row r="370" spans="1:11" x14ac:dyDescent="0.25">
      <c r="A370">
        <v>4</v>
      </c>
      <c r="B370" t="s">
        <v>8</v>
      </c>
      <c r="C370">
        <v>2020</v>
      </c>
      <c r="D370">
        <v>43.5</v>
      </c>
      <c r="E370">
        <v>40</v>
      </c>
      <c r="F370">
        <v>53.75</v>
      </c>
      <c r="G370" s="1">
        <f>DATE(C370, CHOOSE(MATCH(UPPER(B370), {"ENERO","FEBRERO","MARZO","ABRIL","MAYO","JUNIO","JULIO","AGOSTO","SEPTIEMBRE","OCTUBRE","NOVIEMBRE","DICIEMBRE"}, 0), 1,2,3,4,5,6,7,8,9,10,11,12), A370)</f>
        <v>43834</v>
      </c>
      <c r="H370">
        <v>29.75</v>
      </c>
      <c r="I370">
        <v>36000</v>
      </c>
      <c r="J370" s="1">
        <f t="shared" si="11"/>
        <v>43835</v>
      </c>
      <c r="K370">
        <f t="shared" si="10"/>
        <v>22</v>
      </c>
    </row>
    <row r="371" spans="1:11" x14ac:dyDescent="0.25">
      <c r="A371">
        <v>5</v>
      </c>
      <c r="B371" t="s">
        <v>8</v>
      </c>
      <c r="C371">
        <v>2020</v>
      </c>
      <c r="D371">
        <v>53.75</v>
      </c>
      <c r="E371" t="s">
        <v>9</v>
      </c>
      <c r="F371">
        <v>31.75</v>
      </c>
      <c r="G371" s="1">
        <f>DATE(C371, CHOOSE(MATCH(UPPER(B371), {"ENERO","FEBRERO","MARZO","ABRIL","MAYO","JUNIO","JULIO","AGOSTO","SEPTIEMBRE","OCTUBRE","NOVIEMBRE","DICIEMBRE"}, 0), 1,2,3,4,5,6,7,8,9,10,11,12), A371)</f>
        <v>43835</v>
      </c>
      <c r="H371">
        <v>22</v>
      </c>
      <c r="I371">
        <v>36000</v>
      </c>
      <c r="J371" s="1">
        <f t="shared" si="11"/>
        <v>43836</v>
      </c>
      <c r="K371">
        <f t="shared" si="10"/>
        <v>31.75</v>
      </c>
    </row>
    <row r="372" spans="1:11" x14ac:dyDescent="0.25">
      <c r="A372">
        <v>6</v>
      </c>
      <c r="B372" t="s">
        <v>8</v>
      </c>
      <c r="C372">
        <v>2020</v>
      </c>
      <c r="D372">
        <v>31.75</v>
      </c>
      <c r="E372">
        <v>120</v>
      </c>
      <c r="F372">
        <v>120</v>
      </c>
      <c r="G372" s="1">
        <f>DATE(C372, CHOOSE(MATCH(UPPER(B372), {"ENERO","FEBRERO","MARZO","ABRIL","MAYO","JUNIO","JULIO","AGOSTO","SEPTIEMBRE","OCTUBRE","NOVIEMBRE","DICIEMBRE"}, 0), 1,2,3,4,5,6,7,8,9,10,11,12), A372)</f>
        <v>43836</v>
      </c>
      <c r="H372">
        <v>31.75</v>
      </c>
      <c r="I372">
        <v>36000</v>
      </c>
      <c r="J372" s="1">
        <f t="shared" si="11"/>
        <v>43837</v>
      </c>
      <c r="K372">
        <f t="shared" si="10"/>
        <v>35</v>
      </c>
    </row>
    <row r="373" spans="1:11" x14ac:dyDescent="0.25">
      <c r="A373">
        <v>7</v>
      </c>
      <c r="B373" t="s">
        <v>8</v>
      </c>
      <c r="C373">
        <v>2020</v>
      </c>
      <c r="D373">
        <v>120</v>
      </c>
      <c r="E373" t="s">
        <v>9</v>
      </c>
      <c r="F373">
        <v>85</v>
      </c>
      <c r="G373" s="1">
        <f>DATE(C373, CHOOSE(MATCH(UPPER(B373), {"ENERO","FEBRERO","MARZO","ABRIL","MAYO","JUNIO","JULIO","AGOSTO","SEPTIEMBRE","OCTUBRE","NOVIEMBRE","DICIEMBRE"}, 0), 1,2,3,4,5,6,7,8,9,10,11,12), A373)</f>
        <v>43837</v>
      </c>
      <c r="H373">
        <v>35</v>
      </c>
      <c r="I373">
        <v>36000</v>
      </c>
      <c r="J373" s="1">
        <f t="shared" si="11"/>
        <v>43838</v>
      </c>
      <c r="K373">
        <f t="shared" si="10"/>
        <v>33</v>
      </c>
    </row>
    <row r="374" spans="1:11" x14ac:dyDescent="0.25">
      <c r="A374">
        <v>8</v>
      </c>
      <c r="B374" t="s">
        <v>8</v>
      </c>
      <c r="C374">
        <v>2020</v>
      </c>
      <c r="D374">
        <v>85</v>
      </c>
      <c r="E374" t="s">
        <v>9</v>
      </c>
      <c r="F374">
        <v>52</v>
      </c>
      <c r="G374" s="1">
        <f>DATE(C374, CHOOSE(MATCH(UPPER(B374), {"ENERO","FEBRERO","MARZO","ABRIL","MAYO","JUNIO","JULIO","AGOSTO","SEPTIEMBRE","OCTUBRE","NOVIEMBRE","DICIEMBRE"}, 0), 1,2,3,4,5,6,7,8,9,10,11,12), A374)</f>
        <v>43838</v>
      </c>
      <c r="H374">
        <v>33</v>
      </c>
      <c r="I374">
        <v>36000</v>
      </c>
      <c r="J374" s="1">
        <f t="shared" si="11"/>
        <v>43839</v>
      </c>
      <c r="K374">
        <f t="shared" si="10"/>
        <v>27</v>
      </c>
    </row>
    <row r="375" spans="1:11" x14ac:dyDescent="0.25">
      <c r="A375">
        <v>9</v>
      </c>
      <c r="B375" t="s">
        <v>8</v>
      </c>
      <c r="C375">
        <v>2020</v>
      </c>
      <c r="D375">
        <v>52</v>
      </c>
      <c r="E375">
        <v>120</v>
      </c>
      <c r="F375">
        <v>145</v>
      </c>
      <c r="G375" s="1">
        <f>DATE(C375, CHOOSE(MATCH(UPPER(B375), {"ENERO","FEBRERO","MARZO","ABRIL","MAYO","JUNIO","JULIO","AGOSTO","SEPTIEMBRE","OCTUBRE","NOVIEMBRE","DICIEMBRE"}, 0), 1,2,3,4,5,6,7,8,9,10,11,12), A375)</f>
        <v>43839</v>
      </c>
      <c r="H375">
        <v>27</v>
      </c>
      <c r="I375">
        <v>36000</v>
      </c>
      <c r="J375" s="1">
        <f t="shared" si="11"/>
        <v>43840</v>
      </c>
      <c r="K375">
        <f t="shared" si="10"/>
        <v>23</v>
      </c>
    </row>
    <row r="376" spans="1:11" x14ac:dyDescent="0.25">
      <c r="A376">
        <v>10</v>
      </c>
      <c r="B376" t="s">
        <v>8</v>
      </c>
      <c r="C376">
        <v>2020</v>
      </c>
      <c r="D376">
        <v>145</v>
      </c>
      <c r="E376" t="s">
        <v>9</v>
      </c>
      <c r="F376">
        <v>122</v>
      </c>
      <c r="G376" s="1">
        <f>DATE(C376, CHOOSE(MATCH(UPPER(B376), {"ENERO","FEBRERO","MARZO","ABRIL","MAYO","JUNIO","JULIO","AGOSTO","SEPTIEMBRE","OCTUBRE","NOVIEMBRE","DICIEMBRE"}, 0), 1,2,3,4,5,6,7,8,9,10,11,12), A376)</f>
        <v>43840</v>
      </c>
      <c r="H376">
        <v>23</v>
      </c>
      <c r="I376">
        <v>36000</v>
      </c>
      <c r="J376" s="1">
        <f t="shared" si="11"/>
        <v>43841</v>
      </c>
      <c r="K376">
        <f t="shared" si="10"/>
        <v>33</v>
      </c>
    </row>
    <row r="377" spans="1:11" x14ac:dyDescent="0.25">
      <c r="A377">
        <v>11</v>
      </c>
      <c r="B377" t="s">
        <v>8</v>
      </c>
      <c r="C377">
        <v>2020</v>
      </c>
      <c r="D377">
        <v>122</v>
      </c>
      <c r="E377" t="s">
        <v>9</v>
      </c>
      <c r="F377">
        <v>89</v>
      </c>
      <c r="G377" s="1">
        <f>DATE(C377, CHOOSE(MATCH(UPPER(B377), {"ENERO","FEBRERO","MARZO","ABRIL","MAYO","JUNIO","JULIO","AGOSTO","SEPTIEMBRE","OCTUBRE","NOVIEMBRE","DICIEMBRE"}, 0), 1,2,3,4,5,6,7,8,9,10,11,12), A377)</f>
        <v>43841</v>
      </c>
      <c r="H377">
        <v>33</v>
      </c>
      <c r="I377">
        <v>36000</v>
      </c>
      <c r="J377" s="1">
        <f t="shared" si="11"/>
        <v>43842</v>
      </c>
      <c r="K377">
        <f t="shared" si="10"/>
        <v>38.125</v>
      </c>
    </row>
    <row r="378" spans="1:11" x14ac:dyDescent="0.25">
      <c r="A378">
        <v>12</v>
      </c>
      <c r="B378" t="s">
        <v>8</v>
      </c>
      <c r="C378">
        <v>2020</v>
      </c>
      <c r="D378">
        <v>89</v>
      </c>
      <c r="E378" t="s">
        <v>9</v>
      </c>
      <c r="F378">
        <v>50.875</v>
      </c>
      <c r="G378" s="1">
        <f>DATE(C378, CHOOSE(MATCH(UPPER(B378), {"ENERO","FEBRERO","MARZO","ABRIL","MAYO","JUNIO","JULIO","AGOSTO","SEPTIEMBRE","OCTUBRE","NOVIEMBRE","DICIEMBRE"}, 0), 1,2,3,4,5,6,7,8,9,10,11,12), A378)</f>
        <v>43842</v>
      </c>
      <c r="H378">
        <v>38.125</v>
      </c>
      <c r="I378">
        <v>36000</v>
      </c>
      <c r="J378" s="1">
        <f t="shared" si="11"/>
        <v>43843</v>
      </c>
      <c r="K378">
        <f t="shared" si="10"/>
        <v>12.375</v>
      </c>
    </row>
    <row r="379" spans="1:11" x14ac:dyDescent="0.25">
      <c r="A379">
        <v>13</v>
      </c>
      <c r="B379" t="s">
        <v>8</v>
      </c>
      <c r="C379">
        <v>2020</v>
      </c>
      <c r="D379">
        <v>50.875</v>
      </c>
      <c r="E379">
        <v>100</v>
      </c>
      <c r="F379">
        <v>138.5</v>
      </c>
      <c r="G379" s="1">
        <f>DATE(C379, CHOOSE(MATCH(UPPER(B379), {"ENERO","FEBRERO","MARZO","ABRIL","MAYO","JUNIO","JULIO","AGOSTO","SEPTIEMBRE","OCTUBRE","NOVIEMBRE","DICIEMBRE"}, 0), 1,2,3,4,5,6,7,8,9,10,11,12), A379)</f>
        <v>43843</v>
      </c>
      <c r="H379">
        <v>12.375</v>
      </c>
      <c r="I379">
        <v>36000</v>
      </c>
      <c r="J379" s="1">
        <f t="shared" si="11"/>
        <v>43844</v>
      </c>
      <c r="K379">
        <f t="shared" si="10"/>
        <v>34</v>
      </c>
    </row>
    <row r="380" spans="1:11" x14ac:dyDescent="0.25">
      <c r="A380">
        <v>14</v>
      </c>
      <c r="B380" t="s">
        <v>8</v>
      </c>
      <c r="C380">
        <v>2020</v>
      </c>
      <c r="D380">
        <v>138.5</v>
      </c>
      <c r="E380" t="s">
        <v>9</v>
      </c>
      <c r="F380">
        <v>104.5</v>
      </c>
      <c r="G380" s="1">
        <f>DATE(C380, CHOOSE(MATCH(UPPER(B380), {"ENERO","FEBRERO","MARZO","ABRIL","MAYO","JUNIO","JULIO","AGOSTO","SEPTIEMBRE","OCTUBRE","NOVIEMBRE","DICIEMBRE"}, 0), 1,2,3,4,5,6,7,8,9,10,11,12), A380)</f>
        <v>43844</v>
      </c>
      <c r="H380">
        <v>34</v>
      </c>
      <c r="I380">
        <v>36000</v>
      </c>
      <c r="J380" s="1">
        <f t="shared" si="11"/>
        <v>43845</v>
      </c>
      <c r="K380">
        <f t="shared" si="10"/>
        <v>31</v>
      </c>
    </row>
    <row r="381" spans="1:11" x14ac:dyDescent="0.25">
      <c r="A381">
        <v>15</v>
      </c>
      <c r="B381" t="s">
        <v>8</v>
      </c>
      <c r="C381">
        <v>2020</v>
      </c>
      <c r="D381">
        <v>104.5</v>
      </c>
      <c r="E381" t="s">
        <v>9</v>
      </c>
      <c r="F381">
        <v>73.5</v>
      </c>
      <c r="G381" s="1">
        <f>DATE(C381, CHOOSE(MATCH(UPPER(B381), {"ENERO","FEBRERO","MARZO","ABRIL","MAYO","JUNIO","JULIO","AGOSTO","SEPTIEMBRE","OCTUBRE","NOVIEMBRE","DICIEMBRE"}, 0), 1,2,3,4,5,6,7,8,9,10,11,12), A381)</f>
        <v>43845</v>
      </c>
      <c r="H381">
        <v>31</v>
      </c>
      <c r="I381">
        <v>36000</v>
      </c>
      <c r="J381" s="1">
        <f t="shared" si="11"/>
        <v>43846</v>
      </c>
      <c r="K381">
        <f t="shared" si="10"/>
        <v>20.5</v>
      </c>
    </row>
    <row r="382" spans="1:11" x14ac:dyDescent="0.25">
      <c r="A382">
        <v>16</v>
      </c>
      <c r="B382" t="s">
        <v>8</v>
      </c>
      <c r="C382">
        <v>2020</v>
      </c>
      <c r="D382">
        <v>73.5</v>
      </c>
      <c r="E382" t="s">
        <v>9</v>
      </c>
      <c r="F382">
        <v>53</v>
      </c>
      <c r="G382" s="1">
        <f>DATE(C382, CHOOSE(MATCH(UPPER(B382), {"ENERO","FEBRERO","MARZO","ABRIL","MAYO","JUNIO","JULIO","AGOSTO","SEPTIEMBRE","OCTUBRE","NOVIEMBRE","DICIEMBRE"}, 0), 1,2,3,4,5,6,7,8,9,10,11,12), A382)</f>
        <v>43846</v>
      </c>
      <c r="H382">
        <v>20.5</v>
      </c>
      <c r="I382">
        <v>36000</v>
      </c>
      <c r="J382" s="1">
        <f t="shared" si="11"/>
        <v>43847</v>
      </c>
      <c r="K382">
        <f t="shared" si="10"/>
        <v>20</v>
      </c>
    </row>
    <row r="383" spans="1:11" x14ac:dyDescent="0.25">
      <c r="A383">
        <v>17</v>
      </c>
      <c r="B383" t="s">
        <v>8</v>
      </c>
      <c r="C383">
        <v>2020</v>
      </c>
      <c r="D383">
        <v>53</v>
      </c>
      <c r="E383" t="s">
        <v>9</v>
      </c>
      <c r="F383">
        <v>33</v>
      </c>
      <c r="G383" s="1">
        <f>DATE(C383, CHOOSE(MATCH(UPPER(B383), {"ENERO","FEBRERO","MARZO","ABRIL","MAYO","JUNIO","JULIO","AGOSTO","SEPTIEMBRE","OCTUBRE","NOVIEMBRE","DICIEMBRE"}, 0), 1,2,3,4,5,6,7,8,9,10,11,12), A383)</f>
        <v>43847</v>
      </c>
      <c r="H383">
        <v>20</v>
      </c>
      <c r="I383">
        <v>36000</v>
      </c>
      <c r="J383" s="1">
        <f t="shared" si="11"/>
        <v>43848</v>
      </c>
      <c r="K383">
        <f t="shared" si="10"/>
        <v>42</v>
      </c>
    </row>
    <row r="384" spans="1:11" x14ac:dyDescent="0.25">
      <c r="A384">
        <v>18</v>
      </c>
      <c r="B384" t="s">
        <v>8</v>
      </c>
      <c r="C384">
        <v>2020</v>
      </c>
      <c r="D384">
        <v>33</v>
      </c>
      <c r="E384">
        <v>120</v>
      </c>
      <c r="F384">
        <v>111</v>
      </c>
      <c r="G384" s="1">
        <f>DATE(C384, CHOOSE(MATCH(UPPER(B384), {"ENERO","FEBRERO","MARZO","ABRIL","MAYO","JUNIO","JULIO","AGOSTO","SEPTIEMBRE","OCTUBRE","NOVIEMBRE","DICIEMBRE"}, 0), 1,2,3,4,5,6,7,8,9,10,11,12), A384)</f>
        <v>43848</v>
      </c>
      <c r="H384">
        <v>42</v>
      </c>
      <c r="I384">
        <v>36000</v>
      </c>
      <c r="J384" s="1">
        <f t="shared" si="11"/>
        <v>43849</v>
      </c>
      <c r="K384">
        <f t="shared" si="10"/>
        <v>39</v>
      </c>
    </row>
    <row r="385" spans="1:11" x14ac:dyDescent="0.25">
      <c r="A385">
        <v>19</v>
      </c>
      <c r="B385" t="s">
        <v>8</v>
      </c>
      <c r="C385">
        <v>2020</v>
      </c>
      <c r="D385">
        <v>111</v>
      </c>
      <c r="E385" t="s">
        <v>9</v>
      </c>
      <c r="F385">
        <v>72</v>
      </c>
      <c r="G385" s="1">
        <f>DATE(C385, CHOOSE(MATCH(UPPER(B385), {"ENERO","FEBRERO","MARZO","ABRIL","MAYO","JUNIO","JULIO","AGOSTO","SEPTIEMBRE","OCTUBRE","NOVIEMBRE","DICIEMBRE"}, 0), 1,2,3,4,5,6,7,8,9,10,11,12), A385)</f>
        <v>43849</v>
      </c>
      <c r="H385">
        <v>39</v>
      </c>
      <c r="I385">
        <v>36000</v>
      </c>
      <c r="J385" s="1">
        <f t="shared" si="11"/>
        <v>43850</v>
      </c>
      <c r="K385">
        <f t="shared" si="10"/>
        <v>16.5</v>
      </c>
    </row>
    <row r="386" spans="1:11" x14ac:dyDescent="0.25">
      <c r="A386">
        <v>20</v>
      </c>
      <c r="B386" t="s">
        <v>8</v>
      </c>
      <c r="C386">
        <v>2020</v>
      </c>
      <c r="D386">
        <v>72</v>
      </c>
      <c r="E386">
        <v>100</v>
      </c>
      <c r="F386">
        <v>155.5</v>
      </c>
      <c r="G386" s="1">
        <f>DATE(C386, CHOOSE(MATCH(UPPER(B386), {"ENERO","FEBRERO","MARZO","ABRIL","MAYO","JUNIO","JULIO","AGOSTO","SEPTIEMBRE","OCTUBRE","NOVIEMBRE","DICIEMBRE"}, 0), 1,2,3,4,5,6,7,8,9,10,11,12), A386)</f>
        <v>43850</v>
      </c>
      <c r="H386">
        <v>16.5</v>
      </c>
      <c r="I386">
        <v>36000</v>
      </c>
      <c r="J386" s="1">
        <f t="shared" si="11"/>
        <v>43851</v>
      </c>
      <c r="K386">
        <f t="shared" ref="K386:K449" si="12">VLOOKUP(J386, G:H, 2, FALSE)</f>
        <v>21.5</v>
      </c>
    </row>
    <row r="387" spans="1:11" x14ac:dyDescent="0.25">
      <c r="A387">
        <v>21</v>
      </c>
      <c r="B387" t="s">
        <v>8</v>
      </c>
      <c r="C387">
        <v>2020</v>
      </c>
      <c r="D387">
        <v>155.5</v>
      </c>
      <c r="E387" t="s">
        <v>9</v>
      </c>
      <c r="F387">
        <v>134</v>
      </c>
      <c r="G387" s="1">
        <f>DATE(C387, CHOOSE(MATCH(UPPER(B387), {"ENERO","FEBRERO","MARZO","ABRIL","MAYO","JUNIO","JULIO","AGOSTO","SEPTIEMBRE","OCTUBRE","NOVIEMBRE","DICIEMBRE"}, 0), 1,2,3,4,5,6,7,8,9,10,11,12), A387)</f>
        <v>43851</v>
      </c>
      <c r="H387">
        <v>21.5</v>
      </c>
      <c r="I387">
        <v>36000</v>
      </c>
      <c r="J387" s="1">
        <f t="shared" si="11"/>
        <v>43852</v>
      </c>
      <c r="K387">
        <f t="shared" si="12"/>
        <v>22.5</v>
      </c>
    </row>
    <row r="388" spans="1:11" x14ac:dyDescent="0.25">
      <c r="A388">
        <v>22</v>
      </c>
      <c r="B388" t="s">
        <v>8</v>
      </c>
      <c r="C388">
        <v>2020</v>
      </c>
      <c r="D388">
        <v>134</v>
      </c>
      <c r="E388" t="s">
        <v>9</v>
      </c>
      <c r="F388">
        <v>111.5</v>
      </c>
      <c r="G388" s="1">
        <f>DATE(C388, CHOOSE(MATCH(UPPER(B388), {"ENERO","FEBRERO","MARZO","ABRIL","MAYO","JUNIO","JULIO","AGOSTO","SEPTIEMBRE","OCTUBRE","NOVIEMBRE","DICIEMBRE"}, 0), 1,2,3,4,5,6,7,8,9,10,11,12), A388)</f>
        <v>43852</v>
      </c>
      <c r="H388">
        <v>22.5</v>
      </c>
      <c r="I388">
        <v>36000</v>
      </c>
      <c r="J388" s="1">
        <f t="shared" ref="J388:J451" si="13">DATE(2019,1,1) + ROW()-1</f>
        <v>43853</v>
      </c>
      <c r="K388">
        <f t="shared" si="12"/>
        <v>17</v>
      </c>
    </row>
    <row r="389" spans="1:11" x14ac:dyDescent="0.25">
      <c r="A389">
        <v>23</v>
      </c>
      <c r="B389" t="s">
        <v>8</v>
      </c>
      <c r="C389">
        <v>2020</v>
      </c>
      <c r="D389">
        <v>111.5</v>
      </c>
      <c r="E389" t="s">
        <v>9</v>
      </c>
      <c r="F389">
        <v>94.5</v>
      </c>
      <c r="G389" s="1">
        <f>DATE(C389, CHOOSE(MATCH(UPPER(B389), {"ENERO","FEBRERO","MARZO","ABRIL","MAYO","JUNIO","JULIO","AGOSTO","SEPTIEMBRE","OCTUBRE","NOVIEMBRE","DICIEMBRE"}, 0), 1,2,3,4,5,6,7,8,9,10,11,12), A389)</f>
        <v>43853</v>
      </c>
      <c r="H389">
        <v>17</v>
      </c>
      <c r="I389">
        <v>36000</v>
      </c>
      <c r="J389" s="1">
        <f t="shared" si="13"/>
        <v>43854</v>
      </c>
      <c r="K389">
        <f t="shared" si="12"/>
        <v>24</v>
      </c>
    </row>
    <row r="390" spans="1:11" x14ac:dyDescent="0.25">
      <c r="A390">
        <v>24</v>
      </c>
      <c r="B390" t="s">
        <v>8</v>
      </c>
      <c r="C390">
        <v>2020</v>
      </c>
      <c r="D390">
        <v>94.5</v>
      </c>
      <c r="E390" t="s">
        <v>9</v>
      </c>
      <c r="F390">
        <v>70.5</v>
      </c>
      <c r="G390" s="1">
        <f>DATE(C390, CHOOSE(MATCH(UPPER(B390), {"ENERO","FEBRERO","MARZO","ABRIL","MAYO","JUNIO","JULIO","AGOSTO","SEPTIEMBRE","OCTUBRE","NOVIEMBRE","DICIEMBRE"}, 0), 1,2,3,4,5,6,7,8,9,10,11,12), A390)</f>
        <v>43854</v>
      </c>
      <c r="H390">
        <v>24</v>
      </c>
      <c r="I390">
        <v>36000</v>
      </c>
      <c r="J390" s="1">
        <f t="shared" si="13"/>
        <v>43855</v>
      </c>
      <c r="K390">
        <f t="shared" si="12"/>
        <v>27.5</v>
      </c>
    </row>
    <row r="391" spans="1:11" x14ac:dyDescent="0.25">
      <c r="A391">
        <v>25</v>
      </c>
      <c r="B391" t="s">
        <v>8</v>
      </c>
      <c r="C391">
        <v>2020</v>
      </c>
      <c r="D391">
        <v>70.5</v>
      </c>
      <c r="E391">
        <v>30</v>
      </c>
      <c r="F391">
        <v>73</v>
      </c>
      <c r="G391" s="1">
        <f>DATE(C391, CHOOSE(MATCH(UPPER(B391), {"ENERO","FEBRERO","MARZO","ABRIL","MAYO","JUNIO","JULIO","AGOSTO","SEPTIEMBRE","OCTUBRE","NOVIEMBRE","DICIEMBRE"}, 0), 1,2,3,4,5,6,7,8,9,10,11,12), A391)</f>
        <v>43855</v>
      </c>
      <c r="H391">
        <v>27.5</v>
      </c>
      <c r="I391">
        <v>36000</v>
      </c>
      <c r="J391" s="1">
        <f t="shared" si="13"/>
        <v>43856</v>
      </c>
      <c r="K391">
        <f t="shared" si="12"/>
        <v>36</v>
      </c>
    </row>
    <row r="392" spans="1:11" x14ac:dyDescent="0.25">
      <c r="A392">
        <v>26</v>
      </c>
      <c r="B392" t="s">
        <v>8</v>
      </c>
      <c r="C392">
        <v>2020</v>
      </c>
      <c r="D392">
        <v>73</v>
      </c>
      <c r="E392" t="s">
        <v>9</v>
      </c>
      <c r="F392">
        <v>37</v>
      </c>
      <c r="G392" s="1">
        <f>DATE(C392, CHOOSE(MATCH(UPPER(B392), {"ENERO","FEBRERO","MARZO","ABRIL","MAYO","JUNIO","JULIO","AGOSTO","SEPTIEMBRE","OCTUBRE","NOVIEMBRE","DICIEMBRE"}, 0), 1,2,3,4,5,6,7,8,9,10,11,12), A392)</f>
        <v>43856</v>
      </c>
      <c r="H392">
        <v>36</v>
      </c>
      <c r="I392">
        <v>36000</v>
      </c>
      <c r="J392" s="1">
        <f t="shared" si="13"/>
        <v>43857</v>
      </c>
      <c r="K392">
        <f t="shared" si="12"/>
        <v>13.25</v>
      </c>
    </row>
    <row r="393" spans="1:11" x14ac:dyDescent="0.25">
      <c r="A393">
        <v>27</v>
      </c>
      <c r="B393" t="s">
        <v>8</v>
      </c>
      <c r="C393">
        <v>2020</v>
      </c>
      <c r="D393">
        <v>37</v>
      </c>
      <c r="E393" t="s">
        <v>9</v>
      </c>
      <c r="F393">
        <v>23.75</v>
      </c>
      <c r="G393" s="1">
        <f>DATE(C393, CHOOSE(MATCH(UPPER(B393), {"ENERO","FEBRERO","MARZO","ABRIL","MAYO","JUNIO","JULIO","AGOSTO","SEPTIEMBRE","OCTUBRE","NOVIEMBRE","DICIEMBRE"}, 0), 1,2,3,4,5,6,7,8,9,10,11,12), A393)</f>
        <v>43857</v>
      </c>
      <c r="H393">
        <v>13.25</v>
      </c>
      <c r="I393">
        <v>36000</v>
      </c>
      <c r="J393" s="1">
        <f t="shared" si="13"/>
        <v>43858</v>
      </c>
      <c r="K393">
        <f t="shared" si="12"/>
        <v>19.75</v>
      </c>
    </row>
    <row r="394" spans="1:11" x14ac:dyDescent="0.25">
      <c r="A394">
        <v>28</v>
      </c>
      <c r="B394" t="s">
        <v>8</v>
      </c>
      <c r="C394">
        <v>2020</v>
      </c>
      <c r="D394">
        <v>23.75</v>
      </c>
      <c r="E394">
        <v>20</v>
      </c>
      <c r="F394">
        <v>24</v>
      </c>
      <c r="G394" s="1">
        <f>DATE(C394, CHOOSE(MATCH(UPPER(B394), {"ENERO","FEBRERO","MARZO","ABRIL","MAYO","JUNIO","JULIO","AGOSTO","SEPTIEMBRE","OCTUBRE","NOVIEMBRE","DICIEMBRE"}, 0), 1,2,3,4,5,6,7,8,9,10,11,12), A394)</f>
        <v>43858</v>
      </c>
      <c r="H394">
        <v>19.75</v>
      </c>
      <c r="I394">
        <v>36000</v>
      </c>
      <c r="J394" s="1">
        <f t="shared" si="13"/>
        <v>43859</v>
      </c>
      <c r="K394">
        <f t="shared" si="12"/>
        <v>18.5</v>
      </c>
    </row>
    <row r="395" spans="1:11" x14ac:dyDescent="0.25">
      <c r="A395">
        <v>29</v>
      </c>
      <c r="B395" t="s">
        <v>8</v>
      </c>
      <c r="C395">
        <v>2020</v>
      </c>
      <c r="D395">
        <v>24</v>
      </c>
      <c r="E395">
        <v>100</v>
      </c>
      <c r="F395">
        <v>105.5</v>
      </c>
      <c r="G395" s="1">
        <f>DATE(C395, CHOOSE(MATCH(UPPER(B395), {"ENERO","FEBRERO","MARZO","ABRIL","MAYO","JUNIO","JULIO","AGOSTO","SEPTIEMBRE","OCTUBRE","NOVIEMBRE","DICIEMBRE"}, 0), 1,2,3,4,5,6,7,8,9,10,11,12), A395)</f>
        <v>43859</v>
      </c>
      <c r="H395">
        <v>18.5</v>
      </c>
      <c r="I395">
        <v>36000</v>
      </c>
      <c r="J395" s="1">
        <f t="shared" si="13"/>
        <v>43860</v>
      </c>
      <c r="K395">
        <f t="shared" si="12"/>
        <v>15.5</v>
      </c>
    </row>
    <row r="396" spans="1:11" x14ac:dyDescent="0.25">
      <c r="A396">
        <v>30</v>
      </c>
      <c r="B396" t="s">
        <v>8</v>
      </c>
      <c r="C396">
        <v>2020</v>
      </c>
      <c r="D396">
        <v>105.5</v>
      </c>
      <c r="E396" t="s">
        <v>9</v>
      </c>
      <c r="F396">
        <v>90</v>
      </c>
      <c r="G396" s="1">
        <f>DATE(C396, CHOOSE(MATCH(UPPER(B396), {"ENERO","FEBRERO","MARZO","ABRIL","MAYO","JUNIO","JULIO","AGOSTO","SEPTIEMBRE","OCTUBRE","NOVIEMBRE","DICIEMBRE"}, 0), 1,2,3,4,5,6,7,8,9,10,11,12), A396)</f>
        <v>43860</v>
      </c>
      <c r="H396">
        <v>15.5</v>
      </c>
      <c r="I396">
        <v>36000</v>
      </c>
      <c r="J396" s="1">
        <f t="shared" si="13"/>
        <v>43861</v>
      </c>
      <c r="K396">
        <f t="shared" si="12"/>
        <v>24</v>
      </c>
    </row>
    <row r="397" spans="1:11" x14ac:dyDescent="0.25">
      <c r="A397">
        <v>31</v>
      </c>
      <c r="B397" t="s">
        <v>8</v>
      </c>
      <c r="C397">
        <v>2020</v>
      </c>
      <c r="D397">
        <v>90</v>
      </c>
      <c r="E397" t="s">
        <v>9</v>
      </c>
      <c r="F397">
        <v>66</v>
      </c>
      <c r="G397" s="1">
        <f>DATE(C397, CHOOSE(MATCH(UPPER(B397), {"ENERO","FEBRERO","MARZO","ABRIL","MAYO","JUNIO","JULIO","AGOSTO","SEPTIEMBRE","OCTUBRE","NOVIEMBRE","DICIEMBRE"}, 0), 1,2,3,4,5,6,7,8,9,10,11,12), A397)</f>
        <v>43861</v>
      </c>
      <c r="H397">
        <v>24</v>
      </c>
      <c r="I397">
        <v>36000</v>
      </c>
      <c r="J397" s="1">
        <f t="shared" si="13"/>
        <v>43862</v>
      </c>
      <c r="K397">
        <f t="shared" si="12"/>
        <v>32</v>
      </c>
    </row>
    <row r="398" spans="1:11" x14ac:dyDescent="0.25">
      <c r="A398">
        <v>1</v>
      </c>
      <c r="B398" t="s">
        <v>11</v>
      </c>
      <c r="C398">
        <v>2020</v>
      </c>
      <c r="D398">
        <v>66</v>
      </c>
      <c r="E398" t="s">
        <v>9</v>
      </c>
      <c r="F398">
        <v>34</v>
      </c>
      <c r="G398" s="1">
        <f>DATE(C398, CHOOSE(MATCH(UPPER(B398), {"ENERO","FEBRERO","MARZO","ABRIL","MAYO","JUNIO","JULIO","AGOSTO","SEPTIEMBRE","OCTUBRE","NOVIEMBRE","DICIEMBRE"}, 0), 1,2,3,4,5,6,7,8,9,10,11,12), A398)</f>
        <v>43862</v>
      </c>
      <c r="H398">
        <v>32</v>
      </c>
      <c r="I398">
        <v>36000</v>
      </c>
      <c r="J398" s="1">
        <f t="shared" si="13"/>
        <v>43863</v>
      </c>
      <c r="K398">
        <f t="shared" si="12"/>
        <v>33.5</v>
      </c>
    </row>
    <row r="399" spans="1:11" x14ac:dyDescent="0.25">
      <c r="A399">
        <v>2</v>
      </c>
      <c r="B399" t="s">
        <v>11</v>
      </c>
      <c r="C399">
        <v>2020</v>
      </c>
      <c r="D399">
        <v>34</v>
      </c>
      <c r="E399">
        <v>40</v>
      </c>
      <c r="F399">
        <v>40.5</v>
      </c>
      <c r="G399" s="1">
        <f>DATE(C399, CHOOSE(MATCH(UPPER(B399), {"ENERO","FEBRERO","MARZO","ABRIL","MAYO","JUNIO","JULIO","AGOSTO","SEPTIEMBRE","OCTUBRE","NOVIEMBRE","DICIEMBRE"}, 0), 1,2,3,4,5,6,7,8,9,10,11,12), A399)</f>
        <v>43863</v>
      </c>
      <c r="H399">
        <v>33.5</v>
      </c>
      <c r="I399">
        <v>36000</v>
      </c>
      <c r="J399" s="1">
        <f t="shared" si="13"/>
        <v>43864</v>
      </c>
      <c r="K399">
        <f t="shared" si="12"/>
        <v>11</v>
      </c>
    </row>
    <row r="400" spans="1:11" x14ac:dyDescent="0.25">
      <c r="A400">
        <v>3</v>
      </c>
      <c r="B400" t="s">
        <v>11</v>
      </c>
      <c r="C400">
        <v>2020</v>
      </c>
      <c r="D400">
        <v>40.5</v>
      </c>
      <c r="E400">
        <v>100</v>
      </c>
      <c r="F400">
        <v>129.5</v>
      </c>
      <c r="G400" s="1">
        <f>DATE(C400, CHOOSE(MATCH(UPPER(B400), {"ENERO","FEBRERO","MARZO","ABRIL","MAYO","JUNIO","JULIO","AGOSTO","SEPTIEMBRE","OCTUBRE","NOVIEMBRE","DICIEMBRE"}, 0), 1,2,3,4,5,6,7,8,9,10,11,12), A400)</f>
        <v>43864</v>
      </c>
      <c r="H400">
        <v>11</v>
      </c>
      <c r="I400">
        <v>36000</v>
      </c>
      <c r="J400" s="1">
        <f t="shared" si="13"/>
        <v>43865</v>
      </c>
      <c r="K400">
        <f t="shared" si="12"/>
        <v>10.875</v>
      </c>
    </row>
    <row r="401" spans="1:11" x14ac:dyDescent="0.25">
      <c r="A401">
        <v>4</v>
      </c>
      <c r="B401" t="s">
        <v>11</v>
      </c>
      <c r="C401">
        <v>2020</v>
      </c>
      <c r="D401">
        <v>129.5</v>
      </c>
      <c r="E401" t="s">
        <v>9</v>
      </c>
      <c r="F401">
        <v>118.625</v>
      </c>
      <c r="G401" s="1">
        <f>DATE(C401, CHOOSE(MATCH(UPPER(B401), {"ENERO","FEBRERO","MARZO","ABRIL","MAYO","JUNIO","JULIO","AGOSTO","SEPTIEMBRE","OCTUBRE","NOVIEMBRE","DICIEMBRE"}, 0), 1,2,3,4,5,6,7,8,9,10,11,12), A401)</f>
        <v>43865</v>
      </c>
      <c r="H401">
        <v>10.875</v>
      </c>
      <c r="I401">
        <v>36000</v>
      </c>
      <c r="J401" s="1">
        <f t="shared" si="13"/>
        <v>43866</v>
      </c>
      <c r="K401">
        <f t="shared" si="12"/>
        <v>18.75</v>
      </c>
    </row>
    <row r="402" spans="1:11" x14ac:dyDescent="0.25">
      <c r="A402">
        <v>5</v>
      </c>
      <c r="B402" t="s">
        <v>11</v>
      </c>
      <c r="C402">
        <v>2020</v>
      </c>
      <c r="D402">
        <v>118.625</v>
      </c>
      <c r="E402" t="s">
        <v>9</v>
      </c>
      <c r="F402">
        <v>99.875</v>
      </c>
      <c r="G402" s="1">
        <f>DATE(C402, CHOOSE(MATCH(UPPER(B402), {"ENERO","FEBRERO","MARZO","ABRIL","MAYO","JUNIO","JULIO","AGOSTO","SEPTIEMBRE","OCTUBRE","NOVIEMBRE","DICIEMBRE"}, 0), 1,2,3,4,5,6,7,8,9,10,11,12), A402)</f>
        <v>43866</v>
      </c>
      <c r="H402">
        <v>18.75</v>
      </c>
      <c r="I402">
        <v>36000</v>
      </c>
      <c r="J402" s="1">
        <f t="shared" si="13"/>
        <v>43867</v>
      </c>
      <c r="K402">
        <f t="shared" si="12"/>
        <v>10.625</v>
      </c>
    </row>
    <row r="403" spans="1:11" x14ac:dyDescent="0.25">
      <c r="A403">
        <v>6</v>
      </c>
      <c r="B403" t="s">
        <v>11</v>
      </c>
      <c r="C403">
        <v>2020</v>
      </c>
      <c r="D403">
        <v>99.875</v>
      </c>
      <c r="E403" t="s">
        <v>9</v>
      </c>
      <c r="F403">
        <v>89.25</v>
      </c>
      <c r="G403" s="1">
        <f>DATE(C403, CHOOSE(MATCH(UPPER(B403), {"ENERO","FEBRERO","MARZO","ABRIL","MAYO","JUNIO","JULIO","AGOSTO","SEPTIEMBRE","OCTUBRE","NOVIEMBRE","DICIEMBRE"}, 0), 1,2,3,4,5,6,7,8,9,10,11,12), A403)</f>
        <v>43867</v>
      </c>
      <c r="H403">
        <v>10.625</v>
      </c>
      <c r="I403">
        <v>36000</v>
      </c>
      <c r="J403" s="1">
        <f t="shared" si="13"/>
        <v>43868</v>
      </c>
      <c r="K403">
        <f t="shared" si="12"/>
        <v>30.25</v>
      </c>
    </row>
    <row r="404" spans="1:11" x14ac:dyDescent="0.25">
      <c r="A404">
        <v>7</v>
      </c>
      <c r="B404" t="s">
        <v>11</v>
      </c>
      <c r="C404">
        <v>2020</v>
      </c>
      <c r="D404">
        <v>89.25</v>
      </c>
      <c r="E404" t="s">
        <v>9</v>
      </c>
      <c r="F404">
        <v>59</v>
      </c>
      <c r="G404" s="1">
        <f>DATE(C404, CHOOSE(MATCH(UPPER(B404), {"ENERO","FEBRERO","MARZO","ABRIL","MAYO","JUNIO","JULIO","AGOSTO","SEPTIEMBRE","OCTUBRE","NOVIEMBRE","DICIEMBRE"}, 0), 1,2,3,4,5,6,7,8,9,10,11,12), A404)</f>
        <v>43868</v>
      </c>
      <c r="H404">
        <v>30.25</v>
      </c>
      <c r="I404">
        <v>36000</v>
      </c>
      <c r="J404" s="1">
        <f t="shared" si="13"/>
        <v>43869</v>
      </c>
      <c r="K404">
        <f t="shared" si="12"/>
        <v>22.5</v>
      </c>
    </row>
    <row r="405" spans="1:11" x14ac:dyDescent="0.25">
      <c r="A405">
        <v>8</v>
      </c>
      <c r="B405" t="s">
        <v>11</v>
      </c>
      <c r="C405">
        <v>2020</v>
      </c>
      <c r="D405">
        <v>59</v>
      </c>
      <c r="E405" t="s">
        <v>9</v>
      </c>
      <c r="F405">
        <v>36.5</v>
      </c>
      <c r="G405" s="1">
        <f>DATE(C405, CHOOSE(MATCH(UPPER(B405), {"ENERO","FEBRERO","MARZO","ABRIL","MAYO","JUNIO","JULIO","AGOSTO","SEPTIEMBRE","OCTUBRE","NOVIEMBRE","DICIEMBRE"}, 0), 1,2,3,4,5,6,7,8,9,10,11,12), A405)</f>
        <v>43869</v>
      </c>
      <c r="H405">
        <v>22.5</v>
      </c>
      <c r="I405">
        <v>36000</v>
      </c>
      <c r="J405" s="1">
        <f t="shared" si="13"/>
        <v>43870</v>
      </c>
      <c r="K405">
        <f t="shared" si="12"/>
        <v>40.5</v>
      </c>
    </row>
    <row r="406" spans="1:11" x14ac:dyDescent="0.25">
      <c r="A406">
        <v>9</v>
      </c>
      <c r="B406" t="s">
        <v>11</v>
      </c>
      <c r="C406">
        <v>2020</v>
      </c>
      <c r="D406">
        <v>36.5</v>
      </c>
      <c r="E406">
        <v>25</v>
      </c>
      <c r="F406">
        <v>21</v>
      </c>
      <c r="G406" s="1">
        <f>DATE(C406, CHOOSE(MATCH(UPPER(B406), {"ENERO","FEBRERO","MARZO","ABRIL","MAYO","JUNIO","JULIO","AGOSTO","SEPTIEMBRE","OCTUBRE","NOVIEMBRE","DICIEMBRE"}, 0), 1,2,3,4,5,6,7,8,9,10,11,12), A406)</f>
        <v>43870</v>
      </c>
      <c r="H406">
        <v>40.5</v>
      </c>
      <c r="I406">
        <v>36000</v>
      </c>
      <c r="J406" s="1">
        <f t="shared" si="13"/>
        <v>43871</v>
      </c>
      <c r="K406">
        <f t="shared" si="12"/>
        <v>10</v>
      </c>
    </row>
    <row r="407" spans="1:11" x14ac:dyDescent="0.25">
      <c r="A407">
        <v>10</v>
      </c>
      <c r="B407" t="s">
        <v>11</v>
      </c>
      <c r="C407">
        <v>2020</v>
      </c>
      <c r="D407">
        <v>21</v>
      </c>
      <c r="E407" t="s">
        <v>9</v>
      </c>
      <c r="F407">
        <v>11</v>
      </c>
      <c r="G407" s="1">
        <f>DATE(C407, CHOOSE(MATCH(UPPER(B407), {"ENERO","FEBRERO","MARZO","ABRIL","MAYO","JUNIO","JULIO","AGOSTO","SEPTIEMBRE","OCTUBRE","NOVIEMBRE","DICIEMBRE"}, 0), 1,2,3,4,5,6,7,8,9,10,11,12), A407)</f>
        <v>43871</v>
      </c>
      <c r="H407">
        <v>10</v>
      </c>
      <c r="I407">
        <v>36000</v>
      </c>
      <c r="J407" s="1">
        <f t="shared" si="13"/>
        <v>43872</v>
      </c>
      <c r="K407">
        <f t="shared" si="12"/>
        <v>14</v>
      </c>
    </row>
    <row r="408" spans="1:11" x14ac:dyDescent="0.25">
      <c r="A408">
        <v>11</v>
      </c>
      <c r="B408" t="s">
        <v>11</v>
      </c>
      <c r="C408">
        <v>2020</v>
      </c>
      <c r="D408">
        <v>11</v>
      </c>
      <c r="E408">
        <v>20</v>
      </c>
      <c r="F408">
        <v>17</v>
      </c>
      <c r="G408" s="1">
        <f>DATE(C408, CHOOSE(MATCH(UPPER(B408), {"ENERO","FEBRERO","MARZO","ABRIL","MAYO","JUNIO","JULIO","AGOSTO","SEPTIEMBRE","OCTUBRE","NOVIEMBRE","DICIEMBRE"}, 0), 1,2,3,4,5,6,7,8,9,10,11,12), A408)</f>
        <v>43872</v>
      </c>
      <c r="H408">
        <v>14</v>
      </c>
      <c r="I408">
        <v>36000</v>
      </c>
      <c r="J408" s="1">
        <f t="shared" si="13"/>
        <v>43873</v>
      </c>
      <c r="K408">
        <f t="shared" si="12"/>
        <v>20</v>
      </c>
    </row>
    <row r="409" spans="1:11" x14ac:dyDescent="0.25">
      <c r="A409">
        <v>12</v>
      </c>
      <c r="B409" t="s">
        <v>11</v>
      </c>
      <c r="C409">
        <v>2020</v>
      </c>
      <c r="D409">
        <v>17</v>
      </c>
      <c r="E409">
        <v>20</v>
      </c>
      <c r="F409">
        <v>17</v>
      </c>
      <c r="G409" s="1">
        <f>DATE(C409, CHOOSE(MATCH(UPPER(B409), {"ENERO","FEBRERO","MARZO","ABRIL","MAYO","JUNIO","JULIO","AGOSTO","SEPTIEMBRE","OCTUBRE","NOVIEMBRE","DICIEMBRE"}, 0), 1,2,3,4,5,6,7,8,9,10,11,12), A409)</f>
        <v>43873</v>
      </c>
      <c r="H409">
        <v>20</v>
      </c>
      <c r="I409">
        <v>36000</v>
      </c>
      <c r="J409" s="1">
        <f t="shared" si="13"/>
        <v>43874</v>
      </c>
      <c r="K409">
        <f t="shared" si="12"/>
        <v>11</v>
      </c>
    </row>
    <row r="410" spans="1:11" x14ac:dyDescent="0.25">
      <c r="A410">
        <v>13</v>
      </c>
      <c r="B410" t="s">
        <v>11</v>
      </c>
      <c r="C410">
        <v>2020</v>
      </c>
      <c r="D410">
        <v>17</v>
      </c>
      <c r="E410">
        <v>10</v>
      </c>
      <c r="F410">
        <v>16</v>
      </c>
      <c r="G410" s="1">
        <f>DATE(C410, CHOOSE(MATCH(UPPER(B410), {"ENERO","FEBRERO","MARZO","ABRIL","MAYO","JUNIO","JULIO","AGOSTO","SEPTIEMBRE","OCTUBRE","NOVIEMBRE","DICIEMBRE"}, 0), 1,2,3,4,5,6,7,8,9,10,11,12), A410)</f>
        <v>43874</v>
      </c>
      <c r="H410">
        <v>11</v>
      </c>
      <c r="I410">
        <v>36000</v>
      </c>
      <c r="J410" s="1">
        <f t="shared" si="13"/>
        <v>43875</v>
      </c>
      <c r="K410">
        <f t="shared" si="12"/>
        <v>24.125</v>
      </c>
    </row>
    <row r="411" spans="1:11" x14ac:dyDescent="0.25">
      <c r="A411">
        <v>14</v>
      </c>
      <c r="B411" t="s">
        <v>11</v>
      </c>
      <c r="C411">
        <v>2020</v>
      </c>
      <c r="D411">
        <v>16</v>
      </c>
      <c r="E411">
        <v>40</v>
      </c>
      <c r="F411">
        <v>31.875</v>
      </c>
      <c r="G411" s="1">
        <f>DATE(C411, CHOOSE(MATCH(UPPER(B411), {"ENERO","FEBRERO","MARZO","ABRIL","MAYO","JUNIO","JULIO","AGOSTO","SEPTIEMBRE","OCTUBRE","NOVIEMBRE","DICIEMBRE"}, 0), 1,2,3,4,5,6,7,8,9,10,11,12), A411)</f>
        <v>43875</v>
      </c>
      <c r="H411">
        <v>24.125</v>
      </c>
      <c r="I411">
        <v>36000</v>
      </c>
      <c r="J411" s="1">
        <f t="shared" si="13"/>
        <v>43876</v>
      </c>
      <c r="K411">
        <f t="shared" si="12"/>
        <v>36.375</v>
      </c>
    </row>
    <row r="412" spans="1:11" x14ac:dyDescent="0.25">
      <c r="A412">
        <v>15</v>
      </c>
      <c r="B412" t="s">
        <v>11</v>
      </c>
      <c r="C412">
        <v>2020</v>
      </c>
      <c r="D412">
        <v>31.875</v>
      </c>
      <c r="E412">
        <v>30</v>
      </c>
      <c r="F412">
        <v>25.5</v>
      </c>
      <c r="G412" s="1">
        <f>DATE(C412, CHOOSE(MATCH(UPPER(B412), {"ENERO","FEBRERO","MARZO","ABRIL","MAYO","JUNIO","JULIO","AGOSTO","SEPTIEMBRE","OCTUBRE","NOVIEMBRE","DICIEMBRE"}, 0), 1,2,3,4,5,6,7,8,9,10,11,12), A412)</f>
        <v>43876</v>
      </c>
      <c r="H412">
        <v>36.375</v>
      </c>
      <c r="I412">
        <v>36000</v>
      </c>
      <c r="J412" s="1">
        <f t="shared" si="13"/>
        <v>43877</v>
      </c>
      <c r="K412">
        <f t="shared" si="12"/>
        <v>40.875</v>
      </c>
    </row>
    <row r="413" spans="1:11" x14ac:dyDescent="0.25">
      <c r="A413">
        <v>16</v>
      </c>
      <c r="B413" t="s">
        <v>11</v>
      </c>
      <c r="C413">
        <v>2020</v>
      </c>
      <c r="D413">
        <v>25.5</v>
      </c>
      <c r="E413">
        <v>40</v>
      </c>
      <c r="F413">
        <v>24.625</v>
      </c>
      <c r="G413" s="1">
        <f>DATE(C413, CHOOSE(MATCH(UPPER(B413), {"ENERO","FEBRERO","MARZO","ABRIL","MAYO","JUNIO","JULIO","AGOSTO","SEPTIEMBRE","OCTUBRE","NOVIEMBRE","DICIEMBRE"}, 0), 1,2,3,4,5,6,7,8,9,10,11,12), A413)</f>
        <v>43877</v>
      </c>
      <c r="H413">
        <v>40.875</v>
      </c>
      <c r="I413">
        <v>36000</v>
      </c>
      <c r="J413" s="1">
        <f t="shared" si="13"/>
        <v>43878</v>
      </c>
      <c r="K413">
        <f t="shared" si="12"/>
        <v>10.625</v>
      </c>
    </row>
    <row r="414" spans="1:11" x14ac:dyDescent="0.25">
      <c r="A414">
        <v>17</v>
      </c>
      <c r="B414" t="s">
        <v>11</v>
      </c>
      <c r="C414">
        <v>2020</v>
      </c>
      <c r="D414">
        <v>24.625</v>
      </c>
      <c r="E414">
        <v>10</v>
      </c>
      <c r="F414">
        <v>24</v>
      </c>
      <c r="G414" s="1">
        <f>DATE(C414, CHOOSE(MATCH(UPPER(B414), {"ENERO","FEBRERO","MARZO","ABRIL","MAYO","JUNIO","JULIO","AGOSTO","SEPTIEMBRE","OCTUBRE","NOVIEMBRE","DICIEMBRE"}, 0), 1,2,3,4,5,6,7,8,9,10,11,12), A414)</f>
        <v>43878</v>
      </c>
      <c r="H414">
        <v>10.625</v>
      </c>
      <c r="I414">
        <v>36000</v>
      </c>
      <c r="J414" s="1">
        <f t="shared" si="13"/>
        <v>43879</v>
      </c>
      <c r="K414">
        <f t="shared" si="12"/>
        <v>17.5</v>
      </c>
    </row>
    <row r="415" spans="1:11" x14ac:dyDescent="0.25">
      <c r="A415">
        <v>18</v>
      </c>
      <c r="B415" t="s">
        <v>11</v>
      </c>
      <c r="C415">
        <v>2020</v>
      </c>
      <c r="D415">
        <v>24</v>
      </c>
      <c r="E415">
        <v>20</v>
      </c>
      <c r="F415">
        <v>26.5</v>
      </c>
      <c r="G415" s="1">
        <f>DATE(C415, CHOOSE(MATCH(UPPER(B415), {"ENERO","FEBRERO","MARZO","ABRIL","MAYO","JUNIO","JULIO","AGOSTO","SEPTIEMBRE","OCTUBRE","NOVIEMBRE","DICIEMBRE"}, 0), 1,2,3,4,5,6,7,8,9,10,11,12), A415)</f>
        <v>43879</v>
      </c>
      <c r="H415">
        <v>17.5</v>
      </c>
      <c r="I415">
        <v>36000</v>
      </c>
      <c r="J415" s="1">
        <f t="shared" si="13"/>
        <v>43880</v>
      </c>
      <c r="K415">
        <f t="shared" si="12"/>
        <v>19.5</v>
      </c>
    </row>
    <row r="416" spans="1:11" x14ac:dyDescent="0.25">
      <c r="A416">
        <v>19</v>
      </c>
      <c r="B416" t="s">
        <v>11</v>
      </c>
      <c r="C416">
        <v>2020</v>
      </c>
      <c r="D416">
        <v>26.5</v>
      </c>
      <c r="E416">
        <v>10</v>
      </c>
      <c r="F416">
        <v>17</v>
      </c>
      <c r="G416" s="1">
        <f>DATE(C416, CHOOSE(MATCH(UPPER(B416), {"ENERO","FEBRERO","MARZO","ABRIL","MAYO","JUNIO","JULIO","AGOSTO","SEPTIEMBRE","OCTUBRE","NOVIEMBRE","DICIEMBRE"}, 0), 1,2,3,4,5,6,7,8,9,10,11,12), A416)</f>
        <v>43880</v>
      </c>
      <c r="H416">
        <v>19.5</v>
      </c>
      <c r="I416">
        <v>36000</v>
      </c>
      <c r="J416" s="1">
        <f t="shared" si="13"/>
        <v>43881</v>
      </c>
      <c r="K416">
        <f t="shared" si="12"/>
        <v>20</v>
      </c>
    </row>
    <row r="417" spans="1:11" x14ac:dyDescent="0.25">
      <c r="A417">
        <v>20</v>
      </c>
      <c r="B417" t="s">
        <v>11</v>
      </c>
      <c r="C417">
        <v>2020</v>
      </c>
      <c r="D417">
        <v>17</v>
      </c>
      <c r="E417">
        <v>20</v>
      </c>
      <c r="F417">
        <v>17</v>
      </c>
      <c r="G417" s="1">
        <f>DATE(C417, CHOOSE(MATCH(UPPER(B417), {"ENERO","FEBRERO","MARZO","ABRIL","MAYO","JUNIO","JULIO","AGOSTO","SEPTIEMBRE","OCTUBRE","NOVIEMBRE","DICIEMBRE"}, 0), 1,2,3,4,5,6,7,8,9,10,11,12), A417)</f>
        <v>43881</v>
      </c>
      <c r="H417">
        <v>20</v>
      </c>
      <c r="I417">
        <v>36000</v>
      </c>
      <c r="J417" s="1">
        <f t="shared" si="13"/>
        <v>43882</v>
      </c>
      <c r="K417">
        <f t="shared" si="12"/>
        <v>17</v>
      </c>
    </row>
    <row r="418" spans="1:11" x14ac:dyDescent="0.25">
      <c r="A418">
        <v>21</v>
      </c>
      <c r="B418" t="s">
        <v>11</v>
      </c>
      <c r="C418">
        <v>2020</v>
      </c>
      <c r="D418">
        <v>17</v>
      </c>
      <c r="E418">
        <v>20</v>
      </c>
      <c r="F418">
        <v>20</v>
      </c>
      <c r="G418" s="1">
        <f>DATE(C418, CHOOSE(MATCH(UPPER(B418), {"ENERO","FEBRERO","MARZO","ABRIL","MAYO","JUNIO","JULIO","AGOSTO","SEPTIEMBRE","OCTUBRE","NOVIEMBRE","DICIEMBRE"}, 0), 1,2,3,4,5,6,7,8,9,10,11,12), A418)</f>
        <v>43882</v>
      </c>
      <c r="H418">
        <v>17</v>
      </c>
      <c r="I418">
        <v>36000</v>
      </c>
      <c r="J418" s="1">
        <f t="shared" si="13"/>
        <v>43883</v>
      </c>
      <c r="K418">
        <f t="shared" si="12"/>
        <v>40</v>
      </c>
    </row>
    <row r="419" spans="1:11" x14ac:dyDescent="0.25">
      <c r="A419">
        <v>22</v>
      </c>
      <c r="B419" t="s">
        <v>11</v>
      </c>
      <c r="C419">
        <v>2020</v>
      </c>
      <c r="D419">
        <v>20</v>
      </c>
      <c r="E419">
        <v>40</v>
      </c>
      <c r="F419">
        <v>20</v>
      </c>
      <c r="G419" s="1">
        <f>DATE(C419, CHOOSE(MATCH(UPPER(B419), {"ENERO","FEBRERO","MARZO","ABRIL","MAYO","JUNIO","JULIO","AGOSTO","SEPTIEMBRE","OCTUBRE","NOVIEMBRE","DICIEMBRE"}, 0), 1,2,3,4,5,6,7,8,9,10,11,12), A419)</f>
        <v>43883</v>
      </c>
      <c r="H419">
        <v>40</v>
      </c>
      <c r="I419">
        <v>36000</v>
      </c>
      <c r="J419" s="1">
        <f t="shared" si="13"/>
        <v>43884</v>
      </c>
      <c r="K419">
        <f t="shared" si="12"/>
        <v>42</v>
      </c>
    </row>
    <row r="420" spans="1:11" x14ac:dyDescent="0.25">
      <c r="A420">
        <v>23</v>
      </c>
      <c r="B420" t="s">
        <v>11</v>
      </c>
      <c r="C420">
        <v>2020</v>
      </c>
      <c r="D420">
        <v>20</v>
      </c>
      <c r="E420">
        <v>40</v>
      </c>
      <c r="F420">
        <v>18</v>
      </c>
      <c r="G420" s="1">
        <f>DATE(C420, CHOOSE(MATCH(UPPER(B420), {"ENERO","FEBRERO","MARZO","ABRIL","MAYO","JUNIO","JULIO","AGOSTO","SEPTIEMBRE","OCTUBRE","NOVIEMBRE","DICIEMBRE"}, 0), 1,2,3,4,5,6,7,8,9,10,11,12), A420)</f>
        <v>43884</v>
      </c>
      <c r="H420">
        <v>42</v>
      </c>
      <c r="I420">
        <v>36000</v>
      </c>
      <c r="J420" s="1">
        <f t="shared" si="13"/>
        <v>43885</v>
      </c>
      <c r="K420">
        <f t="shared" si="12"/>
        <v>6</v>
      </c>
    </row>
    <row r="421" spans="1:11" x14ac:dyDescent="0.25">
      <c r="A421">
        <v>24</v>
      </c>
      <c r="B421" t="s">
        <v>11</v>
      </c>
      <c r="C421">
        <v>2020</v>
      </c>
      <c r="D421">
        <v>18</v>
      </c>
      <c r="E421">
        <v>10</v>
      </c>
      <c r="F421">
        <v>22</v>
      </c>
      <c r="G421" s="1">
        <f>DATE(C421, CHOOSE(MATCH(UPPER(B421), {"ENERO","FEBRERO","MARZO","ABRIL","MAYO","JUNIO","JULIO","AGOSTO","SEPTIEMBRE","OCTUBRE","NOVIEMBRE","DICIEMBRE"}, 0), 1,2,3,4,5,6,7,8,9,10,11,12), A421)</f>
        <v>43885</v>
      </c>
      <c r="H421">
        <v>6</v>
      </c>
      <c r="I421">
        <v>36000</v>
      </c>
      <c r="J421" s="1">
        <f t="shared" si="13"/>
        <v>43886</v>
      </c>
      <c r="K421">
        <f t="shared" si="12"/>
        <v>13</v>
      </c>
    </row>
    <row r="422" spans="1:11" x14ac:dyDescent="0.25">
      <c r="A422">
        <v>25</v>
      </c>
      <c r="B422" t="s">
        <v>11</v>
      </c>
      <c r="C422">
        <v>2020</v>
      </c>
      <c r="D422">
        <v>22</v>
      </c>
      <c r="E422">
        <v>20</v>
      </c>
      <c r="F422">
        <v>29</v>
      </c>
      <c r="G422" s="1">
        <f>DATE(C422, CHOOSE(MATCH(UPPER(B422), {"ENERO","FEBRERO","MARZO","ABRIL","MAYO","JUNIO","JULIO","AGOSTO","SEPTIEMBRE","OCTUBRE","NOVIEMBRE","DICIEMBRE"}, 0), 1,2,3,4,5,6,7,8,9,10,11,12), A422)</f>
        <v>43886</v>
      </c>
      <c r="H422">
        <v>13</v>
      </c>
      <c r="I422">
        <v>36000</v>
      </c>
      <c r="J422" s="1">
        <f t="shared" si="13"/>
        <v>43887</v>
      </c>
      <c r="K422">
        <f t="shared" si="12"/>
        <v>13</v>
      </c>
    </row>
    <row r="423" spans="1:11" x14ac:dyDescent="0.25">
      <c r="A423">
        <v>26</v>
      </c>
      <c r="B423" t="s">
        <v>11</v>
      </c>
      <c r="C423">
        <v>2020</v>
      </c>
      <c r="D423">
        <v>29</v>
      </c>
      <c r="E423" t="s">
        <v>9</v>
      </c>
      <c r="F423">
        <v>16</v>
      </c>
      <c r="G423" s="1">
        <f>DATE(C423, CHOOSE(MATCH(UPPER(B423), {"ENERO","FEBRERO","MARZO","ABRIL","MAYO","JUNIO","JULIO","AGOSTO","SEPTIEMBRE","OCTUBRE","NOVIEMBRE","DICIEMBRE"}, 0), 1,2,3,4,5,6,7,8,9,10,11,12), A423)</f>
        <v>43887</v>
      </c>
      <c r="H423">
        <v>13</v>
      </c>
      <c r="I423">
        <v>36000</v>
      </c>
      <c r="J423" s="1">
        <f t="shared" si="13"/>
        <v>43888</v>
      </c>
      <c r="K423">
        <f t="shared" si="12"/>
        <v>10.5</v>
      </c>
    </row>
    <row r="424" spans="1:11" x14ac:dyDescent="0.25">
      <c r="A424">
        <v>27</v>
      </c>
      <c r="B424" t="s">
        <v>11</v>
      </c>
      <c r="C424">
        <v>2020</v>
      </c>
      <c r="D424">
        <v>16</v>
      </c>
      <c r="E424">
        <v>20</v>
      </c>
      <c r="F424">
        <v>25.5</v>
      </c>
      <c r="G424" s="1">
        <f>DATE(C424, CHOOSE(MATCH(UPPER(B424), {"ENERO","FEBRERO","MARZO","ABRIL","MAYO","JUNIO","JULIO","AGOSTO","SEPTIEMBRE","OCTUBRE","NOVIEMBRE","DICIEMBRE"}, 0), 1,2,3,4,5,6,7,8,9,10,11,12), A424)</f>
        <v>43888</v>
      </c>
      <c r="H424">
        <v>10.5</v>
      </c>
      <c r="I424">
        <v>36000</v>
      </c>
      <c r="J424" s="1">
        <f t="shared" si="13"/>
        <v>43889</v>
      </c>
      <c r="K424">
        <f t="shared" si="12"/>
        <v>25.5</v>
      </c>
    </row>
    <row r="425" spans="1:11" x14ac:dyDescent="0.25">
      <c r="A425">
        <v>28</v>
      </c>
      <c r="B425" t="s">
        <v>11</v>
      </c>
      <c r="C425">
        <v>2020</v>
      </c>
      <c r="D425">
        <v>25.5</v>
      </c>
      <c r="E425">
        <v>30</v>
      </c>
      <c r="F425">
        <v>30</v>
      </c>
      <c r="G425" s="1">
        <f>DATE(C425, CHOOSE(MATCH(UPPER(B425), {"ENERO","FEBRERO","MARZO","ABRIL","MAYO","JUNIO","JULIO","AGOSTO","SEPTIEMBRE","OCTUBRE","NOVIEMBRE","DICIEMBRE"}, 0), 1,2,3,4,5,6,7,8,9,10,11,12), A425)</f>
        <v>43889</v>
      </c>
      <c r="H425">
        <v>25.5</v>
      </c>
      <c r="I425">
        <v>36000</v>
      </c>
      <c r="J425" s="1">
        <f t="shared" si="13"/>
        <v>43890</v>
      </c>
      <c r="K425">
        <f t="shared" si="12"/>
        <v>33</v>
      </c>
    </row>
    <row r="426" spans="1:11" x14ac:dyDescent="0.25">
      <c r="A426">
        <v>29</v>
      </c>
      <c r="B426" t="s">
        <v>11</v>
      </c>
      <c r="C426">
        <v>2020</v>
      </c>
      <c r="D426">
        <v>30</v>
      </c>
      <c r="E426">
        <v>50</v>
      </c>
      <c r="F426">
        <v>47</v>
      </c>
      <c r="G426" s="1">
        <f>DATE(C426, CHOOSE(MATCH(UPPER(B426), {"ENERO","FEBRERO","MARZO","ABRIL","MAYO","JUNIO","JULIO","AGOSTO","SEPTIEMBRE","OCTUBRE","NOVIEMBRE","DICIEMBRE"}, 0), 1,2,3,4,5,6,7,8,9,10,11,12), A426)</f>
        <v>43890</v>
      </c>
      <c r="H426">
        <v>33</v>
      </c>
      <c r="I426">
        <v>36000</v>
      </c>
      <c r="J426" s="1">
        <f t="shared" si="13"/>
        <v>43891</v>
      </c>
      <c r="K426">
        <f t="shared" si="12"/>
        <v>31</v>
      </c>
    </row>
    <row r="427" spans="1:11" x14ac:dyDescent="0.25">
      <c r="A427">
        <v>1</v>
      </c>
      <c r="B427" t="s">
        <v>12</v>
      </c>
      <c r="C427">
        <v>2020</v>
      </c>
      <c r="D427">
        <v>47</v>
      </c>
      <c r="E427">
        <v>10</v>
      </c>
      <c r="F427">
        <v>26</v>
      </c>
      <c r="G427" s="1">
        <f>DATE(C427, CHOOSE(MATCH(UPPER(B427), {"ENERO","FEBRERO","MARZO","ABRIL","MAYO","JUNIO","JULIO","AGOSTO","SEPTIEMBRE","OCTUBRE","NOVIEMBRE","DICIEMBRE"}, 0), 1,2,3,4,5,6,7,8,9,10,11,12), A427)</f>
        <v>43891</v>
      </c>
      <c r="H427">
        <v>31</v>
      </c>
      <c r="I427">
        <v>36000</v>
      </c>
      <c r="J427" s="1">
        <f t="shared" si="13"/>
        <v>43892</v>
      </c>
      <c r="K427">
        <f t="shared" si="12"/>
        <v>12.125</v>
      </c>
    </row>
    <row r="428" spans="1:11" x14ac:dyDescent="0.25">
      <c r="A428">
        <v>2</v>
      </c>
      <c r="B428" t="s">
        <v>12</v>
      </c>
      <c r="C428">
        <v>2020</v>
      </c>
      <c r="D428">
        <v>26</v>
      </c>
      <c r="E428" t="s">
        <v>9</v>
      </c>
      <c r="F428">
        <v>13.875</v>
      </c>
      <c r="G428" s="1">
        <f>DATE(C428, CHOOSE(MATCH(UPPER(B428), {"ENERO","FEBRERO","MARZO","ABRIL","MAYO","JUNIO","JULIO","AGOSTO","SEPTIEMBRE","OCTUBRE","NOVIEMBRE","DICIEMBRE"}, 0), 1,2,3,4,5,6,7,8,9,10,11,12), A428)</f>
        <v>43892</v>
      </c>
      <c r="H428">
        <v>12.125</v>
      </c>
      <c r="I428">
        <v>36000</v>
      </c>
      <c r="J428" s="1">
        <f t="shared" si="13"/>
        <v>43893</v>
      </c>
      <c r="K428">
        <f t="shared" si="12"/>
        <v>14.375</v>
      </c>
    </row>
    <row r="429" spans="1:11" x14ac:dyDescent="0.25">
      <c r="A429">
        <v>3</v>
      </c>
      <c r="B429" t="s">
        <v>12</v>
      </c>
      <c r="C429">
        <v>2020</v>
      </c>
      <c r="D429">
        <v>13.875</v>
      </c>
      <c r="E429">
        <v>70</v>
      </c>
      <c r="F429">
        <v>69.5</v>
      </c>
      <c r="G429" s="1">
        <f>DATE(C429, CHOOSE(MATCH(UPPER(B429), {"ENERO","FEBRERO","MARZO","ABRIL","MAYO","JUNIO","JULIO","AGOSTO","SEPTIEMBRE","OCTUBRE","NOVIEMBRE","DICIEMBRE"}, 0), 1,2,3,4,5,6,7,8,9,10,11,12), A429)</f>
        <v>43893</v>
      </c>
      <c r="H429">
        <v>14.375</v>
      </c>
      <c r="I429">
        <v>36000</v>
      </c>
      <c r="J429" s="1">
        <f t="shared" si="13"/>
        <v>43894</v>
      </c>
      <c r="K429">
        <f t="shared" si="12"/>
        <v>14</v>
      </c>
    </row>
    <row r="430" spans="1:11" x14ac:dyDescent="0.25">
      <c r="A430">
        <v>4</v>
      </c>
      <c r="B430" t="s">
        <v>12</v>
      </c>
      <c r="C430">
        <v>2020</v>
      </c>
      <c r="D430">
        <v>69.5</v>
      </c>
      <c r="E430" t="s">
        <v>9</v>
      </c>
      <c r="F430">
        <v>55.5</v>
      </c>
      <c r="G430" s="1">
        <f>DATE(C430, CHOOSE(MATCH(UPPER(B430), {"ENERO","FEBRERO","MARZO","ABRIL","MAYO","JUNIO","JULIO","AGOSTO","SEPTIEMBRE","OCTUBRE","NOVIEMBRE","DICIEMBRE"}, 0), 1,2,3,4,5,6,7,8,9,10,11,12), A430)</f>
        <v>43894</v>
      </c>
      <c r="H430">
        <v>14</v>
      </c>
      <c r="I430">
        <v>36000</v>
      </c>
      <c r="J430" s="1">
        <f t="shared" si="13"/>
        <v>43895</v>
      </c>
      <c r="K430">
        <f t="shared" si="12"/>
        <v>14.25</v>
      </c>
    </row>
    <row r="431" spans="1:11" x14ac:dyDescent="0.25">
      <c r="A431">
        <v>5</v>
      </c>
      <c r="B431" t="s">
        <v>12</v>
      </c>
      <c r="C431">
        <v>2020</v>
      </c>
      <c r="D431">
        <v>55.5</v>
      </c>
      <c r="E431" t="s">
        <v>9</v>
      </c>
      <c r="F431">
        <v>41.25</v>
      </c>
      <c r="G431" s="1">
        <f>DATE(C431, CHOOSE(MATCH(UPPER(B431), {"ENERO","FEBRERO","MARZO","ABRIL","MAYO","JUNIO","JULIO","AGOSTO","SEPTIEMBRE","OCTUBRE","NOVIEMBRE","DICIEMBRE"}, 0), 1,2,3,4,5,6,7,8,9,10,11,12), A431)</f>
        <v>43895</v>
      </c>
      <c r="H431">
        <v>14.25</v>
      </c>
      <c r="I431">
        <v>36000</v>
      </c>
      <c r="J431" s="1">
        <f t="shared" si="13"/>
        <v>43896</v>
      </c>
      <c r="K431">
        <f t="shared" si="12"/>
        <v>21.75</v>
      </c>
    </row>
    <row r="432" spans="1:11" x14ac:dyDescent="0.25">
      <c r="A432">
        <v>6</v>
      </c>
      <c r="B432" t="s">
        <v>12</v>
      </c>
      <c r="C432">
        <v>2020</v>
      </c>
      <c r="D432">
        <v>41.25</v>
      </c>
      <c r="E432">
        <v>20</v>
      </c>
      <c r="F432">
        <v>39.5</v>
      </c>
      <c r="G432" s="1">
        <f>DATE(C432, CHOOSE(MATCH(UPPER(B432), {"ENERO","FEBRERO","MARZO","ABRIL","MAYO","JUNIO","JULIO","AGOSTO","SEPTIEMBRE","OCTUBRE","NOVIEMBRE","DICIEMBRE"}, 0), 1,2,3,4,5,6,7,8,9,10,11,12), A432)</f>
        <v>43896</v>
      </c>
      <c r="H432">
        <v>21.75</v>
      </c>
      <c r="I432">
        <v>36000</v>
      </c>
      <c r="J432" s="1">
        <f t="shared" si="13"/>
        <v>43897</v>
      </c>
      <c r="K432">
        <f t="shared" si="12"/>
        <v>33.25</v>
      </c>
    </row>
    <row r="433" spans="1:11" x14ac:dyDescent="0.25">
      <c r="A433">
        <v>7</v>
      </c>
      <c r="B433" t="s">
        <v>12</v>
      </c>
      <c r="C433">
        <v>2020</v>
      </c>
      <c r="D433">
        <v>39.5</v>
      </c>
      <c r="E433">
        <v>60</v>
      </c>
      <c r="F433">
        <v>66.25</v>
      </c>
      <c r="G433" s="1">
        <f>DATE(C433, CHOOSE(MATCH(UPPER(B433), {"ENERO","FEBRERO","MARZO","ABRIL","MAYO","JUNIO","JULIO","AGOSTO","SEPTIEMBRE","OCTUBRE","NOVIEMBRE","DICIEMBRE"}, 0), 1,2,3,4,5,6,7,8,9,10,11,12), A433)</f>
        <v>43897</v>
      </c>
      <c r="H433">
        <v>33.25</v>
      </c>
      <c r="I433">
        <v>36000</v>
      </c>
      <c r="J433" s="1">
        <f t="shared" si="13"/>
        <v>43898</v>
      </c>
      <c r="K433">
        <f t="shared" si="12"/>
        <v>32.5</v>
      </c>
    </row>
    <row r="434" spans="1:11" x14ac:dyDescent="0.25">
      <c r="A434">
        <v>8</v>
      </c>
      <c r="B434" t="s">
        <v>12</v>
      </c>
      <c r="C434">
        <v>2020</v>
      </c>
      <c r="D434">
        <v>66.25</v>
      </c>
      <c r="E434" t="s">
        <v>9</v>
      </c>
      <c r="F434">
        <v>33.75</v>
      </c>
      <c r="G434" s="1">
        <f>DATE(C434, CHOOSE(MATCH(UPPER(B434), {"ENERO","FEBRERO","MARZO","ABRIL","MAYO","JUNIO","JULIO","AGOSTO","SEPTIEMBRE","OCTUBRE","NOVIEMBRE","DICIEMBRE"}, 0), 1,2,3,4,5,6,7,8,9,10,11,12), A434)</f>
        <v>43898</v>
      </c>
      <c r="H434">
        <v>32.5</v>
      </c>
      <c r="I434">
        <v>36000</v>
      </c>
      <c r="J434" s="1">
        <f t="shared" si="13"/>
        <v>43899</v>
      </c>
      <c r="K434">
        <f t="shared" si="12"/>
        <v>4.375</v>
      </c>
    </row>
    <row r="435" spans="1:11" x14ac:dyDescent="0.25">
      <c r="A435">
        <v>9</v>
      </c>
      <c r="B435" t="s">
        <v>12</v>
      </c>
      <c r="C435">
        <v>2020</v>
      </c>
      <c r="D435">
        <v>33.75</v>
      </c>
      <c r="E435" t="s">
        <v>9</v>
      </c>
      <c r="F435">
        <v>29.375</v>
      </c>
      <c r="G435" s="1">
        <f>DATE(C435, CHOOSE(MATCH(UPPER(B435), {"ENERO","FEBRERO","MARZO","ABRIL","MAYO","JUNIO","JULIO","AGOSTO","SEPTIEMBRE","OCTUBRE","NOVIEMBRE","DICIEMBRE"}, 0), 1,2,3,4,5,6,7,8,9,10,11,12), A435)</f>
        <v>43899</v>
      </c>
      <c r="H435">
        <v>4.375</v>
      </c>
      <c r="I435">
        <v>36000</v>
      </c>
      <c r="J435" s="1">
        <f t="shared" si="13"/>
        <v>43900</v>
      </c>
      <c r="K435">
        <f t="shared" si="12"/>
        <v>15.5</v>
      </c>
    </row>
    <row r="436" spans="1:11" x14ac:dyDescent="0.25">
      <c r="A436">
        <v>10</v>
      </c>
      <c r="B436" t="s">
        <v>12</v>
      </c>
      <c r="C436">
        <v>2020</v>
      </c>
      <c r="D436">
        <v>29.375</v>
      </c>
      <c r="E436" t="s">
        <v>9</v>
      </c>
      <c r="F436">
        <v>13.875</v>
      </c>
      <c r="G436" s="1">
        <f>DATE(C436, CHOOSE(MATCH(UPPER(B436), {"ENERO","FEBRERO","MARZO","ABRIL","MAYO","JUNIO","JULIO","AGOSTO","SEPTIEMBRE","OCTUBRE","NOVIEMBRE","DICIEMBRE"}, 0), 1,2,3,4,5,6,7,8,9,10,11,12), A436)</f>
        <v>43900</v>
      </c>
      <c r="H436">
        <v>15.5</v>
      </c>
      <c r="I436">
        <v>36000</v>
      </c>
      <c r="J436" s="1">
        <f t="shared" si="13"/>
        <v>43901</v>
      </c>
      <c r="K436">
        <f t="shared" si="12"/>
        <v>18.875</v>
      </c>
    </row>
    <row r="437" spans="1:11" x14ac:dyDescent="0.25">
      <c r="A437">
        <v>11</v>
      </c>
      <c r="B437" t="s">
        <v>12</v>
      </c>
      <c r="C437">
        <v>2020</v>
      </c>
      <c r="D437">
        <v>13.875</v>
      </c>
      <c r="E437">
        <v>100</v>
      </c>
      <c r="F437">
        <v>95</v>
      </c>
      <c r="G437" s="1">
        <f>DATE(C437, CHOOSE(MATCH(UPPER(B437), {"ENERO","FEBRERO","MARZO","ABRIL","MAYO","JUNIO","JULIO","AGOSTO","SEPTIEMBRE","OCTUBRE","NOVIEMBRE","DICIEMBRE"}, 0), 1,2,3,4,5,6,7,8,9,10,11,12), A437)</f>
        <v>43901</v>
      </c>
      <c r="H437">
        <v>18.875</v>
      </c>
      <c r="I437">
        <v>36000</v>
      </c>
      <c r="J437" s="1">
        <f t="shared" si="13"/>
        <v>43902</v>
      </c>
      <c r="K437">
        <f t="shared" si="12"/>
        <v>9.5</v>
      </c>
    </row>
    <row r="438" spans="1:11" x14ac:dyDescent="0.25">
      <c r="A438">
        <v>12</v>
      </c>
      <c r="B438" t="s">
        <v>12</v>
      </c>
      <c r="C438">
        <v>2020</v>
      </c>
      <c r="D438">
        <v>95</v>
      </c>
      <c r="E438" t="s">
        <v>9</v>
      </c>
      <c r="F438">
        <v>85.5</v>
      </c>
      <c r="G438" s="1">
        <f>DATE(C438, CHOOSE(MATCH(UPPER(B438), {"ENERO","FEBRERO","MARZO","ABRIL","MAYO","JUNIO","JULIO","AGOSTO","SEPTIEMBRE","OCTUBRE","NOVIEMBRE","DICIEMBRE"}, 0), 1,2,3,4,5,6,7,8,9,10,11,12), A438)</f>
        <v>43902</v>
      </c>
      <c r="H438">
        <v>9.5</v>
      </c>
      <c r="I438">
        <v>36000</v>
      </c>
      <c r="J438" s="1">
        <f t="shared" si="13"/>
        <v>43903</v>
      </c>
      <c r="K438">
        <f t="shared" si="12"/>
        <v>14.125</v>
      </c>
    </row>
    <row r="439" spans="1:11" x14ac:dyDescent="0.25">
      <c r="A439">
        <v>13</v>
      </c>
      <c r="B439" t="s">
        <v>12</v>
      </c>
      <c r="C439">
        <v>2020</v>
      </c>
      <c r="D439">
        <v>85.5</v>
      </c>
      <c r="E439" t="s">
        <v>9</v>
      </c>
      <c r="F439">
        <v>71.375</v>
      </c>
      <c r="G439" s="1">
        <f>DATE(C439, CHOOSE(MATCH(UPPER(B439), {"ENERO","FEBRERO","MARZO","ABRIL","MAYO","JUNIO","JULIO","AGOSTO","SEPTIEMBRE","OCTUBRE","NOVIEMBRE","DICIEMBRE"}, 0), 1,2,3,4,5,6,7,8,9,10,11,12), A439)</f>
        <v>43903</v>
      </c>
      <c r="H439">
        <v>14.125</v>
      </c>
      <c r="I439">
        <v>36000</v>
      </c>
      <c r="J439" s="1">
        <f t="shared" si="13"/>
        <v>43904</v>
      </c>
      <c r="K439">
        <f t="shared" si="12"/>
        <v>26.75</v>
      </c>
    </row>
    <row r="440" spans="1:11" x14ac:dyDescent="0.25">
      <c r="A440">
        <v>14</v>
      </c>
      <c r="B440" t="s">
        <v>12</v>
      </c>
      <c r="C440">
        <v>2020</v>
      </c>
      <c r="D440">
        <v>71.375</v>
      </c>
      <c r="E440" t="s">
        <v>9</v>
      </c>
      <c r="F440">
        <v>44.625</v>
      </c>
      <c r="G440" s="1">
        <f>DATE(C440, CHOOSE(MATCH(UPPER(B440), {"ENERO","FEBRERO","MARZO","ABRIL","MAYO","JUNIO","JULIO","AGOSTO","SEPTIEMBRE","OCTUBRE","NOVIEMBRE","DICIEMBRE"}, 0), 1,2,3,4,5,6,7,8,9,10,11,12), A440)</f>
        <v>43904</v>
      </c>
      <c r="H440">
        <v>26.75</v>
      </c>
      <c r="I440">
        <v>36000</v>
      </c>
      <c r="J440" s="1">
        <f t="shared" si="13"/>
        <v>43905</v>
      </c>
      <c r="K440">
        <f t="shared" si="12"/>
        <v>20.625</v>
      </c>
    </row>
    <row r="441" spans="1:11" x14ac:dyDescent="0.25">
      <c r="A441">
        <v>15</v>
      </c>
      <c r="B441" t="s">
        <v>12</v>
      </c>
      <c r="C441">
        <v>2020</v>
      </c>
      <c r="D441">
        <v>44.625</v>
      </c>
      <c r="E441" t="s">
        <v>9</v>
      </c>
      <c r="F441">
        <v>24</v>
      </c>
      <c r="G441" s="1">
        <f>DATE(C441, CHOOSE(MATCH(UPPER(B441), {"ENERO","FEBRERO","MARZO","ABRIL","MAYO","JUNIO","JULIO","AGOSTO","SEPTIEMBRE","OCTUBRE","NOVIEMBRE","DICIEMBRE"}, 0), 1,2,3,4,5,6,7,8,9,10,11,12), A441)</f>
        <v>43905</v>
      </c>
      <c r="H441">
        <v>20.625</v>
      </c>
      <c r="I441">
        <v>36000</v>
      </c>
      <c r="J441" s="1">
        <f t="shared" si="13"/>
        <v>43906</v>
      </c>
      <c r="K441">
        <f t="shared" si="12"/>
        <v>7.625</v>
      </c>
    </row>
    <row r="442" spans="1:11" x14ac:dyDescent="0.25">
      <c r="A442">
        <v>16</v>
      </c>
      <c r="B442" t="s">
        <v>12</v>
      </c>
      <c r="C442">
        <v>2020</v>
      </c>
      <c r="D442">
        <v>24</v>
      </c>
      <c r="E442" t="s">
        <v>9</v>
      </c>
      <c r="F442">
        <v>16.375</v>
      </c>
      <c r="G442" s="1">
        <f>DATE(C442, CHOOSE(MATCH(UPPER(B442), {"ENERO","FEBRERO","MARZO","ABRIL","MAYO","JUNIO","JULIO","AGOSTO","SEPTIEMBRE","OCTUBRE","NOVIEMBRE","DICIEMBRE"}, 0), 1,2,3,4,5,6,7,8,9,10,11,12), A442)</f>
        <v>43906</v>
      </c>
      <c r="H442">
        <v>7.625</v>
      </c>
      <c r="I442">
        <v>36000</v>
      </c>
      <c r="J442" s="1">
        <f t="shared" si="13"/>
        <v>43907</v>
      </c>
      <c r="K442">
        <f t="shared" si="12"/>
        <v>7.375</v>
      </c>
    </row>
    <row r="443" spans="1:11" x14ac:dyDescent="0.25">
      <c r="A443">
        <v>17</v>
      </c>
      <c r="B443" t="s">
        <v>12</v>
      </c>
      <c r="C443">
        <v>2020</v>
      </c>
      <c r="D443">
        <v>16.375</v>
      </c>
      <c r="E443">
        <v>-9</v>
      </c>
      <c r="F443">
        <v>0</v>
      </c>
      <c r="G443" s="1">
        <f>DATE(C443, CHOOSE(MATCH(UPPER(B443), {"ENERO","FEBRERO","MARZO","ABRIL","MAYO","JUNIO","JULIO","AGOSTO","SEPTIEMBRE","OCTUBRE","NOVIEMBRE","DICIEMBRE"}, 0), 1,2,3,4,5,6,7,8,9,10,11,12), A443)</f>
        <v>43907</v>
      </c>
      <c r="H443">
        <v>7.375</v>
      </c>
      <c r="I443">
        <v>36000</v>
      </c>
      <c r="J443" s="1">
        <f t="shared" si="13"/>
        <v>43908</v>
      </c>
      <c r="K443">
        <f t="shared" si="12"/>
        <v>0</v>
      </c>
    </row>
    <row r="444" spans="1:11" x14ac:dyDescent="0.25">
      <c r="A444">
        <v>18</v>
      </c>
      <c r="B444" t="s">
        <v>12</v>
      </c>
      <c r="C444">
        <v>2020</v>
      </c>
      <c r="D444">
        <v>0</v>
      </c>
      <c r="E444" t="s">
        <v>9</v>
      </c>
      <c r="F444">
        <v>0</v>
      </c>
      <c r="G444" s="1">
        <f>DATE(C444, CHOOSE(MATCH(UPPER(B444), {"ENERO","FEBRERO","MARZO","ABRIL","MAYO","JUNIO","JULIO","AGOSTO","SEPTIEMBRE","OCTUBRE","NOVIEMBRE","DICIEMBRE"}, 0), 1,2,3,4,5,6,7,8,9,10,11,12), A444)</f>
        <v>43908</v>
      </c>
      <c r="H444">
        <v>0</v>
      </c>
      <c r="I444">
        <v>36000</v>
      </c>
      <c r="J444" s="1">
        <f t="shared" si="13"/>
        <v>43909</v>
      </c>
      <c r="K444">
        <f t="shared" si="12"/>
        <v>0</v>
      </c>
    </row>
    <row r="445" spans="1:11" x14ac:dyDescent="0.25">
      <c r="A445">
        <v>19</v>
      </c>
      <c r="B445" t="s">
        <v>12</v>
      </c>
      <c r="C445">
        <v>2020</v>
      </c>
      <c r="D445">
        <v>0</v>
      </c>
      <c r="E445" t="s">
        <v>9</v>
      </c>
      <c r="F445">
        <v>0</v>
      </c>
      <c r="G445" s="1">
        <f>DATE(C445, CHOOSE(MATCH(UPPER(B445), {"ENERO","FEBRERO","MARZO","ABRIL","MAYO","JUNIO","JULIO","AGOSTO","SEPTIEMBRE","OCTUBRE","NOVIEMBRE","DICIEMBRE"}, 0), 1,2,3,4,5,6,7,8,9,10,11,12), A445)</f>
        <v>43909</v>
      </c>
      <c r="H445">
        <v>0</v>
      </c>
      <c r="I445">
        <v>36000</v>
      </c>
      <c r="J445" s="1">
        <f t="shared" si="13"/>
        <v>43910</v>
      </c>
      <c r="K445">
        <f t="shared" si="12"/>
        <v>0</v>
      </c>
    </row>
    <row r="446" spans="1:11" x14ac:dyDescent="0.25">
      <c r="A446">
        <v>20</v>
      </c>
      <c r="B446" t="s">
        <v>12</v>
      </c>
      <c r="C446">
        <v>2020</v>
      </c>
      <c r="D446">
        <v>0</v>
      </c>
      <c r="E446" t="s">
        <v>9</v>
      </c>
      <c r="F446">
        <v>0</v>
      </c>
      <c r="G446" s="1">
        <f>DATE(C446, CHOOSE(MATCH(UPPER(B446), {"ENERO","FEBRERO","MARZO","ABRIL","MAYO","JUNIO","JULIO","AGOSTO","SEPTIEMBRE","OCTUBRE","NOVIEMBRE","DICIEMBRE"}, 0), 1,2,3,4,5,6,7,8,9,10,11,12), A446)</f>
        <v>43910</v>
      </c>
      <c r="H446">
        <v>0</v>
      </c>
      <c r="I446">
        <v>36000</v>
      </c>
      <c r="J446" s="1">
        <f t="shared" si="13"/>
        <v>43911</v>
      </c>
      <c r="K446">
        <f t="shared" si="12"/>
        <v>0</v>
      </c>
    </row>
    <row r="447" spans="1:11" x14ac:dyDescent="0.25">
      <c r="A447">
        <v>21</v>
      </c>
      <c r="B447" t="s">
        <v>12</v>
      </c>
      <c r="C447">
        <v>2020</v>
      </c>
      <c r="D447">
        <v>0</v>
      </c>
      <c r="E447" t="s">
        <v>9</v>
      </c>
      <c r="F447">
        <v>0</v>
      </c>
      <c r="G447" s="1">
        <f>DATE(C447, CHOOSE(MATCH(UPPER(B447), {"ENERO","FEBRERO","MARZO","ABRIL","MAYO","JUNIO","JULIO","AGOSTO","SEPTIEMBRE","OCTUBRE","NOVIEMBRE","DICIEMBRE"}, 0), 1,2,3,4,5,6,7,8,9,10,11,12), A447)</f>
        <v>43911</v>
      </c>
      <c r="H447">
        <v>0</v>
      </c>
      <c r="I447">
        <v>36000</v>
      </c>
      <c r="J447" s="1">
        <f t="shared" si="13"/>
        <v>43912</v>
      </c>
      <c r="K447">
        <f t="shared" si="12"/>
        <v>0</v>
      </c>
    </row>
    <row r="448" spans="1:11" x14ac:dyDescent="0.25">
      <c r="A448">
        <v>22</v>
      </c>
      <c r="B448" t="s">
        <v>12</v>
      </c>
      <c r="C448">
        <v>2020</v>
      </c>
      <c r="D448">
        <v>0</v>
      </c>
      <c r="E448" t="s">
        <v>9</v>
      </c>
      <c r="F448">
        <v>0</v>
      </c>
      <c r="G448" s="1">
        <f>DATE(C448, CHOOSE(MATCH(UPPER(B448), {"ENERO","FEBRERO","MARZO","ABRIL","MAYO","JUNIO","JULIO","AGOSTO","SEPTIEMBRE","OCTUBRE","NOVIEMBRE","DICIEMBRE"}, 0), 1,2,3,4,5,6,7,8,9,10,11,12), A448)</f>
        <v>43912</v>
      </c>
      <c r="H448">
        <v>0</v>
      </c>
      <c r="I448">
        <v>36000</v>
      </c>
      <c r="J448" s="1">
        <f t="shared" si="13"/>
        <v>43913</v>
      </c>
      <c r="K448">
        <f t="shared" si="12"/>
        <v>0</v>
      </c>
    </row>
    <row r="449" spans="1:11" x14ac:dyDescent="0.25">
      <c r="A449">
        <v>23</v>
      </c>
      <c r="B449" t="s">
        <v>12</v>
      </c>
      <c r="C449">
        <v>2020</v>
      </c>
      <c r="D449">
        <v>0</v>
      </c>
      <c r="E449" t="s">
        <v>9</v>
      </c>
      <c r="F449">
        <v>0</v>
      </c>
      <c r="G449" s="1">
        <f>DATE(C449, CHOOSE(MATCH(UPPER(B449), {"ENERO","FEBRERO","MARZO","ABRIL","MAYO","JUNIO","JULIO","AGOSTO","SEPTIEMBRE","OCTUBRE","NOVIEMBRE","DICIEMBRE"}, 0), 1,2,3,4,5,6,7,8,9,10,11,12), A449)</f>
        <v>43913</v>
      </c>
      <c r="H449">
        <v>0</v>
      </c>
      <c r="I449">
        <v>36000</v>
      </c>
      <c r="J449" s="1">
        <f t="shared" si="13"/>
        <v>43914</v>
      </c>
      <c r="K449">
        <f t="shared" si="12"/>
        <v>0</v>
      </c>
    </row>
    <row r="450" spans="1:11" x14ac:dyDescent="0.25">
      <c r="A450">
        <v>24</v>
      </c>
      <c r="B450" t="s">
        <v>12</v>
      </c>
      <c r="C450">
        <v>2020</v>
      </c>
      <c r="D450">
        <v>0</v>
      </c>
      <c r="E450" t="s">
        <v>9</v>
      </c>
      <c r="F450">
        <v>0</v>
      </c>
      <c r="G450" s="1">
        <f>DATE(C450, CHOOSE(MATCH(UPPER(B450), {"ENERO","FEBRERO","MARZO","ABRIL","MAYO","JUNIO","JULIO","AGOSTO","SEPTIEMBRE","OCTUBRE","NOVIEMBRE","DICIEMBRE"}, 0), 1,2,3,4,5,6,7,8,9,10,11,12), A450)</f>
        <v>43914</v>
      </c>
      <c r="H450">
        <v>0</v>
      </c>
      <c r="I450">
        <v>36000</v>
      </c>
      <c r="J450" s="1">
        <f t="shared" si="13"/>
        <v>43915</v>
      </c>
      <c r="K450">
        <f t="shared" ref="K450:K513" si="14">VLOOKUP(J450, G:H, 2, FALSE)</f>
        <v>0</v>
      </c>
    </row>
    <row r="451" spans="1:11" x14ac:dyDescent="0.25">
      <c r="A451">
        <v>25</v>
      </c>
      <c r="B451" t="s">
        <v>12</v>
      </c>
      <c r="C451">
        <v>2020</v>
      </c>
      <c r="D451">
        <v>0</v>
      </c>
      <c r="E451" t="s">
        <v>9</v>
      </c>
      <c r="F451">
        <v>0</v>
      </c>
      <c r="G451" s="1">
        <f>DATE(C451, CHOOSE(MATCH(UPPER(B451), {"ENERO","FEBRERO","MARZO","ABRIL","MAYO","JUNIO","JULIO","AGOSTO","SEPTIEMBRE","OCTUBRE","NOVIEMBRE","DICIEMBRE"}, 0), 1,2,3,4,5,6,7,8,9,10,11,12), A451)</f>
        <v>43915</v>
      </c>
      <c r="H451">
        <v>0</v>
      </c>
      <c r="I451">
        <v>36000</v>
      </c>
      <c r="J451" s="1">
        <f t="shared" si="13"/>
        <v>43916</v>
      </c>
      <c r="K451">
        <f t="shared" si="14"/>
        <v>0</v>
      </c>
    </row>
    <row r="452" spans="1:11" x14ac:dyDescent="0.25">
      <c r="A452">
        <v>26</v>
      </c>
      <c r="B452" t="s">
        <v>12</v>
      </c>
      <c r="C452">
        <v>2020</v>
      </c>
      <c r="D452">
        <v>0</v>
      </c>
      <c r="E452" t="s">
        <v>9</v>
      </c>
      <c r="F452">
        <v>0</v>
      </c>
      <c r="G452" s="1">
        <f>DATE(C452, CHOOSE(MATCH(UPPER(B452), {"ENERO","FEBRERO","MARZO","ABRIL","MAYO","JUNIO","JULIO","AGOSTO","SEPTIEMBRE","OCTUBRE","NOVIEMBRE","DICIEMBRE"}, 0), 1,2,3,4,5,6,7,8,9,10,11,12), A452)</f>
        <v>43916</v>
      </c>
      <c r="H452">
        <v>0</v>
      </c>
      <c r="I452">
        <v>36000</v>
      </c>
      <c r="J452" s="1">
        <f t="shared" ref="J452:J515" si="15">DATE(2019,1,1) + ROW()-1</f>
        <v>43917</v>
      </c>
      <c r="K452">
        <f t="shared" si="14"/>
        <v>0</v>
      </c>
    </row>
    <row r="453" spans="1:11" x14ac:dyDescent="0.25">
      <c r="A453">
        <v>27</v>
      </c>
      <c r="B453" t="s">
        <v>12</v>
      </c>
      <c r="C453">
        <v>2020</v>
      </c>
      <c r="D453">
        <v>0</v>
      </c>
      <c r="E453" t="s">
        <v>9</v>
      </c>
      <c r="F453">
        <v>0</v>
      </c>
      <c r="G453" s="1">
        <f>DATE(C453, CHOOSE(MATCH(UPPER(B453), {"ENERO","FEBRERO","MARZO","ABRIL","MAYO","JUNIO","JULIO","AGOSTO","SEPTIEMBRE","OCTUBRE","NOVIEMBRE","DICIEMBRE"}, 0), 1,2,3,4,5,6,7,8,9,10,11,12), A453)</f>
        <v>43917</v>
      </c>
      <c r="H453">
        <v>0</v>
      </c>
      <c r="I453">
        <v>36000</v>
      </c>
      <c r="J453" s="1">
        <f t="shared" si="15"/>
        <v>43918</v>
      </c>
      <c r="K453">
        <f t="shared" si="14"/>
        <v>0</v>
      </c>
    </row>
    <row r="454" spans="1:11" x14ac:dyDescent="0.25">
      <c r="A454">
        <v>28</v>
      </c>
      <c r="B454" t="s">
        <v>12</v>
      </c>
      <c r="C454">
        <v>2020</v>
      </c>
      <c r="D454">
        <v>0</v>
      </c>
      <c r="E454" t="s">
        <v>9</v>
      </c>
      <c r="F454">
        <v>0</v>
      </c>
      <c r="G454" s="1">
        <f>DATE(C454, CHOOSE(MATCH(UPPER(B454), {"ENERO","FEBRERO","MARZO","ABRIL","MAYO","JUNIO","JULIO","AGOSTO","SEPTIEMBRE","OCTUBRE","NOVIEMBRE","DICIEMBRE"}, 0), 1,2,3,4,5,6,7,8,9,10,11,12), A454)</f>
        <v>43918</v>
      </c>
      <c r="H454">
        <v>0</v>
      </c>
      <c r="I454">
        <v>36000</v>
      </c>
      <c r="J454" s="1">
        <f t="shared" si="15"/>
        <v>43919</v>
      </c>
      <c r="K454">
        <f t="shared" si="14"/>
        <v>0</v>
      </c>
    </row>
    <row r="455" spans="1:11" x14ac:dyDescent="0.25">
      <c r="A455">
        <v>29</v>
      </c>
      <c r="B455" t="s">
        <v>12</v>
      </c>
      <c r="C455">
        <v>2020</v>
      </c>
      <c r="D455">
        <v>0</v>
      </c>
      <c r="E455" t="s">
        <v>9</v>
      </c>
      <c r="F455">
        <v>0</v>
      </c>
      <c r="G455" s="1">
        <f>DATE(C455, CHOOSE(MATCH(UPPER(B455), {"ENERO","FEBRERO","MARZO","ABRIL","MAYO","JUNIO","JULIO","AGOSTO","SEPTIEMBRE","OCTUBRE","NOVIEMBRE","DICIEMBRE"}, 0), 1,2,3,4,5,6,7,8,9,10,11,12), A455)</f>
        <v>43919</v>
      </c>
      <c r="H455">
        <v>0</v>
      </c>
      <c r="I455">
        <v>36000</v>
      </c>
      <c r="J455" s="1">
        <f t="shared" si="15"/>
        <v>43920</v>
      </c>
      <c r="K455">
        <f t="shared" si="14"/>
        <v>0</v>
      </c>
    </row>
    <row r="456" spans="1:11" x14ac:dyDescent="0.25">
      <c r="A456">
        <v>30</v>
      </c>
      <c r="B456" t="s">
        <v>12</v>
      </c>
      <c r="C456">
        <v>2020</v>
      </c>
      <c r="D456">
        <v>0</v>
      </c>
      <c r="E456" t="s">
        <v>9</v>
      </c>
      <c r="F456">
        <v>0</v>
      </c>
      <c r="G456" s="1">
        <f>DATE(C456, CHOOSE(MATCH(UPPER(B456), {"ENERO","FEBRERO","MARZO","ABRIL","MAYO","JUNIO","JULIO","AGOSTO","SEPTIEMBRE","OCTUBRE","NOVIEMBRE","DICIEMBRE"}, 0), 1,2,3,4,5,6,7,8,9,10,11,12), A456)</f>
        <v>43920</v>
      </c>
      <c r="H456">
        <v>0</v>
      </c>
      <c r="I456">
        <v>36000</v>
      </c>
      <c r="J456" s="1">
        <f t="shared" si="15"/>
        <v>43921</v>
      </c>
      <c r="K456">
        <f t="shared" si="14"/>
        <v>0</v>
      </c>
    </row>
    <row r="457" spans="1:11" x14ac:dyDescent="0.25">
      <c r="A457">
        <v>31</v>
      </c>
      <c r="B457" t="s">
        <v>12</v>
      </c>
      <c r="C457">
        <v>2020</v>
      </c>
      <c r="D457">
        <v>0</v>
      </c>
      <c r="E457" t="s">
        <v>9</v>
      </c>
      <c r="F457">
        <v>0</v>
      </c>
      <c r="G457" s="1">
        <f>DATE(C457, CHOOSE(MATCH(UPPER(B457), {"ENERO","FEBRERO","MARZO","ABRIL","MAYO","JUNIO","JULIO","AGOSTO","SEPTIEMBRE","OCTUBRE","NOVIEMBRE","DICIEMBRE"}, 0), 1,2,3,4,5,6,7,8,9,10,11,12), A457)</f>
        <v>43921</v>
      </c>
      <c r="H457">
        <v>0</v>
      </c>
      <c r="I457">
        <v>36000</v>
      </c>
      <c r="J457" s="1">
        <f t="shared" si="15"/>
        <v>43922</v>
      </c>
      <c r="K457">
        <f t="shared" si="14"/>
        <v>0</v>
      </c>
    </row>
    <row r="458" spans="1:11" x14ac:dyDescent="0.25">
      <c r="A458">
        <v>1</v>
      </c>
      <c r="B458" t="s">
        <v>13</v>
      </c>
      <c r="C458">
        <v>2020</v>
      </c>
      <c r="D458" t="s">
        <v>9</v>
      </c>
      <c r="E458" t="s">
        <v>9</v>
      </c>
      <c r="F458" t="s">
        <v>9</v>
      </c>
      <c r="G458" s="1">
        <f>DATE(C458, CHOOSE(MATCH(UPPER(B458), {"ENERO","FEBRERO","MARZO","ABRIL","MAYO","JUNIO","JULIO","AGOSTO","SEPTIEMBRE","OCTUBRE","NOVIEMBRE","DICIEMBRE"}, 0), 1,2,3,4,5,6,7,8,9,10,11,12), A458)</f>
        <v>43922</v>
      </c>
      <c r="H458">
        <v>0</v>
      </c>
      <c r="I458">
        <v>36000</v>
      </c>
      <c r="J458" s="1">
        <f t="shared" si="15"/>
        <v>43923</v>
      </c>
      <c r="K458">
        <f t="shared" si="14"/>
        <v>0</v>
      </c>
    </row>
    <row r="459" spans="1:11" x14ac:dyDescent="0.25">
      <c r="A459">
        <v>2</v>
      </c>
      <c r="B459" t="s">
        <v>13</v>
      </c>
      <c r="C459">
        <v>2020</v>
      </c>
      <c r="D459" t="s">
        <v>9</v>
      </c>
      <c r="E459" t="s">
        <v>9</v>
      </c>
      <c r="F459" t="s">
        <v>9</v>
      </c>
      <c r="G459" s="1">
        <f>DATE(C459, CHOOSE(MATCH(UPPER(B459), {"ENERO","FEBRERO","MARZO","ABRIL","MAYO","JUNIO","JULIO","AGOSTO","SEPTIEMBRE","OCTUBRE","NOVIEMBRE","DICIEMBRE"}, 0), 1,2,3,4,5,6,7,8,9,10,11,12), A459)</f>
        <v>43923</v>
      </c>
      <c r="H459">
        <v>0</v>
      </c>
      <c r="I459">
        <v>36000</v>
      </c>
      <c r="J459" s="1">
        <f t="shared" si="15"/>
        <v>43924</v>
      </c>
      <c r="K459">
        <f t="shared" si="14"/>
        <v>0</v>
      </c>
    </row>
    <row r="460" spans="1:11" x14ac:dyDescent="0.25">
      <c r="A460">
        <v>3</v>
      </c>
      <c r="B460" t="s">
        <v>13</v>
      </c>
      <c r="C460">
        <v>2020</v>
      </c>
      <c r="D460" t="s">
        <v>9</v>
      </c>
      <c r="E460" t="s">
        <v>9</v>
      </c>
      <c r="F460" t="s">
        <v>9</v>
      </c>
      <c r="G460" s="1">
        <f>DATE(C460, CHOOSE(MATCH(UPPER(B460), {"ENERO","FEBRERO","MARZO","ABRIL","MAYO","JUNIO","JULIO","AGOSTO","SEPTIEMBRE","OCTUBRE","NOVIEMBRE","DICIEMBRE"}, 0), 1,2,3,4,5,6,7,8,9,10,11,12), A460)</f>
        <v>43924</v>
      </c>
      <c r="H460">
        <v>0</v>
      </c>
      <c r="I460">
        <v>36000</v>
      </c>
      <c r="J460" s="1">
        <f t="shared" si="15"/>
        <v>43925</v>
      </c>
      <c r="K460">
        <f t="shared" si="14"/>
        <v>0</v>
      </c>
    </row>
    <row r="461" spans="1:11" x14ac:dyDescent="0.25">
      <c r="A461">
        <v>4</v>
      </c>
      <c r="B461" t="s">
        <v>13</v>
      </c>
      <c r="C461">
        <v>2020</v>
      </c>
      <c r="D461" t="s">
        <v>9</v>
      </c>
      <c r="E461" t="s">
        <v>9</v>
      </c>
      <c r="F461" t="s">
        <v>9</v>
      </c>
      <c r="G461" s="1">
        <f>DATE(C461, CHOOSE(MATCH(UPPER(B461), {"ENERO","FEBRERO","MARZO","ABRIL","MAYO","JUNIO","JULIO","AGOSTO","SEPTIEMBRE","OCTUBRE","NOVIEMBRE","DICIEMBRE"}, 0), 1,2,3,4,5,6,7,8,9,10,11,12), A461)</f>
        <v>43925</v>
      </c>
      <c r="H461">
        <v>0</v>
      </c>
      <c r="I461">
        <v>36000</v>
      </c>
      <c r="J461" s="1">
        <f t="shared" si="15"/>
        <v>43926</v>
      </c>
      <c r="K461">
        <f t="shared" si="14"/>
        <v>0</v>
      </c>
    </row>
    <row r="462" spans="1:11" x14ac:dyDescent="0.25">
      <c r="A462">
        <v>5</v>
      </c>
      <c r="B462" t="s">
        <v>13</v>
      </c>
      <c r="C462">
        <v>2020</v>
      </c>
      <c r="D462" t="s">
        <v>9</v>
      </c>
      <c r="E462" t="s">
        <v>9</v>
      </c>
      <c r="F462" t="s">
        <v>9</v>
      </c>
      <c r="G462" s="1">
        <f>DATE(C462, CHOOSE(MATCH(UPPER(B462), {"ENERO","FEBRERO","MARZO","ABRIL","MAYO","JUNIO","JULIO","AGOSTO","SEPTIEMBRE","OCTUBRE","NOVIEMBRE","DICIEMBRE"}, 0), 1,2,3,4,5,6,7,8,9,10,11,12), A462)</f>
        <v>43926</v>
      </c>
      <c r="H462">
        <v>0</v>
      </c>
      <c r="I462">
        <v>36000</v>
      </c>
      <c r="J462" s="1">
        <f t="shared" si="15"/>
        <v>43927</v>
      </c>
      <c r="K462">
        <f t="shared" si="14"/>
        <v>0</v>
      </c>
    </row>
    <row r="463" spans="1:11" x14ac:dyDescent="0.25">
      <c r="A463">
        <v>6</v>
      </c>
      <c r="B463" t="s">
        <v>13</v>
      </c>
      <c r="C463">
        <v>2020</v>
      </c>
      <c r="D463" t="s">
        <v>9</v>
      </c>
      <c r="E463" t="s">
        <v>9</v>
      </c>
      <c r="F463" t="s">
        <v>9</v>
      </c>
      <c r="G463" s="1">
        <f>DATE(C463, CHOOSE(MATCH(UPPER(B463), {"ENERO","FEBRERO","MARZO","ABRIL","MAYO","JUNIO","JULIO","AGOSTO","SEPTIEMBRE","OCTUBRE","NOVIEMBRE","DICIEMBRE"}, 0), 1,2,3,4,5,6,7,8,9,10,11,12), A463)</f>
        <v>43927</v>
      </c>
      <c r="H463">
        <v>0</v>
      </c>
      <c r="I463">
        <v>36000</v>
      </c>
      <c r="J463" s="1">
        <f t="shared" si="15"/>
        <v>43928</v>
      </c>
      <c r="K463">
        <f t="shared" si="14"/>
        <v>0</v>
      </c>
    </row>
    <row r="464" spans="1:11" x14ac:dyDescent="0.25">
      <c r="A464">
        <v>7</v>
      </c>
      <c r="B464" t="s">
        <v>13</v>
      </c>
      <c r="C464">
        <v>2020</v>
      </c>
      <c r="D464" t="s">
        <v>9</v>
      </c>
      <c r="E464" t="s">
        <v>9</v>
      </c>
      <c r="F464" t="s">
        <v>9</v>
      </c>
      <c r="G464" s="1">
        <f>DATE(C464, CHOOSE(MATCH(UPPER(B464), {"ENERO","FEBRERO","MARZO","ABRIL","MAYO","JUNIO","JULIO","AGOSTO","SEPTIEMBRE","OCTUBRE","NOVIEMBRE","DICIEMBRE"}, 0), 1,2,3,4,5,6,7,8,9,10,11,12), A464)</f>
        <v>43928</v>
      </c>
      <c r="H464">
        <v>0</v>
      </c>
      <c r="I464">
        <v>36000</v>
      </c>
      <c r="J464" s="1">
        <f t="shared" si="15"/>
        <v>43929</v>
      </c>
      <c r="K464">
        <f t="shared" si="14"/>
        <v>0</v>
      </c>
    </row>
    <row r="465" spans="1:11" x14ac:dyDescent="0.25">
      <c r="A465">
        <v>8</v>
      </c>
      <c r="B465" t="s">
        <v>13</v>
      </c>
      <c r="C465">
        <v>2020</v>
      </c>
      <c r="D465" t="s">
        <v>9</v>
      </c>
      <c r="E465" t="s">
        <v>9</v>
      </c>
      <c r="F465" t="s">
        <v>9</v>
      </c>
      <c r="G465" s="1">
        <f>DATE(C465, CHOOSE(MATCH(UPPER(B465), {"ENERO","FEBRERO","MARZO","ABRIL","MAYO","JUNIO","JULIO","AGOSTO","SEPTIEMBRE","OCTUBRE","NOVIEMBRE","DICIEMBRE"}, 0), 1,2,3,4,5,6,7,8,9,10,11,12), A465)</f>
        <v>43929</v>
      </c>
      <c r="H465">
        <v>0</v>
      </c>
      <c r="I465">
        <v>36000</v>
      </c>
      <c r="J465" s="1">
        <f t="shared" si="15"/>
        <v>43930</v>
      </c>
      <c r="K465">
        <f t="shared" si="14"/>
        <v>0</v>
      </c>
    </row>
    <row r="466" spans="1:11" x14ac:dyDescent="0.25">
      <c r="A466">
        <v>9</v>
      </c>
      <c r="B466" t="s">
        <v>13</v>
      </c>
      <c r="C466">
        <v>2020</v>
      </c>
      <c r="D466" t="s">
        <v>9</v>
      </c>
      <c r="E466" t="s">
        <v>9</v>
      </c>
      <c r="F466" t="s">
        <v>9</v>
      </c>
      <c r="G466" s="1">
        <f>DATE(C466, CHOOSE(MATCH(UPPER(B466), {"ENERO","FEBRERO","MARZO","ABRIL","MAYO","JUNIO","JULIO","AGOSTO","SEPTIEMBRE","OCTUBRE","NOVIEMBRE","DICIEMBRE"}, 0), 1,2,3,4,5,6,7,8,9,10,11,12), A466)</f>
        <v>43930</v>
      </c>
      <c r="H466">
        <v>0</v>
      </c>
      <c r="I466">
        <v>36000</v>
      </c>
      <c r="J466" s="1">
        <f t="shared" si="15"/>
        <v>43931</v>
      </c>
      <c r="K466">
        <f t="shared" si="14"/>
        <v>0</v>
      </c>
    </row>
    <row r="467" spans="1:11" x14ac:dyDescent="0.25">
      <c r="A467">
        <v>10</v>
      </c>
      <c r="B467" t="s">
        <v>13</v>
      </c>
      <c r="C467">
        <v>2020</v>
      </c>
      <c r="D467" t="s">
        <v>9</v>
      </c>
      <c r="E467" t="s">
        <v>9</v>
      </c>
      <c r="F467" t="s">
        <v>9</v>
      </c>
      <c r="G467" s="1">
        <f>DATE(C467, CHOOSE(MATCH(UPPER(B467), {"ENERO","FEBRERO","MARZO","ABRIL","MAYO","JUNIO","JULIO","AGOSTO","SEPTIEMBRE","OCTUBRE","NOVIEMBRE","DICIEMBRE"}, 0), 1,2,3,4,5,6,7,8,9,10,11,12), A467)</f>
        <v>43931</v>
      </c>
      <c r="H467">
        <v>0</v>
      </c>
      <c r="I467">
        <v>36000</v>
      </c>
      <c r="J467" s="1">
        <f t="shared" si="15"/>
        <v>43932</v>
      </c>
      <c r="K467">
        <f t="shared" si="14"/>
        <v>0</v>
      </c>
    </row>
    <row r="468" spans="1:11" x14ac:dyDescent="0.25">
      <c r="A468">
        <v>11</v>
      </c>
      <c r="B468" t="s">
        <v>13</v>
      </c>
      <c r="C468">
        <v>2020</v>
      </c>
      <c r="D468" t="s">
        <v>9</v>
      </c>
      <c r="E468" t="s">
        <v>9</v>
      </c>
      <c r="F468" t="s">
        <v>9</v>
      </c>
      <c r="G468" s="1">
        <f>DATE(C468, CHOOSE(MATCH(UPPER(B468), {"ENERO","FEBRERO","MARZO","ABRIL","MAYO","JUNIO","JULIO","AGOSTO","SEPTIEMBRE","OCTUBRE","NOVIEMBRE","DICIEMBRE"}, 0), 1,2,3,4,5,6,7,8,9,10,11,12), A468)</f>
        <v>43932</v>
      </c>
      <c r="H468">
        <v>0</v>
      </c>
      <c r="I468">
        <v>36000</v>
      </c>
      <c r="J468" s="1">
        <f t="shared" si="15"/>
        <v>43933</v>
      </c>
      <c r="K468">
        <f t="shared" si="14"/>
        <v>0</v>
      </c>
    </row>
    <row r="469" spans="1:11" x14ac:dyDescent="0.25">
      <c r="A469">
        <v>12</v>
      </c>
      <c r="B469" t="s">
        <v>13</v>
      </c>
      <c r="C469">
        <v>2020</v>
      </c>
      <c r="D469" t="s">
        <v>9</v>
      </c>
      <c r="E469" t="s">
        <v>9</v>
      </c>
      <c r="F469" t="s">
        <v>9</v>
      </c>
      <c r="G469" s="1">
        <f>DATE(C469, CHOOSE(MATCH(UPPER(B469), {"ENERO","FEBRERO","MARZO","ABRIL","MAYO","JUNIO","JULIO","AGOSTO","SEPTIEMBRE","OCTUBRE","NOVIEMBRE","DICIEMBRE"}, 0), 1,2,3,4,5,6,7,8,9,10,11,12), A469)</f>
        <v>43933</v>
      </c>
      <c r="H469">
        <v>0</v>
      </c>
      <c r="I469">
        <v>36000</v>
      </c>
      <c r="J469" s="1">
        <f t="shared" si="15"/>
        <v>43934</v>
      </c>
      <c r="K469">
        <f t="shared" si="14"/>
        <v>0</v>
      </c>
    </row>
    <row r="470" spans="1:11" x14ac:dyDescent="0.25">
      <c r="A470">
        <v>13</v>
      </c>
      <c r="B470" t="s">
        <v>13</v>
      </c>
      <c r="C470">
        <v>2020</v>
      </c>
      <c r="D470" t="s">
        <v>9</v>
      </c>
      <c r="E470" t="s">
        <v>9</v>
      </c>
      <c r="F470" t="s">
        <v>9</v>
      </c>
      <c r="G470" s="1">
        <f>DATE(C470, CHOOSE(MATCH(UPPER(B470), {"ENERO","FEBRERO","MARZO","ABRIL","MAYO","JUNIO","JULIO","AGOSTO","SEPTIEMBRE","OCTUBRE","NOVIEMBRE","DICIEMBRE"}, 0), 1,2,3,4,5,6,7,8,9,10,11,12), A470)</f>
        <v>43934</v>
      </c>
      <c r="H470">
        <v>0</v>
      </c>
      <c r="I470">
        <v>36000</v>
      </c>
      <c r="J470" s="1">
        <f t="shared" si="15"/>
        <v>43935</v>
      </c>
      <c r="K470">
        <f t="shared" si="14"/>
        <v>0</v>
      </c>
    </row>
    <row r="471" spans="1:11" x14ac:dyDescent="0.25">
      <c r="A471">
        <v>14</v>
      </c>
      <c r="B471" t="s">
        <v>13</v>
      </c>
      <c r="C471">
        <v>2020</v>
      </c>
      <c r="D471" t="s">
        <v>9</v>
      </c>
      <c r="E471" t="s">
        <v>9</v>
      </c>
      <c r="F471" t="s">
        <v>9</v>
      </c>
      <c r="G471" s="1">
        <f>DATE(C471, CHOOSE(MATCH(UPPER(B471), {"ENERO","FEBRERO","MARZO","ABRIL","MAYO","JUNIO","JULIO","AGOSTO","SEPTIEMBRE","OCTUBRE","NOVIEMBRE","DICIEMBRE"}, 0), 1,2,3,4,5,6,7,8,9,10,11,12), A471)</f>
        <v>43935</v>
      </c>
      <c r="H471">
        <v>0</v>
      </c>
      <c r="I471">
        <v>36000</v>
      </c>
      <c r="J471" s="1">
        <f t="shared" si="15"/>
        <v>43936</v>
      </c>
      <c r="K471">
        <f t="shared" si="14"/>
        <v>0</v>
      </c>
    </row>
    <row r="472" spans="1:11" x14ac:dyDescent="0.25">
      <c r="A472">
        <v>15</v>
      </c>
      <c r="B472" t="s">
        <v>13</v>
      </c>
      <c r="C472">
        <v>2020</v>
      </c>
      <c r="D472" t="s">
        <v>9</v>
      </c>
      <c r="E472" t="s">
        <v>9</v>
      </c>
      <c r="F472" t="s">
        <v>9</v>
      </c>
      <c r="G472" s="1">
        <f>DATE(C472, CHOOSE(MATCH(UPPER(B472), {"ENERO","FEBRERO","MARZO","ABRIL","MAYO","JUNIO","JULIO","AGOSTO","SEPTIEMBRE","OCTUBRE","NOVIEMBRE","DICIEMBRE"}, 0), 1,2,3,4,5,6,7,8,9,10,11,12), A472)</f>
        <v>43936</v>
      </c>
      <c r="H472">
        <v>0</v>
      </c>
      <c r="I472">
        <v>36000</v>
      </c>
      <c r="J472" s="1">
        <f t="shared" si="15"/>
        <v>43937</v>
      </c>
      <c r="K472">
        <f t="shared" si="14"/>
        <v>0</v>
      </c>
    </row>
    <row r="473" spans="1:11" x14ac:dyDescent="0.25">
      <c r="A473">
        <v>16</v>
      </c>
      <c r="B473" t="s">
        <v>13</v>
      </c>
      <c r="C473">
        <v>2020</v>
      </c>
      <c r="D473" t="s">
        <v>9</v>
      </c>
      <c r="E473" t="s">
        <v>9</v>
      </c>
      <c r="F473" t="s">
        <v>9</v>
      </c>
      <c r="G473" s="1">
        <f>DATE(C473, CHOOSE(MATCH(UPPER(B473), {"ENERO","FEBRERO","MARZO","ABRIL","MAYO","JUNIO","JULIO","AGOSTO","SEPTIEMBRE","OCTUBRE","NOVIEMBRE","DICIEMBRE"}, 0), 1,2,3,4,5,6,7,8,9,10,11,12), A473)</f>
        <v>43937</v>
      </c>
      <c r="H473">
        <v>0</v>
      </c>
      <c r="I473">
        <v>36000</v>
      </c>
      <c r="J473" s="1">
        <f t="shared" si="15"/>
        <v>43938</v>
      </c>
      <c r="K473">
        <f t="shared" si="14"/>
        <v>0</v>
      </c>
    </row>
    <row r="474" spans="1:11" x14ac:dyDescent="0.25">
      <c r="A474">
        <v>17</v>
      </c>
      <c r="B474" t="s">
        <v>13</v>
      </c>
      <c r="C474">
        <v>2020</v>
      </c>
      <c r="D474" t="s">
        <v>9</v>
      </c>
      <c r="E474" t="s">
        <v>9</v>
      </c>
      <c r="F474" t="s">
        <v>9</v>
      </c>
      <c r="G474" s="1">
        <f>DATE(C474, CHOOSE(MATCH(UPPER(B474), {"ENERO","FEBRERO","MARZO","ABRIL","MAYO","JUNIO","JULIO","AGOSTO","SEPTIEMBRE","OCTUBRE","NOVIEMBRE","DICIEMBRE"}, 0), 1,2,3,4,5,6,7,8,9,10,11,12), A474)</f>
        <v>43938</v>
      </c>
      <c r="H474">
        <v>0</v>
      </c>
      <c r="I474">
        <v>36000</v>
      </c>
      <c r="J474" s="1">
        <f t="shared" si="15"/>
        <v>43939</v>
      </c>
      <c r="K474">
        <f t="shared" si="14"/>
        <v>0</v>
      </c>
    </row>
    <row r="475" spans="1:11" x14ac:dyDescent="0.25">
      <c r="A475">
        <v>18</v>
      </c>
      <c r="B475" t="s">
        <v>13</v>
      </c>
      <c r="C475">
        <v>2020</v>
      </c>
      <c r="D475" t="s">
        <v>9</v>
      </c>
      <c r="E475" t="s">
        <v>9</v>
      </c>
      <c r="F475" t="s">
        <v>9</v>
      </c>
      <c r="G475" s="1">
        <f>DATE(C475, CHOOSE(MATCH(UPPER(B475), {"ENERO","FEBRERO","MARZO","ABRIL","MAYO","JUNIO","JULIO","AGOSTO","SEPTIEMBRE","OCTUBRE","NOVIEMBRE","DICIEMBRE"}, 0), 1,2,3,4,5,6,7,8,9,10,11,12), A475)</f>
        <v>43939</v>
      </c>
      <c r="H475">
        <v>0</v>
      </c>
      <c r="I475">
        <v>36000</v>
      </c>
      <c r="J475" s="1">
        <f t="shared" si="15"/>
        <v>43940</v>
      </c>
      <c r="K475">
        <f t="shared" si="14"/>
        <v>0</v>
      </c>
    </row>
    <row r="476" spans="1:11" x14ac:dyDescent="0.25">
      <c r="A476">
        <v>19</v>
      </c>
      <c r="B476" t="s">
        <v>13</v>
      </c>
      <c r="C476">
        <v>2020</v>
      </c>
      <c r="D476" t="s">
        <v>9</v>
      </c>
      <c r="E476" t="s">
        <v>9</v>
      </c>
      <c r="F476" t="s">
        <v>9</v>
      </c>
      <c r="G476" s="1">
        <f>DATE(C476, CHOOSE(MATCH(UPPER(B476), {"ENERO","FEBRERO","MARZO","ABRIL","MAYO","JUNIO","JULIO","AGOSTO","SEPTIEMBRE","OCTUBRE","NOVIEMBRE","DICIEMBRE"}, 0), 1,2,3,4,5,6,7,8,9,10,11,12), A476)</f>
        <v>43940</v>
      </c>
      <c r="H476">
        <v>0</v>
      </c>
      <c r="I476">
        <v>36000</v>
      </c>
      <c r="J476" s="1">
        <f t="shared" si="15"/>
        <v>43941</v>
      </c>
      <c r="K476">
        <f t="shared" si="14"/>
        <v>0</v>
      </c>
    </row>
    <row r="477" spans="1:11" x14ac:dyDescent="0.25">
      <c r="A477">
        <v>20</v>
      </c>
      <c r="B477" t="s">
        <v>13</v>
      </c>
      <c r="C477">
        <v>2020</v>
      </c>
      <c r="D477" t="s">
        <v>9</v>
      </c>
      <c r="E477" t="s">
        <v>9</v>
      </c>
      <c r="F477" t="s">
        <v>9</v>
      </c>
      <c r="G477" s="1">
        <f>DATE(C477, CHOOSE(MATCH(UPPER(B477), {"ENERO","FEBRERO","MARZO","ABRIL","MAYO","JUNIO","JULIO","AGOSTO","SEPTIEMBRE","OCTUBRE","NOVIEMBRE","DICIEMBRE"}, 0), 1,2,3,4,5,6,7,8,9,10,11,12), A477)</f>
        <v>43941</v>
      </c>
      <c r="H477">
        <v>0</v>
      </c>
      <c r="I477">
        <v>36000</v>
      </c>
      <c r="J477" s="1">
        <f t="shared" si="15"/>
        <v>43942</v>
      </c>
      <c r="K477">
        <f t="shared" si="14"/>
        <v>0</v>
      </c>
    </row>
    <row r="478" spans="1:11" x14ac:dyDescent="0.25">
      <c r="A478">
        <v>21</v>
      </c>
      <c r="B478" t="s">
        <v>13</v>
      </c>
      <c r="C478">
        <v>2020</v>
      </c>
      <c r="D478" t="s">
        <v>9</v>
      </c>
      <c r="E478" t="s">
        <v>9</v>
      </c>
      <c r="F478" t="s">
        <v>9</v>
      </c>
      <c r="G478" s="1">
        <f>DATE(C478, CHOOSE(MATCH(UPPER(B478), {"ENERO","FEBRERO","MARZO","ABRIL","MAYO","JUNIO","JULIO","AGOSTO","SEPTIEMBRE","OCTUBRE","NOVIEMBRE","DICIEMBRE"}, 0), 1,2,3,4,5,6,7,8,9,10,11,12), A478)</f>
        <v>43942</v>
      </c>
      <c r="H478">
        <v>0</v>
      </c>
      <c r="I478">
        <v>36000</v>
      </c>
      <c r="J478" s="1">
        <f t="shared" si="15"/>
        <v>43943</v>
      </c>
      <c r="K478">
        <f t="shared" si="14"/>
        <v>0</v>
      </c>
    </row>
    <row r="479" spans="1:11" x14ac:dyDescent="0.25">
      <c r="A479">
        <v>22</v>
      </c>
      <c r="B479" t="s">
        <v>13</v>
      </c>
      <c r="C479">
        <v>2020</v>
      </c>
      <c r="D479" t="s">
        <v>9</v>
      </c>
      <c r="E479" t="s">
        <v>9</v>
      </c>
      <c r="F479" t="s">
        <v>9</v>
      </c>
      <c r="G479" s="1">
        <f>DATE(C479, CHOOSE(MATCH(UPPER(B479), {"ENERO","FEBRERO","MARZO","ABRIL","MAYO","JUNIO","JULIO","AGOSTO","SEPTIEMBRE","OCTUBRE","NOVIEMBRE","DICIEMBRE"}, 0), 1,2,3,4,5,6,7,8,9,10,11,12), A479)</f>
        <v>43943</v>
      </c>
      <c r="H479">
        <v>0</v>
      </c>
      <c r="I479">
        <v>36000</v>
      </c>
      <c r="J479" s="1">
        <f t="shared" si="15"/>
        <v>43944</v>
      </c>
      <c r="K479">
        <f t="shared" si="14"/>
        <v>0</v>
      </c>
    </row>
    <row r="480" spans="1:11" x14ac:dyDescent="0.25">
      <c r="A480">
        <v>23</v>
      </c>
      <c r="B480" t="s">
        <v>13</v>
      </c>
      <c r="C480">
        <v>2020</v>
      </c>
      <c r="D480" t="s">
        <v>9</v>
      </c>
      <c r="E480" t="s">
        <v>9</v>
      </c>
      <c r="F480" t="s">
        <v>9</v>
      </c>
      <c r="G480" s="1">
        <f>DATE(C480, CHOOSE(MATCH(UPPER(B480), {"ENERO","FEBRERO","MARZO","ABRIL","MAYO","JUNIO","JULIO","AGOSTO","SEPTIEMBRE","OCTUBRE","NOVIEMBRE","DICIEMBRE"}, 0), 1,2,3,4,5,6,7,8,9,10,11,12), A480)</f>
        <v>43944</v>
      </c>
      <c r="H480">
        <v>0</v>
      </c>
      <c r="I480">
        <v>36000</v>
      </c>
      <c r="J480" s="1">
        <f t="shared" si="15"/>
        <v>43945</v>
      </c>
      <c r="K480">
        <f t="shared" si="14"/>
        <v>0</v>
      </c>
    </row>
    <row r="481" spans="1:11" x14ac:dyDescent="0.25">
      <c r="A481">
        <v>24</v>
      </c>
      <c r="B481" t="s">
        <v>13</v>
      </c>
      <c r="C481">
        <v>2020</v>
      </c>
      <c r="D481" t="s">
        <v>9</v>
      </c>
      <c r="E481" t="s">
        <v>9</v>
      </c>
      <c r="F481" t="s">
        <v>9</v>
      </c>
      <c r="G481" s="1">
        <f>DATE(C481, CHOOSE(MATCH(UPPER(B481), {"ENERO","FEBRERO","MARZO","ABRIL","MAYO","JUNIO","JULIO","AGOSTO","SEPTIEMBRE","OCTUBRE","NOVIEMBRE","DICIEMBRE"}, 0), 1,2,3,4,5,6,7,8,9,10,11,12), A481)</f>
        <v>43945</v>
      </c>
      <c r="H481">
        <v>0</v>
      </c>
      <c r="I481">
        <v>36000</v>
      </c>
      <c r="J481" s="1">
        <f t="shared" si="15"/>
        <v>43946</v>
      </c>
      <c r="K481">
        <f t="shared" si="14"/>
        <v>0</v>
      </c>
    </row>
    <row r="482" spans="1:11" x14ac:dyDescent="0.25">
      <c r="A482">
        <v>25</v>
      </c>
      <c r="B482" t="s">
        <v>13</v>
      </c>
      <c r="C482">
        <v>2020</v>
      </c>
      <c r="D482" t="s">
        <v>9</v>
      </c>
      <c r="E482" t="s">
        <v>9</v>
      </c>
      <c r="F482" t="s">
        <v>9</v>
      </c>
      <c r="G482" s="1">
        <f>DATE(C482, CHOOSE(MATCH(UPPER(B482), {"ENERO","FEBRERO","MARZO","ABRIL","MAYO","JUNIO","JULIO","AGOSTO","SEPTIEMBRE","OCTUBRE","NOVIEMBRE","DICIEMBRE"}, 0), 1,2,3,4,5,6,7,8,9,10,11,12), A482)</f>
        <v>43946</v>
      </c>
      <c r="H482">
        <v>0</v>
      </c>
      <c r="I482">
        <v>36000</v>
      </c>
      <c r="J482" s="1">
        <f t="shared" si="15"/>
        <v>43947</v>
      </c>
      <c r="K482">
        <f t="shared" si="14"/>
        <v>0</v>
      </c>
    </row>
    <row r="483" spans="1:11" x14ac:dyDescent="0.25">
      <c r="A483">
        <v>26</v>
      </c>
      <c r="B483" t="s">
        <v>13</v>
      </c>
      <c r="C483">
        <v>2020</v>
      </c>
      <c r="D483" t="s">
        <v>9</v>
      </c>
      <c r="E483" t="s">
        <v>9</v>
      </c>
      <c r="F483" t="s">
        <v>9</v>
      </c>
      <c r="G483" s="1">
        <f>DATE(C483, CHOOSE(MATCH(UPPER(B483), {"ENERO","FEBRERO","MARZO","ABRIL","MAYO","JUNIO","JULIO","AGOSTO","SEPTIEMBRE","OCTUBRE","NOVIEMBRE","DICIEMBRE"}, 0), 1,2,3,4,5,6,7,8,9,10,11,12), A483)</f>
        <v>43947</v>
      </c>
      <c r="H483">
        <v>0</v>
      </c>
      <c r="I483">
        <v>36000</v>
      </c>
      <c r="J483" s="1">
        <f t="shared" si="15"/>
        <v>43948</v>
      </c>
      <c r="K483">
        <f t="shared" si="14"/>
        <v>0</v>
      </c>
    </row>
    <row r="484" spans="1:11" x14ac:dyDescent="0.25">
      <c r="A484">
        <v>27</v>
      </c>
      <c r="B484" t="s">
        <v>13</v>
      </c>
      <c r="C484">
        <v>2020</v>
      </c>
      <c r="D484" t="s">
        <v>9</v>
      </c>
      <c r="E484" t="s">
        <v>9</v>
      </c>
      <c r="F484" t="s">
        <v>9</v>
      </c>
      <c r="G484" s="1">
        <f>DATE(C484, CHOOSE(MATCH(UPPER(B484), {"ENERO","FEBRERO","MARZO","ABRIL","MAYO","JUNIO","JULIO","AGOSTO","SEPTIEMBRE","OCTUBRE","NOVIEMBRE","DICIEMBRE"}, 0), 1,2,3,4,5,6,7,8,9,10,11,12), A484)</f>
        <v>43948</v>
      </c>
      <c r="H484">
        <v>0</v>
      </c>
      <c r="I484">
        <v>36000</v>
      </c>
      <c r="J484" s="1">
        <f t="shared" si="15"/>
        <v>43949</v>
      </c>
      <c r="K484">
        <f t="shared" si="14"/>
        <v>0</v>
      </c>
    </row>
    <row r="485" spans="1:11" x14ac:dyDescent="0.25">
      <c r="A485">
        <v>28</v>
      </c>
      <c r="B485" t="s">
        <v>13</v>
      </c>
      <c r="C485">
        <v>2020</v>
      </c>
      <c r="D485" t="s">
        <v>9</v>
      </c>
      <c r="E485" t="s">
        <v>9</v>
      </c>
      <c r="F485" t="s">
        <v>9</v>
      </c>
      <c r="G485" s="1">
        <f>DATE(C485, CHOOSE(MATCH(UPPER(B485), {"ENERO","FEBRERO","MARZO","ABRIL","MAYO","JUNIO","JULIO","AGOSTO","SEPTIEMBRE","OCTUBRE","NOVIEMBRE","DICIEMBRE"}, 0), 1,2,3,4,5,6,7,8,9,10,11,12), A485)</f>
        <v>43949</v>
      </c>
      <c r="H485">
        <v>0</v>
      </c>
      <c r="I485">
        <v>36000</v>
      </c>
      <c r="J485" s="1">
        <f t="shared" si="15"/>
        <v>43950</v>
      </c>
      <c r="K485">
        <f t="shared" si="14"/>
        <v>0</v>
      </c>
    </row>
    <row r="486" spans="1:11" x14ac:dyDescent="0.25">
      <c r="A486">
        <v>29</v>
      </c>
      <c r="B486" t="s">
        <v>13</v>
      </c>
      <c r="C486">
        <v>2020</v>
      </c>
      <c r="D486" t="s">
        <v>9</v>
      </c>
      <c r="E486" t="s">
        <v>9</v>
      </c>
      <c r="F486" t="s">
        <v>9</v>
      </c>
      <c r="G486" s="1">
        <f>DATE(C486, CHOOSE(MATCH(UPPER(B486), {"ENERO","FEBRERO","MARZO","ABRIL","MAYO","JUNIO","JULIO","AGOSTO","SEPTIEMBRE","OCTUBRE","NOVIEMBRE","DICIEMBRE"}, 0), 1,2,3,4,5,6,7,8,9,10,11,12), A486)</f>
        <v>43950</v>
      </c>
      <c r="H486">
        <v>0</v>
      </c>
      <c r="I486">
        <v>36000</v>
      </c>
      <c r="J486" s="1">
        <f t="shared" si="15"/>
        <v>43951</v>
      </c>
      <c r="K486">
        <f t="shared" si="14"/>
        <v>0</v>
      </c>
    </row>
    <row r="487" spans="1:11" x14ac:dyDescent="0.25">
      <c r="A487">
        <v>30</v>
      </c>
      <c r="B487" t="s">
        <v>13</v>
      </c>
      <c r="C487">
        <v>2020</v>
      </c>
      <c r="D487" t="s">
        <v>9</v>
      </c>
      <c r="E487" t="s">
        <v>9</v>
      </c>
      <c r="F487" t="s">
        <v>9</v>
      </c>
      <c r="G487" s="1">
        <f>DATE(C487, CHOOSE(MATCH(UPPER(B487), {"ENERO","FEBRERO","MARZO","ABRIL","MAYO","JUNIO","JULIO","AGOSTO","SEPTIEMBRE","OCTUBRE","NOVIEMBRE","DICIEMBRE"}, 0), 1,2,3,4,5,6,7,8,9,10,11,12), A487)</f>
        <v>43951</v>
      </c>
      <c r="H487">
        <v>0</v>
      </c>
      <c r="I487">
        <v>36000</v>
      </c>
      <c r="J487" s="1">
        <f t="shared" si="15"/>
        <v>43952</v>
      </c>
      <c r="K487" t="e">
        <f t="shared" si="14"/>
        <v>#N/A</v>
      </c>
    </row>
    <row r="488" spans="1:11" x14ac:dyDescent="0.25">
      <c r="A488">
        <v>1</v>
      </c>
      <c r="B488" t="s">
        <v>19</v>
      </c>
      <c r="C488">
        <v>2020</v>
      </c>
      <c r="D488">
        <v>57.875</v>
      </c>
      <c r="E488" t="s">
        <v>9</v>
      </c>
      <c r="F488">
        <v>39.875</v>
      </c>
      <c r="G488" s="1">
        <f>DATE(C488, CHOOSE(MATCH(UPPER(B488), {"ENERO","FEBRERO","MARZO","ABRIL","MAYO","JUNIO","JULIO","AGOSTO","SEPTIEMBRE","OCTUBRE","NOVIEMBRE","DICIEMBRE"}, 0), 1,2,3,4,5,6,7,8,9,10,11,12), A488)</f>
        <v>44136</v>
      </c>
      <c r="H488">
        <v>18</v>
      </c>
      <c r="I488">
        <v>36000</v>
      </c>
      <c r="J488" s="1">
        <f t="shared" si="15"/>
        <v>43953</v>
      </c>
      <c r="K488" t="e">
        <f t="shared" si="14"/>
        <v>#N/A</v>
      </c>
    </row>
    <row r="489" spans="1:11" x14ac:dyDescent="0.25">
      <c r="A489">
        <v>2</v>
      </c>
      <c r="B489" t="s">
        <v>19</v>
      </c>
      <c r="C489">
        <v>2020</v>
      </c>
      <c r="D489">
        <v>39.875</v>
      </c>
      <c r="E489" t="s">
        <v>9</v>
      </c>
      <c r="F489">
        <v>23.75</v>
      </c>
      <c r="G489" s="1">
        <f>DATE(C489, CHOOSE(MATCH(UPPER(B489), {"ENERO","FEBRERO","MARZO","ABRIL","MAYO","JUNIO","JULIO","AGOSTO","SEPTIEMBRE","OCTUBRE","NOVIEMBRE","DICIEMBRE"}, 0), 1,2,3,4,5,6,7,8,9,10,11,12), A489)</f>
        <v>44137</v>
      </c>
      <c r="H489">
        <v>16.125</v>
      </c>
      <c r="I489">
        <v>36000</v>
      </c>
      <c r="J489" s="1">
        <f t="shared" si="15"/>
        <v>43954</v>
      </c>
      <c r="K489" t="e">
        <f t="shared" si="14"/>
        <v>#N/A</v>
      </c>
    </row>
    <row r="490" spans="1:11" x14ac:dyDescent="0.25">
      <c r="A490">
        <v>3</v>
      </c>
      <c r="B490" t="s">
        <v>19</v>
      </c>
      <c r="C490">
        <v>2020</v>
      </c>
      <c r="D490">
        <v>23.75</v>
      </c>
      <c r="E490" t="s">
        <v>9</v>
      </c>
      <c r="F490">
        <v>16</v>
      </c>
      <c r="G490" s="1">
        <f>DATE(C490, CHOOSE(MATCH(UPPER(B490), {"ENERO","FEBRERO","MARZO","ABRIL","MAYO","JUNIO","JULIO","AGOSTO","SEPTIEMBRE","OCTUBRE","NOVIEMBRE","DICIEMBRE"}, 0), 1,2,3,4,5,6,7,8,9,10,11,12), A490)</f>
        <v>44138</v>
      </c>
      <c r="H490">
        <v>7.75</v>
      </c>
      <c r="I490">
        <v>36000</v>
      </c>
      <c r="J490" s="1">
        <f t="shared" si="15"/>
        <v>43955</v>
      </c>
      <c r="K490" t="e">
        <f t="shared" si="14"/>
        <v>#N/A</v>
      </c>
    </row>
    <row r="491" spans="1:11" x14ac:dyDescent="0.25">
      <c r="A491">
        <v>4</v>
      </c>
      <c r="B491" t="s">
        <v>19</v>
      </c>
      <c r="C491">
        <v>2020</v>
      </c>
      <c r="D491">
        <v>16</v>
      </c>
      <c r="E491" t="s">
        <v>9</v>
      </c>
      <c r="F491">
        <v>8.875</v>
      </c>
      <c r="G491" s="1">
        <f>DATE(C491, CHOOSE(MATCH(UPPER(B491), {"ENERO","FEBRERO","MARZO","ABRIL","MAYO","JUNIO","JULIO","AGOSTO","SEPTIEMBRE","OCTUBRE","NOVIEMBRE","DICIEMBRE"}, 0), 1,2,3,4,5,6,7,8,9,10,11,12), A491)</f>
        <v>44139</v>
      </c>
      <c r="H491">
        <v>7.125</v>
      </c>
      <c r="I491">
        <v>36000</v>
      </c>
      <c r="J491" s="1">
        <f t="shared" si="15"/>
        <v>43956</v>
      </c>
      <c r="K491" t="e">
        <f t="shared" si="14"/>
        <v>#N/A</v>
      </c>
    </row>
    <row r="492" spans="1:11" x14ac:dyDescent="0.25">
      <c r="A492">
        <v>5</v>
      </c>
      <c r="B492" t="s">
        <v>19</v>
      </c>
      <c r="C492">
        <v>2020</v>
      </c>
      <c r="D492">
        <v>8.875</v>
      </c>
      <c r="E492" t="s">
        <v>9</v>
      </c>
      <c r="F492">
        <v>0.625</v>
      </c>
      <c r="G492" s="1">
        <f>DATE(C492, CHOOSE(MATCH(UPPER(B492), {"ENERO","FEBRERO","MARZO","ABRIL","MAYO","JUNIO","JULIO","AGOSTO","SEPTIEMBRE","OCTUBRE","NOVIEMBRE","DICIEMBRE"}, 0), 1,2,3,4,5,6,7,8,9,10,11,12), A492)</f>
        <v>44140</v>
      </c>
      <c r="H492">
        <v>8.25</v>
      </c>
      <c r="I492">
        <v>36000</v>
      </c>
      <c r="J492" s="1">
        <f t="shared" si="15"/>
        <v>43957</v>
      </c>
      <c r="K492" t="e">
        <f t="shared" si="14"/>
        <v>#N/A</v>
      </c>
    </row>
    <row r="493" spans="1:11" x14ac:dyDescent="0.25">
      <c r="A493">
        <v>6</v>
      </c>
      <c r="B493" t="s">
        <v>19</v>
      </c>
      <c r="C493">
        <v>2020</v>
      </c>
      <c r="D493">
        <v>0.625</v>
      </c>
      <c r="E493">
        <v>40</v>
      </c>
      <c r="F493">
        <v>23.625</v>
      </c>
      <c r="G493" s="1">
        <f>DATE(C493, CHOOSE(MATCH(UPPER(B493), {"ENERO","FEBRERO","MARZO","ABRIL","MAYO","JUNIO","JULIO","AGOSTO","SEPTIEMBRE","OCTUBRE","NOVIEMBRE","DICIEMBRE"}, 0), 1,2,3,4,5,6,7,8,9,10,11,12), A493)</f>
        <v>44141</v>
      </c>
      <c r="H493">
        <v>17</v>
      </c>
      <c r="I493">
        <v>36000</v>
      </c>
      <c r="J493" s="1">
        <f t="shared" si="15"/>
        <v>43958</v>
      </c>
      <c r="K493" t="e">
        <f t="shared" si="14"/>
        <v>#N/A</v>
      </c>
    </row>
    <row r="494" spans="1:11" x14ac:dyDescent="0.25">
      <c r="A494">
        <v>7</v>
      </c>
      <c r="B494" t="s">
        <v>19</v>
      </c>
      <c r="C494">
        <v>2020</v>
      </c>
      <c r="D494">
        <v>23.625</v>
      </c>
      <c r="E494">
        <v>20</v>
      </c>
      <c r="F494">
        <v>24.25</v>
      </c>
      <c r="G494" s="1">
        <f>DATE(C494, CHOOSE(MATCH(UPPER(B494), {"ENERO","FEBRERO","MARZO","ABRIL","MAYO","JUNIO","JULIO","AGOSTO","SEPTIEMBRE","OCTUBRE","NOVIEMBRE","DICIEMBRE"}, 0), 1,2,3,4,5,6,7,8,9,10,11,12), A494)</f>
        <v>44142</v>
      </c>
      <c r="H494">
        <v>19.375</v>
      </c>
      <c r="I494">
        <v>36000</v>
      </c>
      <c r="J494" s="1">
        <f t="shared" si="15"/>
        <v>43959</v>
      </c>
      <c r="K494" t="e">
        <f t="shared" si="14"/>
        <v>#N/A</v>
      </c>
    </row>
    <row r="495" spans="1:11" x14ac:dyDescent="0.25">
      <c r="A495">
        <v>8</v>
      </c>
      <c r="B495" t="s">
        <v>19</v>
      </c>
      <c r="C495">
        <v>2020</v>
      </c>
      <c r="D495">
        <v>24.25</v>
      </c>
      <c r="E495">
        <v>30</v>
      </c>
      <c r="F495">
        <v>30</v>
      </c>
      <c r="G495" s="1">
        <f>DATE(C495, CHOOSE(MATCH(UPPER(B495), {"ENERO","FEBRERO","MARZO","ABRIL","MAYO","JUNIO","JULIO","AGOSTO","SEPTIEMBRE","OCTUBRE","NOVIEMBRE","DICIEMBRE"}, 0), 1,2,3,4,5,6,7,8,9,10,11,12), A495)</f>
        <v>44143</v>
      </c>
      <c r="H495">
        <v>24.25</v>
      </c>
      <c r="I495">
        <v>36000</v>
      </c>
      <c r="J495" s="1">
        <f t="shared" si="15"/>
        <v>43960</v>
      </c>
      <c r="K495" t="e">
        <f t="shared" si="14"/>
        <v>#N/A</v>
      </c>
    </row>
    <row r="496" spans="1:11" x14ac:dyDescent="0.25">
      <c r="A496">
        <v>9</v>
      </c>
      <c r="B496" t="s">
        <v>19</v>
      </c>
      <c r="C496">
        <v>2020</v>
      </c>
      <c r="D496">
        <v>30</v>
      </c>
      <c r="E496" t="s">
        <v>9</v>
      </c>
      <c r="F496">
        <v>22</v>
      </c>
      <c r="G496" s="1">
        <f>DATE(C496, CHOOSE(MATCH(UPPER(B496), {"ENERO","FEBRERO","MARZO","ABRIL","MAYO","JUNIO","JULIO","AGOSTO","SEPTIEMBRE","OCTUBRE","NOVIEMBRE","DICIEMBRE"}, 0), 1,2,3,4,5,6,7,8,9,10,11,12), A496)</f>
        <v>44144</v>
      </c>
      <c r="H496">
        <v>8</v>
      </c>
      <c r="I496">
        <v>36000</v>
      </c>
      <c r="J496" s="1">
        <f t="shared" si="15"/>
        <v>43961</v>
      </c>
      <c r="K496" t="e">
        <f t="shared" si="14"/>
        <v>#N/A</v>
      </c>
    </row>
    <row r="497" spans="1:11" x14ac:dyDescent="0.25">
      <c r="A497">
        <v>10</v>
      </c>
      <c r="B497" t="s">
        <v>19</v>
      </c>
      <c r="C497">
        <v>2020</v>
      </c>
      <c r="D497">
        <v>22</v>
      </c>
      <c r="E497" t="s">
        <v>9</v>
      </c>
      <c r="F497">
        <v>14.25</v>
      </c>
      <c r="G497" s="1">
        <f>DATE(C497, CHOOSE(MATCH(UPPER(B497), {"ENERO","FEBRERO","MARZO","ABRIL","MAYO","JUNIO","JULIO","AGOSTO","SEPTIEMBRE","OCTUBRE","NOVIEMBRE","DICIEMBRE"}, 0), 1,2,3,4,5,6,7,8,9,10,11,12), A497)</f>
        <v>44145</v>
      </c>
      <c r="H497">
        <v>7.75</v>
      </c>
      <c r="I497">
        <v>36000</v>
      </c>
      <c r="J497" s="1">
        <f t="shared" si="15"/>
        <v>43962</v>
      </c>
      <c r="K497" t="e">
        <f t="shared" si="14"/>
        <v>#N/A</v>
      </c>
    </row>
    <row r="498" spans="1:11" x14ac:dyDescent="0.25">
      <c r="A498">
        <v>11</v>
      </c>
      <c r="B498" t="s">
        <v>19</v>
      </c>
      <c r="C498">
        <v>2020</v>
      </c>
      <c r="D498">
        <v>14.25</v>
      </c>
      <c r="E498">
        <v>100</v>
      </c>
      <c r="F498">
        <v>107.25</v>
      </c>
      <c r="G498" s="1">
        <f>DATE(C498, CHOOSE(MATCH(UPPER(B498), {"ENERO","FEBRERO","MARZO","ABRIL","MAYO","JUNIO","JULIO","AGOSTO","SEPTIEMBRE","OCTUBRE","NOVIEMBRE","DICIEMBRE"}, 0), 1,2,3,4,5,6,7,8,9,10,11,12), A498)</f>
        <v>44146</v>
      </c>
      <c r="H498">
        <v>7</v>
      </c>
      <c r="I498">
        <v>36000</v>
      </c>
      <c r="J498" s="1">
        <f t="shared" si="15"/>
        <v>43963</v>
      </c>
      <c r="K498" t="e">
        <f t="shared" si="14"/>
        <v>#N/A</v>
      </c>
    </row>
    <row r="499" spans="1:11" x14ac:dyDescent="0.25">
      <c r="A499">
        <v>12</v>
      </c>
      <c r="B499" t="s">
        <v>19</v>
      </c>
      <c r="C499">
        <v>2020</v>
      </c>
      <c r="D499">
        <v>107.25</v>
      </c>
      <c r="E499" t="s">
        <v>9</v>
      </c>
      <c r="F499">
        <v>94.75</v>
      </c>
      <c r="G499" s="1">
        <f>DATE(C499, CHOOSE(MATCH(UPPER(B499), {"ENERO","FEBRERO","MARZO","ABRIL","MAYO","JUNIO","JULIO","AGOSTO","SEPTIEMBRE","OCTUBRE","NOVIEMBRE","DICIEMBRE"}, 0), 1,2,3,4,5,6,7,8,9,10,11,12), A499)</f>
        <v>44147</v>
      </c>
      <c r="H499">
        <v>12.5</v>
      </c>
      <c r="I499">
        <v>36000</v>
      </c>
      <c r="J499" s="1">
        <f t="shared" si="15"/>
        <v>43964</v>
      </c>
      <c r="K499" t="e">
        <f t="shared" si="14"/>
        <v>#N/A</v>
      </c>
    </row>
    <row r="500" spans="1:11" x14ac:dyDescent="0.25">
      <c r="A500">
        <v>13</v>
      </c>
      <c r="B500" t="s">
        <v>19</v>
      </c>
      <c r="C500">
        <v>2020</v>
      </c>
      <c r="D500">
        <v>94.75</v>
      </c>
      <c r="E500" t="s">
        <v>9</v>
      </c>
      <c r="F500">
        <v>81.5</v>
      </c>
      <c r="G500" s="1">
        <f>DATE(C500, CHOOSE(MATCH(UPPER(B500), {"ENERO","FEBRERO","MARZO","ABRIL","MAYO","JUNIO","JULIO","AGOSTO","SEPTIEMBRE","OCTUBRE","NOVIEMBRE","DICIEMBRE"}, 0), 1,2,3,4,5,6,7,8,9,10,11,12), A500)</f>
        <v>44148</v>
      </c>
      <c r="H500">
        <v>13.25</v>
      </c>
      <c r="I500">
        <v>36000</v>
      </c>
      <c r="J500" s="1">
        <f t="shared" si="15"/>
        <v>43965</v>
      </c>
      <c r="K500" t="e">
        <f t="shared" si="14"/>
        <v>#N/A</v>
      </c>
    </row>
    <row r="501" spans="1:11" x14ac:dyDescent="0.25">
      <c r="A501">
        <v>14</v>
      </c>
      <c r="B501" t="s">
        <v>19</v>
      </c>
      <c r="C501">
        <v>2020</v>
      </c>
      <c r="D501">
        <v>81.5</v>
      </c>
      <c r="E501" t="s">
        <v>9</v>
      </c>
      <c r="F501">
        <v>50</v>
      </c>
      <c r="G501" s="1">
        <f>DATE(C501, CHOOSE(MATCH(UPPER(B501), {"ENERO","FEBRERO","MARZO","ABRIL","MAYO","JUNIO","JULIO","AGOSTO","SEPTIEMBRE","OCTUBRE","NOVIEMBRE","DICIEMBRE"}, 0), 1,2,3,4,5,6,7,8,9,10,11,12), A501)</f>
        <v>44149</v>
      </c>
      <c r="H501">
        <v>31.5</v>
      </c>
      <c r="I501">
        <v>36000</v>
      </c>
      <c r="J501" s="1">
        <f t="shared" si="15"/>
        <v>43966</v>
      </c>
      <c r="K501" t="e">
        <f t="shared" si="14"/>
        <v>#N/A</v>
      </c>
    </row>
    <row r="502" spans="1:11" x14ac:dyDescent="0.25">
      <c r="A502">
        <v>15</v>
      </c>
      <c r="B502" t="s">
        <v>19</v>
      </c>
      <c r="C502">
        <v>2020</v>
      </c>
      <c r="D502">
        <v>50</v>
      </c>
      <c r="E502" t="s">
        <v>9</v>
      </c>
      <c r="F502">
        <v>23.625</v>
      </c>
      <c r="G502" s="1">
        <f>DATE(C502, CHOOSE(MATCH(UPPER(B502), {"ENERO","FEBRERO","MARZO","ABRIL","MAYO","JUNIO","JULIO","AGOSTO","SEPTIEMBRE","OCTUBRE","NOVIEMBRE","DICIEMBRE"}, 0), 1,2,3,4,5,6,7,8,9,10,11,12), A502)</f>
        <v>44150</v>
      </c>
      <c r="H502">
        <v>26.375</v>
      </c>
      <c r="I502">
        <v>36000</v>
      </c>
      <c r="J502" s="1">
        <f t="shared" si="15"/>
        <v>43967</v>
      </c>
      <c r="K502" t="e">
        <f t="shared" si="14"/>
        <v>#N/A</v>
      </c>
    </row>
    <row r="503" spans="1:11" x14ac:dyDescent="0.25">
      <c r="A503">
        <v>16</v>
      </c>
      <c r="B503" t="s">
        <v>19</v>
      </c>
      <c r="C503">
        <v>2020</v>
      </c>
      <c r="D503">
        <v>23.625</v>
      </c>
      <c r="E503">
        <v>40</v>
      </c>
      <c r="F503">
        <v>42</v>
      </c>
      <c r="G503" s="1">
        <f>DATE(C503, CHOOSE(MATCH(UPPER(B503), {"ENERO","FEBRERO","MARZO","ABRIL","MAYO","JUNIO","JULIO","AGOSTO","SEPTIEMBRE","OCTUBRE","NOVIEMBRE","DICIEMBRE"}, 0), 1,2,3,4,5,6,7,8,9,10,11,12), A503)</f>
        <v>44151</v>
      </c>
      <c r="H503">
        <v>21.625</v>
      </c>
      <c r="I503">
        <v>36000</v>
      </c>
      <c r="J503" s="1">
        <f t="shared" si="15"/>
        <v>43968</v>
      </c>
      <c r="K503" t="e">
        <f t="shared" si="14"/>
        <v>#N/A</v>
      </c>
    </row>
    <row r="504" spans="1:11" x14ac:dyDescent="0.25">
      <c r="A504">
        <v>17</v>
      </c>
      <c r="B504" t="s">
        <v>19</v>
      </c>
      <c r="C504">
        <v>2020</v>
      </c>
      <c r="D504">
        <v>42</v>
      </c>
      <c r="E504" t="s">
        <v>9</v>
      </c>
      <c r="F504">
        <v>30.375</v>
      </c>
      <c r="G504" s="1">
        <f>DATE(C504, CHOOSE(MATCH(UPPER(B504), {"ENERO","FEBRERO","MARZO","ABRIL","MAYO","JUNIO","JULIO","AGOSTO","SEPTIEMBRE","OCTUBRE","NOVIEMBRE","DICIEMBRE"}, 0), 1,2,3,4,5,6,7,8,9,10,11,12), A504)</f>
        <v>44152</v>
      </c>
      <c r="H504">
        <v>11.625</v>
      </c>
      <c r="I504">
        <v>36000</v>
      </c>
      <c r="J504" s="1">
        <f t="shared" si="15"/>
        <v>43969</v>
      </c>
      <c r="K504" t="e">
        <f t="shared" si="14"/>
        <v>#N/A</v>
      </c>
    </row>
    <row r="505" spans="1:11" x14ac:dyDescent="0.25">
      <c r="A505">
        <v>18</v>
      </c>
      <c r="B505" t="s">
        <v>19</v>
      </c>
      <c r="C505">
        <v>2020</v>
      </c>
      <c r="D505">
        <v>30.375</v>
      </c>
      <c r="E505">
        <v>100</v>
      </c>
      <c r="F505">
        <v>120</v>
      </c>
      <c r="G505" s="1">
        <f>DATE(C505, CHOOSE(MATCH(UPPER(B505), {"ENERO","FEBRERO","MARZO","ABRIL","MAYO","JUNIO","JULIO","AGOSTO","SEPTIEMBRE","OCTUBRE","NOVIEMBRE","DICIEMBRE"}, 0), 1,2,3,4,5,6,7,8,9,10,11,12), A505)</f>
        <v>44153</v>
      </c>
      <c r="H505">
        <v>10.375</v>
      </c>
      <c r="I505">
        <v>36000</v>
      </c>
      <c r="J505" s="1">
        <f t="shared" si="15"/>
        <v>43970</v>
      </c>
      <c r="K505" t="e">
        <f t="shared" si="14"/>
        <v>#N/A</v>
      </c>
    </row>
    <row r="506" spans="1:11" x14ac:dyDescent="0.25">
      <c r="A506">
        <v>19</v>
      </c>
      <c r="B506" t="s">
        <v>19</v>
      </c>
      <c r="C506">
        <v>2020</v>
      </c>
      <c r="D506">
        <v>120</v>
      </c>
      <c r="E506" t="s">
        <v>9</v>
      </c>
      <c r="F506">
        <v>110</v>
      </c>
      <c r="G506" s="1">
        <f>DATE(C506, CHOOSE(MATCH(UPPER(B506), {"ENERO","FEBRERO","MARZO","ABRIL","MAYO","JUNIO","JULIO","AGOSTO","SEPTIEMBRE","OCTUBRE","NOVIEMBRE","DICIEMBRE"}, 0), 1,2,3,4,5,6,7,8,9,10,11,12), A506)</f>
        <v>44154</v>
      </c>
      <c r="H506">
        <v>10</v>
      </c>
      <c r="I506">
        <v>36000</v>
      </c>
      <c r="J506" s="1">
        <f t="shared" si="15"/>
        <v>43971</v>
      </c>
      <c r="K506" t="e">
        <f t="shared" si="14"/>
        <v>#N/A</v>
      </c>
    </row>
    <row r="507" spans="1:11" x14ac:dyDescent="0.25">
      <c r="A507">
        <v>20</v>
      </c>
      <c r="B507" t="s">
        <v>19</v>
      </c>
      <c r="C507">
        <v>2020</v>
      </c>
      <c r="D507">
        <v>110</v>
      </c>
      <c r="E507" t="s">
        <v>9</v>
      </c>
      <c r="F507">
        <v>96</v>
      </c>
      <c r="G507" s="1">
        <f>DATE(C507, CHOOSE(MATCH(UPPER(B507), {"ENERO","FEBRERO","MARZO","ABRIL","MAYO","JUNIO","JULIO","AGOSTO","SEPTIEMBRE","OCTUBRE","NOVIEMBRE","DICIEMBRE"}, 0), 1,2,3,4,5,6,7,8,9,10,11,12), A507)</f>
        <v>44155</v>
      </c>
      <c r="H507">
        <v>14</v>
      </c>
      <c r="I507">
        <v>36000</v>
      </c>
      <c r="J507" s="1">
        <f t="shared" si="15"/>
        <v>43972</v>
      </c>
      <c r="K507" t="e">
        <f t="shared" si="14"/>
        <v>#N/A</v>
      </c>
    </row>
    <row r="508" spans="1:11" x14ac:dyDescent="0.25">
      <c r="A508">
        <v>21</v>
      </c>
      <c r="B508" t="s">
        <v>19</v>
      </c>
      <c r="C508">
        <v>2020</v>
      </c>
      <c r="D508">
        <v>96</v>
      </c>
      <c r="E508" t="s">
        <v>9</v>
      </c>
      <c r="F508">
        <v>72.5</v>
      </c>
      <c r="G508" s="1">
        <f>DATE(C508, CHOOSE(MATCH(UPPER(B508), {"ENERO","FEBRERO","MARZO","ABRIL","MAYO","JUNIO","JULIO","AGOSTO","SEPTIEMBRE","OCTUBRE","NOVIEMBRE","DICIEMBRE"}, 0), 1,2,3,4,5,6,7,8,9,10,11,12), A508)</f>
        <v>44156</v>
      </c>
      <c r="H508">
        <v>23.5</v>
      </c>
      <c r="I508">
        <v>36000</v>
      </c>
      <c r="J508" s="1">
        <f t="shared" si="15"/>
        <v>43973</v>
      </c>
      <c r="K508" t="e">
        <f t="shared" si="14"/>
        <v>#N/A</v>
      </c>
    </row>
    <row r="509" spans="1:11" x14ac:dyDescent="0.25">
      <c r="A509">
        <v>22</v>
      </c>
      <c r="B509" t="s">
        <v>19</v>
      </c>
      <c r="C509">
        <v>2020</v>
      </c>
      <c r="D509">
        <v>72.5</v>
      </c>
      <c r="E509" t="s">
        <v>9</v>
      </c>
      <c r="F509">
        <v>43.5</v>
      </c>
      <c r="G509" s="1">
        <f>DATE(C509, CHOOSE(MATCH(UPPER(B509), {"ENERO","FEBRERO","MARZO","ABRIL","MAYO","JUNIO","JULIO","AGOSTO","SEPTIEMBRE","OCTUBRE","NOVIEMBRE","DICIEMBRE"}, 0), 1,2,3,4,5,6,7,8,9,10,11,12), A509)</f>
        <v>44157</v>
      </c>
      <c r="H509">
        <v>29</v>
      </c>
      <c r="I509">
        <v>36000</v>
      </c>
      <c r="J509" s="1">
        <f t="shared" si="15"/>
        <v>43974</v>
      </c>
      <c r="K509" t="e">
        <f t="shared" si="14"/>
        <v>#N/A</v>
      </c>
    </row>
    <row r="510" spans="1:11" x14ac:dyDescent="0.25">
      <c r="A510">
        <v>23</v>
      </c>
      <c r="B510" t="s">
        <v>19</v>
      </c>
      <c r="C510">
        <v>2020</v>
      </c>
      <c r="D510">
        <v>43.5</v>
      </c>
      <c r="E510" t="s">
        <v>9</v>
      </c>
      <c r="F510">
        <v>32.75</v>
      </c>
      <c r="G510" s="1">
        <f>DATE(C510, CHOOSE(MATCH(UPPER(B510), {"ENERO","FEBRERO","MARZO","ABRIL","MAYO","JUNIO","JULIO","AGOSTO","SEPTIEMBRE","OCTUBRE","NOVIEMBRE","DICIEMBRE"}, 0), 1,2,3,4,5,6,7,8,9,10,11,12), A510)</f>
        <v>44158</v>
      </c>
      <c r="H510">
        <v>10.75</v>
      </c>
      <c r="I510">
        <v>36000</v>
      </c>
      <c r="J510" s="1">
        <f t="shared" si="15"/>
        <v>43975</v>
      </c>
      <c r="K510" t="e">
        <f t="shared" si="14"/>
        <v>#N/A</v>
      </c>
    </row>
    <row r="511" spans="1:11" x14ac:dyDescent="0.25">
      <c r="A511">
        <v>24</v>
      </c>
      <c r="B511" t="s">
        <v>19</v>
      </c>
      <c r="C511">
        <v>2020</v>
      </c>
      <c r="D511">
        <v>32.75</v>
      </c>
      <c r="E511" t="s">
        <v>9</v>
      </c>
      <c r="F511">
        <v>21.75</v>
      </c>
      <c r="G511" s="1">
        <f>DATE(C511, CHOOSE(MATCH(UPPER(B511), {"ENERO","FEBRERO","MARZO","ABRIL","MAYO","JUNIO","JULIO","AGOSTO","SEPTIEMBRE","OCTUBRE","NOVIEMBRE","DICIEMBRE"}, 0), 1,2,3,4,5,6,7,8,9,10,11,12), A511)</f>
        <v>44159</v>
      </c>
      <c r="H511">
        <v>11</v>
      </c>
      <c r="I511">
        <v>36000</v>
      </c>
      <c r="J511" s="1">
        <f t="shared" si="15"/>
        <v>43976</v>
      </c>
      <c r="K511" t="e">
        <f t="shared" si="14"/>
        <v>#N/A</v>
      </c>
    </row>
    <row r="512" spans="1:11" x14ac:dyDescent="0.25">
      <c r="A512">
        <v>25</v>
      </c>
      <c r="B512" t="s">
        <v>19</v>
      </c>
      <c r="C512">
        <v>2020</v>
      </c>
      <c r="D512">
        <v>21.75</v>
      </c>
      <c r="E512">
        <v>100</v>
      </c>
      <c r="F512">
        <v>110.75</v>
      </c>
      <c r="G512" s="1">
        <f>DATE(C512, CHOOSE(MATCH(UPPER(B512), {"ENERO","FEBRERO","MARZO","ABRIL","MAYO","JUNIO","JULIO","AGOSTO","SEPTIEMBRE","OCTUBRE","NOVIEMBRE","DICIEMBRE"}, 0), 1,2,3,4,5,6,7,8,9,10,11,12), A512)</f>
        <v>44160</v>
      </c>
      <c r="H512">
        <v>11</v>
      </c>
      <c r="I512">
        <v>36000</v>
      </c>
      <c r="J512" s="1">
        <f t="shared" si="15"/>
        <v>43977</v>
      </c>
      <c r="K512" t="e">
        <f t="shared" si="14"/>
        <v>#N/A</v>
      </c>
    </row>
    <row r="513" spans="1:11" x14ac:dyDescent="0.25">
      <c r="A513">
        <v>26</v>
      </c>
      <c r="B513" t="s">
        <v>19</v>
      </c>
      <c r="C513">
        <v>2020</v>
      </c>
      <c r="D513">
        <v>110.75</v>
      </c>
      <c r="E513" t="s">
        <v>9</v>
      </c>
      <c r="F513">
        <v>98.875</v>
      </c>
      <c r="G513" s="1">
        <f>DATE(C513, CHOOSE(MATCH(UPPER(B513), {"ENERO","FEBRERO","MARZO","ABRIL","MAYO","JUNIO","JULIO","AGOSTO","SEPTIEMBRE","OCTUBRE","NOVIEMBRE","DICIEMBRE"}, 0), 1,2,3,4,5,6,7,8,9,10,11,12), A513)</f>
        <v>44161</v>
      </c>
      <c r="H513">
        <v>11.875</v>
      </c>
      <c r="I513">
        <v>36000</v>
      </c>
      <c r="J513" s="1">
        <f t="shared" si="15"/>
        <v>43978</v>
      </c>
      <c r="K513" t="e">
        <f t="shared" si="14"/>
        <v>#N/A</v>
      </c>
    </row>
    <row r="514" spans="1:11" x14ac:dyDescent="0.25">
      <c r="A514">
        <v>27</v>
      </c>
      <c r="B514" t="s">
        <v>19</v>
      </c>
      <c r="C514">
        <v>2020</v>
      </c>
      <c r="D514">
        <v>98.875</v>
      </c>
      <c r="E514" t="s">
        <v>9</v>
      </c>
      <c r="F514">
        <v>83.125</v>
      </c>
      <c r="G514" s="1">
        <f>DATE(C514, CHOOSE(MATCH(UPPER(B514), {"ENERO","FEBRERO","MARZO","ABRIL","MAYO","JUNIO","JULIO","AGOSTO","SEPTIEMBRE","OCTUBRE","NOVIEMBRE","DICIEMBRE"}, 0), 1,2,3,4,5,6,7,8,9,10,11,12), A514)</f>
        <v>44162</v>
      </c>
      <c r="H514">
        <v>15.75</v>
      </c>
      <c r="I514">
        <v>36000</v>
      </c>
      <c r="J514" s="1">
        <f t="shared" si="15"/>
        <v>43979</v>
      </c>
      <c r="K514" t="e">
        <f t="shared" ref="K514:K577" si="16">VLOOKUP(J514, G:H, 2, FALSE)</f>
        <v>#N/A</v>
      </c>
    </row>
    <row r="515" spans="1:11" x14ac:dyDescent="0.25">
      <c r="A515">
        <v>28</v>
      </c>
      <c r="B515" t="s">
        <v>19</v>
      </c>
      <c r="C515">
        <v>2020</v>
      </c>
      <c r="D515">
        <v>83.125</v>
      </c>
      <c r="E515" t="s">
        <v>9</v>
      </c>
      <c r="F515">
        <v>51.75</v>
      </c>
      <c r="G515" s="1">
        <f>DATE(C515, CHOOSE(MATCH(UPPER(B515), {"ENERO","FEBRERO","MARZO","ABRIL","MAYO","JUNIO","JULIO","AGOSTO","SEPTIEMBRE","OCTUBRE","NOVIEMBRE","DICIEMBRE"}, 0), 1,2,3,4,5,6,7,8,9,10,11,12), A515)</f>
        <v>44163</v>
      </c>
      <c r="H515">
        <v>31.375</v>
      </c>
      <c r="I515">
        <v>36000</v>
      </c>
      <c r="J515" s="1">
        <f t="shared" si="15"/>
        <v>43980</v>
      </c>
      <c r="K515" t="e">
        <f t="shared" si="16"/>
        <v>#N/A</v>
      </c>
    </row>
    <row r="516" spans="1:11" x14ac:dyDescent="0.25">
      <c r="A516">
        <v>29</v>
      </c>
      <c r="B516" t="s">
        <v>19</v>
      </c>
      <c r="C516">
        <v>2020</v>
      </c>
      <c r="D516">
        <v>51.75</v>
      </c>
      <c r="E516">
        <v>30</v>
      </c>
      <c r="F516">
        <v>48.75</v>
      </c>
      <c r="G516" s="1">
        <f>DATE(C516, CHOOSE(MATCH(UPPER(B516), {"ENERO","FEBRERO","MARZO","ABRIL","MAYO","JUNIO","JULIO","AGOSTO","SEPTIEMBRE","OCTUBRE","NOVIEMBRE","DICIEMBRE"}, 0), 1,2,3,4,5,6,7,8,9,10,11,12), A516)</f>
        <v>44164</v>
      </c>
      <c r="H516">
        <v>33</v>
      </c>
      <c r="I516">
        <v>36000</v>
      </c>
      <c r="J516" s="1">
        <f t="shared" ref="J516:J579" si="17">DATE(2019,1,1) + ROW()-1</f>
        <v>43981</v>
      </c>
      <c r="K516" t="e">
        <f t="shared" si="16"/>
        <v>#N/A</v>
      </c>
    </row>
    <row r="517" spans="1:11" x14ac:dyDescent="0.25">
      <c r="A517">
        <v>30</v>
      </c>
      <c r="B517" t="s">
        <v>19</v>
      </c>
      <c r="C517">
        <v>2020</v>
      </c>
      <c r="D517">
        <v>48.75</v>
      </c>
      <c r="E517" t="s">
        <v>9</v>
      </c>
      <c r="F517">
        <v>37.5</v>
      </c>
      <c r="G517" s="1">
        <f>DATE(C517, CHOOSE(MATCH(UPPER(B517), {"ENERO","FEBRERO","MARZO","ABRIL","MAYO","JUNIO","JULIO","AGOSTO","SEPTIEMBRE","OCTUBRE","NOVIEMBRE","DICIEMBRE"}, 0), 1,2,3,4,5,6,7,8,9,10,11,12), A517)</f>
        <v>44165</v>
      </c>
      <c r="H517">
        <v>11.25</v>
      </c>
      <c r="I517">
        <v>36000</v>
      </c>
      <c r="J517" s="1">
        <f t="shared" si="17"/>
        <v>43982</v>
      </c>
      <c r="K517" t="e">
        <f t="shared" si="16"/>
        <v>#N/A</v>
      </c>
    </row>
    <row r="518" spans="1:11" x14ac:dyDescent="0.25">
      <c r="A518">
        <v>1</v>
      </c>
      <c r="B518" t="s">
        <v>20</v>
      </c>
      <c r="C518">
        <v>2020</v>
      </c>
      <c r="D518">
        <v>37.5</v>
      </c>
      <c r="E518" t="s">
        <v>9</v>
      </c>
      <c r="F518">
        <v>26</v>
      </c>
      <c r="G518" s="1">
        <f>DATE(C518, CHOOSE(MATCH(UPPER(B518), {"ENERO","FEBRERO","MARZO","ABRIL","MAYO","JUNIO","JULIO","AGOSTO","SEPTIEMBRE","OCTUBRE","NOVIEMBRE","DICIEMBRE"}, 0), 1,2,3,4,5,6,7,8,9,10,11,12), A518)</f>
        <v>44166</v>
      </c>
      <c r="H518">
        <v>11.5</v>
      </c>
      <c r="I518">
        <v>36000</v>
      </c>
      <c r="J518" s="1">
        <f t="shared" si="17"/>
        <v>43983</v>
      </c>
      <c r="K518" t="e">
        <f t="shared" si="16"/>
        <v>#N/A</v>
      </c>
    </row>
    <row r="519" spans="1:11" x14ac:dyDescent="0.25">
      <c r="A519">
        <v>2</v>
      </c>
      <c r="B519" t="s">
        <v>20</v>
      </c>
      <c r="C519">
        <v>2020</v>
      </c>
      <c r="D519">
        <v>26</v>
      </c>
      <c r="E519">
        <v>100</v>
      </c>
      <c r="F519">
        <v>107.625</v>
      </c>
      <c r="G519" s="1">
        <f>DATE(C519, CHOOSE(MATCH(UPPER(B519), {"ENERO","FEBRERO","MARZO","ABRIL","MAYO","JUNIO","JULIO","AGOSTO","SEPTIEMBRE","OCTUBRE","NOVIEMBRE","DICIEMBRE"}, 0), 1,2,3,4,5,6,7,8,9,10,11,12), A519)</f>
        <v>44167</v>
      </c>
      <c r="H519">
        <v>18.375</v>
      </c>
      <c r="I519">
        <v>36000</v>
      </c>
      <c r="J519" s="1">
        <f t="shared" si="17"/>
        <v>43984</v>
      </c>
      <c r="K519" t="e">
        <f t="shared" si="16"/>
        <v>#N/A</v>
      </c>
    </row>
    <row r="520" spans="1:11" x14ac:dyDescent="0.25">
      <c r="A520">
        <v>3</v>
      </c>
      <c r="B520" t="s">
        <v>20</v>
      </c>
      <c r="C520">
        <v>2020</v>
      </c>
      <c r="D520">
        <v>107.625</v>
      </c>
      <c r="E520" t="s">
        <v>9</v>
      </c>
      <c r="F520">
        <v>96.25</v>
      </c>
      <c r="G520" s="1">
        <f>DATE(C520, CHOOSE(MATCH(UPPER(B520), {"ENERO","FEBRERO","MARZO","ABRIL","MAYO","JUNIO","JULIO","AGOSTO","SEPTIEMBRE","OCTUBRE","NOVIEMBRE","DICIEMBRE"}, 0), 1,2,3,4,5,6,7,8,9,10,11,12), A520)</f>
        <v>44168</v>
      </c>
      <c r="H520">
        <v>11.375</v>
      </c>
      <c r="I520">
        <v>36000</v>
      </c>
      <c r="J520" s="1">
        <f t="shared" si="17"/>
        <v>43985</v>
      </c>
      <c r="K520" t="e">
        <f t="shared" si="16"/>
        <v>#N/A</v>
      </c>
    </row>
    <row r="521" spans="1:11" x14ac:dyDescent="0.25">
      <c r="A521">
        <v>4</v>
      </c>
      <c r="B521" t="s">
        <v>20</v>
      </c>
      <c r="C521">
        <v>2020</v>
      </c>
      <c r="D521">
        <v>96.25</v>
      </c>
      <c r="E521" t="s">
        <v>9</v>
      </c>
      <c r="F521">
        <v>72.75</v>
      </c>
      <c r="G521" s="1">
        <f>DATE(C521, CHOOSE(MATCH(UPPER(B521), {"ENERO","FEBRERO","MARZO","ABRIL","MAYO","JUNIO","JULIO","AGOSTO","SEPTIEMBRE","OCTUBRE","NOVIEMBRE","DICIEMBRE"}, 0), 1,2,3,4,5,6,7,8,9,10,11,12), A521)</f>
        <v>44169</v>
      </c>
      <c r="H521">
        <v>23.5</v>
      </c>
      <c r="I521">
        <v>36000</v>
      </c>
      <c r="J521" s="1">
        <f t="shared" si="17"/>
        <v>43986</v>
      </c>
      <c r="K521" t="e">
        <f t="shared" si="16"/>
        <v>#N/A</v>
      </c>
    </row>
    <row r="522" spans="1:11" x14ac:dyDescent="0.25">
      <c r="A522">
        <v>5</v>
      </c>
      <c r="B522" t="s">
        <v>20</v>
      </c>
      <c r="C522">
        <v>2020</v>
      </c>
      <c r="D522">
        <v>72.75</v>
      </c>
      <c r="E522" t="s">
        <v>9</v>
      </c>
      <c r="F522">
        <v>52.75</v>
      </c>
      <c r="G522" s="1">
        <f>DATE(C522, CHOOSE(MATCH(UPPER(B522), {"ENERO","FEBRERO","MARZO","ABRIL","MAYO","JUNIO","JULIO","AGOSTO","SEPTIEMBRE","OCTUBRE","NOVIEMBRE","DICIEMBRE"}, 0), 1,2,3,4,5,6,7,8,9,10,11,12), A522)</f>
        <v>44170</v>
      </c>
      <c r="H522">
        <v>20</v>
      </c>
      <c r="I522">
        <v>36000</v>
      </c>
      <c r="J522" s="1">
        <f t="shared" si="17"/>
        <v>43987</v>
      </c>
      <c r="K522" t="e">
        <f t="shared" si="16"/>
        <v>#N/A</v>
      </c>
    </row>
    <row r="523" spans="1:11" x14ac:dyDescent="0.25">
      <c r="A523">
        <v>6</v>
      </c>
      <c r="B523" t="s">
        <v>20</v>
      </c>
      <c r="C523">
        <v>2020</v>
      </c>
      <c r="D523">
        <v>52.75</v>
      </c>
      <c r="E523">
        <v>30</v>
      </c>
      <c r="F523">
        <v>60.5</v>
      </c>
      <c r="G523" s="1">
        <f>DATE(C523, CHOOSE(MATCH(UPPER(B523), {"ENERO","FEBRERO","MARZO","ABRIL","MAYO","JUNIO","JULIO","AGOSTO","SEPTIEMBRE","OCTUBRE","NOVIEMBRE","DICIEMBRE"}, 0), 1,2,3,4,5,6,7,8,9,10,11,12), A523)</f>
        <v>44171</v>
      </c>
      <c r="H523">
        <v>22.25</v>
      </c>
      <c r="I523">
        <v>36000</v>
      </c>
      <c r="J523" s="1">
        <f t="shared" si="17"/>
        <v>43988</v>
      </c>
      <c r="K523" t="e">
        <f t="shared" si="16"/>
        <v>#N/A</v>
      </c>
    </row>
    <row r="524" spans="1:11" x14ac:dyDescent="0.25">
      <c r="A524">
        <v>7</v>
      </c>
      <c r="B524" t="s">
        <v>20</v>
      </c>
      <c r="C524">
        <v>2020</v>
      </c>
      <c r="D524">
        <v>60.5</v>
      </c>
      <c r="E524">
        <v>20</v>
      </c>
      <c r="F524">
        <v>51.2</v>
      </c>
      <c r="G524" s="1">
        <f>DATE(C524, CHOOSE(MATCH(UPPER(B524), {"ENERO","FEBRERO","MARZO","ABRIL","MAYO","JUNIO","JULIO","AGOSTO","SEPTIEMBRE","OCTUBRE","NOVIEMBRE","DICIEMBRE"}, 0), 1,2,3,4,5,6,7,8,9,10,11,12), A524)</f>
        <v>44172</v>
      </c>
      <c r="H524">
        <v>29.3</v>
      </c>
      <c r="I524">
        <v>36000</v>
      </c>
      <c r="J524" s="1">
        <f t="shared" si="17"/>
        <v>43989</v>
      </c>
      <c r="K524" t="e">
        <f t="shared" si="16"/>
        <v>#N/A</v>
      </c>
    </row>
    <row r="525" spans="1:11" x14ac:dyDescent="0.25">
      <c r="A525">
        <v>8</v>
      </c>
      <c r="B525" t="s">
        <v>20</v>
      </c>
      <c r="C525">
        <v>2020</v>
      </c>
      <c r="D525">
        <v>51.2</v>
      </c>
      <c r="E525">
        <v>120</v>
      </c>
      <c r="F525">
        <v>153.75</v>
      </c>
      <c r="G525" s="1">
        <f>DATE(C525, CHOOSE(MATCH(UPPER(B525), {"ENERO","FEBRERO","MARZO","ABRIL","MAYO","JUNIO","JULIO","AGOSTO","SEPTIEMBRE","OCTUBRE","NOVIEMBRE","DICIEMBRE"}, 0), 1,2,3,4,5,6,7,8,9,10,11,12), A525)</f>
        <v>44173</v>
      </c>
      <c r="H525">
        <v>17.45</v>
      </c>
      <c r="I525">
        <v>36000</v>
      </c>
      <c r="J525" s="1">
        <f t="shared" si="17"/>
        <v>43990</v>
      </c>
      <c r="K525" t="e">
        <f t="shared" si="16"/>
        <v>#N/A</v>
      </c>
    </row>
    <row r="526" spans="1:11" x14ac:dyDescent="0.25">
      <c r="A526">
        <v>9</v>
      </c>
      <c r="B526" t="s">
        <v>20</v>
      </c>
      <c r="C526">
        <v>2020</v>
      </c>
      <c r="D526">
        <v>153.75</v>
      </c>
      <c r="E526" t="s">
        <v>9</v>
      </c>
      <c r="F526">
        <v>145.75</v>
      </c>
      <c r="G526" s="1">
        <f>DATE(C526, CHOOSE(MATCH(UPPER(B526), {"ENERO","FEBRERO","MARZO","ABRIL","MAYO","JUNIO","JULIO","AGOSTO","SEPTIEMBRE","OCTUBRE","NOVIEMBRE","DICIEMBRE"}, 0), 1,2,3,4,5,6,7,8,9,10,11,12), A526)</f>
        <v>44174</v>
      </c>
      <c r="H526">
        <v>8</v>
      </c>
      <c r="I526">
        <v>36000</v>
      </c>
      <c r="J526" s="1">
        <f t="shared" si="17"/>
        <v>43991</v>
      </c>
      <c r="K526" t="e">
        <f t="shared" si="16"/>
        <v>#N/A</v>
      </c>
    </row>
    <row r="527" spans="1:11" x14ac:dyDescent="0.25">
      <c r="A527">
        <v>10</v>
      </c>
      <c r="B527" t="s">
        <v>20</v>
      </c>
      <c r="C527">
        <v>2020</v>
      </c>
      <c r="D527">
        <v>145.75</v>
      </c>
      <c r="E527" t="s">
        <v>9</v>
      </c>
      <c r="F527">
        <v>132.02500000000001</v>
      </c>
      <c r="G527" s="1">
        <f>DATE(C527, CHOOSE(MATCH(UPPER(B527), {"ENERO","FEBRERO","MARZO","ABRIL","MAYO","JUNIO","JULIO","AGOSTO","SEPTIEMBRE","OCTUBRE","NOVIEMBRE","DICIEMBRE"}, 0), 1,2,3,4,5,6,7,8,9,10,11,12), A527)</f>
        <v>44175</v>
      </c>
      <c r="H527">
        <v>13.725</v>
      </c>
      <c r="I527">
        <v>36000</v>
      </c>
      <c r="J527" s="1">
        <f t="shared" si="17"/>
        <v>43992</v>
      </c>
      <c r="K527" t="e">
        <f t="shared" si="16"/>
        <v>#N/A</v>
      </c>
    </row>
    <row r="528" spans="1:11" x14ac:dyDescent="0.25">
      <c r="A528">
        <v>11</v>
      </c>
      <c r="B528" t="s">
        <v>20</v>
      </c>
      <c r="C528">
        <v>2020</v>
      </c>
      <c r="D528">
        <v>132.02500000000001</v>
      </c>
      <c r="E528" t="s">
        <v>9</v>
      </c>
      <c r="F528">
        <v>114.75</v>
      </c>
      <c r="G528" s="1">
        <f>DATE(C528, CHOOSE(MATCH(UPPER(B528), {"ENERO","FEBRERO","MARZO","ABRIL","MAYO","JUNIO","JULIO","AGOSTO","SEPTIEMBRE","OCTUBRE","NOVIEMBRE","DICIEMBRE"}, 0), 1,2,3,4,5,6,7,8,9,10,11,12), A528)</f>
        <v>44176</v>
      </c>
      <c r="H528">
        <v>17.274999999999999</v>
      </c>
      <c r="I528">
        <v>36000</v>
      </c>
      <c r="J528" s="1">
        <f t="shared" si="17"/>
        <v>43993</v>
      </c>
      <c r="K528" t="e">
        <f t="shared" si="16"/>
        <v>#N/A</v>
      </c>
    </row>
    <row r="529" spans="1:11" x14ac:dyDescent="0.25">
      <c r="A529">
        <v>12</v>
      </c>
      <c r="B529" t="s">
        <v>20</v>
      </c>
      <c r="C529">
        <v>2020</v>
      </c>
      <c r="D529">
        <v>114.75</v>
      </c>
      <c r="E529" t="s">
        <v>9</v>
      </c>
      <c r="F529">
        <v>100</v>
      </c>
      <c r="G529" s="1">
        <f>DATE(C529, CHOOSE(MATCH(UPPER(B529), {"ENERO","FEBRERO","MARZO","ABRIL","MAYO","JUNIO","JULIO","AGOSTO","SEPTIEMBRE","OCTUBRE","NOVIEMBRE","DICIEMBRE"}, 0), 1,2,3,4,5,6,7,8,9,10,11,12), A529)</f>
        <v>44177</v>
      </c>
      <c r="H529">
        <v>14.75</v>
      </c>
      <c r="I529">
        <v>36000</v>
      </c>
      <c r="J529" s="1">
        <f t="shared" si="17"/>
        <v>43994</v>
      </c>
      <c r="K529" t="e">
        <f t="shared" si="16"/>
        <v>#N/A</v>
      </c>
    </row>
    <row r="530" spans="1:11" x14ac:dyDescent="0.25">
      <c r="A530">
        <v>13</v>
      </c>
      <c r="B530" t="s">
        <v>20</v>
      </c>
      <c r="C530">
        <v>2020</v>
      </c>
      <c r="D530">
        <v>100</v>
      </c>
      <c r="E530" t="s">
        <v>9</v>
      </c>
      <c r="F530">
        <v>65</v>
      </c>
      <c r="G530" s="1">
        <f>DATE(C530, CHOOSE(MATCH(UPPER(B530), {"ENERO","FEBRERO","MARZO","ABRIL","MAYO","JUNIO","JULIO","AGOSTO","SEPTIEMBRE","OCTUBRE","NOVIEMBRE","DICIEMBRE"}, 0), 1,2,3,4,5,6,7,8,9,10,11,12), A530)</f>
        <v>44178</v>
      </c>
      <c r="H530">
        <v>35</v>
      </c>
      <c r="I530">
        <v>36000</v>
      </c>
      <c r="J530" s="1">
        <f t="shared" si="17"/>
        <v>43995</v>
      </c>
      <c r="K530" t="e">
        <f t="shared" si="16"/>
        <v>#N/A</v>
      </c>
    </row>
    <row r="531" spans="1:11" x14ac:dyDescent="0.25">
      <c r="A531">
        <v>14</v>
      </c>
      <c r="B531" t="s">
        <v>20</v>
      </c>
      <c r="C531">
        <v>2020</v>
      </c>
      <c r="D531">
        <v>65</v>
      </c>
      <c r="E531" t="s">
        <v>9</v>
      </c>
      <c r="F531">
        <v>55</v>
      </c>
      <c r="G531" s="1">
        <f>DATE(C531, CHOOSE(MATCH(UPPER(B531), {"ENERO","FEBRERO","MARZO","ABRIL","MAYO","JUNIO","JULIO","AGOSTO","SEPTIEMBRE","OCTUBRE","NOVIEMBRE","DICIEMBRE"}, 0), 1,2,3,4,5,6,7,8,9,10,11,12), A531)</f>
        <v>44179</v>
      </c>
      <c r="H531">
        <v>10</v>
      </c>
      <c r="I531">
        <v>36000</v>
      </c>
      <c r="J531" s="1">
        <f t="shared" si="17"/>
        <v>43996</v>
      </c>
      <c r="K531" t="e">
        <f t="shared" si="16"/>
        <v>#N/A</v>
      </c>
    </row>
    <row r="532" spans="1:11" x14ac:dyDescent="0.25">
      <c r="A532">
        <v>15</v>
      </c>
      <c r="B532" t="s">
        <v>20</v>
      </c>
      <c r="C532">
        <v>2020</v>
      </c>
      <c r="D532">
        <v>55</v>
      </c>
      <c r="E532" t="s">
        <v>9</v>
      </c>
      <c r="F532">
        <v>37.875</v>
      </c>
      <c r="G532" s="1">
        <f>DATE(C532, CHOOSE(MATCH(UPPER(B532), {"ENERO","FEBRERO","MARZO","ABRIL","MAYO","JUNIO","JULIO","AGOSTO","SEPTIEMBRE","OCTUBRE","NOVIEMBRE","DICIEMBRE"}, 0), 1,2,3,4,5,6,7,8,9,10,11,12), A532)</f>
        <v>44180</v>
      </c>
      <c r="H532">
        <v>17.125</v>
      </c>
      <c r="I532">
        <v>36000</v>
      </c>
      <c r="J532" s="1">
        <f t="shared" si="17"/>
        <v>43997</v>
      </c>
      <c r="K532" t="e">
        <f t="shared" si="16"/>
        <v>#N/A</v>
      </c>
    </row>
    <row r="533" spans="1:11" x14ac:dyDescent="0.25">
      <c r="A533">
        <v>16</v>
      </c>
      <c r="B533" t="s">
        <v>20</v>
      </c>
      <c r="C533">
        <v>2020</v>
      </c>
      <c r="D533">
        <v>37.875</v>
      </c>
      <c r="E533" t="s">
        <v>9</v>
      </c>
      <c r="F533">
        <v>27</v>
      </c>
      <c r="G533" s="1">
        <f>DATE(C533, CHOOSE(MATCH(UPPER(B533), {"ENERO","FEBRERO","MARZO","ABRIL","MAYO","JUNIO","JULIO","AGOSTO","SEPTIEMBRE","OCTUBRE","NOVIEMBRE","DICIEMBRE"}, 0), 1,2,3,4,5,6,7,8,9,10,11,12), A533)</f>
        <v>44181</v>
      </c>
      <c r="H533">
        <v>10.875</v>
      </c>
      <c r="I533">
        <v>36000</v>
      </c>
      <c r="J533" s="1">
        <f t="shared" si="17"/>
        <v>43998</v>
      </c>
      <c r="K533" t="e">
        <f t="shared" si="16"/>
        <v>#N/A</v>
      </c>
    </row>
    <row r="534" spans="1:11" x14ac:dyDescent="0.25">
      <c r="A534">
        <v>17</v>
      </c>
      <c r="B534" t="s">
        <v>20</v>
      </c>
      <c r="C534">
        <v>2020</v>
      </c>
      <c r="D534">
        <v>27</v>
      </c>
      <c r="E534">
        <v>90</v>
      </c>
      <c r="F534">
        <v>104</v>
      </c>
      <c r="G534" s="1">
        <f>DATE(C534, CHOOSE(MATCH(UPPER(B534), {"ENERO","FEBRERO","MARZO","ABRIL","MAYO","JUNIO","JULIO","AGOSTO","SEPTIEMBRE","OCTUBRE","NOVIEMBRE","DICIEMBRE"}, 0), 1,2,3,4,5,6,7,8,9,10,11,12), A534)</f>
        <v>44182</v>
      </c>
      <c r="H534">
        <v>13</v>
      </c>
      <c r="I534">
        <v>36000</v>
      </c>
      <c r="J534" s="1">
        <f t="shared" si="17"/>
        <v>43999</v>
      </c>
      <c r="K534" t="e">
        <f t="shared" si="16"/>
        <v>#N/A</v>
      </c>
    </row>
    <row r="535" spans="1:11" x14ac:dyDescent="0.25">
      <c r="A535">
        <v>18</v>
      </c>
      <c r="B535" t="s">
        <v>20</v>
      </c>
      <c r="C535">
        <v>2020</v>
      </c>
      <c r="D535">
        <v>104</v>
      </c>
      <c r="E535" t="s">
        <v>9</v>
      </c>
      <c r="F535">
        <v>74</v>
      </c>
      <c r="G535" s="1">
        <f>DATE(C535, CHOOSE(MATCH(UPPER(B535), {"ENERO","FEBRERO","MARZO","ABRIL","MAYO","JUNIO","JULIO","AGOSTO","SEPTIEMBRE","OCTUBRE","NOVIEMBRE","DICIEMBRE"}, 0), 1,2,3,4,5,6,7,8,9,10,11,12), A535)</f>
        <v>44183</v>
      </c>
      <c r="H535">
        <v>30</v>
      </c>
      <c r="I535">
        <v>36000</v>
      </c>
      <c r="J535" s="1">
        <f t="shared" si="17"/>
        <v>44000</v>
      </c>
      <c r="K535" t="e">
        <f t="shared" si="16"/>
        <v>#N/A</v>
      </c>
    </row>
    <row r="536" spans="1:11" x14ac:dyDescent="0.25">
      <c r="A536">
        <v>19</v>
      </c>
      <c r="B536" t="s">
        <v>20</v>
      </c>
      <c r="C536">
        <v>2020</v>
      </c>
      <c r="D536">
        <v>74</v>
      </c>
      <c r="E536" t="s">
        <v>9</v>
      </c>
      <c r="F536">
        <v>55</v>
      </c>
      <c r="G536" s="1">
        <f>DATE(C536, CHOOSE(MATCH(UPPER(B536), {"ENERO","FEBRERO","MARZO","ABRIL","MAYO","JUNIO","JULIO","AGOSTO","SEPTIEMBRE","OCTUBRE","NOVIEMBRE","DICIEMBRE"}, 0), 1,2,3,4,5,6,7,8,9,10,11,12), A536)</f>
        <v>44184</v>
      </c>
      <c r="H536">
        <v>19</v>
      </c>
      <c r="I536">
        <v>36000</v>
      </c>
      <c r="J536" s="1">
        <f t="shared" si="17"/>
        <v>44001</v>
      </c>
      <c r="K536" t="e">
        <f t="shared" si="16"/>
        <v>#N/A</v>
      </c>
    </row>
    <row r="537" spans="1:11" x14ac:dyDescent="0.25">
      <c r="A537">
        <v>20</v>
      </c>
      <c r="B537" t="s">
        <v>20</v>
      </c>
      <c r="C537">
        <v>2020</v>
      </c>
      <c r="D537">
        <v>55</v>
      </c>
      <c r="E537" t="s">
        <v>9</v>
      </c>
      <c r="F537">
        <v>35</v>
      </c>
      <c r="G537" s="1">
        <f>DATE(C537, CHOOSE(MATCH(UPPER(B537), {"ENERO","FEBRERO","MARZO","ABRIL","MAYO","JUNIO","JULIO","AGOSTO","SEPTIEMBRE","OCTUBRE","NOVIEMBRE","DICIEMBRE"}, 0), 1,2,3,4,5,6,7,8,9,10,11,12), A537)</f>
        <v>44185</v>
      </c>
      <c r="H537">
        <v>20</v>
      </c>
      <c r="I537">
        <v>36000</v>
      </c>
      <c r="J537" s="1">
        <f t="shared" si="17"/>
        <v>44002</v>
      </c>
      <c r="K537" t="e">
        <f t="shared" si="16"/>
        <v>#N/A</v>
      </c>
    </row>
    <row r="538" spans="1:11" x14ac:dyDescent="0.25">
      <c r="A538">
        <v>21</v>
      </c>
      <c r="B538" t="s">
        <v>20</v>
      </c>
      <c r="C538">
        <v>2020</v>
      </c>
      <c r="D538">
        <v>35</v>
      </c>
      <c r="E538">
        <v>100</v>
      </c>
      <c r="F538">
        <v>120.375</v>
      </c>
      <c r="G538" s="1">
        <f>DATE(C538, CHOOSE(MATCH(UPPER(B538), {"ENERO","FEBRERO","MARZO","ABRIL","MAYO","JUNIO","JULIO","AGOSTO","SEPTIEMBRE","OCTUBRE","NOVIEMBRE","DICIEMBRE"}, 0), 1,2,3,4,5,6,7,8,9,10,11,12), A538)</f>
        <v>44186</v>
      </c>
      <c r="H538">
        <v>14.625</v>
      </c>
      <c r="I538">
        <v>36000</v>
      </c>
      <c r="J538" s="1">
        <f t="shared" si="17"/>
        <v>44003</v>
      </c>
      <c r="K538" t="e">
        <f t="shared" si="16"/>
        <v>#N/A</v>
      </c>
    </row>
    <row r="539" spans="1:11" x14ac:dyDescent="0.25">
      <c r="A539">
        <v>22</v>
      </c>
      <c r="B539" t="s">
        <v>20</v>
      </c>
      <c r="C539">
        <v>2020</v>
      </c>
      <c r="D539">
        <v>120.375</v>
      </c>
      <c r="E539" t="s">
        <v>9</v>
      </c>
      <c r="F539">
        <v>100.75</v>
      </c>
      <c r="G539" s="1">
        <f>DATE(C539, CHOOSE(MATCH(UPPER(B539), {"ENERO","FEBRERO","MARZO","ABRIL","MAYO","JUNIO","JULIO","AGOSTO","SEPTIEMBRE","OCTUBRE","NOVIEMBRE","DICIEMBRE"}, 0), 1,2,3,4,5,6,7,8,9,10,11,12), A539)</f>
        <v>44187</v>
      </c>
      <c r="H539">
        <v>19.625</v>
      </c>
      <c r="I539">
        <v>36000</v>
      </c>
      <c r="J539" s="1">
        <f t="shared" si="17"/>
        <v>44004</v>
      </c>
      <c r="K539" t="e">
        <f t="shared" si="16"/>
        <v>#N/A</v>
      </c>
    </row>
    <row r="540" spans="1:11" x14ac:dyDescent="0.25">
      <c r="A540">
        <v>23</v>
      </c>
      <c r="B540" t="s">
        <v>20</v>
      </c>
      <c r="C540">
        <v>2020</v>
      </c>
      <c r="D540">
        <v>100.75</v>
      </c>
      <c r="E540" t="s">
        <v>9</v>
      </c>
      <c r="F540">
        <v>82</v>
      </c>
      <c r="G540" s="1">
        <f>DATE(C540, CHOOSE(MATCH(UPPER(B540), {"ENERO","FEBRERO","MARZO","ABRIL","MAYO","JUNIO","JULIO","AGOSTO","SEPTIEMBRE","OCTUBRE","NOVIEMBRE","DICIEMBRE"}, 0), 1,2,3,4,5,6,7,8,9,10,11,12), A540)</f>
        <v>44188</v>
      </c>
      <c r="H540">
        <v>18.75</v>
      </c>
      <c r="I540">
        <v>36000</v>
      </c>
      <c r="J540" s="1">
        <f t="shared" si="17"/>
        <v>44005</v>
      </c>
      <c r="K540" t="e">
        <f t="shared" si="16"/>
        <v>#N/A</v>
      </c>
    </row>
    <row r="541" spans="1:11" x14ac:dyDescent="0.25">
      <c r="A541">
        <v>25</v>
      </c>
      <c r="B541" t="s">
        <v>20</v>
      </c>
      <c r="C541">
        <v>2020</v>
      </c>
      <c r="D541">
        <v>82</v>
      </c>
      <c r="E541" t="s">
        <v>9</v>
      </c>
      <c r="F541">
        <v>50</v>
      </c>
      <c r="G541" s="1">
        <f>DATE(C541, CHOOSE(MATCH(UPPER(B541), {"ENERO","FEBRERO","MARZO","ABRIL","MAYO","JUNIO","JULIO","AGOSTO","SEPTIEMBRE","OCTUBRE","NOVIEMBRE","DICIEMBRE"}, 0), 1,2,3,4,5,6,7,8,9,10,11,12), A541)</f>
        <v>44190</v>
      </c>
      <c r="H541">
        <v>32</v>
      </c>
      <c r="I541">
        <v>36000</v>
      </c>
      <c r="J541" s="1">
        <f t="shared" si="17"/>
        <v>44006</v>
      </c>
      <c r="K541" t="e">
        <f t="shared" si="16"/>
        <v>#N/A</v>
      </c>
    </row>
    <row r="542" spans="1:11" x14ac:dyDescent="0.25">
      <c r="A542">
        <v>26</v>
      </c>
      <c r="B542" t="s">
        <v>20</v>
      </c>
      <c r="C542">
        <v>2020</v>
      </c>
      <c r="D542">
        <v>50</v>
      </c>
      <c r="E542" t="s">
        <v>9</v>
      </c>
      <c r="F542">
        <v>24</v>
      </c>
      <c r="G542" s="1">
        <f>DATE(C542, CHOOSE(MATCH(UPPER(B542), {"ENERO","FEBRERO","MARZO","ABRIL","MAYO","JUNIO","JULIO","AGOSTO","SEPTIEMBRE","OCTUBRE","NOVIEMBRE","DICIEMBRE"}, 0), 1,2,3,4,5,6,7,8,9,10,11,12), A542)</f>
        <v>44191</v>
      </c>
      <c r="H542">
        <v>26</v>
      </c>
      <c r="I542">
        <v>36000</v>
      </c>
      <c r="J542" s="1">
        <f t="shared" si="17"/>
        <v>44007</v>
      </c>
      <c r="K542" t="e">
        <f t="shared" si="16"/>
        <v>#N/A</v>
      </c>
    </row>
    <row r="543" spans="1:11" x14ac:dyDescent="0.25">
      <c r="A543">
        <v>27</v>
      </c>
      <c r="B543" t="s">
        <v>20</v>
      </c>
      <c r="C543">
        <v>2020</v>
      </c>
      <c r="D543">
        <v>24</v>
      </c>
      <c r="E543">
        <v>100</v>
      </c>
      <c r="F543">
        <v>104</v>
      </c>
      <c r="G543" s="1">
        <f>DATE(C543, CHOOSE(MATCH(UPPER(B543), {"ENERO","FEBRERO","MARZO","ABRIL","MAYO","JUNIO","JULIO","AGOSTO","SEPTIEMBRE","OCTUBRE","NOVIEMBRE","DICIEMBRE"}, 0), 1,2,3,4,5,6,7,8,9,10,11,12), A543)</f>
        <v>44192</v>
      </c>
      <c r="H543">
        <v>20</v>
      </c>
      <c r="I543">
        <v>36000</v>
      </c>
      <c r="J543" s="1">
        <f t="shared" si="17"/>
        <v>44008</v>
      </c>
      <c r="K543" t="e">
        <f t="shared" si="16"/>
        <v>#N/A</v>
      </c>
    </row>
    <row r="544" spans="1:11" x14ac:dyDescent="0.25">
      <c r="A544">
        <v>28</v>
      </c>
      <c r="B544" t="s">
        <v>20</v>
      </c>
      <c r="C544">
        <v>2020</v>
      </c>
      <c r="D544">
        <v>104</v>
      </c>
      <c r="E544" t="s">
        <v>9</v>
      </c>
      <c r="F544">
        <v>84</v>
      </c>
      <c r="G544" s="1">
        <f>DATE(C544, CHOOSE(MATCH(UPPER(B544), {"ENERO","FEBRERO","MARZO","ABRIL","MAYO","JUNIO","JULIO","AGOSTO","SEPTIEMBRE","OCTUBRE","NOVIEMBRE","DICIEMBRE"}, 0), 1,2,3,4,5,6,7,8,9,10,11,12), A544)</f>
        <v>44193</v>
      </c>
      <c r="H544">
        <v>20</v>
      </c>
      <c r="I544">
        <v>36000</v>
      </c>
      <c r="J544" s="1">
        <f t="shared" si="17"/>
        <v>44009</v>
      </c>
      <c r="K544" t="e">
        <f t="shared" si="16"/>
        <v>#N/A</v>
      </c>
    </row>
    <row r="545" spans="1:11" x14ac:dyDescent="0.25">
      <c r="A545">
        <v>29</v>
      </c>
      <c r="B545" t="s">
        <v>20</v>
      </c>
      <c r="C545">
        <v>2020</v>
      </c>
      <c r="D545">
        <v>84</v>
      </c>
      <c r="E545" t="s">
        <v>9</v>
      </c>
      <c r="F545">
        <v>63</v>
      </c>
      <c r="G545" s="1">
        <f>DATE(C545, CHOOSE(MATCH(UPPER(B545), {"ENERO","FEBRERO","MARZO","ABRIL","MAYO","JUNIO","JULIO","AGOSTO","SEPTIEMBRE","OCTUBRE","NOVIEMBRE","DICIEMBRE"}, 0), 1,2,3,4,5,6,7,8,9,10,11,12), A545)</f>
        <v>44194</v>
      </c>
      <c r="H545">
        <v>21</v>
      </c>
      <c r="I545">
        <v>36000</v>
      </c>
      <c r="J545" s="1">
        <f t="shared" si="17"/>
        <v>44010</v>
      </c>
      <c r="K545" t="e">
        <f t="shared" si="16"/>
        <v>#N/A</v>
      </c>
    </row>
    <row r="546" spans="1:11" x14ac:dyDescent="0.25">
      <c r="A546">
        <v>30</v>
      </c>
      <c r="B546" t="s">
        <v>20</v>
      </c>
      <c r="C546">
        <v>2020</v>
      </c>
      <c r="D546">
        <v>63</v>
      </c>
      <c r="E546" t="s">
        <v>9</v>
      </c>
      <c r="F546">
        <v>46.875</v>
      </c>
      <c r="G546" s="1">
        <f>DATE(C546, CHOOSE(MATCH(UPPER(B546), {"ENERO","FEBRERO","MARZO","ABRIL","MAYO","JUNIO","JULIO","AGOSTO","SEPTIEMBRE","OCTUBRE","NOVIEMBRE","DICIEMBRE"}, 0), 1,2,3,4,5,6,7,8,9,10,11,12), A546)</f>
        <v>44195</v>
      </c>
      <c r="H546">
        <v>16.125</v>
      </c>
      <c r="I546">
        <v>36000</v>
      </c>
      <c r="J546" s="1">
        <f t="shared" si="17"/>
        <v>44011</v>
      </c>
      <c r="K546" t="e">
        <f t="shared" si="16"/>
        <v>#N/A</v>
      </c>
    </row>
    <row r="547" spans="1:11" x14ac:dyDescent="0.25">
      <c r="A547">
        <v>1</v>
      </c>
      <c r="B547" t="s">
        <v>8</v>
      </c>
      <c r="C547">
        <v>2021</v>
      </c>
      <c r="D547">
        <v>46.875</v>
      </c>
      <c r="E547">
        <v>100</v>
      </c>
      <c r="F547">
        <v>119.625</v>
      </c>
      <c r="G547" s="1">
        <f>DATE(C547, CHOOSE(MATCH(UPPER(B547), {"ENERO","FEBRERO","MARZO","ABRIL","MAYO","JUNIO","JULIO","AGOSTO","SEPTIEMBRE","OCTUBRE","NOVIEMBRE","DICIEMBRE"}, 0), 1,2,3,4,5,6,7,8,9,10,11,12), A547)</f>
        <v>44197</v>
      </c>
      <c r="H547">
        <v>27.25</v>
      </c>
      <c r="I547">
        <v>40000</v>
      </c>
      <c r="J547" s="1">
        <f t="shared" si="17"/>
        <v>44012</v>
      </c>
      <c r="K547" t="e">
        <f t="shared" si="16"/>
        <v>#N/A</v>
      </c>
    </row>
    <row r="548" spans="1:11" x14ac:dyDescent="0.25">
      <c r="A548">
        <v>2</v>
      </c>
      <c r="B548" t="s">
        <v>8</v>
      </c>
      <c r="C548">
        <v>2021</v>
      </c>
      <c r="D548">
        <v>119.625</v>
      </c>
      <c r="E548" t="s">
        <v>9</v>
      </c>
      <c r="F548">
        <v>88</v>
      </c>
      <c r="G548" s="1">
        <f>DATE(C548, CHOOSE(MATCH(UPPER(B548), {"ENERO","FEBRERO","MARZO","ABRIL","MAYO","JUNIO","JULIO","AGOSTO","SEPTIEMBRE","OCTUBRE","NOVIEMBRE","DICIEMBRE"}, 0), 1,2,3,4,5,6,7,8,9,10,11,12), A548)</f>
        <v>44198</v>
      </c>
      <c r="H548">
        <v>31.625</v>
      </c>
      <c r="I548">
        <v>40000</v>
      </c>
      <c r="J548" s="1">
        <f t="shared" si="17"/>
        <v>44013</v>
      </c>
      <c r="K548" t="e">
        <f t="shared" si="16"/>
        <v>#N/A</v>
      </c>
    </row>
    <row r="549" spans="1:11" x14ac:dyDescent="0.25">
      <c r="A549">
        <v>3</v>
      </c>
      <c r="B549" t="s">
        <v>8</v>
      </c>
      <c r="C549">
        <v>2021</v>
      </c>
      <c r="D549">
        <v>88</v>
      </c>
      <c r="E549" t="s">
        <v>9</v>
      </c>
      <c r="F549">
        <v>68</v>
      </c>
      <c r="G549" s="1">
        <f>DATE(C549, CHOOSE(MATCH(UPPER(B549), {"ENERO","FEBRERO","MARZO","ABRIL","MAYO","JUNIO","JULIO","AGOSTO","SEPTIEMBRE","OCTUBRE","NOVIEMBRE","DICIEMBRE"}, 0), 1,2,3,4,5,6,7,8,9,10,11,12), A549)</f>
        <v>44199</v>
      </c>
      <c r="H549">
        <v>20</v>
      </c>
      <c r="I549">
        <v>40000</v>
      </c>
      <c r="J549" s="1">
        <f t="shared" si="17"/>
        <v>44014</v>
      </c>
      <c r="K549" t="e">
        <f t="shared" si="16"/>
        <v>#N/A</v>
      </c>
    </row>
    <row r="550" spans="1:11" x14ac:dyDescent="0.25">
      <c r="A550">
        <v>4</v>
      </c>
      <c r="B550" t="s">
        <v>8</v>
      </c>
      <c r="C550">
        <v>2021</v>
      </c>
      <c r="D550">
        <v>68</v>
      </c>
      <c r="E550" t="s">
        <v>9</v>
      </c>
      <c r="F550">
        <v>56</v>
      </c>
      <c r="G550" s="1">
        <f>DATE(C550, CHOOSE(MATCH(UPPER(B550), {"ENERO","FEBRERO","MARZO","ABRIL","MAYO","JUNIO","JULIO","AGOSTO","SEPTIEMBRE","OCTUBRE","NOVIEMBRE","DICIEMBRE"}, 0), 1,2,3,4,5,6,7,8,9,10,11,12), A550)</f>
        <v>44200</v>
      </c>
      <c r="H550">
        <v>12</v>
      </c>
      <c r="I550">
        <v>40000</v>
      </c>
      <c r="J550" s="1">
        <f t="shared" si="17"/>
        <v>44015</v>
      </c>
      <c r="K550" t="e">
        <f t="shared" si="16"/>
        <v>#N/A</v>
      </c>
    </row>
    <row r="551" spans="1:11" x14ac:dyDescent="0.25">
      <c r="A551">
        <v>5</v>
      </c>
      <c r="B551" t="s">
        <v>8</v>
      </c>
      <c r="C551">
        <v>2021</v>
      </c>
      <c r="D551">
        <v>56</v>
      </c>
      <c r="E551" t="s">
        <v>9</v>
      </c>
      <c r="F551">
        <v>44.375</v>
      </c>
      <c r="G551" s="1">
        <f>DATE(C551, CHOOSE(MATCH(UPPER(B551), {"ENERO","FEBRERO","MARZO","ABRIL","MAYO","JUNIO","JULIO","AGOSTO","SEPTIEMBRE","OCTUBRE","NOVIEMBRE","DICIEMBRE"}, 0), 1,2,3,4,5,6,7,8,9,10,11,12), A551)</f>
        <v>44201</v>
      </c>
      <c r="H551">
        <v>11.625</v>
      </c>
      <c r="I551">
        <v>40000</v>
      </c>
      <c r="J551" s="1">
        <f t="shared" si="17"/>
        <v>44016</v>
      </c>
      <c r="K551" t="e">
        <f t="shared" si="16"/>
        <v>#N/A</v>
      </c>
    </row>
    <row r="552" spans="1:11" x14ac:dyDescent="0.25">
      <c r="A552">
        <v>6</v>
      </c>
      <c r="B552" t="s">
        <v>8</v>
      </c>
      <c r="C552">
        <v>2021</v>
      </c>
      <c r="D552">
        <v>44.375</v>
      </c>
      <c r="E552">
        <v>20</v>
      </c>
      <c r="F552">
        <v>56.25</v>
      </c>
      <c r="G552" s="1">
        <f>DATE(C552, CHOOSE(MATCH(UPPER(B552), {"ENERO","FEBRERO","MARZO","ABRIL","MAYO","JUNIO","JULIO","AGOSTO","SEPTIEMBRE","OCTUBRE","NOVIEMBRE","DICIEMBRE"}, 0), 1,2,3,4,5,6,7,8,9,10,11,12), A552)</f>
        <v>44202</v>
      </c>
      <c r="H552">
        <v>8.125</v>
      </c>
      <c r="I552">
        <v>40000</v>
      </c>
      <c r="J552" s="1">
        <f t="shared" si="17"/>
        <v>44017</v>
      </c>
      <c r="K552" t="e">
        <f t="shared" si="16"/>
        <v>#N/A</v>
      </c>
    </row>
    <row r="553" spans="1:11" x14ac:dyDescent="0.25">
      <c r="A553">
        <v>7</v>
      </c>
      <c r="B553" t="s">
        <v>8</v>
      </c>
      <c r="C553">
        <v>2021</v>
      </c>
      <c r="D553">
        <v>56.25</v>
      </c>
      <c r="E553" t="s">
        <v>9</v>
      </c>
      <c r="F553">
        <v>40.25</v>
      </c>
      <c r="G553" s="1">
        <f>DATE(C553, CHOOSE(MATCH(UPPER(B553), {"ENERO","FEBRERO","MARZO","ABRIL","MAYO","JUNIO","JULIO","AGOSTO","SEPTIEMBRE","OCTUBRE","NOVIEMBRE","DICIEMBRE"}, 0), 1,2,3,4,5,6,7,8,9,10,11,12), A553)</f>
        <v>44203</v>
      </c>
      <c r="H553">
        <v>16</v>
      </c>
      <c r="I553">
        <v>40000</v>
      </c>
      <c r="J553" s="1">
        <f t="shared" si="17"/>
        <v>44018</v>
      </c>
      <c r="K553" t="e">
        <f t="shared" si="16"/>
        <v>#N/A</v>
      </c>
    </row>
    <row r="554" spans="1:11" x14ac:dyDescent="0.25">
      <c r="A554">
        <v>8</v>
      </c>
      <c r="B554" t="s">
        <v>8</v>
      </c>
      <c r="C554">
        <v>2021</v>
      </c>
      <c r="D554">
        <v>40.25</v>
      </c>
      <c r="E554" t="s">
        <v>9</v>
      </c>
      <c r="F554">
        <v>29</v>
      </c>
      <c r="G554" s="1">
        <f>DATE(C554, CHOOSE(MATCH(UPPER(B554), {"ENERO","FEBRERO","MARZO","ABRIL","MAYO","JUNIO","JULIO","AGOSTO","SEPTIEMBRE","OCTUBRE","NOVIEMBRE","DICIEMBRE"}, 0), 1,2,3,4,5,6,7,8,9,10,11,12), A554)</f>
        <v>44204</v>
      </c>
      <c r="H554">
        <v>11.25</v>
      </c>
      <c r="I554">
        <v>40000</v>
      </c>
      <c r="J554" s="1">
        <f t="shared" si="17"/>
        <v>44019</v>
      </c>
      <c r="K554" t="e">
        <f t="shared" si="16"/>
        <v>#N/A</v>
      </c>
    </row>
    <row r="555" spans="1:11" x14ac:dyDescent="0.25">
      <c r="A555">
        <v>9</v>
      </c>
      <c r="B555" t="s">
        <v>8</v>
      </c>
      <c r="C555">
        <v>2021</v>
      </c>
      <c r="D555">
        <v>29</v>
      </c>
      <c r="E555" t="s">
        <v>9</v>
      </c>
      <c r="F555">
        <v>13.75</v>
      </c>
      <c r="G555" s="1">
        <f>DATE(C555, CHOOSE(MATCH(UPPER(B555), {"ENERO","FEBRERO","MARZO","ABRIL","MAYO","JUNIO","JULIO","AGOSTO","SEPTIEMBRE","OCTUBRE","NOVIEMBRE","DICIEMBRE"}, 0), 1,2,3,4,5,6,7,8,9,10,11,12), A555)</f>
        <v>44205</v>
      </c>
      <c r="H555">
        <v>15.25</v>
      </c>
      <c r="I555">
        <v>40000</v>
      </c>
      <c r="J555" s="1">
        <f t="shared" si="17"/>
        <v>44020</v>
      </c>
      <c r="K555" t="e">
        <f t="shared" si="16"/>
        <v>#N/A</v>
      </c>
    </row>
    <row r="556" spans="1:11" x14ac:dyDescent="0.25">
      <c r="A556">
        <v>10</v>
      </c>
      <c r="B556" t="s">
        <v>8</v>
      </c>
      <c r="C556">
        <v>2021</v>
      </c>
      <c r="D556">
        <v>13.75</v>
      </c>
      <c r="E556">
        <v>150</v>
      </c>
      <c r="F556">
        <v>144.25</v>
      </c>
      <c r="G556" s="1">
        <f>DATE(C556, CHOOSE(MATCH(UPPER(B556), {"ENERO","FEBRERO","MARZO","ABRIL","MAYO","JUNIO","JULIO","AGOSTO","SEPTIEMBRE","OCTUBRE","NOVIEMBRE","DICIEMBRE"}, 0), 1,2,3,4,5,6,7,8,9,10,11,12), A556)</f>
        <v>44206</v>
      </c>
      <c r="H556">
        <v>19.5</v>
      </c>
      <c r="I556">
        <v>40000</v>
      </c>
      <c r="J556" s="1">
        <f t="shared" si="17"/>
        <v>44021</v>
      </c>
      <c r="K556" t="e">
        <f t="shared" si="16"/>
        <v>#N/A</v>
      </c>
    </row>
    <row r="557" spans="1:11" x14ac:dyDescent="0.25">
      <c r="A557">
        <v>11</v>
      </c>
      <c r="B557" t="s">
        <v>8</v>
      </c>
      <c r="C557">
        <v>2021</v>
      </c>
      <c r="D557">
        <v>144.25</v>
      </c>
      <c r="E557" t="s">
        <v>9</v>
      </c>
      <c r="F557">
        <v>128</v>
      </c>
      <c r="G557" s="1">
        <f>DATE(C557, CHOOSE(MATCH(UPPER(B557), {"ENERO","FEBRERO","MARZO","ABRIL","MAYO","JUNIO","JULIO","AGOSTO","SEPTIEMBRE","OCTUBRE","NOVIEMBRE","DICIEMBRE"}, 0), 1,2,3,4,5,6,7,8,9,10,11,12), A557)</f>
        <v>44207</v>
      </c>
      <c r="H557">
        <v>16.25</v>
      </c>
      <c r="I557">
        <v>40000</v>
      </c>
      <c r="J557" s="1">
        <f t="shared" si="17"/>
        <v>44022</v>
      </c>
      <c r="K557" t="e">
        <f t="shared" si="16"/>
        <v>#N/A</v>
      </c>
    </row>
    <row r="558" spans="1:11" x14ac:dyDescent="0.25">
      <c r="A558">
        <v>12</v>
      </c>
      <c r="B558" t="s">
        <v>8</v>
      </c>
      <c r="C558">
        <v>2021</v>
      </c>
      <c r="D558">
        <v>128</v>
      </c>
      <c r="E558" t="s">
        <v>9</v>
      </c>
      <c r="F558">
        <v>116.25</v>
      </c>
      <c r="G558" s="1">
        <f>DATE(C558, CHOOSE(MATCH(UPPER(B558), {"ENERO","FEBRERO","MARZO","ABRIL","MAYO","JUNIO","JULIO","AGOSTO","SEPTIEMBRE","OCTUBRE","NOVIEMBRE","DICIEMBRE"}, 0), 1,2,3,4,5,6,7,8,9,10,11,12), A558)</f>
        <v>44208</v>
      </c>
      <c r="H558">
        <v>11.75</v>
      </c>
      <c r="I558">
        <v>40000</v>
      </c>
      <c r="J558" s="1">
        <f t="shared" si="17"/>
        <v>44023</v>
      </c>
      <c r="K558" t="e">
        <f t="shared" si="16"/>
        <v>#N/A</v>
      </c>
    </row>
    <row r="559" spans="1:11" x14ac:dyDescent="0.25">
      <c r="A559">
        <v>13</v>
      </c>
      <c r="B559" t="s">
        <v>8</v>
      </c>
      <c r="C559">
        <v>2021</v>
      </c>
      <c r="D559">
        <v>116.25</v>
      </c>
      <c r="E559" t="s">
        <v>9</v>
      </c>
      <c r="F559">
        <v>113.125</v>
      </c>
      <c r="G559" s="1">
        <f>DATE(C559, CHOOSE(MATCH(UPPER(B559), {"ENERO","FEBRERO","MARZO","ABRIL","MAYO","JUNIO","JULIO","AGOSTO","SEPTIEMBRE","OCTUBRE","NOVIEMBRE","DICIEMBRE"}, 0), 1,2,3,4,5,6,7,8,9,10,11,12), A559)</f>
        <v>44209</v>
      </c>
      <c r="H559">
        <v>3.125</v>
      </c>
      <c r="I559">
        <v>40000</v>
      </c>
      <c r="J559" s="1">
        <f t="shared" si="17"/>
        <v>44024</v>
      </c>
      <c r="K559" t="e">
        <f t="shared" si="16"/>
        <v>#N/A</v>
      </c>
    </row>
    <row r="560" spans="1:11" x14ac:dyDescent="0.25">
      <c r="A560">
        <v>14</v>
      </c>
      <c r="B560" t="s">
        <v>8</v>
      </c>
      <c r="C560">
        <v>2021</v>
      </c>
      <c r="D560">
        <v>113.125</v>
      </c>
      <c r="E560" t="s">
        <v>9</v>
      </c>
      <c r="F560">
        <v>102</v>
      </c>
      <c r="G560" s="1">
        <f>DATE(C560, CHOOSE(MATCH(UPPER(B560), {"ENERO","FEBRERO","MARZO","ABRIL","MAYO","JUNIO","JULIO","AGOSTO","SEPTIEMBRE","OCTUBRE","NOVIEMBRE","DICIEMBRE"}, 0), 1,2,3,4,5,6,7,8,9,10,11,12), A560)</f>
        <v>44210</v>
      </c>
      <c r="H560">
        <v>11.125</v>
      </c>
      <c r="I560">
        <v>40000</v>
      </c>
      <c r="J560" s="1">
        <f t="shared" si="17"/>
        <v>44025</v>
      </c>
      <c r="K560" t="e">
        <f t="shared" si="16"/>
        <v>#N/A</v>
      </c>
    </row>
    <row r="561" spans="1:11" x14ac:dyDescent="0.25">
      <c r="A561">
        <v>15</v>
      </c>
      <c r="B561" t="s">
        <v>8</v>
      </c>
      <c r="C561">
        <v>2021</v>
      </c>
      <c r="D561">
        <v>102</v>
      </c>
      <c r="E561" t="s">
        <v>9</v>
      </c>
      <c r="F561">
        <v>96</v>
      </c>
      <c r="G561" s="1">
        <f>DATE(C561, CHOOSE(MATCH(UPPER(B561), {"ENERO","FEBRERO","MARZO","ABRIL","MAYO","JUNIO","JULIO","AGOSTO","SEPTIEMBRE","OCTUBRE","NOVIEMBRE","DICIEMBRE"}, 0), 1,2,3,4,5,6,7,8,9,10,11,12), A561)</f>
        <v>44211</v>
      </c>
      <c r="H561">
        <v>6</v>
      </c>
      <c r="I561">
        <v>40000</v>
      </c>
      <c r="J561" s="1">
        <f t="shared" si="17"/>
        <v>44026</v>
      </c>
      <c r="K561" t="e">
        <f t="shared" si="16"/>
        <v>#N/A</v>
      </c>
    </row>
    <row r="562" spans="1:11" x14ac:dyDescent="0.25">
      <c r="A562">
        <v>16</v>
      </c>
      <c r="B562" t="s">
        <v>8</v>
      </c>
      <c r="C562">
        <v>2021</v>
      </c>
      <c r="D562">
        <v>96</v>
      </c>
      <c r="E562" t="s">
        <v>9</v>
      </c>
      <c r="F562">
        <v>85.5</v>
      </c>
      <c r="G562" s="1">
        <f>DATE(C562, CHOOSE(MATCH(UPPER(B562), {"ENERO","FEBRERO","MARZO","ABRIL","MAYO","JUNIO","JULIO","AGOSTO","SEPTIEMBRE","OCTUBRE","NOVIEMBRE","DICIEMBRE"}, 0), 1,2,3,4,5,6,7,8,9,10,11,12), A562)</f>
        <v>44212</v>
      </c>
      <c r="H562">
        <v>10.5</v>
      </c>
      <c r="I562">
        <v>40000</v>
      </c>
      <c r="J562" s="1">
        <f t="shared" si="17"/>
        <v>44027</v>
      </c>
      <c r="K562" t="e">
        <f t="shared" si="16"/>
        <v>#N/A</v>
      </c>
    </row>
    <row r="563" spans="1:11" x14ac:dyDescent="0.25">
      <c r="A563">
        <v>17</v>
      </c>
      <c r="B563" t="s">
        <v>8</v>
      </c>
      <c r="C563">
        <v>2021</v>
      </c>
      <c r="D563">
        <v>85.5</v>
      </c>
      <c r="E563" t="s">
        <v>9</v>
      </c>
      <c r="F563">
        <v>74</v>
      </c>
      <c r="G563" s="1">
        <f>DATE(C563, CHOOSE(MATCH(UPPER(B563), {"ENERO","FEBRERO","MARZO","ABRIL","MAYO","JUNIO","JULIO","AGOSTO","SEPTIEMBRE","OCTUBRE","NOVIEMBRE","DICIEMBRE"}, 0), 1,2,3,4,5,6,7,8,9,10,11,12), A563)</f>
        <v>44213</v>
      </c>
      <c r="H563">
        <v>11.5</v>
      </c>
      <c r="I563">
        <v>40000</v>
      </c>
      <c r="J563" s="1">
        <f t="shared" si="17"/>
        <v>44028</v>
      </c>
      <c r="K563" t="e">
        <f t="shared" si="16"/>
        <v>#N/A</v>
      </c>
    </row>
    <row r="564" spans="1:11" x14ac:dyDescent="0.25">
      <c r="A564">
        <v>18</v>
      </c>
      <c r="B564" t="s">
        <v>8</v>
      </c>
      <c r="C564">
        <v>2021</v>
      </c>
      <c r="D564">
        <v>74</v>
      </c>
      <c r="E564" t="s">
        <v>9</v>
      </c>
      <c r="F564">
        <v>68</v>
      </c>
      <c r="G564" s="1">
        <f>DATE(C564, CHOOSE(MATCH(UPPER(B564), {"ENERO","FEBRERO","MARZO","ABRIL","MAYO","JUNIO","JULIO","AGOSTO","SEPTIEMBRE","OCTUBRE","NOVIEMBRE","DICIEMBRE"}, 0), 1,2,3,4,5,6,7,8,9,10,11,12), A564)</f>
        <v>44214</v>
      </c>
      <c r="H564">
        <v>6</v>
      </c>
      <c r="I564">
        <v>40000</v>
      </c>
      <c r="J564" s="1">
        <f t="shared" si="17"/>
        <v>44029</v>
      </c>
      <c r="K564" t="e">
        <f t="shared" si="16"/>
        <v>#N/A</v>
      </c>
    </row>
    <row r="565" spans="1:11" x14ac:dyDescent="0.25">
      <c r="A565">
        <v>19</v>
      </c>
      <c r="B565" t="s">
        <v>8</v>
      </c>
      <c r="C565">
        <v>2021</v>
      </c>
      <c r="D565">
        <v>68</v>
      </c>
      <c r="E565" t="s">
        <v>9</v>
      </c>
      <c r="F565">
        <v>61.875</v>
      </c>
      <c r="G565" s="1">
        <f>DATE(C565, CHOOSE(MATCH(UPPER(B565), {"ENERO","FEBRERO","MARZO","ABRIL","MAYO","JUNIO","JULIO","AGOSTO","SEPTIEMBRE","OCTUBRE","NOVIEMBRE","DICIEMBRE"}, 0), 1,2,3,4,5,6,7,8,9,10,11,12), A565)</f>
        <v>44215</v>
      </c>
      <c r="H565">
        <v>6.125</v>
      </c>
      <c r="I565">
        <v>40000</v>
      </c>
      <c r="J565" s="1">
        <f t="shared" si="17"/>
        <v>44030</v>
      </c>
      <c r="K565" t="e">
        <f t="shared" si="16"/>
        <v>#N/A</v>
      </c>
    </row>
    <row r="566" spans="1:11" x14ac:dyDescent="0.25">
      <c r="A566">
        <v>20</v>
      </c>
      <c r="B566" t="s">
        <v>8</v>
      </c>
      <c r="C566">
        <v>2021</v>
      </c>
      <c r="D566">
        <v>61.875</v>
      </c>
      <c r="E566" t="s">
        <v>9</v>
      </c>
      <c r="F566">
        <v>58</v>
      </c>
      <c r="G566" s="1">
        <f>DATE(C566, CHOOSE(MATCH(UPPER(B566), {"ENERO","FEBRERO","MARZO","ABRIL","MAYO","JUNIO","JULIO","AGOSTO","SEPTIEMBRE","OCTUBRE","NOVIEMBRE","DICIEMBRE"}, 0), 1,2,3,4,5,6,7,8,9,10,11,12), A566)</f>
        <v>44216</v>
      </c>
      <c r="H566">
        <v>3.875</v>
      </c>
      <c r="I566">
        <v>40000</v>
      </c>
      <c r="J566" s="1">
        <f t="shared" si="17"/>
        <v>44031</v>
      </c>
      <c r="K566" t="e">
        <f t="shared" si="16"/>
        <v>#N/A</v>
      </c>
    </row>
    <row r="567" spans="1:11" x14ac:dyDescent="0.25">
      <c r="A567">
        <v>21</v>
      </c>
      <c r="B567" t="s">
        <v>8</v>
      </c>
      <c r="C567">
        <v>2021</v>
      </c>
      <c r="D567">
        <v>58</v>
      </c>
      <c r="E567" t="s">
        <v>9</v>
      </c>
      <c r="F567">
        <v>48.5</v>
      </c>
      <c r="G567" s="1">
        <f>DATE(C567, CHOOSE(MATCH(UPPER(B567), {"ENERO","FEBRERO","MARZO","ABRIL","MAYO","JUNIO","JULIO","AGOSTO","SEPTIEMBRE","OCTUBRE","NOVIEMBRE","DICIEMBRE"}, 0), 1,2,3,4,5,6,7,8,9,10,11,12), A567)</f>
        <v>44217</v>
      </c>
      <c r="H567">
        <v>9.5</v>
      </c>
      <c r="I567">
        <v>40000</v>
      </c>
      <c r="J567" s="1">
        <f t="shared" si="17"/>
        <v>44032</v>
      </c>
      <c r="K567" t="e">
        <f t="shared" si="16"/>
        <v>#N/A</v>
      </c>
    </row>
    <row r="568" spans="1:11" x14ac:dyDescent="0.25">
      <c r="A568">
        <v>22</v>
      </c>
      <c r="B568" t="s">
        <v>8</v>
      </c>
      <c r="C568">
        <v>2021</v>
      </c>
      <c r="D568">
        <v>48.5</v>
      </c>
      <c r="E568" t="s">
        <v>9</v>
      </c>
      <c r="F568">
        <v>33.5</v>
      </c>
      <c r="G568" s="1">
        <f>DATE(C568, CHOOSE(MATCH(UPPER(B568), {"ENERO","FEBRERO","MARZO","ABRIL","MAYO","JUNIO","JULIO","AGOSTO","SEPTIEMBRE","OCTUBRE","NOVIEMBRE","DICIEMBRE"}, 0), 1,2,3,4,5,6,7,8,9,10,11,12), A568)</f>
        <v>44218</v>
      </c>
      <c r="H568">
        <v>15</v>
      </c>
      <c r="I568">
        <v>40000</v>
      </c>
      <c r="J568" s="1">
        <f t="shared" si="17"/>
        <v>44033</v>
      </c>
      <c r="K568" t="e">
        <f t="shared" si="16"/>
        <v>#N/A</v>
      </c>
    </row>
    <row r="569" spans="1:11" x14ac:dyDescent="0.25">
      <c r="A569">
        <v>23</v>
      </c>
      <c r="B569" t="s">
        <v>8</v>
      </c>
      <c r="C569">
        <v>2021</v>
      </c>
      <c r="D569">
        <v>33.5</v>
      </c>
      <c r="E569" t="s">
        <v>9</v>
      </c>
      <c r="F569">
        <v>28.875</v>
      </c>
      <c r="G569" s="1">
        <f>DATE(C569, CHOOSE(MATCH(UPPER(B569), {"ENERO","FEBRERO","MARZO","ABRIL","MAYO","JUNIO","JULIO","AGOSTO","SEPTIEMBRE","OCTUBRE","NOVIEMBRE","DICIEMBRE"}, 0), 1,2,3,4,5,6,7,8,9,10,11,12), A569)</f>
        <v>44219</v>
      </c>
      <c r="H569">
        <v>4.625</v>
      </c>
      <c r="I569">
        <v>40000</v>
      </c>
      <c r="J569" s="1">
        <f t="shared" si="17"/>
        <v>44034</v>
      </c>
      <c r="K569" t="e">
        <f t="shared" si="16"/>
        <v>#N/A</v>
      </c>
    </row>
    <row r="570" spans="1:11" x14ac:dyDescent="0.25">
      <c r="A570">
        <v>24</v>
      </c>
      <c r="B570" t="s">
        <v>8</v>
      </c>
      <c r="C570">
        <v>2021</v>
      </c>
      <c r="D570">
        <v>28.875</v>
      </c>
      <c r="E570" t="s">
        <v>9</v>
      </c>
      <c r="F570">
        <v>23.75</v>
      </c>
      <c r="G570" s="1">
        <f>DATE(C570, CHOOSE(MATCH(UPPER(B570), {"ENERO","FEBRERO","MARZO","ABRIL","MAYO","JUNIO","JULIO","AGOSTO","SEPTIEMBRE","OCTUBRE","NOVIEMBRE","DICIEMBRE"}, 0), 1,2,3,4,5,6,7,8,9,10,11,12), A570)</f>
        <v>44220</v>
      </c>
      <c r="H570">
        <v>5.125</v>
      </c>
      <c r="I570">
        <v>40000</v>
      </c>
      <c r="J570" s="1">
        <f t="shared" si="17"/>
        <v>44035</v>
      </c>
      <c r="K570" t="e">
        <f t="shared" si="16"/>
        <v>#N/A</v>
      </c>
    </row>
    <row r="571" spans="1:11" x14ac:dyDescent="0.25">
      <c r="A571">
        <v>25</v>
      </c>
      <c r="B571" t="s">
        <v>8</v>
      </c>
      <c r="C571">
        <v>2021</v>
      </c>
      <c r="D571">
        <v>23.75</v>
      </c>
      <c r="E571" t="s">
        <v>9</v>
      </c>
      <c r="F571">
        <v>12</v>
      </c>
      <c r="G571" s="1">
        <f>DATE(C571, CHOOSE(MATCH(UPPER(B571), {"ENERO","FEBRERO","MARZO","ABRIL","MAYO","JUNIO","JULIO","AGOSTO","SEPTIEMBRE","OCTUBRE","NOVIEMBRE","DICIEMBRE"}, 0), 1,2,3,4,5,6,7,8,9,10,11,12), A571)</f>
        <v>44221</v>
      </c>
      <c r="H571">
        <v>11.75</v>
      </c>
      <c r="I571">
        <v>40000</v>
      </c>
      <c r="J571" s="1">
        <f t="shared" si="17"/>
        <v>44036</v>
      </c>
      <c r="K571" t="e">
        <f t="shared" si="16"/>
        <v>#N/A</v>
      </c>
    </row>
    <row r="572" spans="1:11" x14ac:dyDescent="0.25">
      <c r="A572">
        <v>26</v>
      </c>
      <c r="B572" t="s">
        <v>8</v>
      </c>
      <c r="C572">
        <v>2021</v>
      </c>
      <c r="D572">
        <v>12</v>
      </c>
      <c r="E572">
        <v>40</v>
      </c>
      <c r="F572">
        <v>47.25</v>
      </c>
      <c r="G572" s="1">
        <f>DATE(C572, CHOOSE(MATCH(UPPER(B572), {"ENERO","FEBRERO","MARZO","ABRIL","MAYO","JUNIO","JULIO","AGOSTO","SEPTIEMBRE","OCTUBRE","NOVIEMBRE","DICIEMBRE"}, 0), 1,2,3,4,5,6,7,8,9,10,11,12), A572)</f>
        <v>44222</v>
      </c>
      <c r="H572">
        <v>4.75</v>
      </c>
      <c r="I572">
        <v>40000</v>
      </c>
      <c r="J572" s="1">
        <f t="shared" si="17"/>
        <v>44037</v>
      </c>
      <c r="K572" t="e">
        <f t="shared" si="16"/>
        <v>#N/A</v>
      </c>
    </row>
    <row r="573" spans="1:11" x14ac:dyDescent="0.25">
      <c r="A573">
        <v>27</v>
      </c>
      <c r="B573" t="s">
        <v>8</v>
      </c>
      <c r="C573">
        <v>2021</v>
      </c>
      <c r="D573">
        <v>47.25</v>
      </c>
      <c r="E573" t="s">
        <v>9</v>
      </c>
      <c r="F573">
        <v>41.25</v>
      </c>
      <c r="G573" s="1">
        <f>DATE(C573, CHOOSE(MATCH(UPPER(B573), {"ENERO","FEBRERO","MARZO","ABRIL","MAYO","JUNIO","JULIO","AGOSTO","SEPTIEMBRE","OCTUBRE","NOVIEMBRE","DICIEMBRE"}, 0), 1,2,3,4,5,6,7,8,9,10,11,12), A573)</f>
        <v>44223</v>
      </c>
      <c r="H573">
        <v>6</v>
      </c>
      <c r="I573">
        <v>40000</v>
      </c>
      <c r="J573" s="1">
        <f t="shared" si="17"/>
        <v>44038</v>
      </c>
      <c r="K573" t="e">
        <f t="shared" si="16"/>
        <v>#N/A</v>
      </c>
    </row>
    <row r="574" spans="1:11" x14ac:dyDescent="0.25">
      <c r="A574">
        <v>28</v>
      </c>
      <c r="B574" t="s">
        <v>8</v>
      </c>
      <c r="C574">
        <v>2021</v>
      </c>
      <c r="D574">
        <v>41.25</v>
      </c>
      <c r="E574" t="s">
        <v>9</v>
      </c>
      <c r="F574">
        <v>29.875</v>
      </c>
      <c r="G574" s="1">
        <f>DATE(C574, CHOOSE(MATCH(UPPER(B574), {"ENERO","FEBRERO","MARZO","ABRIL","MAYO","JUNIO","JULIO","AGOSTO","SEPTIEMBRE","OCTUBRE","NOVIEMBRE","DICIEMBRE"}, 0), 1,2,3,4,5,6,7,8,9,10,11,12), A574)</f>
        <v>44224</v>
      </c>
      <c r="H574">
        <v>11.375</v>
      </c>
      <c r="I574">
        <v>40000</v>
      </c>
      <c r="J574" s="1">
        <f t="shared" si="17"/>
        <v>44039</v>
      </c>
      <c r="K574" t="e">
        <f t="shared" si="16"/>
        <v>#N/A</v>
      </c>
    </row>
    <row r="575" spans="1:11" x14ac:dyDescent="0.25">
      <c r="A575">
        <v>29</v>
      </c>
      <c r="B575" t="s">
        <v>8</v>
      </c>
      <c r="C575">
        <v>2021</v>
      </c>
      <c r="D575">
        <v>29.875</v>
      </c>
      <c r="E575" t="s">
        <v>9</v>
      </c>
      <c r="F575">
        <v>18</v>
      </c>
      <c r="G575" s="1">
        <f>DATE(C575, CHOOSE(MATCH(UPPER(B575), {"ENERO","FEBRERO","MARZO","ABRIL","MAYO","JUNIO","JULIO","AGOSTO","SEPTIEMBRE","OCTUBRE","NOVIEMBRE","DICIEMBRE"}, 0), 1,2,3,4,5,6,7,8,9,10,11,12), A575)</f>
        <v>44225</v>
      </c>
      <c r="H575">
        <v>11.875</v>
      </c>
      <c r="I575">
        <v>40000</v>
      </c>
      <c r="J575" s="1">
        <f t="shared" si="17"/>
        <v>44040</v>
      </c>
      <c r="K575" t="e">
        <f t="shared" si="16"/>
        <v>#N/A</v>
      </c>
    </row>
    <row r="576" spans="1:11" x14ac:dyDescent="0.25">
      <c r="A576">
        <v>30</v>
      </c>
      <c r="B576" t="s">
        <v>8</v>
      </c>
      <c r="C576">
        <v>2021</v>
      </c>
      <c r="D576">
        <v>18</v>
      </c>
      <c r="E576">
        <v>20</v>
      </c>
      <c r="F576">
        <v>18.875</v>
      </c>
      <c r="G576" s="1">
        <f>DATE(C576, CHOOSE(MATCH(UPPER(B576), {"ENERO","FEBRERO","MARZO","ABRIL","MAYO","JUNIO","JULIO","AGOSTO","SEPTIEMBRE","OCTUBRE","NOVIEMBRE","DICIEMBRE"}, 0), 1,2,3,4,5,6,7,8,9,10,11,12), A576)</f>
        <v>44226</v>
      </c>
      <c r="H576">
        <v>19.125</v>
      </c>
      <c r="I576">
        <v>40000</v>
      </c>
      <c r="J576" s="1">
        <f t="shared" si="17"/>
        <v>44041</v>
      </c>
      <c r="K576" t="e">
        <f t="shared" si="16"/>
        <v>#N/A</v>
      </c>
    </row>
    <row r="577" spans="1:11" x14ac:dyDescent="0.25">
      <c r="A577">
        <v>31</v>
      </c>
      <c r="B577" t="s">
        <v>8</v>
      </c>
      <c r="C577">
        <v>2021</v>
      </c>
      <c r="D577">
        <v>18.875</v>
      </c>
      <c r="E577">
        <v>20</v>
      </c>
      <c r="F577">
        <v>20.625</v>
      </c>
      <c r="G577" s="1">
        <f>DATE(C577, CHOOSE(MATCH(UPPER(B577), {"ENERO","FEBRERO","MARZO","ABRIL","MAYO","JUNIO","JULIO","AGOSTO","SEPTIEMBRE","OCTUBRE","NOVIEMBRE","DICIEMBRE"}, 0), 1,2,3,4,5,6,7,8,9,10,11,12), A577)</f>
        <v>44227</v>
      </c>
      <c r="H577">
        <v>18.25</v>
      </c>
      <c r="I577">
        <v>40000</v>
      </c>
      <c r="J577" s="1">
        <f t="shared" si="17"/>
        <v>44042</v>
      </c>
      <c r="K577" t="e">
        <f t="shared" si="16"/>
        <v>#N/A</v>
      </c>
    </row>
    <row r="578" spans="1:11" x14ac:dyDescent="0.25">
      <c r="A578">
        <v>1</v>
      </c>
      <c r="B578" t="s">
        <v>11</v>
      </c>
      <c r="C578">
        <v>2021</v>
      </c>
      <c r="D578">
        <v>20.625</v>
      </c>
      <c r="E578" t="s">
        <v>9</v>
      </c>
      <c r="F578">
        <v>16</v>
      </c>
      <c r="G578" s="1">
        <f>DATE(C578, CHOOSE(MATCH(UPPER(B578), {"ENERO","FEBRERO","MARZO","ABRIL","MAYO","JUNIO","JULIO","AGOSTO","SEPTIEMBRE","OCTUBRE","NOVIEMBRE","DICIEMBRE"}, 0), 1,2,3,4,5,6,7,8,9,10,11,12), A578)</f>
        <v>44228</v>
      </c>
      <c r="H578">
        <v>4.625</v>
      </c>
      <c r="I578">
        <v>40000</v>
      </c>
      <c r="J578" s="1">
        <f t="shared" si="17"/>
        <v>44043</v>
      </c>
      <c r="K578" t="e">
        <f t="shared" ref="K578:K641" si="18">VLOOKUP(J578, G:H, 2, FALSE)</f>
        <v>#N/A</v>
      </c>
    </row>
    <row r="579" spans="1:11" x14ac:dyDescent="0.25">
      <c r="A579">
        <v>2</v>
      </c>
      <c r="B579" t="s">
        <v>11</v>
      </c>
      <c r="C579">
        <v>2021</v>
      </c>
      <c r="D579">
        <v>16</v>
      </c>
      <c r="E579">
        <v>20</v>
      </c>
      <c r="F579">
        <v>29.75</v>
      </c>
      <c r="G579" s="1">
        <f>DATE(C579, CHOOSE(MATCH(UPPER(B579), {"ENERO","FEBRERO","MARZO","ABRIL","MAYO","JUNIO","JULIO","AGOSTO","SEPTIEMBRE","OCTUBRE","NOVIEMBRE","DICIEMBRE"}, 0), 1,2,3,4,5,6,7,8,9,10,11,12), A579)</f>
        <v>44229</v>
      </c>
      <c r="H579">
        <v>6.25</v>
      </c>
      <c r="I579">
        <v>40000</v>
      </c>
      <c r="J579" s="1">
        <f t="shared" si="17"/>
        <v>44044</v>
      </c>
      <c r="K579" t="e">
        <f t="shared" si="18"/>
        <v>#N/A</v>
      </c>
    </row>
    <row r="580" spans="1:11" x14ac:dyDescent="0.25">
      <c r="A580">
        <v>3</v>
      </c>
      <c r="B580" t="s">
        <v>11</v>
      </c>
      <c r="C580">
        <v>2021</v>
      </c>
      <c r="D580">
        <v>29.75</v>
      </c>
      <c r="E580" t="s">
        <v>9</v>
      </c>
      <c r="F580">
        <v>20.75</v>
      </c>
      <c r="G580" s="1">
        <f>DATE(C580, CHOOSE(MATCH(UPPER(B580), {"ENERO","FEBRERO","MARZO","ABRIL","MAYO","JUNIO","JULIO","AGOSTO","SEPTIEMBRE","OCTUBRE","NOVIEMBRE","DICIEMBRE"}, 0), 1,2,3,4,5,6,7,8,9,10,11,12), A580)</f>
        <v>44230</v>
      </c>
      <c r="H580">
        <v>9</v>
      </c>
      <c r="I580">
        <v>40000</v>
      </c>
      <c r="J580" s="1">
        <f t="shared" ref="J580:J643" si="19">DATE(2019,1,1) + ROW()-1</f>
        <v>44045</v>
      </c>
      <c r="K580" t="e">
        <f t="shared" si="18"/>
        <v>#N/A</v>
      </c>
    </row>
    <row r="581" spans="1:11" x14ac:dyDescent="0.25">
      <c r="A581">
        <v>4</v>
      </c>
      <c r="B581" t="s">
        <v>11</v>
      </c>
      <c r="C581">
        <v>2021</v>
      </c>
      <c r="D581">
        <v>20.75</v>
      </c>
      <c r="E581" t="s">
        <v>9</v>
      </c>
      <c r="F581">
        <v>9.25</v>
      </c>
      <c r="G581" s="1">
        <f>DATE(C581, CHOOSE(MATCH(UPPER(B581), {"ENERO","FEBRERO","MARZO","ABRIL","MAYO","JUNIO","JULIO","AGOSTO","SEPTIEMBRE","OCTUBRE","NOVIEMBRE","DICIEMBRE"}, 0), 1,2,3,4,5,6,7,8,9,10,11,12), A581)</f>
        <v>44231</v>
      </c>
      <c r="H581">
        <v>11.5</v>
      </c>
      <c r="I581">
        <v>40000</v>
      </c>
      <c r="J581" s="1">
        <f t="shared" si="19"/>
        <v>44046</v>
      </c>
      <c r="K581" t="e">
        <f t="shared" si="18"/>
        <v>#N/A</v>
      </c>
    </row>
    <row r="582" spans="1:11" x14ac:dyDescent="0.25">
      <c r="A582">
        <v>5</v>
      </c>
      <c r="B582" t="s">
        <v>11</v>
      </c>
      <c r="C582">
        <v>2021</v>
      </c>
      <c r="D582">
        <v>9.25</v>
      </c>
      <c r="E582">
        <v>20</v>
      </c>
      <c r="F582">
        <v>17.25</v>
      </c>
      <c r="G582" s="1">
        <f>DATE(C582, CHOOSE(MATCH(UPPER(B582), {"ENERO","FEBRERO","MARZO","ABRIL","MAYO","JUNIO","JULIO","AGOSTO","SEPTIEMBRE","OCTUBRE","NOVIEMBRE","DICIEMBRE"}, 0), 1,2,3,4,5,6,7,8,9,10,11,12), A582)</f>
        <v>44232</v>
      </c>
      <c r="H582">
        <v>12</v>
      </c>
      <c r="I582">
        <v>40000</v>
      </c>
      <c r="J582" s="1">
        <f t="shared" si="19"/>
        <v>44047</v>
      </c>
      <c r="K582" t="e">
        <f t="shared" si="18"/>
        <v>#N/A</v>
      </c>
    </row>
    <row r="583" spans="1:11" x14ac:dyDescent="0.25">
      <c r="A583">
        <v>6</v>
      </c>
      <c r="B583" t="s">
        <v>11</v>
      </c>
      <c r="C583">
        <v>2021</v>
      </c>
      <c r="D583">
        <v>17.25</v>
      </c>
      <c r="E583">
        <v>5</v>
      </c>
      <c r="F583">
        <v>8.375</v>
      </c>
      <c r="G583" s="1">
        <f>DATE(C583, CHOOSE(MATCH(UPPER(B583), {"ENERO","FEBRERO","MARZO","ABRIL","MAYO","JUNIO","JULIO","AGOSTO","SEPTIEMBRE","OCTUBRE","NOVIEMBRE","DICIEMBRE"}, 0), 1,2,3,4,5,6,7,8,9,10,11,12), A583)</f>
        <v>44233</v>
      </c>
      <c r="H583">
        <v>13.875</v>
      </c>
      <c r="I583">
        <v>40000</v>
      </c>
      <c r="J583" s="1">
        <f t="shared" si="19"/>
        <v>44048</v>
      </c>
      <c r="K583" t="e">
        <f t="shared" si="18"/>
        <v>#N/A</v>
      </c>
    </row>
    <row r="584" spans="1:11" x14ac:dyDescent="0.25">
      <c r="A584">
        <v>7</v>
      </c>
      <c r="B584" t="s">
        <v>11</v>
      </c>
      <c r="C584">
        <v>2021</v>
      </c>
      <c r="D584">
        <v>8.375</v>
      </c>
      <c r="E584">
        <v>30</v>
      </c>
      <c r="F584">
        <v>24.75</v>
      </c>
      <c r="G584" s="1">
        <f>DATE(C584, CHOOSE(MATCH(UPPER(B584), {"ENERO","FEBRERO","MARZO","ABRIL","MAYO","JUNIO","JULIO","AGOSTO","SEPTIEMBRE","OCTUBRE","NOVIEMBRE","DICIEMBRE"}, 0), 1,2,3,4,5,6,7,8,9,10,11,12), A584)</f>
        <v>44234</v>
      </c>
      <c r="H584">
        <v>13.625</v>
      </c>
      <c r="I584">
        <v>40000</v>
      </c>
      <c r="J584" s="1">
        <f t="shared" si="19"/>
        <v>44049</v>
      </c>
      <c r="K584" t="e">
        <f t="shared" si="18"/>
        <v>#N/A</v>
      </c>
    </row>
    <row r="585" spans="1:11" x14ac:dyDescent="0.25">
      <c r="A585">
        <v>8</v>
      </c>
      <c r="B585" t="s">
        <v>11</v>
      </c>
      <c r="C585">
        <v>2021</v>
      </c>
      <c r="D585">
        <v>24.75</v>
      </c>
      <c r="E585" t="s">
        <v>9</v>
      </c>
      <c r="F585">
        <v>15.125</v>
      </c>
      <c r="G585" s="1">
        <f>DATE(C585, CHOOSE(MATCH(UPPER(B585), {"ENERO","FEBRERO","MARZO","ABRIL","MAYO","JUNIO","JULIO","AGOSTO","SEPTIEMBRE","OCTUBRE","NOVIEMBRE","DICIEMBRE"}, 0), 1,2,3,4,5,6,7,8,9,10,11,12), A585)</f>
        <v>44235</v>
      </c>
      <c r="H585">
        <v>9.625</v>
      </c>
      <c r="I585">
        <v>40000</v>
      </c>
      <c r="J585" s="1">
        <f t="shared" si="19"/>
        <v>44050</v>
      </c>
      <c r="K585" t="e">
        <f t="shared" si="18"/>
        <v>#N/A</v>
      </c>
    </row>
    <row r="586" spans="1:11" x14ac:dyDescent="0.25">
      <c r="A586">
        <v>9</v>
      </c>
      <c r="B586" t="s">
        <v>11</v>
      </c>
      <c r="C586">
        <v>2021</v>
      </c>
      <c r="D586">
        <v>15.125</v>
      </c>
      <c r="E586">
        <v>20</v>
      </c>
      <c r="F586">
        <v>24.625</v>
      </c>
      <c r="G586" s="1">
        <f>DATE(C586, CHOOSE(MATCH(UPPER(B586), {"ENERO","FEBRERO","MARZO","ABRIL","MAYO","JUNIO","JULIO","AGOSTO","SEPTIEMBRE","OCTUBRE","NOVIEMBRE","DICIEMBRE"}, 0), 1,2,3,4,5,6,7,8,9,10,11,12), A586)</f>
        <v>44236</v>
      </c>
      <c r="H586">
        <v>10.5</v>
      </c>
      <c r="I586">
        <v>40000</v>
      </c>
      <c r="J586" s="1">
        <f t="shared" si="19"/>
        <v>44051</v>
      </c>
      <c r="K586" t="e">
        <f t="shared" si="18"/>
        <v>#N/A</v>
      </c>
    </row>
    <row r="587" spans="1:11" x14ac:dyDescent="0.25">
      <c r="A587">
        <v>10</v>
      </c>
      <c r="B587" t="s">
        <v>11</v>
      </c>
      <c r="C587">
        <v>2021</v>
      </c>
      <c r="D587">
        <v>24.625</v>
      </c>
      <c r="E587" t="s">
        <v>9</v>
      </c>
      <c r="F587">
        <v>16.75</v>
      </c>
      <c r="G587" s="1">
        <f>DATE(C587, CHOOSE(MATCH(UPPER(B587), {"ENERO","FEBRERO","MARZO","ABRIL","MAYO","JUNIO","JULIO","AGOSTO","SEPTIEMBRE","OCTUBRE","NOVIEMBRE","DICIEMBRE"}, 0), 1,2,3,4,5,6,7,8,9,10,11,12), A587)</f>
        <v>44237</v>
      </c>
      <c r="H587">
        <v>7.875</v>
      </c>
      <c r="I587">
        <v>40000</v>
      </c>
      <c r="J587" s="1">
        <f t="shared" si="19"/>
        <v>44052</v>
      </c>
      <c r="K587" t="e">
        <f t="shared" si="18"/>
        <v>#N/A</v>
      </c>
    </row>
    <row r="588" spans="1:11" x14ac:dyDescent="0.25">
      <c r="A588">
        <v>11</v>
      </c>
      <c r="B588" t="s">
        <v>11</v>
      </c>
      <c r="C588">
        <v>2021</v>
      </c>
      <c r="D588">
        <v>16.75</v>
      </c>
      <c r="E588">
        <v>30</v>
      </c>
      <c r="F588">
        <v>40.625</v>
      </c>
      <c r="G588" s="1">
        <f>DATE(C588, CHOOSE(MATCH(UPPER(B588), {"ENERO","FEBRERO","MARZO","ABRIL","MAYO","JUNIO","JULIO","AGOSTO","SEPTIEMBRE","OCTUBRE","NOVIEMBRE","DICIEMBRE"}, 0), 1,2,3,4,5,6,7,8,9,10,11,12), A588)</f>
        <v>44238</v>
      </c>
      <c r="H588">
        <v>6.125</v>
      </c>
      <c r="I588">
        <v>40000</v>
      </c>
      <c r="J588" s="1">
        <f t="shared" si="19"/>
        <v>44053</v>
      </c>
      <c r="K588" t="e">
        <f t="shared" si="18"/>
        <v>#N/A</v>
      </c>
    </row>
    <row r="589" spans="1:11" x14ac:dyDescent="0.25">
      <c r="A589">
        <v>12</v>
      </c>
      <c r="B589" t="s">
        <v>11</v>
      </c>
      <c r="C589">
        <v>2021</v>
      </c>
      <c r="D589">
        <v>40.625</v>
      </c>
      <c r="E589" t="s">
        <v>9</v>
      </c>
      <c r="F589">
        <v>27.625</v>
      </c>
      <c r="G589" s="1">
        <f>DATE(C589, CHOOSE(MATCH(UPPER(B589), {"ENERO","FEBRERO","MARZO","ABRIL","MAYO","JUNIO","JULIO","AGOSTO","SEPTIEMBRE","OCTUBRE","NOVIEMBRE","DICIEMBRE"}, 0), 1,2,3,4,5,6,7,8,9,10,11,12), A589)</f>
        <v>44239</v>
      </c>
      <c r="H589">
        <v>13</v>
      </c>
      <c r="I589">
        <v>40000</v>
      </c>
      <c r="J589" s="1">
        <f t="shared" si="19"/>
        <v>44054</v>
      </c>
      <c r="K589" t="e">
        <f t="shared" si="18"/>
        <v>#N/A</v>
      </c>
    </row>
    <row r="590" spans="1:11" x14ac:dyDescent="0.25">
      <c r="A590">
        <v>13</v>
      </c>
      <c r="B590" t="s">
        <v>11</v>
      </c>
      <c r="C590">
        <v>2021</v>
      </c>
      <c r="D590">
        <v>27.625</v>
      </c>
      <c r="E590">
        <v>20</v>
      </c>
      <c r="F590">
        <v>24.5</v>
      </c>
      <c r="G590" s="1">
        <f>DATE(C590, CHOOSE(MATCH(UPPER(B590), {"ENERO","FEBRERO","MARZO","ABRIL","MAYO","JUNIO","JULIO","AGOSTO","SEPTIEMBRE","OCTUBRE","NOVIEMBRE","DICIEMBRE"}, 0), 1,2,3,4,5,6,7,8,9,10,11,12), A590)</f>
        <v>44240</v>
      </c>
      <c r="H590">
        <v>23.125</v>
      </c>
      <c r="I590">
        <v>40000</v>
      </c>
      <c r="J590" s="1">
        <f t="shared" si="19"/>
        <v>44055</v>
      </c>
      <c r="K590" t="e">
        <f t="shared" si="18"/>
        <v>#N/A</v>
      </c>
    </row>
    <row r="591" spans="1:11" x14ac:dyDescent="0.25">
      <c r="A591">
        <v>14</v>
      </c>
      <c r="B591" t="s">
        <v>11</v>
      </c>
      <c r="C591">
        <v>2021</v>
      </c>
      <c r="D591">
        <v>24.5</v>
      </c>
      <c r="E591">
        <v>30</v>
      </c>
      <c r="F591">
        <v>42</v>
      </c>
      <c r="G591" s="1">
        <f>DATE(C591, CHOOSE(MATCH(UPPER(B591), {"ENERO","FEBRERO","MARZO","ABRIL","MAYO","JUNIO","JULIO","AGOSTO","SEPTIEMBRE","OCTUBRE","NOVIEMBRE","DICIEMBRE"}, 0), 1,2,3,4,5,6,7,8,9,10,11,12), A591)</f>
        <v>44241</v>
      </c>
      <c r="H591">
        <v>12.5</v>
      </c>
      <c r="I591">
        <v>40000</v>
      </c>
      <c r="J591" s="1">
        <f t="shared" si="19"/>
        <v>44056</v>
      </c>
      <c r="K591" t="e">
        <f t="shared" si="18"/>
        <v>#N/A</v>
      </c>
    </row>
    <row r="592" spans="1:11" x14ac:dyDescent="0.25">
      <c r="A592">
        <v>15</v>
      </c>
      <c r="B592" t="s">
        <v>11</v>
      </c>
      <c r="C592">
        <v>2021</v>
      </c>
      <c r="D592">
        <v>42</v>
      </c>
      <c r="E592" t="s">
        <v>9</v>
      </c>
      <c r="F592">
        <v>33.25</v>
      </c>
      <c r="G592" s="1">
        <f>DATE(C592, CHOOSE(MATCH(UPPER(B592), {"ENERO","FEBRERO","MARZO","ABRIL","MAYO","JUNIO","JULIO","AGOSTO","SEPTIEMBRE","OCTUBRE","NOVIEMBRE","DICIEMBRE"}, 0), 1,2,3,4,5,6,7,8,9,10,11,12), A592)</f>
        <v>44242</v>
      </c>
      <c r="H592">
        <v>8.75</v>
      </c>
      <c r="I592">
        <v>40000</v>
      </c>
      <c r="J592" s="1">
        <f t="shared" si="19"/>
        <v>44057</v>
      </c>
      <c r="K592" t="e">
        <f t="shared" si="18"/>
        <v>#N/A</v>
      </c>
    </row>
    <row r="593" spans="1:11" x14ac:dyDescent="0.25">
      <c r="A593">
        <v>16</v>
      </c>
      <c r="B593" t="s">
        <v>11</v>
      </c>
      <c r="C593">
        <v>2021</v>
      </c>
      <c r="D593">
        <v>33.25</v>
      </c>
      <c r="E593" t="s">
        <v>9</v>
      </c>
      <c r="F593">
        <v>26.75</v>
      </c>
      <c r="G593" s="1">
        <f>DATE(C593, CHOOSE(MATCH(UPPER(B593), {"ENERO","FEBRERO","MARZO","ABRIL","MAYO","JUNIO","JULIO","AGOSTO","SEPTIEMBRE","OCTUBRE","NOVIEMBRE","DICIEMBRE"}, 0), 1,2,3,4,5,6,7,8,9,10,11,12), A593)</f>
        <v>44243</v>
      </c>
      <c r="H593">
        <v>6.5</v>
      </c>
      <c r="I593">
        <v>40000</v>
      </c>
      <c r="J593" s="1">
        <f t="shared" si="19"/>
        <v>44058</v>
      </c>
      <c r="K593" t="e">
        <f t="shared" si="18"/>
        <v>#N/A</v>
      </c>
    </row>
    <row r="594" spans="1:11" x14ac:dyDescent="0.25">
      <c r="A594">
        <v>17</v>
      </c>
      <c r="B594" t="s">
        <v>11</v>
      </c>
      <c r="C594">
        <v>2021</v>
      </c>
      <c r="D594">
        <v>26.75</v>
      </c>
      <c r="E594" t="s">
        <v>9</v>
      </c>
      <c r="F594">
        <v>19.5</v>
      </c>
      <c r="G594" s="1">
        <f>DATE(C594, CHOOSE(MATCH(UPPER(B594), {"ENERO","FEBRERO","MARZO","ABRIL","MAYO","JUNIO","JULIO","AGOSTO","SEPTIEMBRE","OCTUBRE","NOVIEMBRE","DICIEMBRE"}, 0), 1,2,3,4,5,6,7,8,9,10,11,12), A594)</f>
        <v>44244</v>
      </c>
      <c r="H594">
        <v>7.25</v>
      </c>
      <c r="I594">
        <v>40000</v>
      </c>
      <c r="J594" s="1">
        <f t="shared" si="19"/>
        <v>44059</v>
      </c>
      <c r="K594" t="e">
        <f t="shared" si="18"/>
        <v>#N/A</v>
      </c>
    </row>
    <row r="595" spans="1:11" x14ac:dyDescent="0.25">
      <c r="A595">
        <v>18</v>
      </c>
      <c r="B595" t="s">
        <v>11</v>
      </c>
      <c r="C595">
        <v>2021</v>
      </c>
      <c r="D595">
        <v>19.5</v>
      </c>
      <c r="E595">
        <v>30</v>
      </c>
      <c r="F595">
        <v>44.25</v>
      </c>
      <c r="G595" s="1">
        <f>DATE(C595, CHOOSE(MATCH(UPPER(B595), {"ENERO","FEBRERO","MARZO","ABRIL","MAYO","JUNIO","JULIO","AGOSTO","SEPTIEMBRE","OCTUBRE","NOVIEMBRE","DICIEMBRE"}, 0), 1,2,3,4,5,6,7,8,9,10,11,12), A595)</f>
        <v>44245</v>
      </c>
      <c r="H595">
        <v>5.25</v>
      </c>
      <c r="I595">
        <v>40000</v>
      </c>
      <c r="J595" s="1">
        <f t="shared" si="19"/>
        <v>44060</v>
      </c>
      <c r="K595" t="e">
        <f t="shared" si="18"/>
        <v>#N/A</v>
      </c>
    </row>
    <row r="596" spans="1:11" x14ac:dyDescent="0.25">
      <c r="A596">
        <v>19</v>
      </c>
      <c r="B596" t="s">
        <v>11</v>
      </c>
      <c r="C596">
        <v>2021</v>
      </c>
      <c r="D596">
        <v>44.25</v>
      </c>
      <c r="E596" t="s">
        <v>9</v>
      </c>
      <c r="F596">
        <v>31.25</v>
      </c>
      <c r="G596" s="1">
        <f>DATE(C596, CHOOSE(MATCH(UPPER(B596), {"ENERO","FEBRERO","MARZO","ABRIL","MAYO","JUNIO","JULIO","AGOSTO","SEPTIEMBRE","OCTUBRE","NOVIEMBRE","DICIEMBRE"}, 0), 1,2,3,4,5,6,7,8,9,10,11,12), A596)</f>
        <v>44246</v>
      </c>
      <c r="H596">
        <v>13</v>
      </c>
      <c r="I596">
        <v>40000</v>
      </c>
      <c r="J596" s="1">
        <f t="shared" si="19"/>
        <v>44061</v>
      </c>
      <c r="K596" t="e">
        <f t="shared" si="18"/>
        <v>#N/A</v>
      </c>
    </row>
    <row r="597" spans="1:11" x14ac:dyDescent="0.25">
      <c r="A597">
        <v>20</v>
      </c>
      <c r="B597" t="s">
        <v>11</v>
      </c>
      <c r="C597">
        <v>2021</v>
      </c>
      <c r="D597">
        <v>31.25</v>
      </c>
      <c r="E597">
        <v>30</v>
      </c>
      <c r="F597">
        <v>48.125</v>
      </c>
      <c r="G597" s="1">
        <f>DATE(C597, CHOOSE(MATCH(UPPER(B597), {"ENERO","FEBRERO","MARZO","ABRIL","MAYO","JUNIO","JULIO","AGOSTO","SEPTIEMBRE","OCTUBRE","NOVIEMBRE","DICIEMBRE"}, 0), 1,2,3,4,5,6,7,8,9,10,11,12), A597)</f>
        <v>44247</v>
      </c>
      <c r="H597">
        <v>13.125</v>
      </c>
      <c r="I597">
        <v>40000</v>
      </c>
      <c r="J597" s="1">
        <f t="shared" si="19"/>
        <v>44062</v>
      </c>
      <c r="K597" t="e">
        <f t="shared" si="18"/>
        <v>#N/A</v>
      </c>
    </row>
    <row r="598" spans="1:11" x14ac:dyDescent="0.25">
      <c r="A598">
        <v>21</v>
      </c>
      <c r="B598" t="s">
        <v>11</v>
      </c>
      <c r="C598">
        <v>2021</v>
      </c>
      <c r="D598">
        <v>48.125</v>
      </c>
      <c r="E598" t="s">
        <v>9</v>
      </c>
      <c r="F598">
        <v>33</v>
      </c>
      <c r="G598" s="1">
        <f>DATE(C598, CHOOSE(MATCH(UPPER(B598), {"ENERO","FEBRERO","MARZO","ABRIL","MAYO","JUNIO","JULIO","AGOSTO","SEPTIEMBRE","OCTUBRE","NOVIEMBRE","DICIEMBRE"}, 0), 1,2,3,4,5,6,7,8,9,10,11,12), A598)</f>
        <v>44248</v>
      </c>
      <c r="H598">
        <v>15.125</v>
      </c>
      <c r="I598">
        <v>40000</v>
      </c>
      <c r="J598" s="1">
        <f t="shared" si="19"/>
        <v>44063</v>
      </c>
      <c r="K598" t="e">
        <f t="shared" si="18"/>
        <v>#N/A</v>
      </c>
    </row>
    <row r="599" spans="1:11" x14ac:dyDescent="0.25">
      <c r="A599">
        <v>22</v>
      </c>
      <c r="B599" t="s">
        <v>11</v>
      </c>
      <c r="C599">
        <v>2021</v>
      </c>
      <c r="D599">
        <v>33</v>
      </c>
      <c r="E599" t="s">
        <v>9</v>
      </c>
      <c r="F599">
        <v>25.875</v>
      </c>
      <c r="G599" s="1">
        <f>DATE(C599, CHOOSE(MATCH(UPPER(B599), {"ENERO","FEBRERO","MARZO","ABRIL","MAYO","JUNIO","JULIO","AGOSTO","SEPTIEMBRE","OCTUBRE","NOVIEMBRE","DICIEMBRE"}, 0), 1,2,3,4,5,6,7,8,9,10,11,12), A599)</f>
        <v>44249</v>
      </c>
      <c r="H599">
        <v>7.125</v>
      </c>
      <c r="I599">
        <v>40000</v>
      </c>
      <c r="J599" s="1">
        <f t="shared" si="19"/>
        <v>44064</v>
      </c>
      <c r="K599" t="e">
        <f t="shared" si="18"/>
        <v>#N/A</v>
      </c>
    </row>
    <row r="600" spans="1:11" x14ac:dyDescent="0.25">
      <c r="A600">
        <v>23</v>
      </c>
      <c r="B600" t="s">
        <v>11</v>
      </c>
      <c r="C600">
        <v>2021</v>
      </c>
      <c r="D600">
        <v>25.875</v>
      </c>
      <c r="E600">
        <v>25</v>
      </c>
      <c r="F600">
        <v>44.25</v>
      </c>
      <c r="G600" s="1">
        <f>DATE(C600, CHOOSE(MATCH(UPPER(B600), {"ENERO","FEBRERO","MARZO","ABRIL","MAYO","JUNIO","JULIO","AGOSTO","SEPTIEMBRE","OCTUBRE","NOVIEMBRE","DICIEMBRE"}, 0), 1,2,3,4,5,6,7,8,9,10,11,12), A600)</f>
        <v>44250</v>
      </c>
      <c r="H600">
        <v>6.625</v>
      </c>
      <c r="I600">
        <v>40000</v>
      </c>
      <c r="J600" s="1">
        <f t="shared" si="19"/>
        <v>44065</v>
      </c>
      <c r="K600" t="e">
        <f t="shared" si="18"/>
        <v>#N/A</v>
      </c>
    </row>
    <row r="601" spans="1:11" x14ac:dyDescent="0.25">
      <c r="A601">
        <v>24</v>
      </c>
      <c r="B601" t="s">
        <v>11</v>
      </c>
      <c r="C601">
        <v>2021</v>
      </c>
      <c r="D601">
        <v>44.25</v>
      </c>
      <c r="E601" t="s">
        <v>9</v>
      </c>
      <c r="F601">
        <v>38.875</v>
      </c>
      <c r="G601" s="1">
        <f>DATE(C601, CHOOSE(MATCH(UPPER(B601), {"ENERO","FEBRERO","MARZO","ABRIL","MAYO","JUNIO","JULIO","AGOSTO","SEPTIEMBRE","OCTUBRE","NOVIEMBRE","DICIEMBRE"}, 0), 1,2,3,4,5,6,7,8,9,10,11,12), A601)</f>
        <v>44251</v>
      </c>
      <c r="H601">
        <v>5.375</v>
      </c>
      <c r="I601">
        <v>40000</v>
      </c>
      <c r="J601" s="1">
        <f t="shared" si="19"/>
        <v>44066</v>
      </c>
      <c r="K601" t="e">
        <f t="shared" si="18"/>
        <v>#N/A</v>
      </c>
    </row>
    <row r="602" spans="1:11" x14ac:dyDescent="0.25">
      <c r="A602">
        <v>25</v>
      </c>
      <c r="B602" t="s">
        <v>8</v>
      </c>
      <c r="C602">
        <v>2021</v>
      </c>
      <c r="D602">
        <v>38.875</v>
      </c>
      <c r="E602" t="s">
        <v>9</v>
      </c>
      <c r="F602">
        <v>27.25</v>
      </c>
      <c r="G602" s="1">
        <f>DATE(C602, CHOOSE(MATCH(UPPER(B602), {"ENERO","FEBRERO","MARZO","ABRIL","MAYO","JUNIO","JULIO","AGOSTO","SEPTIEMBRE","OCTUBRE","NOVIEMBRE","DICIEMBRE"}, 0), 1,2,3,4,5,6,7,8,9,10,11,12), A602)</f>
        <v>44221</v>
      </c>
      <c r="H602">
        <v>11.625</v>
      </c>
      <c r="I602">
        <v>40000</v>
      </c>
      <c r="J602" s="1">
        <f t="shared" si="19"/>
        <v>44067</v>
      </c>
      <c r="K602" t="e">
        <f t="shared" si="18"/>
        <v>#N/A</v>
      </c>
    </row>
    <row r="603" spans="1:11" x14ac:dyDescent="0.25">
      <c r="A603">
        <v>26</v>
      </c>
      <c r="B603" t="s">
        <v>11</v>
      </c>
      <c r="C603">
        <v>2021</v>
      </c>
      <c r="D603">
        <v>27.25</v>
      </c>
      <c r="E603" t="s">
        <v>9</v>
      </c>
      <c r="F603">
        <v>11.875</v>
      </c>
      <c r="G603" s="1">
        <f>DATE(C603, CHOOSE(MATCH(UPPER(B603), {"ENERO","FEBRERO","MARZO","ABRIL","MAYO","JUNIO","JULIO","AGOSTO","SEPTIEMBRE","OCTUBRE","NOVIEMBRE","DICIEMBRE"}, 0), 1,2,3,4,5,6,7,8,9,10,11,12), A603)</f>
        <v>44253</v>
      </c>
      <c r="H603">
        <v>15.375</v>
      </c>
      <c r="I603">
        <v>40000</v>
      </c>
      <c r="J603" s="1">
        <f t="shared" si="19"/>
        <v>44068</v>
      </c>
      <c r="K603" t="e">
        <f t="shared" si="18"/>
        <v>#N/A</v>
      </c>
    </row>
    <row r="604" spans="1:11" x14ac:dyDescent="0.25">
      <c r="A604">
        <v>27</v>
      </c>
      <c r="B604" t="s">
        <v>11</v>
      </c>
      <c r="C604">
        <v>2021</v>
      </c>
      <c r="D604">
        <v>11.875</v>
      </c>
      <c r="E604">
        <v>40</v>
      </c>
      <c r="F604">
        <v>27.024999999999999</v>
      </c>
      <c r="G604" s="1">
        <f>DATE(C604, CHOOSE(MATCH(UPPER(B604), {"ENERO","FEBRERO","MARZO","ABRIL","MAYO","JUNIO","JULIO","AGOSTO","SEPTIEMBRE","OCTUBRE","NOVIEMBRE","DICIEMBRE"}, 0), 1,2,3,4,5,6,7,8,9,10,11,12), A604)</f>
        <v>44254</v>
      </c>
      <c r="H604">
        <v>24.85</v>
      </c>
      <c r="I604">
        <v>40000</v>
      </c>
      <c r="J604" s="1">
        <f t="shared" si="19"/>
        <v>44069</v>
      </c>
      <c r="K604" t="e">
        <f t="shared" si="18"/>
        <v>#N/A</v>
      </c>
    </row>
    <row r="605" spans="1:11" x14ac:dyDescent="0.25">
      <c r="A605">
        <v>28</v>
      </c>
      <c r="B605" t="s">
        <v>11</v>
      </c>
      <c r="C605">
        <v>2021</v>
      </c>
      <c r="D605">
        <v>27.024999999999999</v>
      </c>
      <c r="E605">
        <v>20</v>
      </c>
      <c r="F605">
        <v>23.875</v>
      </c>
      <c r="G605" s="1">
        <f>DATE(C605, CHOOSE(MATCH(UPPER(B605), {"ENERO","FEBRERO","MARZO","ABRIL","MAYO","JUNIO","JULIO","AGOSTO","SEPTIEMBRE","OCTUBRE","NOVIEMBRE","DICIEMBRE"}, 0), 1,2,3,4,5,6,7,8,9,10,11,12), A605)</f>
        <v>44255</v>
      </c>
      <c r="H605">
        <v>23.15</v>
      </c>
      <c r="I605">
        <v>40000</v>
      </c>
      <c r="J605" s="1">
        <f t="shared" si="19"/>
        <v>44070</v>
      </c>
      <c r="K605" t="e">
        <f t="shared" si="18"/>
        <v>#N/A</v>
      </c>
    </row>
    <row r="606" spans="1:11" x14ac:dyDescent="0.25">
      <c r="A606">
        <v>1</v>
      </c>
      <c r="B606" t="s">
        <v>12</v>
      </c>
      <c r="C606">
        <v>2021</v>
      </c>
      <c r="D606">
        <v>23.875</v>
      </c>
      <c r="E606" t="s">
        <v>9</v>
      </c>
      <c r="F606">
        <v>16</v>
      </c>
      <c r="G606" s="1">
        <f>DATE(C606, CHOOSE(MATCH(UPPER(B606), {"ENERO","FEBRERO","MARZO","ABRIL","MAYO","JUNIO","JULIO","AGOSTO","SEPTIEMBRE","OCTUBRE","NOVIEMBRE","DICIEMBRE"}, 0), 1,2,3,4,5,6,7,8,9,10,11,12), A606)</f>
        <v>44256</v>
      </c>
      <c r="H606">
        <v>7.875</v>
      </c>
      <c r="I606">
        <v>40000</v>
      </c>
      <c r="J606" s="1">
        <f t="shared" si="19"/>
        <v>44071</v>
      </c>
      <c r="K606" t="e">
        <f t="shared" si="18"/>
        <v>#N/A</v>
      </c>
    </row>
    <row r="607" spans="1:11" x14ac:dyDescent="0.25">
      <c r="A607">
        <v>2</v>
      </c>
      <c r="B607" t="s">
        <v>12</v>
      </c>
      <c r="C607">
        <v>2021</v>
      </c>
      <c r="D607">
        <v>16</v>
      </c>
      <c r="E607">
        <v>30</v>
      </c>
      <c r="F607">
        <v>33.25</v>
      </c>
      <c r="G607" s="1">
        <f>DATE(C607, CHOOSE(MATCH(UPPER(B607), {"ENERO","FEBRERO","MARZO","ABRIL","MAYO","JUNIO","JULIO","AGOSTO","SEPTIEMBRE","OCTUBRE","NOVIEMBRE","DICIEMBRE"}, 0), 1,2,3,4,5,6,7,8,9,10,11,12), A607)</f>
        <v>44257</v>
      </c>
      <c r="H607">
        <v>12.75</v>
      </c>
      <c r="I607">
        <v>40000</v>
      </c>
      <c r="J607" s="1">
        <f t="shared" si="19"/>
        <v>44072</v>
      </c>
      <c r="K607" t="e">
        <f t="shared" si="18"/>
        <v>#N/A</v>
      </c>
    </row>
    <row r="608" spans="1:11" x14ac:dyDescent="0.25">
      <c r="A608">
        <v>3</v>
      </c>
      <c r="B608" t="s">
        <v>12</v>
      </c>
      <c r="C608">
        <v>2021</v>
      </c>
      <c r="D608">
        <v>33.25</v>
      </c>
      <c r="E608" t="s">
        <v>9</v>
      </c>
      <c r="F608">
        <v>24</v>
      </c>
      <c r="G608" s="1">
        <f>DATE(C608, CHOOSE(MATCH(UPPER(B608), {"ENERO","FEBRERO","MARZO","ABRIL","MAYO","JUNIO","JULIO","AGOSTO","SEPTIEMBRE","OCTUBRE","NOVIEMBRE","DICIEMBRE"}, 0), 1,2,3,4,5,6,7,8,9,10,11,12), A608)</f>
        <v>44258</v>
      </c>
      <c r="H608">
        <v>9.25</v>
      </c>
      <c r="I608">
        <v>40000</v>
      </c>
      <c r="J608" s="1">
        <f t="shared" si="19"/>
        <v>44073</v>
      </c>
      <c r="K608" t="e">
        <f t="shared" si="18"/>
        <v>#N/A</v>
      </c>
    </row>
    <row r="609" spans="1:11" x14ac:dyDescent="0.25">
      <c r="A609">
        <v>4</v>
      </c>
      <c r="B609" t="s">
        <v>12</v>
      </c>
      <c r="C609">
        <v>2021</v>
      </c>
      <c r="D609">
        <v>24</v>
      </c>
      <c r="E609">
        <v>30</v>
      </c>
      <c r="F609">
        <v>42.875</v>
      </c>
      <c r="G609" s="1">
        <f>DATE(C609, CHOOSE(MATCH(UPPER(B609), {"ENERO","FEBRERO","MARZO","ABRIL","MAYO","JUNIO","JULIO","AGOSTO","SEPTIEMBRE","OCTUBRE","NOVIEMBRE","DICIEMBRE"}, 0), 1,2,3,4,5,6,7,8,9,10,11,12), A609)</f>
        <v>44259</v>
      </c>
      <c r="H609">
        <v>11.125</v>
      </c>
      <c r="I609">
        <v>40000</v>
      </c>
      <c r="J609" s="1">
        <f t="shared" si="19"/>
        <v>44074</v>
      </c>
      <c r="K609" t="e">
        <f t="shared" si="18"/>
        <v>#N/A</v>
      </c>
    </row>
    <row r="610" spans="1:11" x14ac:dyDescent="0.25">
      <c r="A610">
        <v>5</v>
      </c>
      <c r="B610" t="s">
        <v>12</v>
      </c>
      <c r="C610">
        <v>2021</v>
      </c>
      <c r="D610">
        <v>42.875</v>
      </c>
      <c r="E610" t="s">
        <v>9</v>
      </c>
      <c r="F610">
        <v>25.25</v>
      </c>
      <c r="G610" s="1">
        <f>DATE(C610, CHOOSE(MATCH(UPPER(B610), {"ENERO","FEBRERO","MARZO","ABRIL","MAYO","JUNIO","JULIO","AGOSTO","SEPTIEMBRE","OCTUBRE","NOVIEMBRE","DICIEMBRE"}, 0), 1,2,3,4,5,6,7,8,9,10,11,12), A610)</f>
        <v>44260</v>
      </c>
      <c r="H610">
        <v>17.625</v>
      </c>
      <c r="I610">
        <v>40000</v>
      </c>
      <c r="J610" s="1">
        <f t="shared" si="19"/>
        <v>44075</v>
      </c>
      <c r="K610" t="e">
        <f t="shared" si="18"/>
        <v>#N/A</v>
      </c>
    </row>
    <row r="611" spans="1:11" x14ac:dyDescent="0.25">
      <c r="A611">
        <v>6</v>
      </c>
      <c r="B611" t="s">
        <v>12</v>
      </c>
      <c r="C611">
        <v>2021</v>
      </c>
      <c r="D611">
        <v>25.25</v>
      </c>
      <c r="E611">
        <v>50</v>
      </c>
      <c r="F611">
        <v>57</v>
      </c>
      <c r="G611" s="1">
        <f>DATE(C611, CHOOSE(MATCH(UPPER(B611), {"ENERO","FEBRERO","MARZO","ABRIL","MAYO","JUNIO","JULIO","AGOSTO","SEPTIEMBRE","OCTUBRE","NOVIEMBRE","DICIEMBRE"}, 0), 1,2,3,4,5,6,7,8,9,10,11,12), A611)</f>
        <v>44261</v>
      </c>
      <c r="H611">
        <v>18.25</v>
      </c>
      <c r="I611">
        <v>40000</v>
      </c>
      <c r="J611" s="1">
        <f t="shared" si="19"/>
        <v>44076</v>
      </c>
      <c r="K611" t="e">
        <f t="shared" si="18"/>
        <v>#N/A</v>
      </c>
    </row>
    <row r="612" spans="1:11" x14ac:dyDescent="0.25">
      <c r="A612">
        <v>7</v>
      </c>
      <c r="B612" t="s">
        <v>12</v>
      </c>
      <c r="C612">
        <v>2021</v>
      </c>
      <c r="D612">
        <v>57</v>
      </c>
      <c r="E612" t="s">
        <v>9</v>
      </c>
      <c r="F612">
        <v>30</v>
      </c>
      <c r="G612" s="1">
        <f>DATE(C612, CHOOSE(MATCH(UPPER(B612), {"ENERO","FEBRERO","MARZO","ABRIL","MAYO","JUNIO","JULIO","AGOSTO","SEPTIEMBRE","OCTUBRE","NOVIEMBRE","DICIEMBRE"}, 0), 1,2,3,4,5,6,7,8,9,10,11,12), A612)</f>
        <v>44262</v>
      </c>
      <c r="H612">
        <v>27</v>
      </c>
      <c r="I612">
        <v>40000</v>
      </c>
      <c r="J612" s="1">
        <f t="shared" si="19"/>
        <v>44077</v>
      </c>
      <c r="K612" t="e">
        <f t="shared" si="18"/>
        <v>#N/A</v>
      </c>
    </row>
    <row r="613" spans="1:11" x14ac:dyDescent="0.25">
      <c r="A613">
        <v>8</v>
      </c>
      <c r="B613" t="s">
        <v>12</v>
      </c>
      <c r="C613">
        <v>2021</v>
      </c>
      <c r="D613">
        <v>30</v>
      </c>
      <c r="E613" t="s">
        <v>9</v>
      </c>
      <c r="F613">
        <v>18</v>
      </c>
      <c r="G613" s="1">
        <f>DATE(C613, CHOOSE(MATCH(UPPER(B613), {"ENERO","FEBRERO","MARZO","ABRIL","MAYO","JUNIO","JULIO","AGOSTO","SEPTIEMBRE","OCTUBRE","NOVIEMBRE","DICIEMBRE"}, 0), 1,2,3,4,5,6,7,8,9,10,11,12), A613)</f>
        <v>44263</v>
      </c>
      <c r="H613">
        <v>12</v>
      </c>
      <c r="I613">
        <v>40000</v>
      </c>
      <c r="J613" s="1">
        <f t="shared" si="19"/>
        <v>44078</v>
      </c>
      <c r="K613" t="e">
        <f t="shared" si="18"/>
        <v>#N/A</v>
      </c>
    </row>
    <row r="614" spans="1:11" x14ac:dyDescent="0.25">
      <c r="A614">
        <v>9</v>
      </c>
      <c r="B614" t="s">
        <v>12</v>
      </c>
      <c r="C614">
        <v>2021</v>
      </c>
      <c r="D614">
        <v>18</v>
      </c>
      <c r="E614">
        <v>40</v>
      </c>
      <c r="F614">
        <v>54.25</v>
      </c>
      <c r="G614" s="1">
        <f>DATE(C614, CHOOSE(MATCH(UPPER(B614), {"ENERO","FEBRERO","MARZO","ABRIL","MAYO","JUNIO","JULIO","AGOSTO","SEPTIEMBRE","OCTUBRE","NOVIEMBRE","DICIEMBRE"}, 0), 1,2,3,4,5,6,7,8,9,10,11,12), A614)</f>
        <v>44264</v>
      </c>
      <c r="H614">
        <v>3.75</v>
      </c>
      <c r="I614">
        <v>40000</v>
      </c>
      <c r="J614" s="1">
        <f t="shared" si="19"/>
        <v>44079</v>
      </c>
      <c r="K614" t="e">
        <f t="shared" si="18"/>
        <v>#N/A</v>
      </c>
    </row>
    <row r="615" spans="1:11" x14ac:dyDescent="0.25">
      <c r="A615">
        <v>10</v>
      </c>
      <c r="B615" t="s">
        <v>12</v>
      </c>
      <c r="C615">
        <v>2021</v>
      </c>
      <c r="D615">
        <v>54.25</v>
      </c>
      <c r="E615" t="s">
        <v>9</v>
      </c>
      <c r="F615">
        <v>44.5</v>
      </c>
      <c r="G615" s="1">
        <f>DATE(C615, CHOOSE(MATCH(UPPER(B615), {"ENERO","FEBRERO","MARZO","ABRIL","MAYO","JUNIO","JULIO","AGOSTO","SEPTIEMBRE","OCTUBRE","NOVIEMBRE","DICIEMBRE"}, 0), 1,2,3,4,5,6,7,8,9,10,11,12), A615)</f>
        <v>44265</v>
      </c>
      <c r="H615">
        <v>9.75</v>
      </c>
      <c r="I615">
        <v>40000</v>
      </c>
      <c r="J615" s="1">
        <f t="shared" si="19"/>
        <v>44080</v>
      </c>
      <c r="K615" t="e">
        <f t="shared" si="18"/>
        <v>#N/A</v>
      </c>
    </row>
    <row r="616" spans="1:11" x14ac:dyDescent="0.25">
      <c r="A616">
        <v>11</v>
      </c>
      <c r="B616" t="s">
        <v>12</v>
      </c>
      <c r="C616">
        <v>2021</v>
      </c>
      <c r="D616">
        <v>44.5</v>
      </c>
      <c r="E616" t="s">
        <v>9</v>
      </c>
      <c r="F616">
        <v>37.375</v>
      </c>
      <c r="G616" s="1">
        <f>DATE(C616, CHOOSE(MATCH(UPPER(B616), {"ENERO","FEBRERO","MARZO","ABRIL","MAYO","JUNIO","JULIO","AGOSTO","SEPTIEMBRE","OCTUBRE","NOVIEMBRE","DICIEMBRE"}, 0), 1,2,3,4,5,6,7,8,9,10,11,12), A616)</f>
        <v>44266</v>
      </c>
      <c r="H616">
        <v>7.125</v>
      </c>
      <c r="I616">
        <v>40000</v>
      </c>
      <c r="J616" s="1">
        <f t="shared" si="19"/>
        <v>44081</v>
      </c>
      <c r="K616" t="e">
        <f t="shared" si="18"/>
        <v>#N/A</v>
      </c>
    </row>
    <row r="617" spans="1:11" x14ac:dyDescent="0.25">
      <c r="A617">
        <v>12</v>
      </c>
      <c r="B617" t="s">
        <v>12</v>
      </c>
      <c r="C617">
        <v>2021</v>
      </c>
      <c r="D617">
        <v>37.375</v>
      </c>
      <c r="E617" t="s">
        <v>9</v>
      </c>
      <c r="F617">
        <v>18.5</v>
      </c>
      <c r="G617" s="1">
        <f>DATE(C617, CHOOSE(MATCH(UPPER(B617), {"ENERO","FEBRERO","MARZO","ABRIL","MAYO","JUNIO","JULIO","AGOSTO","SEPTIEMBRE","OCTUBRE","NOVIEMBRE","DICIEMBRE"}, 0), 1,2,3,4,5,6,7,8,9,10,11,12), A617)</f>
        <v>44267</v>
      </c>
      <c r="H617">
        <v>18.875</v>
      </c>
      <c r="I617">
        <v>40000</v>
      </c>
      <c r="J617" s="1">
        <f t="shared" si="19"/>
        <v>44082</v>
      </c>
      <c r="K617" t="e">
        <f t="shared" si="18"/>
        <v>#N/A</v>
      </c>
    </row>
    <row r="618" spans="1:11" x14ac:dyDescent="0.25">
      <c r="A618">
        <v>13</v>
      </c>
      <c r="B618" t="s">
        <v>12</v>
      </c>
      <c r="C618">
        <v>2021</v>
      </c>
      <c r="D618">
        <v>18.5</v>
      </c>
      <c r="E618">
        <v>50</v>
      </c>
      <c r="F618">
        <v>46.5</v>
      </c>
      <c r="G618" s="1">
        <f>DATE(C618, CHOOSE(MATCH(UPPER(B618), {"ENERO","FEBRERO","MARZO","ABRIL","MAYO","JUNIO","JULIO","AGOSTO","SEPTIEMBRE","OCTUBRE","NOVIEMBRE","DICIEMBRE"}, 0), 1,2,3,4,5,6,7,8,9,10,11,12), A618)</f>
        <v>44268</v>
      </c>
      <c r="H618">
        <v>22</v>
      </c>
      <c r="I618">
        <v>40000</v>
      </c>
      <c r="J618" s="1">
        <f t="shared" si="19"/>
        <v>44083</v>
      </c>
      <c r="K618" t="e">
        <f t="shared" si="18"/>
        <v>#N/A</v>
      </c>
    </row>
    <row r="619" spans="1:11" x14ac:dyDescent="0.25">
      <c r="A619">
        <v>14</v>
      </c>
      <c r="B619" t="s">
        <v>12</v>
      </c>
      <c r="C619">
        <v>2021</v>
      </c>
      <c r="D619">
        <v>46.5</v>
      </c>
      <c r="E619" t="s">
        <v>9</v>
      </c>
      <c r="F619">
        <v>23</v>
      </c>
      <c r="G619" s="1">
        <f>DATE(C619, CHOOSE(MATCH(UPPER(B619), {"ENERO","FEBRERO","MARZO","ABRIL","MAYO","JUNIO","JULIO","AGOSTO","SEPTIEMBRE","OCTUBRE","NOVIEMBRE","DICIEMBRE"}, 0), 1,2,3,4,5,6,7,8,9,10,11,12), A619)</f>
        <v>44269</v>
      </c>
      <c r="H619">
        <v>23.5</v>
      </c>
      <c r="I619">
        <v>40000</v>
      </c>
      <c r="J619" s="1">
        <f t="shared" si="19"/>
        <v>44084</v>
      </c>
      <c r="K619" t="e">
        <f t="shared" si="18"/>
        <v>#N/A</v>
      </c>
    </row>
    <row r="620" spans="1:11" x14ac:dyDescent="0.25">
      <c r="A620">
        <v>15</v>
      </c>
      <c r="B620" t="s">
        <v>12</v>
      </c>
      <c r="C620">
        <v>2021</v>
      </c>
      <c r="D620">
        <v>23</v>
      </c>
      <c r="E620">
        <v>50</v>
      </c>
      <c r="F620">
        <v>66.5</v>
      </c>
      <c r="G620" s="1">
        <f>DATE(C620, CHOOSE(MATCH(UPPER(B620), {"ENERO","FEBRERO","MARZO","ABRIL","MAYO","JUNIO","JULIO","AGOSTO","SEPTIEMBRE","OCTUBRE","NOVIEMBRE","DICIEMBRE"}, 0), 1,2,3,4,5,6,7,8,9,10,11,12), A620)</f>
        <v>44270</v>
      </c>
      <c r="H620">
        <v>6.5</v>
      </c>
      <c r="I620">
        <v>40000</v>
      </c>
      <c r="J620" s="1">
        <f t="shared" si="19"/>
        <v>44085</v>
      </c>
      <c r="K620" t="e">
        <f t="shared" si="18"/>
        <v>#N/A</v>
      </c>
    </row>
    <row r="621" spans="1:11" x14ac:dyDescent="0.25">
      <c r="A621">
        <v>16</v>
      </c>
      <c r="B621" t="s">
        <v>12</v>
      </c>
      <c r="C621">
        <v>2021</v>
      </c>
      <c r="D621">
        <v>66.5</v>
      </c>
      <c r="E621" t="s">
        <v>9</v>
      </c>
      <c r="F621">
        <v>57.5</v>
      </c>
      <c r="G621" s="1">
        <f>DATE(C621, CHOOSE(MATCH(UPPER(B621), {"ENERO","FEBRERO","MARZO","ABRIL","MAYO","JUNIO","JULIO","AGOSTO","SEPTIEMBRE","OCTUBRE","NOVIEMBRE","DICIEMBRE"}, 0), 1,2,3,4,5,6,7,8,9,10,11,12), A621)</f>
        <v>44271</v>
      </c>
      <c r="H621">
        <v>9</v>
      </c>
      <c r="I621">
        <v>40000</v>
      </c>
      <c r="J621" s="1">
        <f t="shared" si="19"/>
        <v>44086</v>
      </c>
      <c r="K621" t="e">
        <f t="shared" si="18"/>
        <v>#N/A</v>
      </c>
    </row>
    <row r="622" spans="1:11" x14ac:dyDescent="0.25">
      <c r="A622">
        <v>17</v>
      </c>
      <c r="B622" t="s">
        <v>12</v>
      </c>
      <c r="C622">
        <v>2021</v>
      </c>
      <c r="D622">
        <v>57.5</v>
      </c>
      <c r="E622" t="s">
        <v>9</v>
      </c>
      <c r="F622">
        <v>45.875</v>
      </c>
      <c r="G622" s="1">
        <f>DATE(C622, CHOOSE(MATCH(UPPER(B622), {"ENERO","FEBRERO","MARZO","ABRIL","MAYO","JUNIO","JULIO","AGOSTO","SEPTIEMBRE","OCTUBRE","NOVIEMBRE","DICIEMBRE"}, 0), 1,2,3,4,5,6,7,8,9,10,11,12), A622)</f>
        <v>44272</v>
      </c>
      <c r="H622">
        <v>11.625</v>
      </c>
      <c r="I622">
        <v>40000</v>
      </c>
      <c r="J622" s="1">
        <f t="shared" si="19"/>
        <v>44087</v>
      </c>
      <c r="K622" t="e">
        <f t="shared" si="18"/>
        <v>#N/A</v>
      </c>
    </row>
    <row r="623" spans="1:11" x14ac:dyDescent="0.25">
      <c r="A623">
        <v>18</v>
      </c>
      <c r="B623" t="s">
        <v>12</v>
      </c>
      <c r="C623">
        <v>2021</v>
      </c>
      <c r="D623">
        <v>45.875</v>
      </c>
      <c r="E623" t="s">
        <v>9</v>
      </c>
      <c r="F623">
        <v>31.875</v>
      </c>
      <c r="G623" s="1">
        <f>DATE(C623, CHOOSE(MATCH(UPPER(B623), {"ENERO","FEBRERO","MARZO","ABRIL","MAYO","JUNIO","JULIO","AGOSTO","SEPTIEMBRE","OCTUBRE","NOVIEMBRE","DICIEMBRE"}, 0), 1,2,3,4,5,6,7,8,9,10,11,12), A623)</f>
        <v>44273</v>
      </c>
      <c r="H623">
        <v>14</v>
      </c>
      <c r="I623">
        <v>40000</v>
      </c>
      <c r="J623" s="1">
        <f t="shared" si="19"/>
        <v>44088</v>
      </c>
      <c r="K623" t="e">
        <f t="shared" si="18"/>
        <v>#N/A</v>
      </c>
    </row>
    <row r="624" spans="1:11" x14ac:dyDescent="0.25">
      <c r="A624">
        <v>19</v>
      </c>
      <c r="B624" t="s">
        <v>12</v>
      </c>
      <c r="C624">
        <v>2021</v>
      </c>
      <c r="D624">
        <v>31.875</v>
      </c>
      <c r="E624">
        <v>50</v>
      </c>
      <c r="F624">
        <v>66</v>
      </c>
      <c r="G624" s="1">
        <f>DATE(C624, CHOOSE(MATCH(UPPER(B624), {"ENERO","FEBRERO","MARZO","ABRIL","MAYO","JUNIO","JULIO","AGOSTO","SEPTIEMBRE","OCTUBRE","NOVIEMBRE","DICIEMBRE"}, 0), 1,2,3,4,5,6,7,8,9,10,11,12), A624)</f>
        <v>44274</v>
      </c>
      <c r="H624">
        <v>15.875</v>
      </c>
      <c r="I624">
        <v>40000</v>
      </c>
      <c r="J624" s="1">
        <f t="shared" si="19"/>
        <v>44089</v>
      </c>
      <c r="K624" t="e">
        <f t="shared" si="18"/>
        <v>#N/A</v>
      </c>
    </row>
    <row r="625" spans="1:11" x14ac:dyDescent="0.25">
      <c r="A625">
        <v>20</v>
      </c>
      <c r="B625" t="s">
        <v>12</v>
      </c>
      <c r="C625">
        <v>2021</v>
      </c>
      <c r="D625">
        <v>66</v>
      </c>
      <c r="E625" t="s">
        <v>9</v>
      </c>
      <c r="F625">
        <v>44.75</v>
      </c>
      <c r="G625" s="1">
        <f>DATE(C625, CHOOSE(MATCH(UPPER(B625), {"ENERO","FEBRERO","MARZO","ABRIL","MAYO","JUNIO","JULIO","AGOSTO","SEPTIEMBRE","OCTUBRE","NOVIEMBRE","DICIEMBRE"}, 0), 1,2,3,4,5,6,7,8,9,10,11,12), A625)</f>
        <v>44275</v>
      </c>
      <c r="H625">
        <v>21.25</v>
      </c>
      <c r="I625">
        <v>40000</v>
      </c>
      <c r="J625" s="1">
        <f t="shared" si="19"/>
        <v>44090</v>
      </c>
      <c r="K625" t="e">
        <f t="shared" si="18"/>
        <v>#N/A</v>
      </c>
    </row>
    <row r="626" spans="1:11" x14ac:dyDescent="0.25">
      <c r="A626">
        <v>21</v>
      </c>
      <c r="B626" t="s">
        <v>12</v>
      </c>
      <c r="C626">
        <v>2021</v>
      </c>
      <c r="D626">
        <v>44.75</v>
      </c>
      <c r="E626">
        <v>20</v>
      </c>
      <c r="F626">
        <v>35.25</v>
      </c>
      <c r="G626" s="1">
        <f>DATE(C626, CHOOSE(MATCH(UPPER(B626), {"ENERO","FEBRERO","MARZO","ABRIL","MAYO","JUNIO","JULIO","AGOSTO","SEPTIEMBRE","OCTUBRE","NOVIEMBRE","DICIEMBRE"}, 0), 1,2,3,4,5,6,7,8,9,10,11,12), A626)</f>
        <v>44276</v>
      </c>
      <c r="H626">
        <v>29.5</v>
      </c>
      <c r="I626">
        <v>40000</v>
      </c>
      <c r="J626" s="1">
        <f t="shared" si="19"/>
        <v>44091</v>
      </c>
      <c r="K626" t="e">
        <f t="shared" si="18"/>
        <v>#N/A</v>
      </c>
    </row>
    <row r="627" spans="1:11" x14ac:dyDescent="0.25">
      <c r="A627">
        <v>22</v>
      </c>
      <c r="B627" t="s">
        <v>12</v>
      </c>
      <c r="C627">
        <v>2021</v>
      </c>
      <c r="D627">
        <v>35.25</v>
      </c>
      <c r="E627">
        <v>20</v>
      </c>
      <c r="F627">
        <v>33.75</v>
      </c>
      <c r="G627" s="1">
        <f>DATE(C627, CHOOSE(MATCH(UPPER(B627), {"ENERO","FEBRERO","MARZO","ABRIL","MAYO","JUNIO","JULIO","AGOSTO","SEPTIEMBRE","OCTUBRE","NOVIEMBRE","DICIEMBRE"}, 0), 1,2,3,4,5,6,7,8,9,10,11,12), A627)</f>
        <v>44277</v>
      </c>
      <c r="H627">
        <v>21.5</v>
      </c>
      <c r="I627">
        <v>40000</v>
      </c>
      <c r="J627" s="1">
        <f t="shared" si="19"/>
        <v>44092</v>
      </c>
      <c r="K627" t="e">
        <f t="shared" si="18"/>
        <v>#N/A</v>
      </c>
    </row>
    <row r="628" spans="1:11" x14ac:dyDescent="0.25">
      <c r="A628">
        <v>23</v>
      </c>
      <c r="B628" t="s">
        <v>12</v>
      </c>
      <c r="C628">
        <v>2021</v>
      </c>
      <c r="D628">
        <v>33.75</v>
      </c>
      <c r="E628">
        <v>50</v>
      </c>
      <c r="F628">
        <v>75.5</v>
      </c>
      <c r="G628" s="1">
        <f>DATE(C628, CHOOSE(MATCH(UPPER(B628), {"ENERO","FEBRERO","MARZO","ABRIL","MAYO","JUNIO","JULIO","AGOSTO","SEPTIEMBRE","OCTUBRE","NOVIEMBRE","DICIEMBRE"}, 0), 1,2,3,4,5,6,7,8,9,10,11,12), A628)</f>
        <v>44278</v>
      </c>
      <c r="H628">
        <v>8.25</v>
      </c>
      <c r="I628">
        <v>40000</v>
      </c>
      <c r="J628" s="1">
        <f t="shared" si="19"/>
        <v>44093</v>
      </c>
      <c r="K628" t="e">
        <f t="shared" si="18"/>
        <v>#N/A</v>
      </c>
    </row>
    <row r="629" spans="1:11" x14ac:dyDescent="0.25">
      <c r="A629">
        <v>24</v>
      </c>
      <c r="B629" t="s">
        <v>12</v>
      </c>
      <c r="C629">
        <v>2021</v>
      </c>
      <c r="D629">
        <v>75.5</v>
      </c>
      <c r="E629" t="s">
        <v>9</v>
      </c>
      <c r="F629">
        <v>68</v>
      </c>
      <c r="G629" s="1">
        <f>DATE(C629, CHOOSE(MATCH(UPPER(B629), {"ENERO","FEBRERO","MARZO","ABRIL","MAYO","JUNIO","JULIO","AGOSTO","SEPTIEMBRE","OCTUBRE","NOVIEMBRE","DICIEMBRE"}, 0), 1,2,3,4,5,6,7,8,9,10,11,12), A629)</f>
        <v>44279</v>
      </c>
      <c r="H629">
        <v>7.5</v>
      </c>
      <c r="I629">
        <v>40000</v>
      </c>
      <c r="J629" s="1">
        <f t="shared" si="19"/>
        <v>44094</v>
      </c>
      <c r="K629" t="e">
        <f t="shared" si="18"/>
        <v>#N/A</v>
      </c>
    </row>
    <row r="630" spans="1:11" x14ac:dyDescent="0.25">
      <c r="A630">
        <v>25</v>
      </c>
      <c r="B630" t="s">
        <v>12</v>
      </c>
      <c r="C630">
        <v>2021</v>
      </c>
      <c r="D630">
        <v>68</v>
      </c>
      <c r="E630" t="s">
        <v>9</v>
      </c>
      <c r="F630">
        <v>57.625</v>
      </c>
      <c r="G630" s="1">
        <f>DATE(C630, CHOOSE(MATCH(UPPER(B630), {"ENERO","FEBRERO","MARZO","ABRIL","MAYO","JUNIO","JULIO","AGOSTO","SEPTIEMBRE","OCTUBRE","NOVIEMBRE","DICIEMBRE"}, 0), 1,2,3,4,5,6,7,8,9,10,11,12), A630)</f>
        <v>44280</v>
      </c>
      <c r="H630">
        <v>10.375</v>
      </c>
      <c r="I630">
        <v>40000</v>
      </c>
      <c r="J630" s="1">
        <f t="shared" si="19"/>
        <v>44095</v>
      </c>
      <c r="K630" t="e">
        <f t="shared" si="18"/>
        <v>#N/A</v>
      </c>
    </row>
    <row r="631" spans="1:11" x14ac:dyDescent="0.25">
      <c r="A631">
        <v>26</v>
      </c>
      <c r="B631" t="s">
        <v>12</v>
      </c>
      <c r="C631">
        <v>2021</v>
      </c>
      <c r="D631">
        <v>57.625</v>
      </c>
      <c r="E631" t="s">
        <v>9</v>
      </c>
      <c r="F631">
        <v>46.875</v>
      </c>
      <c r="G631" s="1">
        <f>DATE(C631, CHOOSE(MATCH(UPPER(B631), {"ENERO","FEBRERO","MARZO","ABRIL","MAYO","JUNIO","JULIO","AGOSTO","SEPTIEMBRE","OCTUBRE","NOVIEMBRE","DICIEMBRE"}, 0), 1,2,3,4,5,6,7,8,9,10,11,12), A631)</f>
        <v>44281</v>
      </c>
      <c r="H631">
        <v>10.75</v>
      </c>
      <c r="I631">
        <v>40000</v>
      </c>
      <c r="J631" s="1">
        <f t="shared" si="19"/>
        <v>44096</v>
      </c>
      <c r="K631" t="e">
        <f t="shared" si="18"/>
        <v>#N/A</v>
      </c>
    </row>
    <row r="632" spans="1:11" x14ac:dyDescent="0.25">
      <c r="A632">
        <v>27</v>
      </c>
      <c r="B632" t="s">
        <v>12</v>
      </c>
      <c r="C632">
        <v>2021</v>
      </c>
      <c r="D632">
        <v>46.875</v>
      </c>
      <c r="E632">
        <v>20</v>
      </c>
      <c r="F632">
        <v>35.875</v>
      </c>
      <c r="G632" s="1">
        <f>DATE(C632, CHOOSE(MATCH(UPPER(B632), {"ENERO","FEBRERO","MARZO","ABRIL","MAYO","JUNIO","JULIO","AGOSTO","SEPTIEMBRE","OCTUBRE","NOVIEMBRE","DICIEMBRE"}, 0), 1,2,3,4,5,6,7,8,9,10,11,12), A632)</f>
        <v>44282</v>
      </c>
      <c r="H632">
        <v>31</v>
      </c>
      <c r="I632">
        <v>40000</v>
      </c>
      <c r="J632" s="1">
        <f t="shared" si="19"/>
        <v>44097</v>
      </c>
      <c r="K632" t="e">
        <f t="shared" si="18"/>
        <v>#N/A</v>
      </c>
    </row>
    <row r="633" spans="1:11" x14ac:dyDescent="0.25">
      <c r="A633">
        <v>28</v>
      </c>
      <c r="B633" t="s">
        <v>12</v>
      </c>
      <c r="C633">
        <v>2021</v>
      </c>
      <c r="D633">
        <v>35.875</v>
      </c>
      <c r="E633">
        <v>40</v>
      </c>
      <c r="F633">
        <v>52.75</v>
      </c>
      <c r="G633" s="1">
        <f>DATE(C633, CHOOSE(MATCH(UPPER(B633), {"ENERO","FEBRERO","MARZO","ABRIL","MAYO","JUNIO","JULIO","AGOSTO","SEPTIEMBRE","OCTUBRE","NOVIEMBRE","DICIEMBRE"}, 0), 1,2,3,4,5,6,7,8,9,10,11,12), A633)</f>
        <v>44283</v>
      </c>
      <c r="H633">
        <v>23.125</v>
      </c>
      <c r="I633">
        <v>40000</v>
      </c>
      <c r="J633" s="1">
        <f t="shared" si="19"/>
        <v>44098</v>
      </c>
      <c r="K633" t="e">
        <f t="shared" si="18"/>
        <v>#N/A</v>
      </c>
    </row>
    <row r="634" spans="1:11" x14ac:dyDescent="0.25">
      <c r="A634">
        <v>29</v>
      </c>
      <c r="B634" t="s">
        <v>12</v>
      </c>
      <c r="C634">
        <v>2021</v>
      </c>
      <c r="D634">
        <v>52.75</v>
      </c>
      <c r="E634">
        <v>50</v>
      </c>
      <c r="F634">
        <v>93</v>
      </c>
      <c r="G634" s="1">
        <f>DATE(C634, CHOOSE(MATCH(UPPER(B634), {"ENERO","FEBRERO","MARZO","ABRIL","MAYO","JUNIO","JULIO","AGOSTO","SEPTIEMBRE","OCTUBRE","NOVIEMBRE","DICIEMBRE"}, 0), 1,2,3,4,5,6,7,8,9,10,11,12), A634)</f>
        <v>44284</v>
      </c>
      <c r="H634">
        <v>9.75</v>
      </c>
      <c r="I634">
        <v>40000</v>
      </c>
      <c r="J634" s="1">
        <f t="shared" si="19"/>
        <v>44099</v>
      </c>
      <c r="K634" t="e">
        <f t="shared" si="18"/>
        <v>#N/A</v>
      </c>
    </row>
    <row r="635" spans="1:11" x14ac:dyDescent="0.25">
      <c r="A635">
        <v>30</v>
      </c>
      <c r="B635" t="s">
        <v>12</v>
      </c>
      <c r="C635">
        <v>2021</v>
      </c>
      <c r="D635">
        <v>93</v>
      </c>
      <c r="E635" t="s">
        <v>9</v>
      </c>
      <c r="F635">
        <v>83</v>
      </c>
      <c r="G635" s="1">
        <f>DATE(C635, CHOOSE(MATCH(UPPER(B635), {"ENERO","FEBRERO","MARZO","ABRIL","MAYO","JUNIO","JULIO","AGOSTO","SEPTIEMBRE","OCTUBRE","NOVIEMBRE","DICIEMBRE"}, 0), 1,2,3,4,5,6,7,8,9,10,11,12), A635)</f>
        <v>44285</v>
      </c>
      <c r="H635">
        <v>10</v>
      </c>
      <c r="I635">
        <v>40000</v>
      </c>
      <c r="J635" s="1">
        <f t="shared" si="19"/>
        <v>44100</v>
      </c>
      <c r="K635" t="e">
        <f t="shared" si="18"/>
        <v>#N/A</v>
      </c>
    </row>
    <row r="636" spans="1:11" x14ac:dyDescent="0.25">
      <c r="A636">
        <v>31</v>
      </c>
      <c r="B636" t="s">
        <v>12</v>
      </c>
      <c r="C636">
        <v>2021</v>
      </c>
      <c r="D636">
        <v>83</v>
      </c>
      <c r="E636" t="s">
        <v>9</v>
      </c>
      <c r="F636">
        <v>63.25</v>
      </c>
      <c r="G636" s="1">
        <f>DATE(C636, CHOOSE(MATCH(UPPER(B636), {"ENERO","FEBRERO","MARZO","ABRIL","MAYO","JUNIO","JULIO","AGOSTO","SEPTIEMBRE","OCTUBRE","NOVIEMBRE","DICIEMBRE"}, 0), 1,2,3,4,5,6,7,8,9,10,11,12), A636)</f>
        <v>44286</v>
      </c>
      <c r="H636">
        <v>19.75</v>
      </c>
      <c r="I636">
        <v>40000</v>
      </c>
      <c r="J636" s="1">
        <f t="shared" si="19"/>
        <v>44101</v>
      </c>
      <c r="K636" t="e">
        <f t="shared" si="18"/>
        <v>#N/A</v>
      </c>
    </row>
    <row r="637" spans="1:11" x14ac:dyDescent="0.25">
      <c r="A637">
        <v>1</v>
      </c>
      <c r="B637" t="s">
        <v>13</v>
      </c>
      <c r="C637">
        <v>2021</v>
      </c>
      <c r="D637">
        <v>63.25</v>
      </c>
      <c r="E637" t="s">
        <v>9</v>
      </c>
      <c r="F637">
        <v>45.25</v>
      </c>
      <c r="G637" s="1">
        <f>DATE(C637, CHOOSE(MATCH(UPPER(B637), {"ENERO","FEBRERO","MARZO","ABRIL","MAYO","JUNIO","JULIO","AGOSTO","SEPTIEMBRE","OCTUBRE","NOVIEMBRE","DICIEMBRE"}, 0), 1,2,3,4,5,6,7,8,9,10,11,12), A637)</f>
        <v>44287</v>
      </c>
      <c r="H637">
        <v>18</v>
      </c>
      <c r="I637">
        <v>40000</v>
      </c>
      <c r="J637" s="1">
        <f t="shared" si="19"/>
        <v>44102</v>
      </c>
      <c r="K637" t="e">
        <f t="shared" si="18"/>
        <v>#N/A</v>
      </c>
    </row>
    <row r="638" spans="1:11" x14ac:dyDescent="0.25">
      <c r="A638">
        <v>2</v>
      </c>
      <c r="B638" t="s">
        <v>13</v>
      </c>
      <c r="C638">
        <v>2021</v>
      </c>
      <c r="D638">
        <v>45.25</v>
      </c>
      <c r="E638" t="s">
        <v>9</v>
      </c>
      <c r="F638">
        <v>14</v>
      </c>
      <c r="G638" s="1">
        <f>DATE(C638, CHOOSE(MATCH(UPPER(B638), {"ENERO","FEBRERO","MARZO","ABRIL","MAYO","JUNIO","JULIO","AGOSTO","SEPTIEMBRE","OCTUBRE","NOVIEMBRE","DICIEMBRE"}, 0), 1,2,3,4,5,6,7,8,9,10,11,12), A638)</f>
        <v>44288</v>
      </c>
      <c r="H638">
        <v>31.25</v>
      </c>
      <c r="I638">
        <v>40000</v>
      </c>
      <c r="J638" s="1">
        <f t="shared" si="19"/>
        <v>44103</v>
      </c>
      <c r="K638" t="e">
        <f t="shared" si="18"/>
        <v>#N/A</v>
      </c>
    </row>
    <row r="639" spans="1:11" x14ac:dyDescent="0.25">
      <c r="A639">
        <v>3</v>
      </c>
      <c r="B639" t="s">
        <v>13</v>
      </c>
      <c r="C639">
        <v>2021</v>
      </c>
      <c r="D639">
        <v>14</v>
      </c>
      <c r="E639">
        <v>60</v>
      </c>
      <c r="F639">
        <v>55.875</v>
      </c>
      <c r="G639" s="1">
        <f>DATE(C639, CHOOSE(MATCH(UPPER(B639), {"ENERO","FEBRERO","MARZO","ABRIL","MAYO","JUNIO","JULIO","AGOSTO","SEPTIEMBRE","OCTUBRE","NOVIEMBRE","DICIEMBRE"}, 0), 1,2,3,4,5,6,7,8,9,10,11,12), A639)</f>
        <v>44289</v>
      </c>
      <c r="H639">
        <v>18.125</v>
      </c>
      <c r="I639">
        <v>40000</v>
      </c>
      <c r="J639" s="1">
        <f t="shared" si="19"/>
        <v>44104</v>
      </c>
      <c r="K639" t="e">
        <f t="shared" si="18"/>
        <v>#N/A</v>
      </c>
    </row>
    <row r="640" spans="1:11" x14ac:dyDescent="0.25">
      <c r="A640">
        <v>4</v>
      </c>
      <c r="B640" t="s">
        <v>13</v>
      </c>
      <c r="C640">
        <v>2021</v>
      </c>
      <c r="D640">
        <v>55.875</v>
      </c>
      <c r="E640" t="s">
        <v>9</v>
      </c>
      <c r="F640">
        <v>34.125</v>
      </c>
      <c r="G640" s="1">
        <f>DATE(C640, CHOOSE(MATCH(UPPER(B640), {"ENERO","FEBRERO","MARZO","ABRIL","MAYO","JUNIO","JULIO","AGOSTO","SEPTIEMBRE","OCTUBRE","NOVIEMBRE","DICIEMBRE"}, 0), 1,2,3,4,5,6,7,8,9,10,11,12), A640)</f>
        <v>44290</v>
      </c>
      <c r="H640">
        <v>21.75</v>
      </c>
      <c r="I640">
        <v>40000</v>
      </c>
      <c r="J640" s="1">
        <f t="shared" si="19"/>
        <v>44105</v>
      </c>
      <c r="K640" t="e">
        <f t="shared" si="18"/>
        <v>#N/A</v>
      </c>
    </row>
    <row r="641" spans="1:11" x14ac:dyDescent="0.25">
      <c r="A641">
        <v>5</v>
      </c>
      <c r="B641" t="s">
        <v>13</v>
      </c>
      <c r="C641">
        <v>2021</v>
      </c>
      <c r="D641">
        <v>34.125</v>
      </c>
      <c r="E641" t="s">
        <v>9</v>
      </c>
      <c r="F641">
        <v>25.75</v>
      </c>
      <c r="G641" s="1">
        <f>DATE(C641, CHOOSE(MATCH(UPPER(B641), {"ENERO","FEBRERO","MARZO","ABRIL","MAYO","JUNIO","JULIO","AGOSTO","SEPTIEMBRE","OCTUBRE","NOVIEMBRE","DICIEMBRE"}, 0), 1,2,3,4,5,6,7,8,9,10,11,12), A641)</f>
        <v>44291</v>
      </c>
      <c r="H641">
        <v>8.375</v>
      </c>
      <c r="I641">
        <v>40000</v>
      </c>
      <c r="J641" s="1">
        <f t="shared" si="19"/>
        <v>44106</v>
      </c>
      <c r="K641" t="e">
        <f t="shared" si="18"/>
        <v>#N/A</v>
      </c>
    </row>
    <row r="642" spans="1:11" x14ac:dyDescent="0.25">
      <c r="A642">
        <v>6</v>
      </c>
      <c r="B642" t="s">
        <v>13</v>
      </c>
      <c r="C642">
        <v>2021</v>
      </c>
      <c r="D642">
        <v>25.75</v>
      </c>
      <c r="E642">
        <v>20</v>
      </c>
      <c r="F642">
        <v>36.75</v>
      </c>
      <c r="G642" s="1">
        <f>DATE(C642, CHOOSE(MATCH(UPPER(B642), {"ENERO","FEBRERO","MARZO","ABRIL","MAYO","JUNIO","JULIO","AGOSTO","SEPTIEMBRE","OCTUBRE","NOVIEMBRE","DICIEMBRE"}, 0), 1,2,3,4,5,6,7,8,9,10,11,12), A642)</f>
        <v>44292</v>
      </c>
      <c r="H642">
        <v>9</v>
      </c>
      <c r="I642">
        <v>40000</v>
      </c>
      <c r="J642" s="1">
        <f t="shared" si="19"/>
        <v>44107</v>
      </c>
      <c r="K642" t="e">
        <f t="shared" ref="K642:K705" si="20">VLOOKUP(J642, G:H, 2, FALSE)</f>
        <v>#N/A</v>
      </c>
    </row>
    <row r="643" spans="1:11" x14ac:dyDescent="0.25">
      <c r="A643">
        <v>7</v>
      </c>
      <c r="B643" t="s">
        <v>13</v>
      </c>
      <c r="C643">
        <v>2021</v>
      </c>
      <c r="D643">
        <v>36.75</v>
      </c>
      <c r="E643" t="s">
        <v>9</v>
      </c>
      <c r="F643">
        <v>27.75</v>
      </c>
      <c r="G643" s="1">
        <f>DATE(C643, CHOOSE(MATCH(UPPER(B643), {"ENERO","FEBRERO","MARZO","ABRIL","MAYO","JUNIO","JULIO","AGOSTO","SEPTIEMBRE","OCTUBRE","NOVIEMBRE","DICIEMBRE"}, 0), 1,2,3,4,5,6,7,8,9,10,11,12), A643)</f>
        <v>44293</v>
      </c>
      <c r="H643">
        <v>9</v>
      </c>
      <c r="I643">
        <v>40000</v>
      </c>
      <c r="J643" s="1">
        <f t="shared" si="19"/>
        <v>44108</v>
      </c>
      <c r="K643" t="e">
        <f t="shared" si="20"/>
        <v>#N/A</v>
      </c>
    </row>
    <row r="644" spans="1:11" x14ac:dyDescent="0.25">
      <c r="A644">
        <v>8</v>
      </c>
      <c r="B644" t="s">
        <v>13</v>
      </c>
      <c r="C644">
        <v>2021</v>
      </c>
      <c r="D644">
        <v>27.75</v>
      </c>
      <c r="E644">
        <v>50</v>
      </c>
      <c r="F644">
        <v>68</v>
      </c>
      <c r="G644" s="1">
        <f>DATE(C644, CHOOSE(MATCH(UPPER(B644), {"ENERO","FEBRERO","MARZO","ABRIL","MAYO","JUNIO","JULIO","AGOSTO","SEPTIEMBRE","OCTUBRE","NOVIEMBRE","DICIEMBRE"}, 0), 1,2,3,4,5,6,7,8,9,10,11,12), A644)</f>
        <v>44294</v>
      </c>
      <c r="H644">
        <v>9.75</v>
      </c>
      <c r="I644">
        <v>40000</v>
      </c>
      <c r="J644" s="1">
        <f t="shared" ref="J644:J707" si="21">DATE(2019,1,1) + ROW()-1</f>
        <v>44109</v>
      </c>
      <c r="K644" t="e">
        <f t="shared" si="20"/>
        <v>#N/A</v>
      </c>
    </row>
    <row r="645" spans="1:11" x14ac:dyDescent="0.25">
      <c r="A645">
        <v>9</v>
      </c>
      <c r="B645" t="s">
        <v>13</v>
      </c>
      <c r="C645">
        <v>2021</v>
      </c>
      <c r="D645">
        <v>68</v>
      </c>
      <c r="E645" t="s">
        <v>9</v>
      </c>
      <c r="F645">
        <v>55.625</v>
      </c>
      <c r="G645" s="1">
        <f>DATE(C645, CHOOSE(MATCH(UPPER(B645), {"ENERO","FEBRERO","MARZO","ABRIL","MAYO","JUNIO","JULIO","AGOSTO","SEPTIEMBRE","OCTUBRE","NOVIEMBRE","DICIEMBRE"}, 0), 1,2,3,4,5,6,7,8,9,10,11,12), A645)</f>
        <v>44295</v>
      </c>
      <c r="H645">
        <v>12.375</v>
      </c>
      <c r="I645">
        <v>40000</v>
      </c>
      <c r="J645" s="1">
        <f t="shared" si="21"/>
        <v>44110</v>
      </c>
      <c r="K645" t="e">
        <f t="shared" si="20"/>
        <v>#N/A</v>
      </c>
    </row>
    <row r="646" spans="1:11" x14ac:dyDescent="0.25">
      <c r="A646">
        <v>10</v>
      </c>
      <c r="B646" t="s">
        <v>13</v>
      </c>
      <c r="C646">
        <v>2021</v>
      </c>
      <c r="D646">
        <v>55.625</v>
      </c>
      <c r="E646" t="s">
        <v>9</v>
      </c>
      <c r="F646">
        <v>36.75</v>
      </c>
      <c r="G646" s="1">
        <f>DATE(C646, CHOOSE(MATCH(UPPER(B646), {"ENERO","FEBRERO","MARZO","ABRIL","MAYO","JUNIO","JULIO","AGOSTO","SEPTIEMBRE","OCTUBRE","NOVIEMBRE","DICIEMBRE"}, 0), 1,2,3,4,5,6,7,8,9,10,11,12), A646)</f>
        <v>44296</v>
      </c>
      <c r="H646">
        <v>18.875</v>
      </c>
      <c r="I646">
        <v>40000</v>
      </c>
      <c r="J646" s="1">
        <f t="shared" si="21"/>
        <v>44111</v>
      </c>
      <c r="K646" t="e">
        <f t="shared" si="20"/>
        <v>#N/A</v>
      </c>
    </row>
    <row r="647" spans="1:11" x14ac:dyDescent="0.25">
      <c r="A647">
        <v>11</v>
      </c>
      <c r="B647" t="s">
        <v>13</v>
      </c>
      <c r="C647">
        <v>2021</v>
      </c>
      <c r="D647">
        <v>36.75</v>
      </c>
      <c r="E647">
        <v>50</v>
      </c>
      <c r="F647">
        <v>67.5</v>
      </c>
      <c r="G647" s="1">
        <f>DATE(C647, CHOOSE(MATCH(UPPER(B647), {"ENERO","FEBRERO","MARZO","ABRIL","MAYO","JUNIO","JULIO","AGOSTO","SEPTIEMBRE","OCTUBRE","NOVIEMBRE","DICIEMBRE"}, 0), 1,2,3,4,5,6,7,8,9,10,11,12), A647)</f>
        <v>44297</v>
      </c>
      <c r="H647">
        <v>19.25</v>
      </c>
      <c r="I647">
        <v>40000</v>
      </c>
      <c r="J647" s="1">
        <f t="shared" si="21"/>
        <v>44112</v>
      </c>
      <c r="K647" t="e">
        <f t="shared" si="20"/>
        <v>#N/A</v>
      </c>
    </row>
    <row r="648" spans="1:11" x14ac:dyDescent="0.25">
      <c r="A648">
        <v>12</v>
      </c>
      <c r="B648" t="s">
        <v>13</v>
      </c>
      <c r="C648">
        <v>2021</v>
      </c>
      <c r="D648">
        <v>67.5</v>
      </c>
      <c r="E648" t="s">
        <v>9</v>
      </c>
      <c r="F648">
        <v>59.375</v>
      </c>
      <c r="G648" s="1">
        <f>DATE(C648, CHOOSE(MATCH(UPPER(B648), {"ENERO","FEBRERO","MARZO","ABRIL","MAYO","JUNIO","JULIO","AGOSTO","SEPTIEMBRE","OCTUBRE","NOVIEMBRE","DICIEMBRE"}, 0), 1,2,3,4,5,6,7,8,9,10,11,12), A648)</f>
        <v>44298</v>
      </c>
      <c r="H648">
        <v>8.125</v>
      </c>
      <c r="I648">
        <v>40000</v>
      </c>
      <c r="J648" s="1">
        <f t="shared" si="21"/>
        <v>44113</v>
      </c>
      <c r="K648" t="e">
        <f t="shared" si="20"/>
        <v>#N/A</v>
      </c>
    </row>
    <row r="649" spans="1:11" x14ac:dyDescent="0.25">
      <c r="A649">
        <v>13</v>
      </c>
      <c r="B649" t="s">
        <v>13</v>
      </c>
      <c r="C649">
        <v>2021</v>
      </c>
      <c r="D649">
        <v>59.375</v>
      </c>
      <c r="E649" t="s">
        <v>9</v>
      </c>
      <c r="F649">
        <v>50</v>
      </c>
      <c r="G649" s="1">
        <f>DATE(C649, CHOOSE(MATCH(UPPER(B649), {"ENERO","FEBRERO","MARZO","ABRIL","MAYO","JUNIO","JULIO","AGOSTO","SEPTIEMBRE","OCTUBRE","NOVIEMBRE","DICIEMBRE"}, 0), 1,2,3,4,5,6,7,8,9,10,11,12), A649)</f>
        <v>44299</v>
      </c>
      <c r="H649">
        <v>9.375</v>
      </c>
      <c r="I649">
        <v>40000</v>
      </c>
      <c r="J649" s="1">
        <f t="shared" si="21"/>
        <v>44114</v>
      </c>
      <c r="K649" t="e">
        <f t="shared" si="20"/>
        <v>#N/A</v>
      </c>
    </row>
    <row r="650" spans="1:11" x14ac:dyDescent="0.25">
      <c r="A650">
        <v>14</v>
      </c>
      <c r="B650" t="s">
        <v>13</v>
      </c>
      <c r="C650">
        <v>2021</v>
      </c>
      <c r="D650">
        <v>50</v>
      </c>
      <c r="E650" t="s">
        <v>9</v>
      </c>
      <c r="F650">
        <v>44.25</v>
      </c>
      <c r="G650" s="1">
        <f>DATE(C650, CHOOSE(MATCH(UPPER(B650), {"ENERO","FEBRERO","MARZO","ABRIL","MAYO","JUNIO","JULIO","AGOSTO","SEPTIEMBRE","OCTUBRE","NOVIEMBRE","DICIEMBRE"}, 0), 1,2,3,4,5,6,7,8,9,10,11,12), A650)</f>
        <v>44300</v>
      </c>
      <c r="H650">
        <v>5.75</v>
      </c>
      <c r="I650">
        <v>40000</v>
      </c>
      <c r="J650" s="1">
        <f t="shared" si="21"/>
        <v>44115</v>
      </c>
      <c r="K650" t="e">
        <f t="shared" si="20"/>
        <v>#N/A</v>
      </c>
    </row>
    <row r="651" spans="1:11" x14ac:dyDescent="0.25">
      <c r="A651">
        <v>15</v>
      </c>
      <c r="B651" t="s">
        <v>13</v>
      </c>
      <c r="C651">
        <v>2021</v>
      </c>
      <c r="D651">
        <v>44.25</v>
      </c>
      <c r="E651">
        <v>50</v>
      </c>
      <c r="F651">
        <v>86</v>
      </c>
      <c r="G651" s="1">
        <f>DATE(C651, CHOOSE(MATCH(UPPER(B651), {"ENERO","FEBRERO","MARZO","ABRIL","MAYO","JUNIO","JULIO","AGOSTO","SEPTIEMBRE","OCTUBRE","NOVIEMBRE","DICIEMBRE"}, 0), 1,2,3,4,5,6,7,8,9,10,11,12), A651)</f>
        <v>44301</v>
      </c>
      <c r="H651">
        <v>8.25</v>
      </c>
      <c r="I651">
        <v>40000</v>
      </c>
      <c r="J651" s="1">
        <f t="shared" si="21"/>
        <v>44116</v>
      </c>
      <c r="K651" t="e">
        <f t="shared" si="20"/>
        <v>#N/A</v>
      </c>
    </row>
    <row r="652" spans="1:11" x14ac:dyDescent="0.25">
      <c r="A652">
        <v>16</v>
      </c>
      <c r="B652" t="s">
        <v>13</v>
      </c>
      <c r="C652">
        <v>2021</v>
      </c>
      <c r="D652">
        <v>86</v>
      </c>
      <c r="E652" t="s">
        <v>9</v>
      </c>
      <c r="F652">
        <v>69</v>
      </c>
      <c r="G652" s="1">
        <f>DATE(C652, CHOOSE(MATCH(UPPER(B652), {"ENERO","FEBRERO","MARZO","ABRIL","MAYO","JUNIO","JULIO","AGOSTO","SEPTIEMBRE","OCTUBRE","NOVIEMBRE","DICIEMBRE"}, 0), 1,2,3,4,5,6,7,8,9,10,11,12), A652)</f>
        <v>44302</v>
      </c>
      <c r="H652">
        <v>17</v>
      </c>
      <c r="I652">
        <v>40000</v>
      </c>
      <c r="J652" s="1">
        <f t="shared" si="21"/>
        <v>44117</v>
      </c>
      <c r="K652" t="e">
        <f t="shared" si="20"/>
        <v>#N/A</v>
      </c>
    </row>
    <row r="653" spans="1:11" x14ac:dyDescent="0.25">
      <c r="A653">
        <v>17</v>
      </c>
      <c r="B653" t="s">
        <v>13</v>
      </c>
      <c r="C653">
        <v>2021</v>
      </c>
      <c r="D653">
        <v>69</v>
      </c>
      <c r="E653" t="s">
        <v>9</v>
      </c>
      <c r="F653">
        <v>49.75</v>
      </c>
      <c r="G653" s="1">
        <f>DATE(C653, CHOOSE(MATCH(UPPER(B653), {"ENERO","FEBRERO","MARZO","ABRIL","MAYO","JUNIO","JULIO","AGOSTO","SEPTIEMBRE","OCTUBRE","NOVIEMBRE","DICIEMBRE"}, 0), 1,2,3,4,5,6,7,8,9,10,11,12), A653)</f>
        <v>44303</v>
      </c>
      <c r="H653">
        <v>19.25</v>
      </c>
      <c r="I653">
        <v>40000</v>
      </c>
      <c r="J653" s="1">
        <f t="shared" si="21"/>
        <v>44118</v>
      </c>
      <c r="K653" t="e">
        <f t="shared" si="20"/>
        <v>#N/A</v>
      </c>
    </row>
    <row r="654" spans="1:11" x14ac:dyDescent="0.25">
      <c r="A654">
        <v>18</v>
      </c>
      <c r="B654" t="s">
        <v>13</v>
      </c>
      <c r="C654">
        <v>2021</v>
      </c>
      <c r="D654">
        <v>49.75</v>
      </c>
      <c r="E654" t="s">
        <v>9</v>
      </c>
      <c r="F654">
        <v>19.75</v>
      </c>
      <c r="G654" s="1">
        <f>DATE(C654, CHOOSE(MATCH(UPPER(B654), {"ENERO","FEBRERO","MARZO","ABRIL","MAYO","JUNIO","JULIO","AGOSTO","SEPTIEMBRE","OCTUBRE","NOVIEMBRE","DICIEMBRE"}, 0), 1,2,3,4,5,6,7,8,9,10,11,12), A654)</f>
        <v>44304</v>
      </c>
      <c r="H654">
        <v>30</v>
      </c>
      <c r="I654">
        <v>40000</v>
      </c>
      <c r="J654" s="1">
        <f t="shared" si="21"/>
        <v>44119</v>
      </c>
      <c r="K654" t="e">
        <f t="shared" si="20"/>
        <v>#N/A</v>
      </c>
    </row>
    <row r="655" spans="1:11" x14ac:dyDescent="0.25">
      <c r="A655">
        <v>19</v>
      </c>
      <c r="B655" t="s">
        <v>13</v>
      </c>
      <c r="C655">
        <v>2021</v>
      </c>
      <c r="D655">
        <v>19.75</v>
      </c>
      <c r="E655">
        <v>20</v>
      </c>
      <c r="F655">
        <v>31.125</v>
      </c>
      <c r="G655" s="1">
        <f>DATE(C655, CHOOSE(MATCH(UPPER(B655), {"ENERO","FEBRERO","MARZO","ABRIL","MAYO","JUNIO","JULIO","AGOSTO","SEPTIEMBRE","OCTUBRE","NOVIEMBRE","DICIEMBRE"}, 0), 1,2,3,4,5,6,7,8,9,10,11,12), A655)</f>
        <v>44305</v>
      </c>
      <c r="H655">
        <v>8.625</v>
      </c>
      <c r="I655">
        <v>40000</v>
      </c>
      <c r="J655" s="1">
        <f t="shared" si="21"/>
        <v>44120</v>
      </c>
      <c r="K655" t="e">
        <f t="shared" si="20"/>
        <v>#N/A</v>
      </c>
    </row>
    <row r="656" spans="1:11" x14ac:dyDescent="0.25">
      <c r="A656">
        <v>20</v>
      </c>
      <c r="B656" t="s">
        <v>13</v>
      </c>
      <c r="C656">
        <v>2021</v>
      </c>
      <c r="D656">
        <v>31.125</v>
      </c>
      <c r="E656" t="s">
        <v>9</v>
      </c>
      <c r="F656">
        <v>21.25</v>
      </c>
      <c r="G656" s="1">
        <f>DATE(C656, CHOOSE(MATCH(UPPER(B656), {"ENERO","FEBRERO","MARZO","ABRIL","MAYO","JUNIO","JULIO","AGOSTO","SEPTIEMBRE","OCTUBRE","NOVIEMBRE","DICIEMBRE"}, 0), 1,2,3,4,5,6,7,8,9,10,11,12), A656)</f>
        <v>44306</v>
      </c>
      <c r="H656">
        <v>9.875</v>
      </c>
      <c r="I656">
        <v>40000</v>
      </c>
      <c r="J656" s="1">
        <f t="shared" si="21"/>
        <v>44121</v>
      </c>
      <c r="K656" t="e">
        <f t="shared" si="20"/>
        <v>#N/A</v>
      </c>
    </row>
    <row r="657" spans="1:11" x14ac:dyDescent="0.25">
      <c r="A657">
        <v>21</v>
      </c>
      <c r="B657" t="s">
        <v>13</v>
      </c>
      <c r="C657">
        <v>2021</v>
      </c>
      <c r="D657">
        <v>21.25</v>
      </c>
      <c r="E657">
        <v>30</v>
      </c>
      <c r="F657">
        <v>42</v>
      </c>
      <c r="G657" s="1">
        <f>DATE(C657, CHOOSE(MATCH(UPPER(B657), {"ENERO","FEBRERO","MARZO","ABRIL","MAYO","JUNIO","JULIO","AGOSTO","SEPTIEMBRE","OCTUBRE","NOVIEMBRE","DICIEMBRE"}, 0), 1,2,3,4,5,6,7,8,9,10,11,12), A657)</f>
        <v>44307</v>
      </c>
      <c r="H657">
        <v>9.25</v>
      </c>
      <c r="I657">
        <v>40000</v>
      </c>
      <c r="J657" s="1">
        <f t="shared" si="21"/>
        <v>44122</v>
      </c>
      <c r="K657" t="e">
        <f t="shared" si="20"/>
        <v>#N/A</v>
      </c>
    </row>
    <row r="658" spans="1:11" x14ac:dyDescent="0.25">
      <c r="A658">
        <v>22</v>
      </c>
      <c r="B658" t="s">
        <v>13</v>
      </c>
      <c r="C658">
        <v>2021</v>
      </c>
      <c r="D658">
        <v>42</v>
      </c>
      <c r="E658" t="s">
        <v>9</v>
      </c>
      <c r="F658">
        <v>29.875</v>
      </c>
      <c r="G658" s="1">
        <f>DATE(C658, CHOOSE(MATCH(UPPER(B658), {"ENERO","FEBRERO","MARZO","ABRIL","MAYO","JUNIO","JULIO","AGOSTO","SEPTIEMBRE","OCTUBRE","NOVIEMBRE","DICIEMBRE"}, 0), 1,2,3,4,5,6,7,8,9,10,11,12), A658)</f>
        <v>44308</v>
      </c>
      <c r="H658">
        <v>12.125</v>
      </c>
      <c r="I658">
        <v>40000</v>
      </c>
      <c r="J658" s="1">
        <f t="shared" si="21"/>
        <v>44123</v>
      </c>
      <c r="K658" t="e">
        <f t="shared" si="20"/>
        <v>#N/A</v>
      </c>
    </row>
    <row r="659" spans="1:11" x14ac:dyDescent="0.25">
      <c r="A659">
        <v>23</v>
      </c>
      <c r="B659" t="s">
        <v>13</v>
      </c>
      <c r="C659">
        <v>2021</v>
      </c>
      <c r="D659">
        <v>29.875</v>
      </c>
      <c r="E659">
        <v>50</v>
      </c>
      <c r="F659">
        <v>70.75</v>
      </c>
      <c r="G659" s="1">
        <f>DATE(C659, CHOOSE(MATCH(UPPER(B659), {"ENERO","FEBRERO","MARZO","ABRIL","MAYO","JUNIO","JULIO","AGOSTO","SEPTIEMBRE","OCTUBRE","NOVIEMBRE","DICIEMBRE"}, 0), 1,2,3,4,5,6,7,8,9,10,11,12), A659)</f>
        <v>44309</v>
      </c>
      <c r="H659">
        <v>9.125</v>
      </c>
      <c r="I659">
        <v>40000</v>
      </c>
      <c r="J659" s="1">
        <f t="shared" si="21"/>
        <v>44124</v>
      </c>
      <c r="K659" t="e">
        <f t="shared" si="20"/>
        <v>#N/A</v>
      </c>
    </row>
    <row r="660" spans="1:11" x14ac:dyDescent="0.25">
      <c r="A660">
        <v>24</v>
      </c>
      <c r="B660" t="s">
        <v>13</v>
      </c>
      <c r="C660">
        <v>2021</v>
      </c>
      <c r="D660">
        <v>70.75</v>
      </c>
      <c r="E660" t="s">
        <v>9</v>
      </c>
      <c r="F660">
        <v>42.25</v>
      </c>
      <c r="G660" s="1">
        <f>DATE(C660, CHOOSE(MATCH(UPPER(B660), {"ENERO","FEBRERO","MARZO","ABRIL","MAYO","JUNIO","JULIO","AGOSTO","SEPTIEMBRE","OCTUBRE","NOVIEMBRE","DICIEMBRE"}, 0), 1,2,3,4,5,6,7,8,9,10,11,12), A660)</f>
        <v>44310</v>
      </c>
      <c r="H660">
        <v>28.5</v>
      </c>
      <c r="I660">
        <v>40000</v>
      </c>
      <c r="J660" s="1">
        <f t="shared" si="21"/>
        <v>44125</v>
      </c>
      <c r="K660" t="e">
        <f t="shared" si="20"/>
        <v>#N/A</v>
      </c>
    </row>
    <row r="661" spans="1:11" x14ac:dyDescent="0.25">
      <c r="A661">
        <v>25</v>
      </c>
      <c r="B661" t="s">
        <v>13</v>
      </c>
      <c r="C661">
        <v>2021</v>
      </c>
      <c r="D661">
        <v>42.25</v>
      </c>
      <c r="E661">
        <v>20</v>
      </c>
      <c r="F661">
        <v>41.25</v>
      </c>
      <c r="G661" s="1">
        <f>DATE(C661, CHOOSE(MATCH(UPPER(B661), {"ENERO","FEBRERO","MARZO","ABRIL","MAYO","JUNIO","JULIO","AGOSTO","SEPTIEMBRE","OCTUBRE","NOVIEMBRE","DICIEMBRE"}, 0), 1,2,3,4,5,6,7,8,9,10,11,12), A661)</f>
        <v>44311</v>
      </c>
      <c r="H661">
        <v>21</v>
      </c>
      <c r="I661">
        <v>40000</v>
      </c>
      <c r="J661" s="1">
        <f t="shared" si="21"/>
        <v>44126</v>
      </c>
      <c r="K661" t="e">
        <f t="shared" si="20"/>
        <v>#N/A</v>
      </c>
    </row>
    <row r="662" spans="1:11" x14ac:dyDescent="0.25">
      <c r="A662">
        <v>26</v>
      </c>
      <c r="B662" t="s">
        <v>13</v>
      </c>
      <c r="C662">
        <v>2021</v>
      </c>
      <c r="D662">
        <v>41.25</v>
      </c>
      <c r="E662" t="s">
        <v>9</v>
      </c>
      <c r="F662">
        <v>34.25</v>
      </c>
      <c r="G662" s="1">
        <f>DATE(C662, CHOOSE(MATCH(UPPER(B662), {"ENERO","FEBRERO","MARZO","ABRIL","MAYO","JUNIO","JULIO","AGOSTO","SEPTIEMBRE","OCTUBRE","NOVIEMBRE","DICIEMBRE"}, 0), 1,2,3,4,5,6,7,8,9,10,11,12), A662)</f>
        <v>44312</v>
      </c>
      <c r="H662">
        <v>7</v>
      </c>
      <c r="I662">
        <v>40000</v>
      </c>
      <c r="J662" s="1">
        <f t="shared" si="21"/>
        <v>44127</v>
      </c>
      <c r="K662" t="e">
        <f t="shared" si="20"/>
        <v>#N/A</v>
      </c>
    </row>
    <row r="663" spans="1:11" x14ac:dyDescent="0.25">
      <c r="A663">
        <v>27</v>
      </c>
      <c r="B663" t="s">
        <v>13</v>
      </c>
      <c r="C663">
        <v>2021</v>
      </c>
      <c r="D663">
        <v>34.25</v>
      </c>
      <c r="E663">
        <v>40</v>
      </c>
      <c r="F663">
        <v>67.5</v>
      </c>
      <c r="G663" s="1">
        <f>DATE(C663, CHOOSE(MATCH(UPPER(B663), {"ENERO","FEBRERO","MARZO","ABRIL","MAYO","JUNIO","JULIO","AGOSTO","SEPTIEMBRE","OCTUBRE","NOVIEMBRE","DICIEMBRE"}, 0), 1,2,3,4,5,6,7,8,9,10,11,12), A663)</f>
        <v>44313</v>
      </c>
      <c r="H663">
        <v>6.75</v>
      </c>
      <c r="I663">
        <v>40000</v>
      </c>
      <c r="J663" s="1">
        <f t="shared" si="21"/>
        <v>44128</v>
      </c>
      <c r="K663" t="e">
        <f t="shared" si="20"/>
        <v>#N/A</v>
      </c>
    </row>
    <row r="664" spans="1:11" x14ac:dyDescent="0.25">
      <c r="A664">
        <v>28</v>
      </c>
      <c r="B664" t="s">
        <v>13</v>
      </c>
      <c r="C664">
        <v>2021</v>
      </c>
      <c r="D664">
        <v>67.5</v>
      </c>
      <c r="E664" t="s">
        <v>9</v>
      </c>
      <c r="F664">
        <v>64.5</v>
      </c>
      <c r="G664" s="1">
        <f>DATE(C664, CHOOSE(MATCH(UPPER(B664), {"ENERO","FEBRERO","MARZO","ABRIL","MAYO","JUNIO","JULIO","AGOSTO","SEPTIEMBRE","OCTUBRE","NOVIEMBRE","DICIEMBRE"}, 0), 1,2,3,4,5,6,7,8,9,10,11,12), A664)</f>
        <v>44314</v>
      </c>
      <c r="H664">
        <v>3</v>
      </c>
      <c r="I664">
        <v>40000</v>
      </c>
      <c r="J664" s="1">
        <f t="shared" si="21"/>
        <v>44129</v>
      </c>
      <c r="K664" t="e">
        <f t="shared" si="20"/>
        <v>#N/A</v>
      </c>
    </row>
    <row r="665" spans="1:11" x14ac:dyDescent="0.25">
      <c r="A665">
        <v>29</v>
      </c>
      <c r="B665" t="s">
        <v>13</v>
      </c>
      <c r="C665">
        <v>2021</v>
      </c>
      <c r="D665">
        <v>64.5</v>
      </c>
      <c r="E665">
        <v>50</v>
      </c>
      <c r="F665">
        <v>110</v>
      </c>
      <c r="G665" s="1">
        <f>DATE(C665, CHOOSE(MATCH(UPPER(B665), {"ENERO","FEBRERO","MARZO","ABRIL","MAYO","JUNIO","JULIO","AGOSTO","SEPTIEMBRE","OCTUBRE","NOVIEMBRE","DICIEMBRE"}, 0), 1,2,3,4,5,6,7,8,9,10,11,12), A665)</f>
        <v>44315</v>
      </c>
      <c r="H665">
        <v>4.5</v>
      </c>
      <c r="I665">
        <v>40000</v>
      </c>
      <c r="J665" s="1">
        <f t="shared" si="21"/>
        <v>44130</v>
      </c>
      <c r="K665" t="e">
        <f t="shared" si="20"/>
        <v>#N/A</v>
      </c>
    </row>
    <row r="666" spans="1:11" x14ac:dyDescent="0.25">
      <c r="A666">
        <v>30</v>
      </c>
      <c r="B666" t="s">
        <v>13</v>
      </c>
      <c r="C666">
        <v>2021</v>
      </c>
      <c r="D666">
        <v>110</v>
      </c>
      <c r="E666" t="s">
        <v>9</v>
      </c>
      <c r="F666">
        <v>103.25</v>
      </c>
      <c r="G666" s="1">
        <f>DATE(C666, CHOOSE(MATCH(UPPER(B666), {"ENERO","FEBRERO","MARZO","ABRIL","MAYO","JUNIO","JULIO","AGOSTO","SEPTIEMBRE","OCTUBRE","NOVIEMBRE","DICIEMBRE"}, 0), 1,2,3,4,5,6,7,8,9,10,11,12), A666)</f>
        <v>44316</v>
      </c>
      <c r="H666">
        <v>6.75</v>
      </c>
      <c r="I666">
        <v>40000</v>
      </c>
      <c r="J666" s="1">
        <f t="shared" si="21"/>
        <v>44131</v>
      </c>
      <c r="K666" t="e">
        <f t="shared" si="20"/>
        <v>#N/A</v>
      </c>
    </row>
    <row r="667" spans="1:11" x14ac:dyDescent="0.25">
      <c r="A667">
        <v>1</v>
      </c>
      <c r="B667" t="s">
        <v>14</v>
      </c>
      <c r="C667">
        <v>2021</v>
      </c>
      <c r="D667">
        <v>103.25</v>
      </c>
      <c r="E667" t="s">
        <v>9</v>
      </c>
      <c r="F667">
        <v>86</v>
      </c>
      <c r="G667" s="1">
        <f>DATE(C667, CHOOSE(MATCH(UPPER(B667), {"ENERO","FEBRERO","MARZO","ABRIL","MAYO","JUNIO","JULIO","AGOSTO","SEPTIEMBRE","OCTUBRE","NOVIEMBRE","DICIEMBRE"}, 0), 1,2,3,4,5,6,7,8,9,10,11,12), A667)</f>
        <v>44317</v>
      </c>
      <c r="H667">
        <v>17.25</v>
      </c>
      <c r="I667">
        <v>40000</v>
      </c>
      <c r="J667" s="1">
        <f t="shared" si="21"/>
        <v>44132</v>
      </c>
      <c r="K667" t="e">
        <f t="shared" si="20"/>
        <v>#N/A</v>
      </c>
    </row>
    <row r="668" spans="1:11" x14ac:dyDescent="0.25">
      <c r="A668">
        <v>2</v>
      </c>
      <c r="B668" t="s">
        <v>14</v>
      </c>
      <c r="C668">
        <v>2021</v>
      </c>
      <c r="D668">
        <v>86</v>
      </c>
      <c r="E668" t="s">
        <v>9</v>
      </c>
      <c r="F668">
        <v>72.125</v>
      </c>
      <c r="G668" s="1">
        <f>DATE(C668, CHOOSE(MATCH(UPPER(B668), {"ENERO","FEBRERO","MARZO","ABRIL","MAYO","JUNIO","JULIO","AGOSTO","SEPTIEMBRE","OCTUBRE","NOVIEMBRE","DICIEMBRE"}, 0), 1,2,3,4,5,6,7,8,9,10,11,12), A668)</f>
        <v>44318</v>
      </c>
      <c r="H668">
        <v>13.875</v>
      </c>
      <c r="I668">
        <v>40000</v>
      </c>
      <c r="J668" s="1">
        <f t="shared" si="21"/>
        <v>44133</v>
      </c>
      <c r="K668" t="e">
        <f t="shared" si="20"/>
        <v>#N/A</v>
      </c>
    </row>
    <row r="669" spans="1:11" x14ac:dyDescent="0.25">
      <c r="A669">
        <v>3</v>
      </c>
      <c r="B669" t="s">
        <v>14</v>
      </c>
      <c r="C669">
        <v>2021</v>
      </c>
      <c r="D669">
        <v>72.125</v>
      </c>
      <c r="E669" t="s">
        <v>9</v>
      </c>
      <c r="F669">
        <v>72.125</v>
      </c>
      <c r="G669" s="1">
        <f>DATE(C669, CHOOSE(MATCH(UPPER(B669), {"ENERO","FEBRERO","MARZO","ABRIL","MAYO","JUNIO","JULIO","AGOSTO","SEPTIEMBRE","OCTUBRE","NOVIEMBRE","DICIEMBRE"}, 0), 1,2,3,4,5,6,7,8,9,10,11,12), A669)</f>
        <v>44319</v>
      </c>
      <c r="H669">
        <v>0</v>
      </c>
      <c r="I669">
        <v>40000</v>
      </c>
      <c r="J669" s="1">
        <f t="shared" si="21"/>
        <v>44134</v>
      </c>
      <c r="K669" t="e">
        <f t="shared" si="20"/>
        <v>#N/A</v>
      </c>
    </row>
    <row r="670" spans="1:11" x14ac:dyDescent="0.25">
      <c r="A670">
        <v>4</v>
      </c>
      <c r="B670" t="s">
        <v>14</v>
      </c>
      <c r="C670">
        <v>2021</v>
      </c>
      <c r="D670">
        <v>72.125</v>
      </c>
      <c r="E670" t="s">
        <v>9</v>
      </c>
      <c r="F670">
        <v>65.625</v>
      </c>
      <c r="G670" s="1">
        <f>DATE(C670, CHOOSE(MATCH(UPPER(B670), {"ENERO","FEBRERO","MARZO","ABRIL","MAYO","JUNIO","JULIO","AGOSTO","SEPTIEMBRE","OCTUBRE","NOVIEMBRE","DICIEMBRE"}, 0), 1,2,3,4,5,6,7,8,9,10,11,12), A670)</f>
        <v>44320</v>
      </c>
      <c r="H670">
        <v>6.5</v>
      </c>
      <c r="I670">
        <v>40000</v>
      </c>
      <c r="J670" s="1">
        <f t="shared" si="21"/>
        <v>44135</v>
      </c>
      <c r="K670" t="e">
        <f t="shared" si="20"/>
        <v>#N/A</v>
      </c>
    </row>
    <row r="671" spans="1:11" x14ac:dyDescent="0.25">
      <c r="A671">
        <v>5</v>
      </c>
      <c r="B671" t="s">
        <v>14</v>
      </c>
      <c r="C671">
        <v>2021</v>
      </c>
      <c r="D671">
        <v>65.625</v>
      </c>
      <c r="E671" t="s">
        <v>9</v>
      </c>
      <c r="F671">
        <v>65.625</v>
      </c>
      <c r="G671" s="1">
        <f>DATE(C671, CHOOSE(MATCH(UPPER(B671), {"ENERO","FEBRERO","MARZO","ABRIL","MAYO","JUNIO","JULIO","AGOSTO","SEPTIEMBRE","OCTUBRE","NOVIEMBRE","DICIEMBRE"}, 0), 1,2,3,4,5,6,7,8,9,10,11,12), A671)</f>
        <v>44321</v>
      </c>
      <c r="H671">
        <v>0</v>
      </c>
      <c r="I671">
        <v>40000</v>
      </c>
      <c r="J671" s="1">
        <f t="shared" si="21"/>
        <v>44136</v>
      </c>
      <c r="K671">
        <f t="shared" si="20"/>
        <v>18</v>
      </c>
    </row>
    <row r="672" spans="1:11" x14ac:dyDescent="0.25">
      <c r="A672">
        <v>6</v>
      </c>
      <c r="B672" t="s">
        <v>14</v>
      </c>
      <c r="C672">
        <v>2021</v>
      </c>
      <c r="D672">
        <v>65.625</v>
      </c>
      <c r="E672" t="s">
        <v>9</v>
      </c>
      <c r="F672">
        <v>57.125</v>
      </c>
      <c r="G672" s="1">
        <f>DATE(C672, CHOOSE(MATCH(UPPER(B672), {"ENERO","FEBRERO","MARZO","ABRIL","MAYO","JUNIO","JULIO","AGOSTO","SEPTIEMBRE","OCTUBRE","NOVIEMBRE","DICIEMBRE"}, 0), 1,2,3,4,5,6,7,8,9,10,11,12), A672)</f>
        <v>44322</v>
      </c>
      <c r="H672">
        <v>8.5</v>
      </c>
      <c r="I672">
        <v>40000</v>
      </c>
      <c r="J672" s="1">
        <f t="shared" si="21"/>
        <v>44137</v>
      </c>
      <c r="K672">
        <f t="shared" si="20"/>
        <v>16.125</v>
      </c>
    </row>
    <row r="673" spans="1:11" x14ac:dyDescent="0.25">
      <c r="A673">
        <v>7</v>
      </c>
      <c r="B673" t="s">
        <v>14</v>
      </c>
      <c r="C673">
        <v>2021</v>
      </c>
      <c r="D673">
        <v>57.125</v>
      </c>
      <c r="E673" t="s">
        <v>9</v>
      </c>
      <c r="F673">
        <v>47.75</v>
      </c>
      <c r="G673" s="1">
        <f>DATE(C673, CHOOSE(MATCH(UPPER(B673), {"ENERO","FEBRERO","MARZO","ABRIL","MAYO","JUNIO","JULIO","AGOSTO","SEPTIEMBRE","OCTUBRE","NOVIEMBRE","DICIEMBRE"}, 0), 1,2,3,4,5,6,7,8,9,10,11,12), A673)</f>
        <v>44323</v>
      </c>
      <c r="H673">
        <v>9.375</v>
      </c>
      <c r="I673">
        <v>40000</v>
      </c>
      <c r="J673" s="1">
        <f t="shared" si="21"/>
        <v>44138</v>
      </c>
      <c r="K673">
        <f t="shared" si="20"/>
        <v>7.75</v>
      </c>
    </row>
    <row r="674" spans="1:11" x14ac:dyDescent="0.25">
      <c r="A674">
        <v>8</v>
      </c>
      <c r="B674" t="s">
        <v>14</v>
      </c>
      <c r="C674">
        <v>2021</v>
      </c>
      <c r="D674">
        <v>47.75</v>
      </c>
      <c r="E674">
        <v>-15</v>
      </c>
      <c r="F674">
        <v>14.875</v>
      </c>
      <c r="G674" s="1">
        <f>DATE(C674, CHOOSE(MATCH(UPPER(B674), {"ENERO","FEBRERO","MARZO","ABRIL","MAYO","JUNIO","JULIO","AGOSTO","SEPTIEMBRE","OCTUBRE","NOVIEMBRE","DICIEMBRE"}, 0), 1,2,3,4,5,6,7,8,9,10,11,12), A674)</f>
        <v>44324</v>
      </c>
      <c r="H674">
        <v>17.875</v>
      </c>
      <c r="I674">
        <v>40000</v>
      </c>
      <c r="J674" s="1">
        <f t="shared" si="21"/>
        <v>44139</v>
      </c>
      <c r="K674">
        <f t="shared" si="20"/>
        <v>7.125</v>
      </c>
    </row>
    <row r="675" spans="1:11" x14ac:dyDescent="0.25">
      <c r="A675">
        <v>9</v>
      </c>
      <c r="B675" t="s">
        <v>14</v>
      </c>
      <c r="C675">
        <v>2021</v>
      </c>
      <c r="D675">
        <v>14.875</v>
      </c>
      <c r="E675">
        <v>70</v>
      </c>
      <c r="F675">
        <v>46.625</v>
      </c>
      <c r="G675" s="1">
        <f>DATE(C675, CHOOSE(MATCH(UPPER(B675), {"ENERO","FEBRERO","MARZO","ABRIL","MAYO","JUNIO","JULIO","AGOSTO","SEPTIEMBRE","OCTUBRE","NOVIEMBRE","DICIEMBRE"}, 0), 1,2,3,4,5,6,7,8,9,10,11,12), A675)</f>
        <v>44325</v>
      </c>
      <c r="H675">
        <v>38.25</v>
      </c>
      <c r="I675">
        <v>40000</v>
      </c>
      <c r="J675" s="1">
        <f t="shared" si="21"/>
        <v>44140</v>
      </c>
      <c r="K675">
        <f t="shared" si="20"/>
        <v>8.25</v>
      </c>
    </row>
    <row r="676" spans="1:11" x14ac:dyDescent="0.25">
      <c r="A676">
        <v>10</v>
      </c>
      <c r="B676" t="s">
        <v>14</v>
      </c>
      <c r="C676">
        <v>2021</v>
      </c>
      <c r="D676">
        <v>46.625</v>
      </c>
      <c r="E676">
        <v>-13</v>
      </c>
      <c r="F676">
        <v>29.5</v>
      </c>
      <c r="G676" s="1">
        <f>DATE(C676, CHOOSE(MATCH(UPPER(B676), {"ENERO","FEBRERO","MARZO","ABRIL","MAYO","JUNIO","JULIO","AGOSTO","SEPTIEMBRE","OCTUBRE","NOVIEMBRE","DICIEMBRE"}, 0), 1,2,3,4,5,6,7,8,9,10,11,12), A676)</f>
        <v>44326</v>
      </c>
      <c r="H676">
        <v>4.125</v>
      </c>
      <c r="I676">
        <v>40000</v>
      </c>
      <c r="J676" s="1">
        <f t="shared" si="21"/>
        <v>44141</v>
      </c>
      <c r="K676">
        <f t="shared" si="20"/>
        <v>17</v>
      </c>
    </row>
    <row r="677" spans="1:11" x14ac:dyDescent="0.25">
      <c r="A677">
        <v>11</v>
      </c>
      <c r="B677" t="s">
        <v>14</v>
      </c>
      <c r="C677">
        <v>2021</v>
      </c>
      <c r="D677">
        <v>29.5</v>
      </c>
      <c r="E677" t="s">
        <v>9</v>
      </c>
      <c r="F677">
        <v>14.75</v>
      </c>
      <c r="G677" s="1">
        <f>DATE(C677, CHOOSE(MATCH(UPPER(B677), {"ENERO","FEBRERO","MARZO","ABRIL","MAYO","JUNIO","JULIO","AGOSTO","SEPTIEMBRE","OCTUBRE","NOVIEMBRE","DICIEMBRE"}, 0), 1,2,3,4,5,6,7,8,9,10,11,12), A677)</f>
        <v>44327</v>
      </c>
      <c r="H677">
        <v>14.75</v>
      </c>
      <c r="I677">
        <v>40000</v>
      </c>
      <c r="J677" s="1">
        <f t="shared" si="21"/>
        <v>44142</v>
      </c>
      <c r="K677">
        <f t="shared" si="20"/>
        <v>19.375</v>
      </c>
    </row>
    <row r="678" spans="1:11" x14ac:dyDescent="0.25">
      <c r="A678">
        <v>12</v>
      </c>
      <c r="B678" t="s">
        <v>14</v>
      </c>
      <c r="C678">
        <v>2021</v>
      </c>
      <c r="D678">
        <v>14.75</v>
      </c>
      <c r="E678">
        <v>50</v>
      </c>
      <c r="F678">
        <v>56.25</v>
      </c>
      <c r="G678" s="1">
        <f>DATE(C678, CHOOSE(MATCH(UPPER(B678), {"ENERO","FEBRERO","MARZO","ABRIL","MAYO","JUNIO","JULIO","AGOSTO","SEPTIEMBRE","OCTUBRE","NOVIEMBRE","DICIEMBRE"}, 0), 1,2,3,4,5,6,7,8,9,10,11,12), A678)</f>
        <v>44328</v>
      </c>
      <c r="H678">
        <v>8.5</v>
      </c>
      <c r="I678">
        <v>40000</v>
      </c>
      <c r="J678" s="1">
        <f t="shared" si="21"/>
        <v>44143</v>
      </c>
      <c r="K678">
        <f t="shared" si="20"/>
        <v>24.25</v>
      </c>
    </row>
    <row r="679" spans="1:11" x14ac:dyDescent="0.25">
      <c r="A679">
        <v>13</v>
      </c>
      <c r="B679" t="s">
        <v>14</v>
      </c>
      <c r="C679">
        <v>2021</v>
      </c>
      <c r="D679">
        <v>56.25</v>
      </c>
      <c r="E679" t="s">
        <v>9</v>
      </c>
      <c r="F679">
        <v>47.75</v>
      </c>
      <c r="G679" s="1">
        <f>DATE(C679, CHOOSE(MATCH(UPPER(B679), {"ENERO","FEBRERO","MARZO","ABRIL","MAYO","JUNIO","JULIO","AGOSTO","SEPTIEMBRE","OCTUBRE","NOVIEMBRE","DICIEMBRE"}, 0), 1,2,3,4,5,6,7,8,9,10,11,12), A679)</f>
        <v>44329</v>
      </c>
      <c r="H679">
        <v>8.5</v>
      </c>
      <c r="I679">
        <v>40000</v>
      </c>
      <c r="J679" s="1">
        <f t="shared" si="21"/>
        <v>44144</v>
      </c>
      <c r="K679">
        <f t="shared" si="20"/>
        <v>8</v>
      </c>
    </row>
    <row r="680" spans="1:11" x14ac:dyDescent="0.25">
      <c r="A680">
        <v>14</v>
      </c>
      <c r="B680" t="s">
        <v>14</v>
      </c>
      <c r="C680">
        <v>2021</v>
      </c>
      <c r="D680">
        <v>47.75</v>
      </c>
      <c r="E680" t="s">
        <v>9</v>
      </c>
      <c r="F680">
        <v>41.25</v>
      </c>
      <c r="G680" s="1">
        <f>DATE(C680, CHOOSE(MATCH(UPPER(B680), {"ENERO","FEBRERO","MARZO","ABRIL","MAYO","JUNIO","JULIO","AGOSTO","SEPTIEMBRE","OCTUBRE","NOVIEMBRE","DICIEMBRE"}, 0), 1,2,3,4,5,6,7,8,9,10,11,12), A680)</f>
        <v>44330</v>
      </c>
      <c r="H680">
        <v>6.5</v>
      </c>
      <c r="I680">
        <v>40000</v>
      </c>
      <c r="J680" s="1">
        <f t="shared" si="21"/>
        <v>44145</v>
      </c>
      <c r="K680">
        <f t="shared" si="20"/>
        <v>7.75</v>
      </c>
    </row>
    <row r="681" spans="1:11" x14ac:dyDescent="0.25">
      <c r="A681">
        <v>15</v>
      </c>
      <c r="B681" t="s">
        <v>14</v>
      </c>
      <c r="C681">
        <v>2021</v>
      </c>
      <c r="D681">
        <v>41.25</v>
      </c>
      <c r="E681" t="s">
        <v>9</v>
      </c>
      <c r="F681">
        <v>20.75</v>
      </c>
      <c r="G681" s="1">
        <f>DATE(C681, CHOOSE(MATCH(UPPER(B681), {"ENERO","FEBRERO","MARZO","ABRIL","MAYO","JUNIO","JULIO","AGOSTO","SEPTIEMBRE","OCTUBRE","NOVIEMBRE","DICIEMBRE"}, 0), 1,2,3,4,5,6,7,8,9,10,11,12), A681)</f>
        <v>44331</v>
      </c>
      <c r="H681">
        <v>20.5</v>
      </c>
      <c r="I681">
        <v>40000</v>
      </c>
      <c r="J681" s="1">
        <f t="shared" si="21"/>
        <v>44146</v>
      </c>
      <c r="K681">
        <f t="shared" si="20"/>
        <v>7</v>
      </c>
    </row>
    <row r="682" spans="1:11" x14ac:dyDescent="0.25">
      <c r="A682">
        <v>16</v>
      </c>
      <c r="B682" t="s">
        <v>14</v>
      </c>
      <c r="C682">
        <v>2021</v>
      </c>
      <c r="D682">
        <v>20.75</v>
      </c>
      <c r="E682">
        <v>30</v>
      </c>
      <c r="F682">
        <v>25.25</v>
      </c>
      <c r="G682" s="1">
        <f>DATE(C682, CHOOSE(MATCH(UPPER(B682), {"ENERO","FEBRERO","MARZO","ABRIL","MAYO","JUNIO","JULIO","AGOSTO","SEPTIEMBRE","OCTUBRE","NOVIEMBRE","DICIEMBRE"}, 0), 1,2,3,4,5,6,7,8,9,10,11,12), A682)</f>
        <v>44332</v>
      </c>
      <c r="H682">
        <v>25.5</v>
      </c>
      <c r="I682">
        <v>40000</v>
      </c>
      <c r="J682" s="1">
        <f t="shared" si="21"/>
        <v>44147</v>
      </c>
      <c r="K682">
        <f t="shared" si="20"/>
        <v>12.5</v>
      </c>
    </row>
    <row r="683" spans="1:11" x14ac:dyDescent="0.25">
      <c r="A683">
        <v>17</v>
      </c>
      <c r="B683" t="s">
        <v>14</v>
      </c>
      <c r="C683">
        <v>2021</v>
      </c>
      <c r="D683">
        <v>25.25</v>
      </c>
      <c r="E683" t="s">
        <v>9</v>
      </c>
      <c r="F683">
        <v>11.25</v>
      </c>
      <c r="G683" s="1">
        <f>DATE(C683, CHOOSE(MATCH(UPPER(B683), {"ENERO","FEBRERO","MARZO","ABRIL","MAYO","JUNIO","JULIO","AGOSTO","SEPTIEMBRE","OCTUBRE","NOVIEMBRE","DICIEMBRE"}, 0), 1,2,3,4,5,6,7,8,9,10,11,12), A683)</f>
        <v>44333</v>
      </c>
      <c r="H683">
        <v>14</v>
      </c>
      <c r="I683">
        <v>40000</v>
      </c>
      <c r="J683" s="1">
        <f t="shared" si="21"/>
        <v>44148</v>
      </c>
      <c r="K683">
        <f t="shared" si="20"/>
        <v>13.25</v>
      </c>
    </row>
    <row r="684" spans="1:11" x14ac:dyDescent="0.25">
      <c r="A684">
        <v>18</v>
      </c>
      <c r="B684" t="s">
        <v>14</v>
      </c>
      <c r="C684">
        <v>2021</v>
      </c>
      <c r="D684">
        <v>11.25</v>
      </c>
      <c r="E684" t="s">
        <v>9</v>
      </c>
      <c r="F684">
        <v>4.75</v>
      </c>
      <c r="G684" s="1">
        <f>DATE(C684, CHOOSE(MATCH(UPPER(B684), {"ENERO","FEBRERO","MARZO","ABRIL","MAYO","JUNIO","JULIO","AGOSTO","SEPTIEMBRE","OCTUBRE","NOVIEMBRE","DICIEMBRE"}, 0), 1,2,3,4,5,6,7,8,9,10,11,12), A684)</f>
        <v>44334</v>
      </c>
      <c r="H684">
        <v>6.5</v>
      </c>
      <c r="I684">
        <v>40000</v>
      </c>
      <c r="J684" s="1">
        <f t="shared" si="21"/>
        <v>44149</v>
      </c>
      <c r="K684">
        <f t="shared" si="20"/>
        <v>31.5</v>
      </c>
    </row>
    <row r="685" spans="1:11" x14ac:dyDescent="0.25">
      <c r="A685">
        <v>19</v>
      </c>
      <c r="B685" t="s">
        <v>14</v>
      </c>
      <c r="C685">
        <v>2021</v>
      </c>
      <c r="D685">
        <v>4.75</v>
      </c>
      <c r="E685" t="s">
        <v>9</v>
      </c>
      <c r="F685">
        <v>4.75</v>
      </c>
      <c r="G685" s="1">
        <f>DATE(C685, CHOOSE(MATCH(UPPER(B685), {"ENERO","FEBRERO","MARZO","ABRIL","MAYO","JUNIO","JULIO","AGOSTO","SEPTIEMBRE","OCTUBRE","NOVIEMBRE","DICIEMBRE"}, 0), 1,2,3,4,5,6,7,8,9,10,11,12), A685)</f>
        <v>44335</v>
      </c>
      <c r="H685">
        <v>0</v>
      </c>
      <c r="I685">
        <v>40000</v>
      </c>
      <c r="J685" s="1">
        <f t="shared" si="21"/>
        <v>44150</v>
      </c>
      <c r="K685">
        <f t="shared" si="20"/>
        <v>26.375</v>
      </c>
    </row>
    <row r="686" spans="1:11" x14ac:dyDescent="0.25">
      <c r="A686">
        <v>20</v>
      </c>
      <c r="B686" t="s">
        <v>14</v>
      </c>
      <c r="C686">
        <v>2021</v>
      </c>
      <c r="D686">
        <v>4.75</v>
      </c>
      <c r="E686">
        <v>60</v>
      </c>
      <c r="F686">
        <v>53.375</v>
      </c>
      <c r="G686" s="1">
        <f>DATE(C686, CHOOSE(MATCH(UPPER(B686), {"ENERO","FEBRERO","MARZO","ABRIL","MAYO","JUNIO","JULIO","AGOSTO","SEPTIEMBRE","OCTUBRE","NOVIEMBRE","DICIEMBRE"}, 0), 1,2,3,4,5,6,7,8,9,10,11,12), A686)</f>
        <v>44336</v>
      </c>
      <c r="H686">
        <v>11.375</v>
      </c>
      <c r="I686">
        <v>40000</v>
      </c>
      <c r="J686" s="1">
        <f t="shared" si="21"/>
        <v>44151</v>
      </c>
      <c r="K686">
        <f t="shared" si="20"/>
        <v>21.625</v>
      </c>
    </row>
    <row r="687" spans="1:11" x14ac:dyDescent="0.25">
      <c r="A687">
        <v>21</v>
      </c>
      <c r="B687" t="s">
        <v>14</v>
      </c>
      <c r="C687">
        <v>2021</v>
      </c>
      <c r="D687">
        <v>53.375</v>
      </c>
      <c r="E687" t="s">
        <v>9</v>
      </c>
      <c r="F687">
        <v>44.5</v>
      </c>
      <c r="G687" s="1">
        <f>DATE(C687, CHOOSE(MATCH(UPPER(B687), {"ENERO","FEBRERO","MARZO","ABRIL","MAYO","JUNIO","JULIO","AGOSTO","SEPTIEMBRE","OCTUBRE","NOVIEMBRE","DICIEMBRE"}, 0), 1,2,3,4,5,6,7,8,9,10,11,12), A687)</f>
        <v>44337</v>
      </c>
      <c r="H687">
        <v>8.875</v>
      </c>
      <c r="I687">
        <v>40000</v>
      </c>
      <c r="J687" s="1">
        <f t="shared" si="21"/>
        <v>44152</v>
      </c>
      <c r="K687">
        <f t="shared" si="20"/>
        <v>11.625</v>
      </c>
    </row>
    <row r="688" spans="1:11" x14ac:dyDescent="0.25">
      <c r="A688">
        <v>22</v>
      </c>
      <c r="B688" t="s">
        <v>14</v>
      </c>
      <c r="C688">
        <v>2021</v>
      </c>
      <c r="D688">
        <v>44.5</v>
      </c>
      <c r="E688" t="s">
        <v>9</v>
      </c>
      <c r="F688">
        <v>37</v>
      </c>
      <c r="G688" s="1">
        <f>DATE(C688, CHOOSE(MATCH(UPPER(B688), {"ENERO","FEBRERO","MARZO","ABRIL","MAYO","JUNIO","JULIO","AGOSTO","SEPTIEMBRE","OCTUBRE","NOVIEMBRE","DICIEMBRE"}, 0), 1,2,3,4,5,6,7,8,9,10,11,12), A688)</f>
        <v>44338</v>
      </c>
      <c r="H688">
        <v>7.5</v>
      </c>
      <c r="I688">
        <v>40000</v>
      </c>
      <c r="J688" s="1">
        <f t="shared" si="21"/>
        <v>44153</v>
      </c>
      <c r="K688">
        <f t="shared" si="20"/>
        <v>10.375</v>
      </c>
    </row>
    <row r="689" spans="1:11" x14ac:dyDescent="0.25">
      <c r="A689">
        <v>23</v>
      </c>
      <c r="B689" t="s">
        <v>14</v>
      </c>
      <c r="C689">
        <v>2021</v>
      </c>
      <c r="D689">
        <v>37</v>
      </c>
      <c r="E689">
        <v>50</v>
      </c>
      <c r="F689">
        <v>65</v>
      </c>
      <c r="G689" s="1">
        <f>DATE(C689, CHOOSE(MATCH(UPPER(B689), {"ENERO","FEBRERO","MARZO","ABRIL","MAYO","JUNIO","JULIO","AGOSTO","SEPTIEMBRE","OCTUBRE","NOVIEMBRE","DICIEMBRE"}, 0), 1,2,3,4,5,6,7,8,9,10,11,12), A689)</f>
        <v>44339</v>
      </c>
      <c r="H689">
        <v>22</v>
      </c>
      <c r="I689">
        <v>40000</v>
      </c>
      <c r="J689" s="1">
        <f t="shared" si="21"/>
        <v>44154</v>
      </c>
      <c r="K689">
        <f t="shared" si="20"/>
        <v>10</v>
      </c>
    </row>
    <row r="690" spans="1:11" x14ac:dyDescent="0.25">
      <c r="A690">
        <v>24</v>
      </c>
      <c r="B690" t="s">
        <v>14</v>
      </c>
      <c r="C690">
        <v>2021</v>
      </c>
      <c r="D690">
        <v>65</v>
      </c>
      <c r="E690">
        <v>0.5</v>
      </c>
      <c r="F690">
        <v>60.75</v>
      </c>
      <c r="G690" s="1">
        <f>DATE(C690, CHOOSE(MATCH(UPPER(B690), {"ENERO","FEBRERO","MARZO","ABRIL","MAYO","JUNIO","JULIO","AGOSTO","SEPTIEMBRE","OCTUBRE","NOVIEMBRE","DICIEMBRE"}, 0), 1,2,3,4,5,6,7,8,9,10,11,12), A690)</f>
        <v>44340</v>
      </c>
      <c r="H690">
        <v>4.75</v>
      </c>
      <c r="I690">
        <v>40000</v>
      </c>
      <c r="J690" s="1">
        <f t="shared" si="21"/>
        <v>44155</v>
      </c>
      <c r="K690">
        <f t="shared" si="20"/>
        <v>14</v>
      </c>
    </row>
    <row r="691" spans="1:11" x14ac:dyDescent="0.25">
      <c r="A691">
        <v>25</v>
      </c>
      <c r="B691" t="s">
        <v>14</v>
      </c>
      <c r="C691">
        <v>2021</v>
      </c>
      <c r="D691">
        <v>60.75</v>
      </c>
      <c r="E691" t="s">
        <v>9</v>
      </c>
      <c r="F691">
        <v>50.75</v>
      </c>
      <c r="G691" s="1">
        <f>DATE(C691, CHOOSE(MATCH(UPPER(B691), {"ENERO","FEBRERO","MARZO","ABRIL","MAYO","JUNIO","JULIO","AGOSTO","SEPTIEMBRE","OCTUBRE","NOVIEMBRE","DICIEMBRE"}, 0), 1,2,3,4,5,6,7,8,9,10,11,12), A691)</f>
        <v>44341</v>
      </c>
      <c r="H691">
        <v>10</v>
      </c>
      <c r="I691">
        <v>40000</v>
      </c>
      <c r="J691" s="1">
        <f t="shared" si="21"/>
        <v>44156</v>
      </c>
      <c r="K691">
        <f t="shared" si="20"/>
        <v>23.5</v>
      </c>
    </row>
    <row r="692" spans="1:11" x14ac:dyDescent="0.25">
      <c r="A692">
        <v>26</v>
      </c>
      <c r="B692" t="s">
        <v>14</v>
      </c>
      <c r="C692">
        <v>2021</v>
      </c>
      <c r="D692">
        <v>50.75</v>
      </c>
      <c r="E692" t="s">
        <v>9</v>
      </c>
      <c r="F692">
        <v>43.5</v>
      </c>
      <c r="G692" s="1">
        <f>DATE(C692, CHOOSE(MATCH(UPPER(B692), {"ENERO","FEBRERO","MARZO","ABRIL","MAYO","JUNIO","JULIO","AGOSTO","SEPTIEMBRE","OCTUBRE","NOVIEMBRE","DICIEMBRE"}, 0), 1,2,3,4,5,6,7,8,9,10,11,12), A692)</f>
        <v>44342</v>
      </c>
      <c r="H692">
        <v>7.25</v>
      </c>
      <c r="I692">
        <v>40000</v>
      </c>
      <c r="J692" s="1">
        <f t="shared" si="21"/>
        <v>44157</v>
      </c>
      <c r="K692">
        <f t="shared" si="20"/>
        <v>29</v>
      </c>
    </row>
    <row r="693" spans="1:11" x14ac:dyDescent="0.25">
      <c r="A693">
        <v>27</v>
      </c>
      <c r="B693" t="s">
        <v>14</v>
      </c>
      <c r="C693">
        <v>2021</v>
      </c>
      <c r="D693">
        <v>43.5</v>
      </c>
      <c r="E693" t="s">
        <v>9</v>
      </c>
      <c r="F693">
        <v>35.125</v>
      </c>
      <c r="G693" s="1">
        <f>DATE(C693, CHOOSE(MATCH(UPPER(B693), {"ENERO","FEBRERO","MARZO","ABRIL","MAYO","JUNIO","JULIO","AGOSTO","SEPTIEMBRE","OCTUBRE","NOVIEMBRE","DICIEMBRE"}, 0), 1,2,3,4,5,6,7,8,9,10,11,12), A693)</f>
        <v>44343</v>
      </c>
      <c r="H693">
        <v>8.375</v>
      </c>
      <c r="I693">
        <v>40000</v>
      </c>
      <c r="J693" s="1">
        <f t="shared" si="21"/>
        <v>44158</v>
      </c>
      <c r="K693">
        <f t="shared" si="20"/>
        <v>10.75</v>
      </c>
    </row>
    <row r="694" spans="1:11" x14ac:dyDescent="0.25">
      <c r="A694">
        <v>28</v>
      </c>
      <c r="B694" t="s">
        <v>14</v>
      </c>
      <c r="C694">
        <v>2021</v>
      </c>
      <c r="D694">
        <v>35.125</v>
      </c>
      <c r="E694">
        <v>20</v>
      </c>
      <c r="F694">
        <v>50.5</v>
      </c>
      <c r="G694" s="1">
        <f>DATE(C694, CHOOSE(MATCH(UPPER(B694), {"ENERO","FEBRERO","MARZO","ABRIL","MAYO","JUNIO","JULIO","AGOSTO","SEPTIEMBRE","OCTUBRE","NOVIEMBRE","DICIEMBRE"}, 0), 1,2,3,4,5,6,7,8,9,10,11,12), A694)</f>
        <v>44344</v>
      </c>
      <c r="H694">
        <v>4.625</v>
      </c>
      <c r="I694">
        <v>40000</v>
      </c>
      <c r="J694" s="1">
        <f t="shared" si="21"/>
        <v>44159</v>
      </c>
      <c r="K694">
        <f t="shared" si="20"/>
        <v>11</v>
      </c>
    </row>
    <row r="695" spans="1:11" x14ac:dyDescent="0.25">
      <c r="A695">
        <v>29</v>
      </c>
      <c r="B695" t="s">
        <v>14</v>
      </c>
      <c r="C695">
        <v>2021</v>
      </c>
      <c r="D695">
        <v>50.5</v>
      </c>
      <c r="E695" t="s">
        <v>9</v>
      </c>
      <c r="F695">
        <v>27</v>
      </c>
      <c r="G695" s="1">
        <f>DATE(C695, CHOOSE(MATCH(UPPER(B695), {"ENERO","FEBRERO","MARZO","ABRIL","MAYO","JUNIO","JULIO","AGOSTO","SEPTIEMBRE","OCTUBRE","NOVIEMBRE","DICIEMBRE"}, 0), 1,2,3,4,5,6,7,8,9,10,11,12), A695)</f>
        <v>44345</v>
      </c>
      <c r="H695">
        <v>23.5</v>
      </c>
      <c r="I695">
        <v>40000</v>
      </c>
      <c r="J695" s="1">
        <f t="shared" si="21"/>
        <v>44160</v>
      </c>
      <c r="K695">
        <f t="shared" si="20"/>
        <v>11</v>
      </c>
    </row>
    <row r="696" spans="1:11" x14ac:dyDescent="0.25">
      <c r="A696">
        <v>30</v>
      </c>
      <c r="B696" t="s">
        <v>14</v>
      </c>
      <c r="C696">
        <v>2021</v>
      </c>
      <c r="D696">
        <v>27</v>
      </c>
      <c r="E696">
        <v>50</v>
      </c>
      <c r="F696">
        <v>58.875</v>
      </c>
      <c r="G696" s="1">
        <f>DATE(C696, CHOOSE(MATCH(UPPER(B696), {"ENERO","FEBRERO","MARZO","ABRIL","MAYO","JUNIO","JULIO","AGOSTO","SEPTIEMBRE","OCTUBRE","NOVIEMBRE","DICIEMBRE"}, 0), 1,2,3,4,5,6,7,8,9,10,11,12), A696)</f>
        <v>44346</v>
      </c>
      <c r="H696">
        <v>18.125</v>
      </c>
      <c r="I696">
        <v>40000</v>
      </c>
      <c r="J696" s="1">
        <f t="shared" si="21"/>
        <v>44161</v>
      </c>
      <c r="K696">
        <f t="shared" si="20"/>
        <v>11.875</v>
      </c>
    </row>
    <row r="697" spans="1:11" x14ac:dyDescent="0.25">
      <c r="A697">
        <v>31</v>
      </c>
      <c r="B697" t="s">
        <v>14</v>
      </c>
      <c r="C697">
        <v>2021</v>
      </c>
      <c r="D697">
        <v>58.875</v>
      </c>
      <c r="E697" t="s">
        <v>9</v>
      </c>
      <c r="F697">
        <v>47.125</v>
      </c>
      <c r="G697" s="1">
        <f>DATE(C697, CHOOSE(MATCH(UPPER(B697), {"ENERO","FEBRERO","MARZO","ABRIL","MAYO","JUNIO","JULIO","AGOSTO","SEPTIEMBRE","OCTUBRE","NOVIEMBRE","DICIEMBRE"}, 0), 1,2,3,4,5,6,7,8,9,10,11,12), A697)</f>
        <v>44347</v>
      </c>
      <c r="H697">
        <v>11.75</v>
      </c>
      <c r="I697">
        <v>40000</v>
      </c>
      <c r="J697" s="1">
        <f t="shared" si="21"/>
        <v>44162</v>
      </c>
      <c r="K697">
        <f t="shared" si="20"/>
        <v>15.75</v>
      </c>
    </row>
    <row r="698" spans="1:11" x14ac:dyDescent="0.25">
      <c r="A698">
        <v>1</v>
      </c>
      <c r="B698" t="s">
        <v>15</v>
      </c>
      <c r="C698">
        <v>2021</v>
      </c>
      <c r="D698">
        <v>47.125</v>
      </c>
      <c r="E698" t="s">
        <v>9</v>
      </c>
      <c r="F698">
        <v>38.375</v>
      </c>
      <c r="G698" s="1">
        <f>DATE(C698, CHOOSE(MATCH(UPPER(B698), {"ENERO","FEBRERO","MARZO","ABRIL","MAYO","JUNIO","JULIO","AGOSTO","SEPTIEMBRE","OCTUBRE","NOVIEMBRE","DICIEMBRE"}, 0), 1,2,3,4,5,6,7,8,9,10,11,12), A698)</f>
        <v>44348</v>
      </c>
      <c r="H698">
        <v>8.75</v>
      </c>
      <c r="I698">
        <v>40000</v>
      </c>
      <c r="J698" s="1">
        <f t="shared" si="21"/>
        <v>44163</v>
      </c>
      <c r="K698">
        <f t="shared" si="20"/>
        <v>31.375</v>
      </c>
    </row>
    <row r="699" spans="1:11" x14ac:dyDescent="0.25">
      <c r="A699">
        <v>2</v>
      </c>
      <c r="B699" t="s">
        <v>15</v>
      </c>
      <c r="C699">
        <v>2021</v>
      </c>
      <c r="D699">
        <v>38.375</v>
      </c>
      <c r="E699">
        <v>50</v>
      </c>
      <c r="F699">
        <v>68.375</v>
      </c>
      <c r="G699" s="1">
        <f>DATE(C699, CHOOSE(MATCH(UPPER(B699), {"ENERO","FEBRERO","MARZO","ABRIL","MAYO","JUNIO","JULIO","AGOSTO","SEPTIEMBRE","OCTUBRE","NOVIEMBRE","DICIEMBRE"}, 0), 1,2,3,4,5,6,7,8,9,10,11,12), A699)</f>
        <v>44349</v>
      </c>
      <c r="H699">
        <v>20</v>
      </c>
      <c r="I699">
        <v>40000</v>
      </c>
      <c r="J699" s="1">
        <f t="shared" si="21"/>
        <v>44164</v>
      </c>
      <c r="K699">
        <f t="shared" si="20"/>
        <v>33</v>
      </c>
    </row>
    <row r="700" spans="1:11" x14ac:dyDescent="0.25">
      <c r="A700">
        <v>3</v>
      </c>
      <c r="B700" t="s">
        <v>15</v>
      </c>
      <c r="C700">
        <v>2021</v>
      </c>
      <c r="D700">
        <v>68.375</v>
      </c>
      <c r="E700" t="s">
        <v>9</v>
      </c>
      <c r="F700">
        <v>59.5</v>
      </c>
      <c r="G700" s="1">
        <f>DATE(C700, CHOOSE(MATCH(UPPER(B700), {"ENERO","FEBRERO","MARZO","ABRIL","MAYO","JUNIO","JULIO","AGOSTO","SEPTIEMBRE","OCTUBRE","NOVIEMBRE","DICIEMBRE"}, 0), 1,2,3,4,5,6,7,8,9,10,11,12), A700)</f>
        <v>44350</v>
      </c>
      <c r="H700">
        <v>8.875</v>
      </c>
      <c r="I700">
        <v>40000</v>
      </c>
      <c r="J700" s="1">
        <f t="shared" si="21"/>
        <v>44165</v>
      </c>
      <c r="K700">
        <f t="shared" si="20"/>
        <v>11.25</v>
      </c>
    </row>
    <row r="701" spans="1:11" x14ac:dyDescent="0.25">
      <c r="A701">
        <v>4</v>
      </c>
      <c r="B701" t="s">
        <v>15</v>
      </c>
      <c r="C701">
        <v>2021</v>
      </c>
      <c r="D701">
        <v>59.5</v>
      </c>
      <c r="E701">
        <v>50</v>
      </c>
      <c r="F701">
        <v>88.25</v>
      </c>
      <c r="G701" s="1">
        <f>DATE(C701, CHOOSE(MATCH(UPPER(B701), {"ENERO","FEBRERO","MARZO","ABRIL","MAYO","JUNIO","JULIO","AGOSTO","SEPTIEMBRE","OCTUBRE","NOVIEMBRE","DICIEMBRE"}, 0), 1,2,3,4,5,6,7,8,9,10,11,12), A701)</f>
        <v>44351</v>
      </c>
      <c r="H701">
        <v>21.25</v>
      </c>
      <c r="I701">
        <v>40000</v>
      </c>
      <c r="J701" s="1">
        <f t="shared" si="21"/>
        <v>44166</v>
      </c>
      <c r="K701">
        <f t="shared" si="20"/>
        <v>11.5</v>
      </c>
    </row>
    <row r="702" spans="1:11" x14ac:dyDescent="0.25">
      <c r="A702">
        <v>5</v>
      </c>
      <c r="B702" t="s">
        <v>15</v>
      </c>
      <c r="C702">
        <v>2021</v>
      </c>
      <c r="D702">
        <v>88.25</v>
      </c>
      <c r="E702" t="s">
        <v>9</v>
      </c>
      <c r="F702">
        <v>62.75</v>
      </c>
      <c r="G702" s="1">
        <f>DATE(C702, CHOOSE(MATCH(UPPER(B702), {"ENERO","FEBRERO","MARZO","ABRIL","MAYO","JUNIO","JULIO","AGOSTO","SEPTIEMBRE","OCTUBRE","NOVIEMBRE","DICIEMBRE"}, 0), 1,2,3,4,5,6,7,8,9,10,11,12), A702)</f>
        <v>44352</v>
      </c>
      <c r="H702">
        <v>25.5</v>
      </c>
      <c r="I702">
        <v>40000</v>
      </c>
      <c r="J702" s="1">
        <f t="shared" si="21"/>
        <v>44167</v>
      </c>
      <c r="K702">
        <f t="shared" si="20"/>
        <v>18.375</v>
      </c>
    </row>
    <row r="703" spans="1:11" x14ac:dyDescent="0.25">
      <c r="A703">
        <v>6</v>
      </c>
      <c r="B703" t="s">
        <v>15</v>
      </c>
      <c r="C703">
        <v>2021</v>
      </c>
      <c r="D703">
        <v>62.75</v>
      </c>
      <c r="E703" t="s">
        <v>9</v>
      </c>
      <c r="F703">
        <v>32.75</v>
      </c>
      <c r="G703" s="1">
        <f>DATE(C703, CHOOSE(MATCH(UPPER(B703), {"ENERO","FEBRERO","MARZO","ABRIL","MAYO","JUNIO","JULIO","AGOSTO","SEPTIEMBRE","OCTUBRE","NOVIEMBRE","DICIEMBRE"}, 0), 1,2,3,4,5,6,7,8,9,10,11,12), A703)</f>
        <v>44353</v>
      </c>
      <c r="H703">
        <v>30</v>
      </c>
      <c r="I703">
        <v>40000</v>
      </c>
      <c r="J703" s="1">
        <f t="shared" si="21"/>
        <v>44168</v>
      </c>
      <c r="K703">
        <f t="shared" si="20"/>
        <v>11.375</v>
      </c>
    </row>
    <row r="704" spans="1:11" x14ac:dyDescent="0.25">
      <c r="A704">
        <v>7</v>
      </c>
      <c r="B704" t="s">
        <v>15</v>
      </c>
      <c r="C704">
        <v>2021</v>
      </c>
      <c r="D704">
        <v>32.75</v>
      </c>
      <c r="E704">
        <v>40</v>
      </c>
      <c r="F704">
        <v>51.25</v>
      </c>
      <c r="G704" s="1">
        <f>DATE(C704, CHOOSE(MATCH(UPPER(B704), {"ENERO","FEBRERO","MARZO","ABRIL","MAYO","JUNIO","JULIO","AGOSTO","SEPTIEMBRE","OCTUBRE","NOVIEMBRE","DICIEMBRE"}, 0), 1,2,3,4,5,6,7,8,9,10,11,12), A704)</f>
        <v>44354</v>
      </c>
      <c r="H704">
        <v>21.5</v>
      </c>
      <c r="I704">
        <v>40000</v>
      </c>
      <c r="J704" s="1">
        <f t="shared" si="21"/>
        <v>44169</v>
      </c>
      <c r="K704">
        <f t="shared" si="20"/>
        <v>23.5</v>
      </c>
    </row>
    <row r="705" spans="1:11" x14ac:dyDescent="0.25">
      <c r="A705">
        <v>8</v>
      </c>
      <c r="B705" t="s">
        <v>15</v>
      </c>
      <c r="C705">
        <v>2021</v>
      </c>
      <c r="D705">
        <v>51.25</v>
      </c>
      <c r="E705" t="s">
        <v>9</v>
      </c>
      <c r="F705">
        <v>38.375</v>
      </c>
      <c r="G705" s="1">
        <f>DATE(C705, CHOOSE(MATCH(UPPER(B705), {"ENERO","FEBRERO","MARZO","ABRIL","MAYO","JUNIO","JULIO","AGOSTO","SEPTIEMBRE","OCTUBRE","NOVIEMBRE","DICIEMBRE"}, 0), 1,2,3,4,5,6,7,8,9,10,11,12), A705)</f>
        <v>44355</v>
      </c>
      <c r="H705">
        <v>12.875</v>
      </c>
      <c r="I705">
        <v>40000</v>
      </c>
      <c r="J705" s="1">
        <f t="shared" si="21"/>
        <v>44170</v>
      </c>
      <c r="K705">
        <f t="shared" si="20"/>
        <v>20</v>
      </c>
    </row>
    <row r="706" spans="1:11" x14ac:dyDescent="0.25">
      <c r="A706">
        <v>9</v>
      </c>
      <c r="B706" t="s">
        <v>15</v>
      </c>
      <c r="C706">
        <v>2021</v>
      </c>
      <c r="D706">
        <v>38.375</v>
      </c>
      <c r="E706" t="s">
        <v>9</v>
      </c>
      <c r="F706">
        <v>28.75</v>
      </c>
      <c r="G706" s="1">
        <f>DATE(C706, CHOOSE(MATCH(UPPER(B706), {"ENERO","FEBRERO","MARZO","ABRIL","MAYO","JUNIO","JULIO","AGOSTO","SEPTIEMBRE","OCTUBRE","NOVIEMBRE","DICIEMBRE"}, 0), 1,2,3,4,5,6,7,8,9,10,11,12), A706)</f>
        <v>44356</v>
      </c>
      <c r="H706">
        <v>9.625</v>
      </c>
      <c r="I706">
        <v>40000</v>
      </c>
      <c r="J706" s="1">
        <f t="shared" si="21"/>
        <v>44171</v>
      </c>
      <c r="K706">
        <f t="shared" ref="K706:K769" si="22">VLOOKUP(J706, G:H, 2, FALSE)</f>
        <v>22.25</v>
      </c>
    </row>
    <row r="707" spans="1:11" x14ac:dyDescent="0.25">
      <c r="A707">
        <v>10</v>
      </c>
      <c r="B707" t="s">
        <v>15</v>
      </c>
      <c r="C707">
        <v>2021</v>
      </c>
      <c r="D707">
        <v>28.75</v>
      </c>
      <c r="E707">
        <v>50</v>
      </c>
      <c r="F707">
        <v>65.75</v>
      </c>
      <c r="G707" s="1">
        <f>DATE(C707, CHOOSE(MATCH(UPPER(B707), {"ENERO","FEBRERO","MARZO","ABRIL","MAYO","JUNIO","JULIO","AGOSTO","SEPTIEMBRE","OCTUBRE","NOVIEMBRE","DICIEMBRE"}, 0), 1,2,3,4,5,6,7,8,9,10,11,12), A707)</f>
        <v>44357</v>
      </c>
      <c r="H707">
        <v>13</v>
      </c>
      <c r="I707">
        <v>40000</v>
      </c>
      <c r="J707" s="1">
        <f t="shared" si="21"/>
        <v>44172</v>
      </c>
      <c r="K707">
        <f t="shared" si="22"/>
        <v>29.3</v>
      </c>
    </row>
    <row r="708" spans="1:11" x14ac:dyDescent="0.25">
      <c r="A708">
        <v>11</v>
      </c>
      <c r="B708" t="s">
        <v>15</v>
      </c>
      <c r="C708">
        <v>2021</v>
      </c>
      <c r="D708">
        <v>65.75</v>
      </c>
      <c r="E708" t="s">
        <v>9</v>
      </c>
      <c r="F708">
        <v>47.25</v>
      </c>
      <c r="G708" s="1">
        <f>DATE(C708, CHOOSE(MATCH(UPPER(B708), {"ENERO","FEBRERO","MARZO","ABRIL","MAYO","JUNIO","JULIO","AGOSTO","SEPTIEMBRE","OCTUBRE","NOVIEMBRE","DICIEMBRE"}, 0), 1,2,3,4,5,6,7,8,9,10,11,12), A708)</f>
        <v>44358</v>
      </c>
      <c r="H708">
        <v>18.5</v>
      </c>
      <c r="I708">
        <v>40000</v>
      </c>
      <c r="J708" s="1">
        <f t="shared" ref="J708:J771" si="23">DATE(2019,1,1) + ROW()-1</f>
        <v>44173</v>
      </c>
      <c r="K708">
        <f t="shared" si="22"/>
        <v>17.45</v>
      </c>
    </row>
    <row r="709" spans="1:11" x14ac:dyDescent="0.25">
      <c r="A709">
        <v>12</v>
      </c>
      <c r="B709" t="s">
        <v>15</v>
      </c>
      <c r="C709">
        <v>2021</v>
      </c>
      <c r="D709">
        <v>47.25</v>
      </c>
      <c r="E709">
        <v>50</v>
      </c>
      <c r="F709">
        <v>71</v>
      </c>
      <c r="G709" s="1">
        <f>DATE(C709, CHOOSE(MATCH(UPPER(B709), {"ENERO","FEBRERO","MARZO","ABRIL","MAYO","JUNIO","JULIO","AGOSTO","SEPTIEMBRE","OCTUBRE","NOVIEMBRE","DICIEMBRE"}, 0), 1,2,3,4,5,6,7,8,9,10,11,12), A709)</f>
        <v>44359</v>
      </c>
      <c r="H709">
        <v>26.25</v>
      </c>
      <c r="I709">
        <v>40000</v>
      </c>
      <c r="J709" s="1">
        <f t="shared" si="23"/>
        <v>44174</v>
      </c>
      <c r="K709">
        <f t="shared" si="22"/>
        <v>8</v>
      </c>
    </row>
    <row r="710" spans="1:11" x14ac:dyDescent="0.25">
      <c r="A710">
        <v>13</v>
      </c>
      <c r="B710" t="s">
        <v>15</v>
      </c>
      <c r="C710">
        <v>2021</v>
      </c>
      <c r="D710">
        <v>71</v>
      </c>
      <c r="E710" t="s">
        <v>9</v>
      </c>
      <c r="F710">
        <v>51.5</v>
      </c>
      <c r="G710" s="1">
        <f>DATE(C710, CHOOSE(MATCH(UPPER(B710), {"ENERO","FEBRERO","MARZO","ABRIL","MAYO","JUNIO","JULIO","AGOSTO","SEPTIEMBRE","OCTUBRE","NOVIEMBRE","DICIEMBRE"}, 0), 1,2,3,4,5,6,7,8,9,10,11,12), A710)</f>
        <v>44360</v>
      </c>
      <c r="H710">
        <v>19.5</v>
      </c>
      <c r="I710">
        <v>40000</v>
      </c>
      <c r="J710" s="1">
        <f t="shared" si="23"/>
        <v>44175</v>
      </c>
      <c r="K710">
        <f t="shared" si="22"/>
        <v>13.725</v>
      </c>
    </row>
    <row r="711" spans="1:11" x14ac:dyDescent="0.25">
      <c r="A711">
        <v>14</v>
      </c>
      <c r="B711" t="s">
        <v>15</v>
      </c>
      <c r="C711">
        <v>2021</v>
      </c>
      <c r="D711">
        <v>51.5</v>
      </c>
      <c r="E711">
        <v>50</v>
      </c>
      <c r="F711">
        <v>83</v>
      </c>
      <c r="G711" s="1">
        <f>DATE(C711, CHOOSE(MATCH(UPPER(B711), {"ENERO","FEBRERO","MARZO","ABRIL","MAYO","JUNIO","JULIO","AGOSTO","SEPTIEMBRE","OCTUBRE","NOVIEMBRE","DICIEMBRE"}, 0), 1,2,3,4,5,6,7,8,9,10,11,12), A711)</f>
        <v>44361</v>
      </c>
      <c r="H711">
        <v>18.5</v>
      </c>
      <c r="I711">
        <v>40000</v>
      </c>
      <c r="J711" s="1">
        <f t="shared" si="23"/>
        <v>44176</v>
      </c>
      <c r="K711">
        <f t="shared" si="22"/>
        <v>17.274999999999999</v>
      </c>
    </row>
    <row r="712" spans="1:11" x14ac:dyDescent="0.25">
      <c r="A712">
        <v>15</v>
      </c>
      <c r="B712" t="s">
        <v>15</v>
      </c>
      <c r="C712">
        <v>2021</v>
      </c>
      <c r="D712">
        <v>83</v>
      </c>
      <c r="E712" t="s">
        <v>9</v>
      </c>
      <c r="F712">
        <v>51</v>
      </c>
      <c r="G712" s="1">
        <f>DATE(C712, CHOOSE(MATCH(UPPER(B712), {"ENERO","FEBRERO","MARZO","ABRIL","MAYO","JUNIO","JULIO","AGOSTO","SEPTIEMBRE","OCTUBRE","NOVIEMBRE","DICIEMBRE"}, 0), 1,2,3,4,5,6,7,8,9,10,11,12), A712)</f>
        <v>44362</v>
      </c>
      <c r="H712">
        <v>32</v>
      </c>
      <c r="I712">
        <v>40000</v>
      </c>
      <c r="J712" s="1">
        <f t="shared" si="23"/>
        <v>44177</v>
      </c>
      <c r="K712">
        <f t="shared" si="22"/>
        <v>14.75</v>
      </c>
    </row>
    <row r="713" spans="1:11" x14ac:dyDescent="0.25">
      <c r="A713">
        <v>16</v>
      </c>
      <c r="B713" t="s">
        <v>15</v>
      </c>
      <c r="C713">
        <v>2021</v>
      </c>
      <c r="D713">
        <v>51</v>
      </c>
      <c r="E713" t="s">
        <v>9</v>
      </c>
      <c r="F713">
        <v>27</v>
      </c>
      <c r="G713" s="1">
        <f>DATE(C713, CHOOSE(MATCH(UPPER(B713), {"ENERO","FEBRERO","MARZO","ABRIL","MAYO","JUNIO","JULIO","AGOSTO","SEPTIEMBRE","OCTUBRE","NOVIEMBRE","DICIEMBRE"}, 0), 1,2,3,4,5,6,7,8,9,10,11,12), A713)</f>
        <v>44363</v>
      </c>
      <c r="H713">
        <v>24</v>
      </c>
      <c r="I713">
        <v>40000</v>
      </c>
      <c r="J713" s="1">
        <f t="shared" si="23"/>
        <v>44178</v>
      </c>
      <c r="K713">
        <f t="shared" si="22"/>
        <v>35</v>
      </c>
    </row>
    <row r="714" spans="1:11" x14ac:dyDescent="0.25">
      <c r="A714">
        <v>17</v>
      </c>
      <c r="B714" t="s">
        <v>15</v>
      </c>
      <c r="C714">
        <v>2021</v>
      </c>
      <c r="D714">
        <v>27</v>
      </c>
      <c r="E714">
        <v>100</v>
      </c>
      <c r="F714">
        <v>105.5</v>
      </c>
      <c r="G714" s="1">
        <f>DATE(C714, CHOOSE(MATCH(UPPER(B714), {"ENERO","FEBRERO","MARZO","ABRIL","MAYO","JUNIO","JULIO","AGOSTO","SEPTIEMBRE","OCTUBRE","NOVIEMBRE","DICIEMBRE"}, 0), 1,2,3,4,5,6,7,8,9,10,11,12), A714)</f>
        <v>44364</v>
      </c>
      <c r="H714">
        <v>21.5</v>
      </c>
      <c r="I714">
        <v>40000</v>
      </c>
      <c r="J714" s="1">
        <f t="shared" si="23"/>
        <v>44179</v>
      </c>
      <c r="K714">
        <f t="shared" si="22"/>
        <v>10</v>
      </c>
    </row>
    <row r="715" spans="1:11" x14ac:dyDescent="0.25">
      <c r="A715">
        <v>18</v>
      </c>
      <c r="B715" t="s">
        <v>15</v>
      </c>
      <c r="C715">
        <v>2021</v>
      </c>
      <c r="D715">
        <v>105.5</v>
      </c>
      <c r="E715" t="s">
        <v>9</v>
      </c>
      <c r="F715">
        <v>67</v>
      </c>
      <c r="G715" s="1">
        <f>DATE(C715, CHOOSE(MATCH(UPPER(B715), {"ENERO","FEBRERO","MARZO","ABRIL","MAYO","JUNIO","JULIO","AGOSTO","SEPTIEMBRE","OCTUBRE","NOVIEMBRE","DICIEMBRE"}, 0), 1,2,3,4,5,6,7,8,9,10,11,12), A715)</f>
        <v>44365</v>
      </c>
      <c r="H715">
        <v>38.5</v>
      </c>
      <c r="I715">
        <v>40000</v>
      </c>
      <c r="J715" s="1">
        <f t="shared" si="23"/>
        <v>44180</v>
      </c>
      <c r="K715">
        <f t="shared" si="22"/>
        <v>17.125</v>
      </c>
    </row>
    <row r="716" spans="1:11" x14ac:dyDescent="0.25">
      <c r="A716">
        <v>19</v>
      </c>
      <c r="B716" t="s">
        <v>15</v>
      </c>
      <c r="C716">
        <v>2021</v>
      </c>
      <c r="D716">
        <v>67</v>
      </c>
      <c r="E716">
        <v>50</v>
      </c>
      <c r="F716">
        <v>89</v>
      </c>
      <c r="G716" s="1">
        <f>DATE(C716, CHOOSE(MATCH(UPPER(B716), {"ENERO","FEBRERO","MARZO","ABRIL","MAYO","JUNIO","JULIO","AGOSTO","SEPTIEMBRE","OCTUBRE","NOVIEMBRE","DICIEMBRE"}, 0), 1,2,3,4,5,6,7,8,9,10,11,12), A716)</f>
        <v>44366</v>
      </c>
      <c r="H716">
        <v>28</v>
      </c>
      <c r="I716">
        <v>40000</v>
      </c>
      <c r="J716" s="1">
        <f t="shared" si="23"/>
        <v>44181</v>
      </c>
      <c r="K716">
        <f t="shared" si="22"/>
        <v>10.875</v>
      </c>
    </row>
    <row r="717" spans="1:11" x14ac:dyDescent="0.25">
      <c r="A717">
        <v>20</v>
      </c>
      <c r="B717" t="s">
        <v>15</v>
      </c>
      <c r="C717">
        <v>2021</v>
      </c>
      <c r="D717">
        <v>89</v>
      </c>
      <c r="E717">
        <v>50</v>
      </c>
      <c r="F717">
        <v>114</v>
      </c>
      <c r="G717" s="1">
        <f>DATE(C717, CHOOSE(MATCH(UPPER(B717), {"ENERO","FEBRERO","MARZO","ABRIL","MAYO","JUNIO","JULIO","AGOSTO","SEPTIEMBRE","OCTUBRE","NOVIEMBRE","DICIEMBRE"}, 0), 1,2,3,4,5,6,7,8,9,10,11,12), A717)</f>
        <v>44367</v>
      </c>
      <c r="H717">
        <v>25</v>
      </c>
      <c r="I717">
        <v>40000</v>
      </c>
      <c r="J717" s="1">
        <f t="shared" si="23"/>
        <v>44182</v>
      </c>
      <c r="K717">
        <f t="shared" si="22"/>
        <v>13</v>
      </c>
    </row>
    <row r="718" spans="1:11" x14ac:dyDescent="0.25">
      <c r="A718">
        <v>21</v>
      </c>
      <c r="B718" t="s">
        <v>15</v>
      </c>
      <c r="C718">
        <v>2021</v>
      </c>
      <c r="D718">
        <v>114</v>
      </c>
      <c r="E718" t="s">
        <v>9</v>
      </c>
      <c r="F718">
        <v>98</v>
      </c>
      <c r="G718" s="1">
        <f>DATE(C718, CHOOSE(MATCH(UPPER(B718), {"ENERO","FEBRERO","MARZO","ABRIL","MAYO","JUNIO","JULIO","AGOSTO","SEPTIEMBRE","OCTUBRE","NOVIEMBRE","DICIEMBRE"}, 0), 1,2,3,4,5,6,7,8,9,10,11,12), A718)</f>
        <v>44368</v>
      </c>
      <c r="H718">
        <v>16</v>
      </c>
      <c r="I718">
        <v>40000</v>
      </c>
      <c r="J718" s="1">
        <f t="shared" si="23"/>
        <v>44183</v>
      </c>
      <c r="K718">
        <f t="shared" si="22"/>
        <v>30</v>
      </c>
    </row>
    <row r="719" spans="1:11" x14ac:dyDescent="0.25">
      <c r="A719">
        <v>22</v>
      </c>
      <c r="B719" t="s">
        <v>15</v>
      </c>
      <c r="C719">
        <v>2021</v>
      </c>
      <c r="D719">
        <v>98</v>
      </c>
      <c r="E719" t="s">
        <v>9</v>
      </c>
      <c r="F719">
        <v>84</v>
      </c>
      <c r="G719" s="1">
        <f>DATE(C719, CHOOSE(MATCH(UPPER(B719), {"ENERO","FEBRERO","MARZO","ABRIL","MAYO","JUNIO","JULIO","AGOSTO","SEPTIEMBRE","OCTUBRE","NOVIEMBRE","DICIEMBRE"}, 0), 1,2,3,4,5,6,7,8,9,10,11,12), A719)</f>
        <v>44369</v>
      </c>
      <c r="H719">
        <v>14</v>
      </c>
      <c r="I719">
        <v>40000</v>
      </c>
      <c r="J719" s="1">
        <f t="shared" si="23"/>
        <v>44184</v>
      </c>
      <c r="K719">
        <f t="shared" si="22"/>
        <v>19</v>
      </c>
    </row>
    <row r="720" spans="1:11" x14ac:dyDescent="0.25">
      <c r="A720">
        <v>23</v>
      </c>
      <c r="B720" t="s">
        <v>15</v>
      </c>
      <c r="C720">
        <v>2021</v>
      </c>
      <c r="D720">
        <v>84</v>
      </c>
      <c r="E720">
        <v>20</v>
      </c>
      <c r="F720">
        <v>99</v>
      </c>
      <c r="G720" s="1">
        <f>DATE(C720, CHOOSE(MATCH(UPPER(B720), {"ENERO","FEBRERO","MARZO","ABRIL","MAYO","JUNIO","JULIO","AGOSTO","SEPTIEMBRE","OCTUBRE","NOVIEMBRE","DICIEMBRE"}, 0), 1,2,3,4,5,6,7,8,9,10,11,12), A720)</f>
        <v>44370</v>
      </c>
      <c r="H720">
        <v>5</v>
      </c>
      <c r="I720">
        <v>40000</v>
      </c>
      <c r="J720" s="1">
        <f t="shared" si="23"/>
        <v>44185</v>
      </c>
      <c r="K720">
        <f t="shared" si="22"/>
        <v>20</v>
      </c>
    </row>
    <row r="721" spans="1:11" x14ac:dyDescent="0.25">
      <c r="A721">
        <v>24</v>
      </c>
      <c r="B721" t="s">
        <v>15</v>
      </c>
      <c r="C721">
        <v>2021</v>
      </c>
      <c r="D721">
        <v>99</v>
      </c>
      <c r="E721" t="s">
        <v>9</v>
      </c>
      <c r="F721">
        <v>69.375</v>
      </c>
      <c r="G721" s="1">
        <f>DATE(C721, CHOOSE(MATCH(UPPER(B721), {"ENERO","FEBRERO","MARZO","ABRIL","MAYO","JUNIO","JULIO","AGOSTO","SEPTIEMBRE","OCTUBRE","NOVIEMBRE","DICIEMBRE"}, 0), 1,2,3,4,5,6,7,8,9,10,11,12), A721)</f>
        <v>44371</v>
      </c>
      <c r="H721">
        <v>29.625</v>
      </c>
      <c r="I721">
        <v>40000</v>
      </c>
      <c r="J721" s="1">
        <f t="shared" si="23"/>
        <v>44186</v>
      </c>
      <c r="K721">
        <f t="shared" si="22"/>
        <v>14.625</v>
      </c>
    </row>
    <row r="722" spans="1:11" x14ac:dyDescent="0.25">
      <c r="A722">
        <v>25</v>
      </c>
      <c r="B722" t="s">
        <v>15</v>
      </c>
      <c r="C722">
        <v>2021</v>
      </c>
      <c r="D722">
        <v>69.375</v>
      </c>
      <c r="E722" t="s">
        <v>9</v>
      </c>
      <c r="F722">
        <v>38</v>
      </c>
      <c r="G722" s="1">
        <f>DATE(C722, CHOOSE(MATCH(UPPER(B722), {"ENERO","FEBRERO","MARZO","ABRIL","MAYO","JUNIO","JULIO","AGOSTO","SEPTIEMBRE","OCTUBRE","NOVIEMBRE","DICIEMBRE"}, 0), 1,2,3,4,5,6,7,8,9,10,11,12), A722)</f>
        <v>44372</v>
      </c>
      <c r="H722">
        <v>31.375</v>
      </c>
      <c r="I722">
        <v>40000</v>
      </c>
      <c r="J722" s="1">
        <f t="shared" si="23"/>
        <v>44187</v>
      </c>
      <c r="K722">
        <f t="shared" si="22"/>
        <v>19.625</v>
      </c>
    </row>
    <row r="723" spans="1:11" x14ac:dyDescent="0.25">
      <c r="A723">
        <v>26</v>
      </c>
      <c r="B723" t="s">
        <v>15</v>
      </c>
      <c r="C723">
        <v>2021</v>
      </c>
      <c r="D723">
        <v>38</v>
      </c>
      <c r="E723">
        <v>100</v>
      </c>
      <c r="F723">
        <v>100</v>
      </c>
      <c r="G723" s="1">
        <f>DATE(C723, CHOOSE(MATCH(UPPER(B723), {"ENERO","FEBRERO","MARZO","ABRIL","MAYO","JUNIO","JULIO","AGOSTO","SEPTIEMBRE","OCTUBRE","NOVIEMBRE","DICIEMBRE"}, 0), 1,2,3,4,5,6,7,8,9,10,11,12), A723)</f>
        <v>44373</v>
      </c>
      <c r="H723">
        <v>38</v>
      </c>
      <c r="I723">
        <v>40000</v>
      </c>
      <c r="J723" s="1">
        <f t="shared" si="23"/>
        <v>44188</v>
      </c>
      <c r="K723">
        <f t="shared" si="22"/>
        <v>18.75</v>
      </c>
    </row>
    <row r="724" spans="1:11" x14ac:dyDescent="0.25">
      <c r="A724">
        <v>27</v>
      </c>
      <c r="B724" t="s">
        <v>15</v>
      </c>
      <c r="C724">
        <v>2021</v>
      </c>
      <c r="D724">
        <v>100</v>
      </c>
      <c r="E724" t="s">
        <v>9</v>
      </c>
      <c r="F724">
        <v>56.75</v>
      </c>
      <c r="G724" s="1">
        <f>DATE(C724, CHOOSE(MATCH(UPPER(B724), {"ENERO","FEBRERO","MARZO","ABRIL","MAYO","JUNIO","JULIO","AGOSTO","SEPTIEMBRE","OCTUBRE","NOVIEMBRE","DICIEMBRE"}, 0), 1,2,3,4,5,6,7,8,9,10,11,12), A724)</f>
        <v>44374</v>
      </c>
      <c r="H724">
        <v>43.25</v>
      </c>
      <c r="I724">
        <v>40000</v>
      </c>
      <c r="J724" s="1">
        <f t="shared" si="23"/>
        <v>44189</v>
      </c>
      <c r="K724" t="e">
        <f t="shared" si="22"/>
        <v>#N/A</v>
      </c>
    </row>
    <row r="725" spans="1:11" x14ac:dyDescent="0.25">
      <c r="A725">
        <v>28</v>
      </c>
      <c r="B725" t="s">
        <v>15</v>
      </c>
      <c r="C725">
        <v>2021</v>
      </c>
      <c r="D725">
        <v>56.75</v>
      </c>
      <c r="E725" t="s">
        <v>9</v>
      </c>
      <c r="F725">
        <v>43</v>
      </c>
      <c r="G725" s="1">
        <f>DATE(C725, CHOOSE(MATCH(UPPER(B725), {"ENERO","FEBRERO","MARZO","ABRIL","MAYO","JUNIO","JULIO","AGOSTO","SEPTIEMBRE","OCTUBRE","NOVIEMBRE","DICIEMBRE"}, 0), 1,2,3,4,5,6,7,8,9,10,11,12), A725)</f>
        <v>44375</v>
      </c>
      <c r="H725">
        <v>13.75</v>
      </c>
      <c r="I725">
        <v>40000</v>
      </c>
      <c r="J725" s="1">
        <f t="shared" si="23"/>
        <v>44190</v>
      </c>
      <c r="K725">
        <f t="shared" si="22"/>
        <v>32</v>
      </c>
    </row>
    <row r="726" spans="1:11" x14ac:dyDescent="0.25">
      <c r="A726">
        <v>30</v>
      </c>
      <c r="B726" t="s">
        <v>15</v>
      </c>
      <c r="C726">
        <v>2021</v>
      </c>
      <c r="D726">
        <v>10.75</v>
      </c>
      <c r="E726">
        <v>100</v>
      </c>
      <c r="F726">
        <v>87.75</v>
      </c>
      <c r="G726" s="1">
        <f>DATE(C726, CHOOSE(MATCH(UPPER(B726), {"ENERO","FEBRERO","MARZO","ABRIL","MAYO","JUNIO","JULIO","AGOSTO","SEPTIEMBRE","OCTUBRE","NOVIEMBRE","DICIEMBRE"}, 0), 1,2,3,4,5,6,7,8,9,10,11,12), A726)</f>
        <v>44377</v>
      </c>
      <c r="H726">
        <v>23</v>
      </c>
      <c r="I726">
        <v>40000</v>
      </c>
      <c r="J726" s="1">
        <f t="shared" si="23"/>
        <v>44191</v>
      </c>
      <c r="K726">
        <f t="shared" si="22"/>
        <v>26</v>
      </c>
    </row>
    <row r="727" spans="1:11" x14ac:dyDescent="0.25">
      <c r="A727">
        <v>29</v>
      </c>
      <c r="B727" t="s">
        <v>15</v>
      </c>
      <c r="C727">
        <v>2021</v>
      </c>
      <c r="D727">
        <v>43</v>
      </c>
      <c r="E727" t="s">
        <v>9</v>
      </c>
      <c r="F727">
        <v>10.75</v>
      </c>
      <c r="G727" s="1">
        <f>DATE(C727, CHOOSE(MATCH(UPPER(B727), {"ENERO","FEBRERO","MARZO","ABRIL","MAYO","JUNIO","JULIO","AGOSTO","SEPTIEMBRE","OCTUBRE","NOVIEMBRE","DICIEMBRE"}, 0), 1,2,3,4,5,6,7,8,9,10,11,12), A727)</f>
        <v>44376</v>
      </c>
      <c r="H727">
        <v>32.25</v>
      </c>
      <c r="I727">
        <v>40000</v>
      </c>
      <c r="J727" s="1">
        <f t="shared" si="23"/>
        <v>44192</v>
      </c>
      <c r="K727">
        <f t="shared" si="22"/>
        <v>20</v>
      </c>
    </row>
    <row r="728" spans="1:11" x14ac:dyDescent="0.25">
      <c r="A728">
        <v>1</v>
      </c>
      <c r="B728" t="s">
        <v>16</v>
      </c>
      <c r="C728">
        <v>2021</v>
      </c>
      <c r="D728">
        <v>87.75</v>
      </c>
      <c r="E728" t="s">
        <v>9</v>
      </c>
      <c r="F728">
        <v>65.625</v>
      </c>
      <c r="G728" s="1">
        <f>DATE(C728, CHOOSE(MATCH(UPPER(B728), {"ENERO","FEBRERO","MARZO","ABRIL","MAYO","JUNIO","JULIO","AGOSTO","SEPTIEMBRE","OCTUBRE","NOVIEMBRE","DICIEMBRE"}, 0), 1,2,3,4,5,6,7,8,9,10,11,12), A728)</f>
        <v>44378</v>
      </c>
      <c r="H728">
        <v>22.125</v>
      </c>
      <c r="I728">
        <v>40000</v>
      </c>
      <c r="J728" s="1">
        <f t="shared" si="23"/>
        <v>44193</v>
      </c>
      <c r="K728">
        <f t="shared" si="22"/>
        <v>20</v>
      </c>
    </row>
    <row r="729" spans="1:11" x14ac:dyDescent="0.25">
      <c r="A729">
        <v>2</v>
      </c>
      <c r="B729" t="s">
        <v>16</v>
      </c>
      <c r="C729">
        <v>2021</v>
      </c>
      <c r="D729">
        <v>65.625</v>
      </c>
      <c r="E729" t="s">
        <v>9</v>
      </c>
      <c r="F729">
        <v>43.625</v>
      </c>
      <c r="G729" s="1">
        <f>DATE(C729, CHOOSE(MATCH(UPPER(B729), {"ENERO","FEBRERO","MARZO","ABRIL","MAYO","JUNIO","JULIO","AGOSTO","SEPTIEMBRE","OCTUBRE","NOVIEMBRE","DICIEMBRE"}, 0), 1,2,3,4,5,6,7,8,9,10,11,12), A729)</f>
        <v>44379</v>
      </c>
      <c r="H729">
        <v>22</v>
      </c>
      <c r="I729">
        <v>40000</v>
      </c>
      <c r="J729" s="1">
        <f t="shared" si="23"/>
        <v>44194</v>
      </c>
      <c r="K729">
        <f t="shared" si="22"/>
        <v>21</v>
      </c>
    </row>
    <row r="730" spans="1:11" x14ac:dyDescent="0.25">
      <c r="A730">
        <v>3</v>
      </c>
      <c r="B730" t="s">
        <v>16</v>
      </c>
      <c r="C730">
        <v>2021</v>
      </c>
      <c r="D730">
        <v>43.625</v>
      </c>
      <c r="E730">
        <v>100</v>
      </c>
      <c r="F730">
        <v>107.75</v>
      </c>
      <c r="G730" s="1">
        <f>DATE(C730, CHOOSE(MATCH(UPPER(B730), {"ENERO","FEBRERO","MARZO","ABRIL","MAYO","JUNIO","JULIO","AGOSTO","SEPTIEMBRE","OCTUBRE","NOVIEMBRE","DICIEMBRE"}, 0), 1,2,3,4,5,6,7,8,9,10,11,12), A730)</f>
        <v>44380</v>
      </c>
      <c r="H730">
        <v>35.875</v>
      </c>
      <c r="I730">
        <v>40000</v>
      </c>
      <c r="J730" s="1">
        <f t="shared" si="23"/>
        <v>44195</v>
      </c>
      <c r="K730">
        <f t="shared" si="22"/>
        <v>16.125</v>
      </c>
    </row>
    <row r="731" spans="1:11" x14ac:dyDescent="0.25">
      <c r="A731">
        <v>4</v>
      </c>
      <c r="B731" t="s">
        <v>16</v>
      </c>
      <c r="C731">
        <v>2021</v>
      </c>
      <c r="D731">
        <v>107.75</v>
      </c>
      <c r="E731" t="s">
        <v>9</v>
      </c>
      <c r="F731">
        <v>66.5</v>
      </c>
      <c r="G731" s="1">
        <f>DATE(C731, CHOOSE(MATCH(UPPER(B731), {"ENERO","FEBRERO","MARZO","ABRIL","MAYO","JUNIO","JULIO","AGOSTO","SEPTIEMBRE","OCTUBRE","NOVIEMBRE","DICIEMBRE"}, 0), 1,2,3,4,5,6,7,8,9,10,11,12), A731)</f>
        <v>44381</v>
      </c>
      <c r="H731">
        <v>41.25</v>
      </c>
      <c r="I731">
        <v>40000</v>
      </c>
      <c r="J731" s="1">
        <f t="shared" si="23"/>
        <v>44196</v>
      </c>
      <c r="K731" t="e">
        <f t="shared" si="22"/>
        <v>#N/A</v>
      </c>
    </row>
    <row r="732" spans="1:11" x14ac:dyDescent="0.25">
      <c r="A732">
        <v>5</v>
      </c>
      <c r="B732" t="s">
        <v>16</v>
      </c>
      <c r="C732">
        <v>2021</v>
      </c>
      <c r="D732">
        <v>66.5</v>
      </c>
      <c r="E732" t="s">
        <v>9</v>
      </c>
      <c r="F732">
        <v>34.75</v>
      </c>
      <c r="G732" s="1">
        <f>DATE(C732, CHOOSE(MATCH(UPPER(B732), {"ENERO","FEBRERO","MARZO","ABRIL","MAYO","JUNIO","JULIO","AGOSTO","SEPTIEMBRE","OCTUBRE","NOVIEMBRE","DICIEMBRE"}, 0), 1,2,3,4,5,6,7,8,9,10,11,12), A732)</f>
        <v>44382</v>
      </c>
      <c r="H732">
        <v>31.75</v>
      </c>
      <c r="I732">
        <v>40000</v>
      </c>
      <c r="J732" s="1">
        <f t="shared" si="23"/>
        <v>44197</v>
      </c>
      <c r="K732">
        <f t="shared" si="22"/>
        <v>27.25</v>
      </c>
    </row>
    <row r="733" spans="1:11" x14ac:dyDescent="0.25">
      <c r="A733">
        <v>6</v>
      </c>
      <c r="B733" t="s">
        <v>16</v>
      </c>
      <c r="C733">
        <v>2021</v>
      </c>
      <c r="D733">
        <v>34.75</v>
      </c>
      <c r="E733">
        <v>80</v>
      </c>
      <c r="F733">
        <v>97</v>
      </c>
      <c r="G733" s="1">
        <f>DATE(C733, CHOOSE(MATCH(UPPER(B733), {"ENERO","FEBRERO","MARZO","ABRIL","MAYO","JUNIO","JULIO","AGOSTO","SEPTIEMBRE","OCTUBRE","NOVIEMBRE","DICIEMBRE"}, 0), 1,2,3,4,5,6,7,8,9,10,11,12), A733)</f>
        <v>44383</v>
      </c>
      <c r="H733">
        <v>17.75</v>
      </c>
      <c r="I733">
        <v>40000</v>
      </c>
      <c r="J733" s="1">
        <f t="shared" si="23"/>
        <v>44198</v>
      </c>
      <c r="K733">
        <f t="shared" si="22"/>
        <v>31.625</v>
      </c>
    </row>
    <row r="734" spans="1:11" x14ac:dyDescent="0.25">
      <c r="A734">
        <v>7</v>
      </c>
      <c r="B734" t="s">
        <v>16</v>
      </c>
      <c r="C734">
        <v>2021</v>
      </c>
      <c r="D734">
        <v>97</v>
      </c>
      <c r="E734" t="s">
        <v>9</v>
      </c>
      <c r="F734">
        <v>84.25</v>
      </c>
      <c r="G734" s="1">
        <f>DATE(C734, CHOOSE(MATCH(UPPER(B734), {"ENERO","FEBRERO","MARZO","ABRIL","MAYO","JUNIO","JULIO","AGOSTO","SEPTIEMBRE","OCTUBRE","NOVIEMBRE","DICIEMBRE"}, 0), 1,2,3,4,5,6,7,8,9,10,11,12), A734)</f>
        <v>44384</v>
      </c>
      <c r="H734">
        <v>12.75</v>
      </c>
      <c r="I734">
        <v>40000</v>
      </c>
      <c r="J734" s="1">
        <f t="shared" si="23"/>
        <v>44199</v>
      </c>
      <c r="K734">
        <f t="shared" si="22"/>
        <v>20</v>
      </c>
    </row>
    <row r="735" spans="1:11" x14ac:dyDescent="0.25">
      <c r="A735">
        <v>8</v>
      </c>
      <c r="B735" t="s">
        <v>16</v>
      </c>
      <c r="C735">
        <v>2021</v>
      </c>
      <c r="D735">
        <v>84.25</v>
      </c>
      <c r="E735" t="s">
        <v>9</v>
      </c>
      <c r="F735">
        <v>69.25</v>
      </c>
      <c r="G735" s="1">
        <f>DATE(C735, CHOOSE(MATCH(UPPER(B735), {"ENERO","FEBRERO","MARZO","ABRIL","MAYO","JUNIO","JULIO","AGOSTO","SEPTIEMBRE","OCTUBRE","NOVIEMBRE","DICIEMBRE"}, 0), 1,2,3,4,5,6,7,8,9,10,11,12), A735)</f>
        <v>44385</v>
      </c>
      <c r="H735">
        <v>15</v>
      </c>
      <c r="I735">
        <v>40000</v>
      </c>
      <c r="J735" s="1">
        <f t="shared" si="23"/>
        <v>44200</v>
      </c>
      <c r="K735">
        <f t="shared" si="22"/>
        <v>12</v>
      </c>
    </row>
    <row r="736" spans="1:11" x14ac:dyDescent="0.25">
      <c r="A736">
        <v>9</v>
      </c>
      <c r="B736" t="s">
        <v>16</v>
      </c>
      <c r="C736">
        <v>2021</v>
      </c>
      <c r="D736">
        <v>69.25</v>
      </c>
      <c r="E736" t="s">
        <v>9</v>
      </c>
      <c r="F736">
        <v>48.75</v>
      </c>
      <c r="G736" s="1">
        <f>DATE(C736, CHOOSE(MATCH(UPPER(B736), {"ENERO","FEBRERO","MARZO","ABRIL","MAYO","JUNIO","JULIO","AGOSTO","SEPTIEMBRE","OCTUBRE","NOVIEMBRE","DICIEMBRE"}, 0), 1,2,3,4,5,6,7,8,9,10,11,12), A736)</f>
        <v>44386</v>
      </c>
      <c r="H736">
        <v>20.5</v>
      </c>
      <c r="I736">
        <v>40000</v>
      </c>
      <c r="J736" s="1">
        <f t="shared" si="23"/>
        <v>44201</v>
      </c>
      <c r="K736">
        <f t="shared" si="22"/>
        <v>11.625</v>
      </c>
    </row>
    <row r="737" spans="1:11" x14ac:dyDescent="0.25">
      <c r="A737">
        <v>10</v>
      </c>
      <c r="B737" t="s">
        <v>16</v>
      </c>
      <c r="C737">
        <v>2021</v>
      </c>
      <c r="D737">
        <v>48.75</v>
      </c>
      <c r="E737">
        <v>100</v>
      </c>
      <c r="F737">
        <v>118</v>
      </c>
      <c r="G737" s="1">
        <f>DATE(C737, CHOOSE(MATCH(UPPER(B737), {"ENERO","FEBRERO","MARZO","ABRIL","MAYO","JUNIO","JULIO","AGOSTO","SEPTIEMBRE","OCTUBRE","NOVIEMBRE","DICIEMBRE"}, 0), 1,2,3,4,5,6,7,8,9,10,11,12), A737)</f>
        <v>44387</v>
      </c>
      <c r="H737">
        <v>30.75</v>
      </c>
      <c r="I737">
        <v>40000</v>
      </c>
      <c r="J737" s="1">
        <f t="shared" si="23"/>
        <v>44202</v>
      </c>
      <c r="K737">
        <f t="shared" si="22"/>
        <v>8.125</v>
      </c>
    </row>
    <row r="738" spans="1:11" x14ac:dyDescent="0.25">
      <c r="A738">
        <v>11</v>
      </c>
      <c r="B738" t="s">
        <v>16</v>
      </c>
      <c r="C738">
        <v>2021</v>
      </c>
      <c r="D738">
        <v>118</v>
      </c>
      <c r="E738" t="s">
        <v>9</v>
      </c>
      <c r="F738">
        <v>82.75</v>
      </c>
      <c r="G738" s="1">
        <f>DATE(C738, CHOOSE(MATCH(UPPER(B738), {"ENERO","FEBRERO","MARZO","ABRIL","MAYO","JUNIO","JULIO","AGOSTO","SEPTIEMBRE","OCTUBRE","NOVIEMBRE","DICIEMBRE"}, 0), 1,2,3,4,5,6,7,8,9,10,11,12), A738)</f>
        <v>44388</v>
      </c>
      <c r="H738">
        <v>35.25</v>
      </c>
      <c r="I738">
        <v>40000</v>
      </c>
      <c r="J738" s="1">
        <f t="shared" si="23"/>
        <v>44203</v>
      </c>
      <c r="K738">
        <f t="shared" si="22"/>
        <v>16</v>
      </c>
    </row>
    <row r="739" spans="1:11" x14ac:dyDescent="0.25">
      <c r="A739">
        <v>12</v>
      </c>
      <c r="B739" t="s">
        <v>16</v>
      </c>
      <c r="C739">
        <v>2021</v>
      </c>
      <c r="D739">
        <v>82.75</v>
      </c>
      <c r="E739" t="s">
        <v>9</v>
      </c>
      <c r="F739">
        <v>68.5</v>
      </c>
      <c r="G739" s="1">
        <f>DATE(C739, CHOOSE(MATCH(UPPER(B739), {"ENERO","FEBRERO","MARZO","ABRIL","MAYO","JUNIO","JULIO","AGOSTO","SEPTIEMBRE","OCTUBRE","NOVIEMBRE","DICIEMBRE"}, 0), 1,2,3,4,5,6,7,8,9,10,11,12), A739)</f>
        <v>44389</v>
      </c>
      <c r="H739">
        <v>14.25</v>
      </c>
      <c r="I739">
        <v>40000</v>
      </c>
      <c r="J739" s="1">
        <f t="shared" si="23"/>
        <v>44204</v>
      </c>
      <c r="K739">
        <f t="shared" si="22"/>
        <v>11.25</v>
      </c>
    </row>
    <row r="740" spans="1:11" x14ac:dyDescent="0.25">
      <c r="A740">
        <v>13</v>
      </c>
      <c r="B740" t="s">
        <v>16</v>
      </c>
      <c r="C740">
        <v>2021</v>
      </c>
      <c r="D740">
        <v>68.5</v>
      </c>
      <c r="E740">
        <v>100</v>
      </c>
      <c r="F740">
        <v>150.25</v>
      </c>
      <c r="G740" s="1">
        <f>DATE(C740, CHOOSE(MATCH(UPPER(B740), {"ENERO","FEBRERO","MARZO","ABRIL","MAYO","JUNIO","JULIO","AGOSTO","SEPTIEMBRE","OCTUBRE","NOVIEMBRE","DICIEMBRE"}, 0), 1,2,3,4,5,6,7,8,9,10,11,12), A740)</f>
        <v>44390</v>
      </c>
      <c r="H740">
        <v>18.25</v>
      </c>
      <c r="I740">
        <v>40000</v>
      </c>
      <c r="J740" s="1">
        <f t="shared" si="23"/>
        <v>44205</v>
      </c>
      <c r="K740">
        <f t="shared" si="22"/>
        <v>15.25</v>
      </c>
    </row>
    <row r="741" spans="1:11" x14ac:dyDescent="0.25">
      <c r="A741">
        <v>14</v>
      </c>
      <c r="B741" t="s">
        <v>16</v>
      </c>
      <c r="C741">
        <v>2021</v>
      </c>
      <c r="D741">
        <v>150.25</v>
      </c>
      <c r="E741" t="s">
        <v>9</v>
      </c>
      <c r="F741">
        <v>131.75</v>
      </c>
      <c r="G741" s="1">
        <f>DATE(C741, CHOOSE(MATCH(UPPER(B741), {"ENERO","FEBRERO","MARZO","ABRIL","MAYO","JUNIO","JULIO","AGOSTO","SEPTIEMBRE","OCTUBRE","NOVIEMBRE","DICIEMBRE"}, 0), 1,2,3,4,5,6,7,8,9,10,11,12), A741)</f>
        <v>44391</v>
      </c>
      <c r="H741">
        <v>18.5</v>
      </c>
      <c r="I741">
        <v>40000</v>
      </c>
      <c r="J741" s="1">
        <f t="shared" si="23"/>
        <v>44206</v>
      </c>
      <c r="K741">
        <f t="shared" si="22"/>
        <v>19.5</v>
      </c>
    </row>
    <row r="742" spans="1:11" x14ac:dyDescent="0.25">
      <c r="A742">
        <v>15</v>
      </c>
      <c r="B742" t="s">
        <v>16</v>
      </c>
      <c r="C742">
        <v>2021</v>
      </c>
      <c r="D742">
        <v>131.75</v>
      </c>
      <c r="E742" t="s">
        <v>9</v>
      </c>
      <c r="F742">
        <v>112.5</v>
      </c>
      <c r="G742" s="1">
        <f>DATE(C742, CHOOSE(MATCH(UPPER(B742), {"ENERO","FEBRERO","MARZO","ABRIL","MAYO","JUNIO","JULIO","AGOSTO","SEPTIEMBRE","OCTUBRE","NOVIEMBRE","DICIEMBRE"}, 0), 1,2,3,4,5,6,7,8,9,10,11,12), A742)</f>
        <v>44392</v>
      </c>
      <c r="H742">
        <v>19.25</v>
      </c>
      <c r="I742">
        <v>40000</v>
      </c>
      <c r="J742" s="1">
        <f t="shared" si="23"/>
        <v>44207</v>
      </c>
      <c r="K742">
        <f t="shared" si="22"/>
        <v>16.25</v>
      </c>
    </row>
    <row r="743" spans="1:11" x14ac:dyDescent="0.25">
      <c r="A743">
        <v>16</v>
      </c>
      <c r="B743" t="s">
        <v>16</v>
      </c>
      <c r="C743">
        <v>2021</v>
      </c>
      <c r="D743">
        <v>112.5</v>
      </c>
      <c r="E743" t="s">
        <v>9</v>
      </c>
      <c r="F743">
        <v>86</v>
      </c>
      <c r="G743" s="1">
        <f>DATE(C743, CHOOSE(MATCH(UPPER(B743), {"ENERO","FEBRERO","MARZO","ABRIL","MAYO","JUNIO","JULIO","AGOSTO","SEPTIEMBRE","OCTUBRE","NOVIEMBRE","DICIEMBRE"}, 0), 1,2,3,4,5,6,7,8,9,10,11,12), A743)</f>
        <v>44393</v>
      </c>
      <c r="H743">
        <v>26.5</v>
      </c>
      <c r="I743">
        <v>40000</v>
      </c>
      <c r="J743" s="1">
        <f t="shared" si="23"/>
        <v>44208</v>
      </c>
      <c r="K743">
        <f t="shared" si="22"/>
        <v>11.75</v>
      </c>
    </row>
    <row r="744" spans="1:11" x14ac:dyDescent="0.25">
      <c r="A744">
        <v>17</v>
      </c>
      <c r="B744" t="s">
        <v>16</v>
      </c>
      <c r="C744">
        <v>2021</v>
      </c>
      <c r="D744">
        <v>86</v>
      </c>
      <c r="E744" t="s">
        <v>9</v>
      </c>
      <c r="F744">
        <v>41.5</v>
      </c>
      <c r="G744" s="1">
        <f>DATE(C744, CHOOSE(MATCH(UPPER(B744), {"ENERO","FEBRERO","MARZO","ABRIL","MAYO","JUNIO","JULIO","AGOSTO","SEPTIEMBRE","OCTUBRE","NOVIEMBRE","DICIEMBRE"}, 0), 1,2,3,4,5,6,7,8,9,10,11,12), A744)</f>
        <v>44394</v>
      </c>
      <c r="H744">
        <v>44.5</v>
      </c>
      <c r="I744">
        <v>40000</v>
      </c>
      <c r="J744" s="1">
        <f t="shared" si="23"/>
        <v>44209</v>
      </c>
      <c r="K744">
        <f t="shared" si="22"/>
        <v>3.125</v>
      </c>
    </row>
    <row r="745" spans="1:11" x14ac:dyDescent="0.25">
      <c r="A745">
        <v>18</v>
      </c>
      <c r="B745" t="s">
        <v>16</v>
      </c>
      <c r="C745">
        <v>2021</v>
      </c>
      <c r="D745">
        <v>41.5</v>
      </c>
      <c r="E745">
        <v>50</v>
      </c>
      <c r="F745">
        <v>44</v>
      </c>
      <c r="G745" s="1">
        <f>DATE(C745, CHOOSE(MATCH(UPPER(B745), {"ENERO","FEBRERO","MARZO","ABRIL","MAYO","JUNIO","JULIO","AGOSTO","SEPTIEMBRE","OCTUBRE","NOVIEMBRE","DICIEMBRE"}, 0), 1,2,3,4,5,6,7,8,9,10,11,12), A745)</f>
        <v>44395</v>
      </c>
      <c r="H745">
        <v>47.5</v>
      </c>
      <c r="I745">
        <v>40000</v>
      </c>
      <c r="J745" s="1">
        <f t="shared" si="23"/>
        <v>44210</v>
      </c>
      <c r="K745">
        <f t="shared" si="22"/>
        <v>11.125</v>
      </c>
    </row>
    <row r="746" spans="1:11" x14ac:dyDescent="0.25">
      <c r="A746">
        <v>19</v>
      </c>
      <c r="B746" t="s">
        <v>16</v>
      </c>
      <c r="C746">
        <v>2021</v>
      </c>
      <c r="D746">
        <v>44</v>
      </c>
      <c r="E746">
        <v>50</v>
      </c>
      <c r="F746">
        <v>77</v>
      </c>
      <c r="G746" s="1">
        <f>DATE(C746, CHOOSE(MATCH(UPPER(B746), {"ENERO","FEBRERO","MARZO","ABRIL","MAYO","JUNIO","JULIO","AGOSTO","SEPTIEMBRE","OCTUBRE","NOVIEMBRE","DICIEMBRE"}, 0), 1,2,3,4,5,6,7,8,9,10,11,12), A746)</f>
        <v>44396</v>
      </c>
      <c r="H746">
        <v>17</v>
      </c>
      <c r="I746">
        <v>40000</v>
      </c>
      <c r="J746" s="1">
        <f t="shared" si="23"/>
        <v>44211</v>
      </c>
      <c r="K746">
        <f t="shared" si="22"/>
        <v>6</v>
      </c>
    </row>
    <row r="747" spans="1:11" x14ac:dyDescent="0.25">
      <c r="A747">
        <v>20</v>
      </c>
      <c r="B747" t="s">
        <v>16</v>
      </c>
      <c r="C747">
        <v>2021</v>
      </c>
      <c r="D747">
        <v>77</v>
      </c>
      <c r="E747" t="s">
        <v>9</v>
      </c>
      <c r="F747">
        <v>77</v>
      </c>
      <c r="G747" s="1">
        <f>DATE(C747, CHOOSE(MATCH(UPPER(B747), {"ENERO","FEBRERO","MARZO","ABRIL","MAYO","JUNIO","JULIO","AGOSTO","SEPTIEMBRE","OCTUBRE","NOVIEMBRE","DICIEMBRE"}, 0), 1,2,3,4,5,6,7,8,9,10,11,12), A747)</f>
        <v>44397</v>
      </c>
      <c r="H747">
        <v>0</v>
      </c>
      <c r="I747">
        <v>40000</v>
      </c>
      <c r="J747" s="1">
        <f t="shared" si="23"/>
        <v>44212</v>
      </c>
      <c r="K747">
        <f t="shared" si="22"/>
        <v>10.5</v>
      </c>
    </row>
    <row r="748" spans="1:11" x14ac:dyDescent="0.25">
      <c r="A748">
        <v>21</v>
      </c>
      <c r="B748" t="s">
        <v>16</v>
      </c>
      <c r="C748">
        <v>2021</v>
      </c>
      <c r="D748">
        <v>77</v>
      </c>
      <c r="E748" t="s">
        <v>9</v>
      </c>
      <c r="F748">
        <v>62</v>
      </c>
      <c r="G748" s="1">
        <f>DATE(C748, CHOOSE(MATCH(UPPER(B748), {"ENERO","FEBRERO","MARZO","ABRIL","MAYO","JUNIO","JULIO","AGOSTO","SEPTIEMBRE","OCTUBRE","NOVIEMBRE","DICIEMBRE"}, 0), 1,2,3,4,5,6,7,8,9,10,11,12), A748)</f>
        <v>44398</v>
      </c>
      <c r="H748">
        <v>15</v>
      </c>
      <c r="I748">
        <v>40000</v>
      </c>
      <c r="J748" s="1">
        <f t="shared" si="23"/>
        <v>44213</v>
      </c>
      <c r="K748">
        <f t="shared" si="22"/>
        <v>11.5</v>
      </c>
    </row>
    <row r="749" spans="1:11" x14ac:dyDescent="0.25">
      <c r="A749">
        <v>22</v>
      </c>
      <c r="B749" t="s">
        <v>16</v>
      </c>
      <c r="C749">
        <v>2021</v>
      </c>
      <c r="D749">
        <v>62</v>
      </c>
      <c r="E749" t="s">
        <v>9</v>
      </c>
      <c r="F749">
        <v>52.5</v>
      </c>
      <c r="G749" s="1">
        <f>DATE(C749, CHOOSE(MATCH(UPPER(B749), {"ENERO","FEBRERO","MARZO","ABRIL","MAYO","JUNIO","JULIO","AGOSTO","SEPTIEMBRE","OCTUBRE","NOVIEMBRE","DICIEMBRE"}, 0), 1,2,3,4,5,6,7,8,9,10,11,12), A749)</f>
        <v>44399</v>
      </c>
      <c r="H749">
        <v>9.5</v>
      </c>
      <c r="I749">
        <v>40000</v>
      </c>
      <c r="J749" s="1">
        <f t="shared" si="23"/>
        <v>44214</v>
      </c>
      <c r="K749">
        <f t="shared" si="22"/>
        <v>6</v>
      </c>
    </row>
    <row r="750" spans="1:11" x14ac:dyDescent="0.25">
      <c r="A750">
        <v>23</v>
      </c>
      <c r="B750" t="s">
        <v>16</v>
      </c>
      <c r="C750">
        <v>2021</v>
      </c>
      <c r="D750">
        <v>52.5</v>
      </c>
      <c r="E750" t="s">
        <v>9</v>
      </c>
      <c r="F750">
        <v>36.25</v>
      </c>
      <c r="G750" s="1">
        <f>DATE(C750, CHOOSE(MATCH(UPPER(B750), {"ENERO","FEBRERO","MARZO","ABRIL","MAYO","JUNIO","JULIO","AGOSTO","SEPTIEMBRE","OCTUBRE","NOVIEMBRE","DICIEMBRE"}, 0), 1,2,3,4,5,6,7,8,9,10,11,12), A750)</f>
        <v>44400</v>
      </c>
      <c r="H750">
        <v>16.25</v>
      </c>
      <c r="I750">
        <v>40000</v>
      </c>
      <c r="J750" s="1">
        <f t="shared" si="23"/>
        <v>44215</v>
      </c>
      <c r="K750">
        <f t="shared" si="22"/>
        <v>6.125</v>
      </c>
    </row>
    <row r="751" spans="1:11" x14ac:dyDescent="0.25">
      <c r="A751">
        <v>24</v>
      </c>
      <c r="B751" t="s">
        <v>16</v>
      </c>
      <c r="C751">
        <v>2021</v>
      </c>
      <c r="D751">
        <v>36.25</v>
      </c>
      <c r="E751">
        <v>80</v>
      </c>
      <c r="F751">
        <v>86.5</v>
      </c>
      <c r="G751" s="1">
        <f>DATE(C751, CHOOSE(MATCH(UPPER(B751), {"ENERO","FEBRERO","MARZO","ABRIL","MAYO","JUNIO","JULIO","AGOSTO","SEPTIEMBRE","OCTUBRE","NOVIEMBRE","DICIEMBRE"}, 0), 1,2,3,4,5,6,7,8,9,10,11,12), A751)</f>
        <v>44401</v>
      </c>
      <c r="H751">
        <v>29.75</v>
      </c>
      <c r="I751">
        <v>40000</v>
      </c>
      <c r="J751" s="1">
        <f t="shared" si="23"/>
        <v>44216</v>
      </c>
      <c r="K751">
        <f t="shared" si="22"/>
        <v>3.875</v>
      </c>
    </row>
    <row r="752" spans="1:11" x14ac:dyDescent="0.25">
      <c r="A752">
        <v>25</v>
      </c>
      <c r="B752" t="s">
        <v>16</v>
      </c>
      <c r="C752">
        <v>2021</v>
      </c>
      <c r="D752">
        <v>86.5</v>
      </c>
      <c r="E752" t="s">
        <v>9</v>
      </c>
      <c r="F752">
        <v>46.25</v>
      </c>
      <c r="G752" s="1">
        <f>DATE(C752, CHOOSE(MATCH(UPPER(B752), {"ENERO","FEBRERO","MARZO","ABRIL","MAYO","JUNIO","JULIO","AGOSTO","SEPTIEMBRE","OCTUBRE","NOVIEMBRE","DICIEMBRE"}, 0), 1,2,3,4,5,6,7,8,9,10,11,12), A752)</f>
        <v>44402</v>
      </c>
      <c r="H752">
        <v>40.25</v>
      </c>
      <c r="I752">
        <v>40000</v>
      </c>
      <c r="J752" s="1">
        <f t="shared" si="23"/>
        <v>44217</v>
      </c>
      <c r="K752">
        <f t="shared" si="22"/>
        <v>9.5</v>
      </c>
    </row>
    <row r="753" spans="1:11" x14ac:dyDescent="0.25">
      <c r="A753">
        <v>26</v>
      </c>
      <c r="B753" t="s">
        <v>16</v>
      </c>
      <c r="C753">
        <v>2021</v>
      </c>
      <c r="D753">
        <v>46.25</v>
      </c>
      <c r="E753" t="s">
        <v>9</v>
      </c>
      <c r="F753">
        <v>29</v>
      </c>
      <c r="G753" s="1">
        <f>DATE(C753, CHOOSE(MATCH(UPPER(B753), {"ENERO","FEBRERO","MARZO","ABRIL","MAYO","JUNIO","JULIO","AGOSTO","SEPTIEMBRE","OCTUBRE","NOVIEMBRE","DICIEMBRE"}, 0), 1,2,3,4,5,6,7,8,9,10,11,12), A753)</f>
        <v>44403</v>
      </c>
      <c r="H753">
        <v>17.25</v>
      </c>
      <c r="I753">
        <v>40000</v>
      </c>
      <c r="J753" s="1">
        <f t="shared" si="23"/>
        <v>44218</v>
      </c>
      <c r="K753">
        <f t="shared" si="22"/>
        <v>15</v>
      </c>
    </row>
    <row r="754" spans="1:11" x14ac:dyDescent="0.25">
      <c r="A754">
        <v>27</v>
      </c>
      <c r="B754" t="s">
        <v>16</v>
      </c>
      <c r="C754">
        <v>2021</v>
      </c>
      <c r="D754">
        <v>29</v>
      </c>
      <c r="E754">
        <v>100</v>
      </c>
      <c r="F754">
        <v>113.5</v>
      </c>
      <c r="G754" s="1">
        <f>DATE(C754, CHOOSE(MATCH(UPPER(B754), {"ENERO","FEBRERO","MARZO","ABRIL","MAYO","JUNIO","JULIO","AGOSTO","SEPTIEMBRE","OCTUBRE","NOVIEMBRE","DICIEMBRE"}, 0), 1,2,3,4,5,6,7,8,9,10,11,12), A754)</f>
        <v>44404</v>
      </c>
      <c r="H754">
        <v>15.5</v>
      </c>
      <c r="I754">
        <v>40000</v>
      </c>
      <c r="J754" s="1">
        <f t="shared" si="23"/>
        <v>44219</v>
      </c>
      <c r="K754">
        <f t="shared" si="22"/>
        <v>4.625</v>
      </c>
    </row>
    <row r="755" spans="1:11" x14ac:dyDescent="0.25">
      <c r="A755">
        <v>28</v>
      </c>
      <c r="B755" t="s">
        <v>16</v>
      </c>
      <c r="C755">
        <v>2021</v>
      </c>
      <c r="D755">
        <v>113.5</v>
      </c>
      <c r="E755" t="s">
        <v>9</v>
      </c>
      <c r="F755">
        <v>89.375</v>
      </c>
      <c r="G755" s="1">
        <f>DATE(C755, CHOOSE(MATCH(UPPER(B755), {"ENERO","FEBRERO","MARZO","ABRIL","MAYO","JUNIO","JULIO","AGOSTO","SEPTIEMBRE","OCTUBRE","NOVIEMBRE","DICIEMBRE"}, 0), 1,2,3,4,5,6,7,8,9,10,11,12), A755)</f>
        <v>44405</v>
      </c>
      <c r="H755">
        <v>24.125</v>
      </c>
      <c r="I755">
        <v>40000</v>
      </c>
      <c r="J755" s="1">
        <f t="shared" si="23"/>
        <v>44220</v>
      </c>
      <c r="K755">
        <f t="shared" si="22"/>
        <v>5.125</v>
      </c>
    </row>
    <row r="756" spans="1:11" x14ac:dyDescent="0.25">
      <c r="A756">
        <v>29</v>
      </c>
      <c r="B756" t="s">
        <v>16</v>
      </c>
      <c r="C756">
        <v>2021</v>
      </c>
      <c r="D756">
        <v>89.375</v>
      </c>
      <c r="E756" t="s">
        <v>9</v>
      </c>
      <c r="F756">
        <v>77</v>
      </c>
      <c r="G756" s="1">
        <f>DATE(C756, CHOOSE(MATCH(UPPER(B756), {"ENERO","FEBRERO","MARZO","ABRIL","MAYO","JUNIO","JULIO","AGOSTO","SEPTIEMBRE","OCTUBRE","NOVIEMBRE","DICIEMBRE"}, 0), 1,2,3,4,5,6,7,8,9,10,11,12), A756)</f>
        <v>44406</v>
      </c>
      <c r="H756">
        <v>12.375</v>
      </c>
      <c r="I756">
        <v>40000</v>
      </c>
      <c r="J756" s="1">
        <f t="shared" si="23"/>
        <v>44221</v>
      </c>
      <c r="K756">
        <f t="shared" si="22"/>
        <v>11.75</v>
      </c>
    </row>
    <row r="757" spans="1:11" x14ac:dyDescent="0.25">
      <c r="A757">
        <v>30</v>
      </c>
      <c r="B757" t="s">
        <v>16</v>
      </c>
      <c r="C757">
        <v>2021</v>
      </c>
      <c r="D757">
        <v>77</v>
      </c>
      <c r="E757" t="s">
        <v>9</v>
      </c>
      <c r="F757">
        <v>56.5</v>
      </c>
      <c r="G757" s="1">
        <f>DATE(C757, CHOOSE(MATCH(UPPER(B757), {"ENERO","FEBRERO","MARZO","ABRIL","MAYO","JUNIO","JULIO","AGOSTO","SEPTIEMBRE","OCTUBRE","NOVIEMBRE","DICIEMBRE"}, 0), 1,2,3,4,5,6,7,8,9,10,11,12), A757)</f>
        <v>44407</v>
      </c>
      <c r="H757">
        <v>20.5</v>
      </c>
      <c r="I757">
        <v>40000</v>
      </c>
      <c r="J757" s="1">
        <f t="shared" si="23"/>
        <v>44222</v>
      </c>
      <c r="K757">
        <f t="shared" si="22"/>
        <v>4.75</v>
      </c>
    </row>
    <row r="758" spans="1:11" x14ac:dyDescent="0.25">
      <c r="A758">
        <v>31</v>
      </c>
      <c r="B758" t="s">
        <v>16</v>
      </c>
      <c r="C758">
        <v>2021</v>
      </c>
      <c r="D758">
        <v>56.5</v>
      </c>
      <c r="E758" t="s">
        <v>9</v>
      </c>
      <c r="F758">
        <v>7</v>
      </c>
      <c r="G758" s="1">
        <f>DATE(C758, CHOOSE(MATCH(UPPER(B758), {"ENERO","FEBRERO","MARZO","ABRIL","MAYO","JUNIO","JULIO","AGOSTO","SEPTIEMBRE","OCTUBRE","NOVIEMBRE","DICIEMBRE"}, 0), 1,2,3,4,5,6,7,8,9,10,11,12), A758)</f>
        <v>44408</v>
      </c>
      <c r="H758">
        <v>49.5</v>
      </c>
      <c r="I758">
        <v>40000</v>
      </c>
      <c r="J758" s="1">
        <f t="shared" si="23"/>
        <v>44223</v>
      </c>
      <c r="K758">
        <f t="shared" si="22"/>
        <v>6</v>
      </c>
    </row>
    <row r="759" spans="1:11" x14ac:dyDescent="0.25">
      <c r="A759">
        <v>1</v>
      </c>
      <c r="B759" t="s">
        <v>17</v>
      </c>
      <c r="C759">
        <v>2021</v>
      </c>
      <c r="D759">
        <v>7</v>
      </c>
      <c r="E759">
        <v>101</v>
      </c>
      <c r="F759">
        <v>67</v>
      </c>
      <c r="G759" s="1">
        <f>DATE(C759, CHOOSE(MATCH(UPPER(B759), {"ENERO","FEBRERO","MARZO","ABRIL","MAYO","JUNIO","JULIO","AGOSTO","SEPTIEMBRE","OCTUBRE","NOVIEMBRE","DICIEMBRE"}, 0), 1,2,3,4,5,6,7,8,9,10,11,12), A759)</f>
        <v>44409</v>
      </c>
      <c r="H759">
        <v>41</v>
      </c>
      <c r="I759">
        <v>40000</v>
      </c>
      <c r="J759" s="1">
        <f t="shared" si="23"/>
        <v>44224</v>
      </c>
      <c r="K759">
        <f t="shared" si="22"/>
        <v>11.375</v>
      </c>
    </row>
    <row r="760" spans="1:11" x14ac:dyDescent="0.25">
      <c r="A760">
        <v>2</v>
      </c>
      <c r="B760" t="s">
        <v>17</v>
      </c>
      <c r="C760">
        <v>2021</v>
      </c>
      <c r="D760">
        <v>67</v>
      </c>
      <c r="E760" t="s">
        <v>9</v>
      </c>
      <c r="F760">
        <v>56.25</v>
      </c>
      <c r="G760" s="1">
        <f>DATE(C760, CHOOSE(MATCH(UPPER(B760), {"ENERO","FEBRERO","MARZO","ABRIL","MAYO","JUNIO","JULIO","AGOSTO","SEPTIEMBRE","OCTUBRE","NOVIEMBRE","DICIEMBRE"}, 0), 1,2,3,4,5,6,7,8,9,10,11,12), A760)</f>
        <v>44410</v>
      </c>
      <c r="H760">
        <v>10.75</v>
      </c>
      <c r="I760">
        <v>40000</v>
      </c>
      <c r="J760" s="1">
        <f t="shared" si="23"/>
        <v>44225</v>
      </c>
      <c r="K760">
        <f t="shared" si="22"/>
        <v>11.875</v>
      </c>
    </row>
    <row r="761" spans="1:11" x14ac:dyDescent="0.25">
      <c r="A761">
        <v>3</v>
      </c>
      <c r="B761" t="s">
        <v>17</v>
      </c>
      <c r="C761">
        <v>2021</v>
      </c>
      <c r="D761">
        <v>56.25</v>
      </c>
      <c r="E761" t="s">
        <v>9</v>
      </c>
      <c r="F761">
        <v>37.5</v>
      </c>
      <c r="G761" s="1">
        <f>DATE(C761, CHOOSE(MATCH(UPPER(B761), {"ENERO","FEBRERO","MARZO","ABRIL","MAYO","JUNIO","JULIO","AGOSTO","SEPTIEMBRE","OCTUBRE","NOVIEMBRE","DICIEMBRE"}, 0), 1,2,3,4,5,6,7,8,9,10,11,12), A761)</f>
        <v>44411</v>
      </c>
      <c r="H761">
        <v>18.75</v>
      </c>
      <c r="I761">
        <v>40000</v>
      </c>
      <c r="J761" s="1">
        <f t="shared" si="23"/>
        <v>44226</v>
      </c>
      <c r="K761">
        <f t="shared" si="22"/>
        <v>19.125</v>
      </c>
    </row>
    <row r="762" spans="1:11" x14ac:dyDescent="0.25">
      <c r="A762">
        <v>4</v>
      </c>
      <c r="B762" t="s">
        <v>17</v>
      </c>
      <c r="C762">
        <v>2021</v>
      </c>
      <c r="D762">
        <v>37.5</v>
      </c>
      <c r="E762">
        <v>50</v>
      </c>
      <c r="F762">
        <v>62.5</v>
      </c>
      <c r="G762" s="1">
        <f>DATE(C762, CHOOSE(MATCH(UPPER(B762), {"ENERO","FEBRERO","MARZO","ABRIL","MAYO","JUNIO","JULIO","AGOSTO","SEPTIEMBRE","OCTUBRE","NOVIEMBRE","DICIEMBRE"}, 0), 1,2,3,4,5,6,7,8,9,10,11,12), A762)</f>
        <v>44412</v>
      </c>
      <c r="H762">
        <v>25</v>
      </c>
      <c r="I762">
        <v>40000</v>
      </c>
      <c r="J762" s="1">
        <f t="shared" si="23"/>
        <v>44227</v>
      </c>
      <c r="K762">
        <f t="shared" si="22"/>
        <v>18.25</v>
      </c>
    </row>
    <row r="763" spans="1:11" x14ac:dyDescent="0.25">
      <c r="A763">
        <v>5</v>
      </c>
      <c r="B763" t="s">
        <v>17</v>
      </c>
      <c r="C763">
        <v>2021</v>
      </c>
      <c r="D763">
        <v>62.5</v>
      </c>
      <c r="E763" t="s">
        <v>9</v>
      </c>
      <c r="F763">
        <v>41.75</v>
      </c>
      <c r="G763" s="1">
        <f>DATE(C763, CHOOSE(MATCH(UPPER(B763), {"ENERO","FEBRERO","MARZO","ABRIL","MAYO","JUNIO","JULIO","AGOSTO","SEPTIEMBRE","OCTUBRE","NOVIEMBRE","DICIEMBRE"}, 0), 1,2,3,4,5,6,7,8,9,10,11,12), A763)</f>
        <v>44413</v>
      </c>
      <c r="H763">
        <v>20.75</v>
      </c>
      <c r="I763">
        <v>40000</v>
      </c>
      <c r="J763" s="1">
        <f t="shared" si="23"/>
        <v>44228</v>
      </c>
      <c r="K763">
        <f t="shared" si="22"/>
        <v>4.625</v>
      </c>
    </row>
    <row r="764" spans="1:11" x14ac:dyDescent="0.25">
      <c r="A764">
        <v>6</v>
      </c>
      <c r="B764" t="s">
        <v>17</v>
      </c>
      <c r="C764">
        <v>2021</v>
      </c>
      <c r="D764">
        <v>41.75</v>
      </c>
      <c r="E764" t="s">
        <v>9</v>
      </c>
      <c r="F764">
        <v>10.5</v>
      </c>
      <c r="G764" s="1">
        <f>DATE(C764, CHOOSE(MATCH(UPPER(B764), {"ENERO","FEBRERO","MARZO","ABRIL","MAYO","JUNIO","JULIO","AGOSTO","SEPTIEMBRE","OCTUBRE","NOVIEMBRE","DICIEMBRE"}, 0), 1,2,3,4,5,6,7,8,9,10,11,12), A764)</f>
        <v>44414</v>
      </c>
      <c r="H764">
        <v>31.25</v>
      </c>
      <c r="I764">
        <v>40000</v>
      </c>
      <c r="J764" s="1">
        <f t="shared" si="23"/>
        <v>44229</v>
      </c>
      <c r="K764">
        <f t="shared" si="22"/>
        <v>6.25</v>
      </c>
    </row>
    <row r="765" spans="1:11" x14ac:dyDescent="0.25">
      <c r="A765">
        <v>7</v>
      </c>
      <c r="B765" t="s">
        <v>17</v>
      </c>
      <c r="C765">
        <v>2021</v>
      </c>
      <c r="D765">
        <v>10.5</v>
      </c>
      <c r="E765">
        <v>97</v>
      </c>
      <c r="F765">
        <v>74.5</v>
      </c>
      <c r="G765" s="1">
        <f>DATE(C765, CHOOSE(MATCH(UPPER(B765), {"ENERO","FEBRERO","MARZO","ABRIL","MAYO","JUNIO","JULIO","AGOSTO","SEPTIEMBRE","OCTUBRE","NOVIEMBRE","DICIEMBRE"}, 0), 1,2,3,4,5,6,7,8,9,10,11,12), A765)</f>
        <v>44415</v>
      </c>
      <c r="H765">
        <v>33</v>
      </c>
      <c r="I765">
        <v>40000</v>
      </c>
      <c r="J765" s="1">
        <f t="shared" si="23"/>
        <v>44230</v>
      </c>
      <c r="K765">
        <f t="shared" si="22"/>
        <v>9</v>
      </c>
    </row>
    <row r="766" spans="1:11" x14ac:dyDescent="0.25">
      <c r="A766">
        <v>8</v>
      </c>
      <c r="B766" t="s">
        <v>17</v>
      </c>
      <c r="C766">
        <v>2021</v>
      </c>
      <c r="D766">
        <v>74.5</v>
      </c>
      <c r="E766" t="s">
        <v>9</v>
      </c>
      <c r="F766">
        <v>43.25</v>
      </c>
      <c r="G766" s="1">
        <f>DATE(C766, CHOOSE(MATCH(UPPER(B766), {"ENERO","FEBRERO","MARZO","ABRIL","MAYO","JUNIO","JULIO","AGOSTO","SEPTIEMBRE","OCTUBRE","NOVIEMBRE","DICIEMBRE"}, 0), 1,2,3,4,5,6,7,8,9,10,11,12), A766)</f>
        <v>44416</v>
      </c>
      <c r="H766">
        <v>31.25</v>
      </c>
      <c r="I766">
        <v>40000</v>
      </c>
      <c r="J766" s="1">
        <f t="shared" si="23"/>
        <v>44231</v>
      </c>
      <c r="K766">
        <f t="shared" si="22"/>
        <v>11.5</v>
      </c>
    </row>
    <row r="767" spans="1:11" x14ac:dyDescent="0.25">
      <c r="A767">
        <v>9</v>
      </c>
      <c r="B767" t="s">
        <v>17</v>
      </c>
      <c r="C767">
        <v>2021</v>
      </c>
      <c r="D767">
        <v>43.25</v>
      </c>
      <c r="E767" t="s">
        <v>9</v>
      </c>
      <c r="F767">
        <v>34.5</v>
      </c>
      <c r="G767" s="1">
        <f>DATE(C767, CHOOSE(MATCH(UPPER(B767), {"ENERO","FEBRERO","MARZO","ABRIL","MAYO","JUNIO","JULIO","AGOSTO","SEPTIEMBRE","OCTUBRE","NOVIEMBRE","DICIEMBRE"}, 0), 1,2,3,4,5,6,7,8,9,10,11,12), A767)</f>
        <v>44417</v>
      </c>
      <c r="H767">
        <v>8.75</v>
      </c>
      <c r="I767">
        <v>40000</v>
      </c>
      <c r="J767" s="1">
        <f t="shared" si="23"/>
        <v>44232</v>
      </c>
      <c r="K767">
        <f t="shared" si="22"/>
        <v>12</v>
      </c>
    </row>
    <row r="768" spans="1:11" x14ac:dyDescent="0.25">
      <c r="A768">
        <v>10</v>
      </c>
      <c r="B768" t="s">
        <v>17</v>
      </c>
      <c r="C768">
        <v>2021</v>
      </c>
      <c r="D768">
        <v>34.5</v>
      </c>
      <c r="E768" t="s">
        <v>9</v>
      </c>
      <c r="F768">
        <v>17.375</v>
      </c>
      <c r="G768" s="1">
        <f>DATE(C768, CHOOSE(MATCH(UPPER(B768), {"ENERO","FEBRERO","MARZO","ABRIL","MAYO","JUNIO","JULIO","AGOSTO","SEPTIEMBRE","OCTUBRE","NOVIEMBRE","DICIEMBRE"}, 0), 1,2,3,4,5,6,7,8,9,10,11,12), A768)</f>
        <v>44418</v>
      </c>
      <c r="H768">
        <v>17.125</v>
      </c>
      <c r="I768">
        <v>40000</v>
      </c>
      <c r="J768" s="1">
        <f t="shared" si="23"/>
        <v>44233</v>
      </c>
      <c r="K768">
        <f t="shared" si="22"/>
        <v>13.875</v>
      </c>
    </row>
    <row r="769" spans="1:11" x14ac:dyDescent="0.25">
      <c r="A769">
        <v>11</v>
      </c>
      <c r="B769" t="s">
        <v>17</v>
      </c>
      <c r="C769">
        <v>2021</v>
      </c>
      <c r="D769">
        <v>17.375</v>
      </c>
      <c r="E769">
        <v>110</v>
      </c>
      <c r="F769">
        <v>100.5</v>
      </c>
      <c r="G769" s="1">
        <f>DATE(C769, CHOOSE(MATCH(UPPER(B769), {"ENERO","FEBRERO","MARZO","ABRIL","MAYO","JUNIO","JULIO","AGOSTO","SEPTIEMBRE","OCTUBRE","NOVIEMBRE","DICIEMBRE"}, 0), 1,2,3,4,5,6,7,8,9,10,11,12), A769)</f>
        <v>44419</v>
      </c>
      <c r="H769">
        <v>26.875</v>
      </c>
      <c r="I769">
        <v>40000</v>
      </c>
      <c r="J769" s="1">
        <f t="shared" si="23"/>
        <v>44234</v>
      </c>
      <c r="K769">
        <f t="shared" si="22"/>
        <v>13.625</v>
      </c>
    </row>
    <row r="770" spans="1:11" x14ac:dyDescent="0.25">
      <c r="A770">
        <v>12</v>
      </c>
      <c r="B770" t="s">
        <v>17</v>
      </c>
      <c r="C770">
        <v>2021</v>
      </c>
      <c r="D770">
        <v>100.5</v>
      </c>
      <c r="E770" t="s">
        <v>9</v>
      </c>
      <c r="F770">
        <v>93</v>
      </c>
      <c r="G770" s="1">
        <f>DATE(C770, CHOOSE(MATCH(UPPER(B770), {"ENERO","FEBRERO","MARZO","ABRIL","MAYO","JUNIO","JULIO","AGOSTO","SEPTIEMBRE","OCTUBRE","NOVIEMBRE","DICIEMBRE"}, 0), 1,2,3,4,5,6,7,8,9,10,11,12), A770)</f>
        <v>44420</v>
      </c>
      <c r="H770">
        <v>7.5</v>
      </c>
      <c r="I770">
        <v>40000</v>
      </c>
      <c r="J770" s="1">
        <f t="shared" si="23"/>
        <v>44235</v>
      </c>
      <c r="K770">
        <f t="shared" ref="K770:K833" si="24">VLOOKUP(J770, G:H, 2, FALSE)</f>
        <v>9.625</v>
      </c>
    </row>
    <row r="771" spans="1:11" x14ac:dyDescent="0.25">
      <c r="A771">
        <v>13</v>
      </c>
      <c r="B771" t="s">
        <v>17</v>
      </c>
      <c r="C771">
        <v>2021</v>
      </c>
      <c r="D771">
        <v>93</v>
      </c>
      <c r="E771" t="s">
        <v>9</v>
      </c>
      <c r="F771">
        <v>79</v>
      </c>
      <c r="G771" s="1">
        <f>DATE(C771, CHOOSE(MATCH(UPPER(B771), {"ENERO","FEBRERO","MARZO","ABRIL","MAYO","JUNIO","JULIO","AGOSTO","SEPTIEMBRE","OCTUBRE","NOVIEMBRE","DICIEMBRE"}, 0), 1,2,3,4,5,6,7,8,9,10,11,12), A771)</f>
        <v>44421</v>
      </c>
      <c r="H771">
        <v>14</v>
      </c>
      <c r="I771">
        <v>40000</v>
      </c>
      <c r="J771" s="1">
        <f t="shared" si="23"/>
        <v>44236</v>
      </c>
      <c r="K771">
        <f t="shared" si="24"/>
        <v>10.5</v>
      </c>
    </row>
    <row r="772" spans="1:11" x14ac:dyDescent="0.25">
      <c r="A772">
        <v>14</v>
      </c>
      <c r="B772" t="s">
        <v>17</v>
      </c>
      <c r="C772">
        <v>2021</v>
      </c>
      <c r="D772">
        <v>79</v>
      </c>
      <c r="E772">
        <v>60</v>
      </c>
      <c r="F772">
        <v>116</v>
      </c>
      <c r="G772" s="1">
        <f>DATE(C772, CHOOSE(MATCH(UPPER(B772), {"ENERO","FEBRERO","MARZO","ABRIL","MAYO","JUNIO","JULIO","AGOSTO","SEPTIEMBRE","OCTUBRE","NOVIEMBRE","DICIEMBRE"}, 0), 1,2,3,4,5,6,7,8,9,10,11,12), A772)</f>
        <v>44422</v>
      </c>
      <c r="H772">
        <v>23</v>
      </c>
      <c r="I772">
        <v>40000</v>
      </c>
      <c r="J772" s="1">
        <f t="shared" ref="J772:J835" si="25">DATE(2019,1,1) + ROW()-1</f>
        <v>44237</v>
      </c>
      <c r="K772">
        <f t="shared" si="24"/>
        <v>7.875</v>
      </c>
    </row>
    <row r="773" spans="1:11" x14ac:dyDescent="0.25">
      <c r="A773">
        <v>15</v>
      </c>
      <c r="B773" t="s">
        <v>17</v>
      </c>
      <c r="C773">
        <v>2021</v>
      </c>
      <c r="D773">
        <v>116</v>
      </c>
      <c r="E773" t="s">
        <v>9</v>
      </c>
      <c r="F773">
        <v>80.5</v>
      </c>
      <c r="G773" s="1">
        <f>DATE(C773, CHOOSE(MATCH(UPPER(B773), {"ENERO","FEBRERO","MARZO","ABRIL","MAYO","JUNIO","JULIO","AGOSTO","SEPTIEMBRE","OCTUBRE","NOVIEMBRE","DICIEMBRE"}, 0), 1,2,3,4,5,6,7,8,9,10,11,12), A773)</f>
        <v>44423</v>
      </c>
      <c r="H773">
        <v>35.5</v>
      </c>
      <c r="I773">
        <v>40000</v>
      </c>
      <c r="J773" s="1">
        <f t="shared" si="25"/>
        <v>44238</v>
      </c>
      <c r="K773">
        <f t="shared" si="24"/>
        <v>6.125</v>
      </c>
    </row>
    <row r="774" spans="1:11" x14ac:dyDescent="0.25">
      <c r="A774">
        <v>16</v>
      </c>
      <c r="B774" t="s">
        <v>17</v>
      </c>
      <c r="C774">
        <v>2021</v>
      </c>
      <c r="D774">
        <v>80.5</v>
      </c>
      <c r="E774">
        <v>80</v>
      </c>
      <c r="F774">
        <v>129.375</v>
      </c>
      <c r="G774" s="1">
        <f>DATE(C774, CHOOSE(MATCH(UPPER(B774), {"ENERO","FEBRERO","MARZO","ABRIL","MAYO","JUNIO","JULIO","AGOSTO","SEPTIEMBRE","OCTUBRE","NOVIEMBRE","DICIEMBRE"}, 0), 1,2,3,4,5,6,7,8,9,10,11,12), A774)</f>
        <v>44424</v>
      </c>
      <c r="H774">
        <v>31.125</v>
      </c>
      <c r="I774">
        <v>40000</v>
      </c>
      <c r="J774" s="1">
        <f t="shared" si="25"/>
        <v>44239</v>
      </c>
      <c r="K774">
        <f t="shared" si="24"/>
        <v>13</v>
      </c>
    </row>
    <row r="775" spans="1:11" x14ac:dyDescent="0.25">
      <c r="A775">
        <v>17</v>
      </c>
      <c r="B775" t="s">
        <v>17</v>
      </c>
      <c r="C775">
        <v>2021</v>
      </c>
      <c r="D775">
        <v>129.375</v>
      </c>
      <c r="E775" t="s">
        <v>9</v>
      </c>
      <c r="F775">
        <v>107.5</v>
      </c>
      <c r="G775" s="1">
        <f>DATE(C775, CHOOSE(MATCH(UPPER(B775), {"ENERO","FEBRERO","MARZO","ABRIL","MAYO","JUNIO","JULIO","AGOSTO","SEPTIEMBRE","OCTUBRE","NOVIEMBRE","DICIEMBRE"}, 0), 1,2,3,4,5,6,7,8,9,10,11,12), A775)</f>
        <v>44425</v>
      </c>
      <c r="H775">
        <v>21.875</v>
      </c>
      <c r="I775">
        <v>40000</v>
      </c>
      <c r="J775" s="1">
        <f t="shared" si="25"/>
        <v>44240</v>
      </c>
      <c r="K775">
        <f t="shared" si="24"/>
        <v>23.125</v>
      </c>
    </row>
    <row r="776" spans="1:11" x14ac:dyDescent="0.25">
      <c r="A776">
        <v>18</v>
      </c>
      <c r="B776" t="s">
        <v>17</v>
      </c>
      <c r="C776">
        <v>2021</v>
      </c>
      <c r="D776">
        <v>107.5</v>
      </c>
      <c r="E776" t="s">
        <v>9</v>
      </c>
      <c r="F776">
        <v>84</v>
      </c>
      <c r="G776" s="1">
        <f>DATE(C776, CHOOSE(MATCH(UPPER(B776), {"ENERO","FEBRERO","MARZO","ABRIL","MAYO","JUNIO","JULIO","AGOSTO","SEPTIEMBRE","OCTUBRE","NOVIEMBRE","DICIEMBRE"}, 0), 1,2,3,4,5,6,7,8,9,10,11,12), A776)</f>
        <v>44426</v>
      </c>
      <c r="H776">
        <v>23.5</v>
      </c>
      <c r="I776">
        <v>40000</v>
      </c>
      <c r="J776" s="1">
        <f t="shared" si="25"/>
        <v>44241</v>
      </c>
      <c r="K776">
        <f t="shared" si="24"/>
        <v>12.5</v>
      </c>
    </row>
    <row r="777" spans="1:11" x14ac:dyDescent="0.25">
      <c r="A777">
        <v>19</v>
      </c>
      <c r="B777" t="s">
        <v>17</v>
      </c>
      <c r="C777">
        <v>2021</v>
      </c>
      <c r="D777">
        <v>84</v>
      </c>
      <c r="E777" t="s">
        <v>9</v>
      </c>
      <c r="F777">
        <v>73.75</v>
      </c>
      <c r="G777" s="1">
        <f>DATE(C777, CHOOSE(MATCH(UPPER(B777), {"ENERO","FEBRERO","MARZO","ABRIL","MAYO","JUNIO","JULIO","AGOSTO","SEPTIEMBRE","OCTUBRE","NOVIEMBRE","DICIEMBRE"}, 0), 1,2,3,4,5,6,7,8,9,10,11,12), A777)</f>
        <v>44427</v>
      </c>
      <c r="H777">
        <v>10.25</v>
      </c>
      <c r="I777">
        <v>40000</v>
      </c>
      <c r="J777" s="1">
        <f t="shared" si="25"/>
        <v>44242</v>
      </c>
      <c r="K777">
        <f t="shared" si="24"/>
        <v>8.75</v>
      </c>
    </row>
    <row r="778" spans="1:11" x14ac:dyDescent="0.25">
      <c r="A778">
        <v>20</v>
      </c>
      <c r="B778" t="s">
        <v>17</v>
      </c>
      <c r="C778">
        <v>2021</v>
      </c>
      <c r="D778">
        <v>73.75</v>
      </c>
      <c r="E778" t="s">
        <v>9</v>
      </c>
      <c r="F778">
        <v>52.75</v>
      </c>
      <c r="G778" s="1">
        <f>DATE(C778, CHOOSE(MATCH(UPPER(B778), {"ENERO","FEBRERO","MARZO","ABRIL","MAYO","JUNIO","JULIO","AGOSTO","SEPTIEMBRE","OCTUBRE","NOVIEMBRE","DICIEMBRE"}, 0), 1,2,3,4,5,6,7,8,9,10,11,12), A778)</f>
        <v>44428</v>
      </c>
      <c r="H778">
        <v>21</v>
      </c>
      <c r="I778">
        <v>40000</v>
      </c>
      <c r="J778" s="1">
        <f t="shared" si="25"/>
        <v>44243</v>
      </c>
      <c r="K778">
        <f t="shared" si="24"/>
        <v>6.5</v>
      </c>
    </row>
    <row r="779" spans="1:11" x14ac:dyDescent="0.25">
      <c r="A779">
        <v>21</v>
      </c>
      <c r="B779" t="s">
        <v>17</v>
      </c>
      <c r="C779">
        <v>2021</v>
      </c>
      <c r="D779">
        <v>52.75</v>
      </c>
      <c r="E779">
        <v>60</v>
      </c>
      <c r="F779">
        <v>87</v>
      </c>
      <c r="G779" s="1">
        <f>DATE(C779, CHOOSE(MATCH(UPPER(B779), {"ENERO","FEBRERO","MARZO","ABRIL","MAYO","JUNIO","JULIO","AGOSTO","SEPTIEMBRE","OCTUBRE","NOVIEMBRE","DICIEMBRE"}, 0), 1,2,3,4,5,6,7,8,9,10,11,12), A779)</f>
        <v>44429</v>
      </c>
      <c r="H779">
        <v>25.75</v>
      </c>
      <c r="I779">
        <v>40000</v>
      </c>
      <c r="J779" s="1">
        <f t="shared" si="25"/>
        <v>44244</v>
      </c>
      <c r="K779">
        <f t="shared" si="24"/>
        <v>7.25</v>
      </c>
    </row>
    <row r="780" spans="1:11" x14ac:dyDescent="0.25">
      <c r="A780">
        <v>22</v>
      </c>
      <c r="B780" t="s">
        <v>17</v>
      </c>
      <c r="C780">
        <v>2021</v>
      </c>
      <c r="D780">
        <v>87</v>
      </c>
      <c r="E780" t="s">
        <v>9</v>
      </c>
      <c r="F780">
        <v>49</v>
      </c>
      <c r="G780" s="1">
        <f>DATE(C780, CHOOSE(MATCH(UPPER(B780), {"ENERO","FEBRERO","MARZO","ABRIL","MAYO","JUNIO","JULIO","AGOSTO","SEPTIEMBRE","OCTUBRE","NOVIEMBRE","DICIEMBRE"}, 0), 1,2,3,4,5,6,7,8,9,10,11,12), A780)</f>
        <v>44430</v>
      </c>
      <c r="H780">
        <v>38</v>
      </c>
      <c r="I780">
        <v>40000</v>
      </c>
      <c r="J780" s="1">
        <f t="shared" si="25"/>
        <v>44245</v>
      </c>
      <c r="K780">
        <f t="shared" si="24"/>
        <v>5.25</v>
      </c>
    </row>
    <row r="781" spans="1:11" x14ac:dyDescent="0.25">
      <c r="A781">
        <v>23</v>
      </c>
      <c r="B781" t="s">
        <v>17</v>
      </c>
      <c r="C781">
        <v>2021</v>
      </c>
      <c r="D781">
        <v>49</v>
      </c>
      <c r="E781" t="s">
        <v>9</v>
      </c>
      <c r="F781">
        <v>34.5</v>
      </c>
      <c r="G781" s="1">
        <f>DATE(C781, CHOOSE(MATCH(UPPER(B781), {"ENERO","FEBRERO","MARZO","ABRIL","MAYO","JUNIO","JULIO","AGOSTO","SEPTIEMBRE","OCTUBRE","NOVIEMBRE","DICIEMBRE"}, 0), 1,2,3,4,5,6,7,8,9,10,11,12), A781)</f>
        <v>44431</v>
      </c>
      <c r="H781">
        <v>14.5</v>
      </c>
      <c r="I781">
        <v>40000</v>
      </c>
      <c r="J781" s="1">
        <f t="shared" si="25"/>
        <v>44246</v>
      </c>
      <c r="K781">
        <f t="shared" si="24"/>
        <v>13</v>
      </c>
    </row>
    <row r="782" spans="1:11" x14ac:dyDescent="0.25">
      <c r="A782">
        <v>24</v>
      </c>
      <c r="B782" t="s">
        <v>17</v>
      </c>
      <c r="C782">
        <v>2021</v>
      </c>
      <c r="D782">
        <v>34.5</v>
      </c>
      <c r="E782">
        <v>80</v>
      </c>
      <c r="F782">
        <v>95</v>
      </c>
      <c r="G782" s="1">
        <f>DATE(C782, CHOOSE(MATCH(UPPER(B782), {"ENERO","FEBRERO","MARZO","ABRIL","MAYO","JUNIO","JULIO","AGOSTO","SEPTIEMBRE","OCTUBRE","NOVIEMBRE","DICIEMBRE"}, 0), 1,2,3,4,5,6,7,8,9,10,11,12), A782)</f>
        <v>44432</v>
      </c>
      <c r="H782">
        <v>19.5</v>
      </c>
      <c r="I782">
        <v>40000</v>
      </c>
      <c r="J782" s="1">
        <f t="shared" si="25"/>
        <v>44247</v>
      </c>
      <c r="K782">
        <f t="shared" si="24"/>
        <v>13.125</v>
      </c>
    </row>
    <row r="783" spans="1:11" x14ac:dyDescent="0.25">
      <c r="A783">
        <v>25</v>
      </c>
      <c r="B783" t="s">
        <v>17</v>
      </c>
      <c r="C783">
        <v>2021</v>
      </c>
      <c r="D783">
        <v>95</v>
      </c>
      <c r="E783" t="s">
        <v>9</v>
      </c>
      <c r="F783">
        <v>74.5</v>
      </c>
      <c r="G783" s="1">
        <f>DATE(C783, CHOOSE(MATCH(UPPER(B783), {"ENERO","FEBRERO","MARZO","ABRIL","MAYO","JUNIO","JULIO","AGOSTO","SEPTIEMBRE","OCTUBRE","NOVIEMBRE","DICIEMBRE"}, 0), 1,2,3,4,5,6,7,8,9,10,11,12), A783)</f>
        <v>44433</v>
      </c>
      <c r="H783">
        <v>20.5</v>
      </c>
      <c r="I783">
        <v>40000</v>
      </c>
      <c r="J783" s="1">
        <f t="shared" si="25"/>
        <v>44248</v>
      </c>
      <c r="K783">
        <f t="shared" si="24"/>
        <v>15.125</v>
      </c>
    </row>
    <row r="784" spans="1:11" x14ac:dyDescent="0.25">
      <c r="A784">
        <v>26</v>
      </c>
      <c r="B784" t="s">
        <v>17</v>
      </c>
      <c r="C784">
        <v>2021</v>
      </c>
      <c r="D784">
        <v>74.5</v>
      </c>
      <c r="E784" t="s">
        <v>9</v>
      </c>
      <c r="F784">
        <v>55.25</v>
      </c>
      <c r="G784" s="1">
        <f>DATE(C784, CHOOSE(MATCH(UPPER(B784), {"ENERO","FEBRERO","MARZO","ABRIL","MAYO","JUNIO","JULIO","AGOSTO","SEPTIEMBRE","OCTUBRE","NOVIEMBRE","DICIEMBRE"}, 0), 1,2,3,4,5,6,7,8,9,10,11,12), A784)</f>
        <v>44434</v>
      </c>
      <c r="H784">
        <v>19.25</v>
      </c>
      <c r="I784">
        <v>40000</v>
      </c>
      <c r="J784" s="1">
        <f t="shared" si="25"/>
        <v>44249</v>
      </c>
      <c r="K784">
        <f t="shared" si="24"/>
        <v>7.125</v>
      </c>
    </row>
    <row r="785" spans="1:11" x14ac:dyDescent="0.25">
      <c r="A785">
        <v>27</v>
      </c>
      <c r="B785" t="s">
        <v>17</v>
      </c>
      <c r="C785">
        <v>2021</v>
      </c>
      <c r="D785">
        <v>55.25</v>
      </c>
      <c r="E785" t="s">
        <v>9</v>
      </c>
      <c r="F785">
        <v>37</v>
      </c>
      <c r="G785" s="1">
        <f>DATE(C785, CHOOSE(MATCH(UPPER(B785), {"ENERO","FEBRERO","MARZO","ABRIL","MAYO","JUNIO","JULIO","AGOSTO","SEPTIEMBRE","OCTUBRE","NOVIEMBRE","DICIEMBRE"}, 0), 1,2,3,4,5,6,7,8,9,10,11,12), A785)</f>
        <v>44435</v>
      </c>
      <c r="H785">
        <v>18.25</v>
      </c>
      <c r="I785">
        <v>40000</v>
      </c>
      <c r="J785" s="1">
        <f t="shared" si="25"/>
        <v>44250</v>
      </c>
      <c r="K785">
        <f t="shared" si="24"/>
        <v>6.625</v>
      </c>
    </row>
    <row r="786" spans="1:11" x14ac:dyDescent="0.25">
      <c r="A786">
        <v>28</v>
      </c>
      <c r="B786" t="s">
        <v>17</v>
      </c>
      <c r="C786">
        <v>2021</v>
      </c>
      <c r="D786">
        <v>37</v>
      </c>
      <c r="E786">
        <v>110</v>
      </c>
      <c r="F786">
        <v>107.75</v>
      </c>
      <c r="G786" s="1">
        <f>DATE(C786, CHOOSE(MATCH(UPPER(B786), {"ENERO","FEBRERO","MARZO","ABRIL","MAYO","JUNIO","JULIO","AGOSTO","SEPTIEMBRE","OCTUBRE","NOVIEMBRE","DICIEMBRE"}, 0), 1,2,3,4,5,6,7,8,9,10,11,12), A786)</f>
        <v>44436</v>
      </c>
      <c r="H786">
        <v>39.25</v>
      </c>
      <c r="I786">
        <v>40000</v>
      </c>
      <c r="J786" s="1">
        <f t="shared" si="25"/>
        <v>44251</v>
      </c>
      <c r="K786">
        <f t="shared" si="24"/>
        <v>5.375</v>
      </c>
    </row>
    <row r="787" spans="1:11" x14ac:dyDescent="0.25">
      <c r="A787">
        <v>29</v>
      </c>
      <c r="B787" t="s">
        <v>17</v>
      </c>
      <c r="C787">
        <v>2021</v>
      </c>
      <c r="D787">
        <v>107.75</v>
      </c>
      <c r="E787" t="s">
        <v>9</v>
      </c>
      <c r="F787">
        <v>75.5</v>
      </c>
      <c r="G787" s="1">
        <f>DATE(C787, CHOOSE(MATCH(UPPER(B787), {"ENERO","FEBRERO","MARZO","ABRIL","MAYO","JUNIO","JULIO","AGOSTO","SEPTIEMBRE","OCTUBRE","NOVIEMBRE","DICIEMBRE"}, 0), 1,2,3,4,5,6,7,8,9,10,11,12), A787)</f>
        <v>44437</v>
      </c>
      <c r="H787">
        <v>32.25</v>
      </c>
      <c r="I787">
        <v>40000</v>
      </c>
      <c r="J787" s="1">
        <f t="shared" si="25"/>
        <v>44252</v>
      </c>
      <c r="K787" t="e">
        <f t="shared" si="24"/>
        <v>#N/A</v>
      </c>
    </row>
    <row r="788" spans="1:11" x14ac:dyDescent="0.25">
      <c r="A788">
        <v>30</v>
      </c>
      <c r="B788" t="s">
        <v>17</v>
      </c>
      <c r="C788">
        <v>2021</v>
      </c>
      <c r="D788">
        <v>75.5</v>
      </c>
      <c r="E788" t="s">
        <v>9</v>
      </c>
      <c r="F788">
        <v>52</v>
      </c>
      <c r="G788" s="1">
        <f>DATE(C788, CHOOSE(MATCH(UPPER(B788), {"ENERO","FEBRERO","MARZO","ABRIL","MAYO","JUNIO","JULIO","AGOSTO","SEPTIEMBRE","OCTUBRE","NOVIEMBRE","DICIEMBRE"}, 0), 1,2,3,4,5,6,7,8,9,10,11,12), A788)</f>
        <v>44438</v>
      </c>
      <c r="H788">
        <v>23.5</v>
      </c>
      <c r="I788">
        <v>40000</v>
      </c>
      <c r="J788" s="1">
        <f t="shared" si="25"/>
        <v>44253</v>
      </c>
      <c r="K788">
        <f t="shared" si="24"/>
        <v>15.375</v>
      </c>
    </row>
    <row r="789" spans="1:11" x14ac:dyDescent="0.25">
      <c r="A789">
        <v>31</v>
      </c>
      <c r="B789" t="s">
        <v>17</v>
      </c>
      <c r="C789">
        <v>2021</v>
      </c>
      <c r="D789">
        <v>52</v>
      </c>
      <c r="E789">
        <v>60</v>
      </c>
      <c r="F789">
        <v>95.625</v>
      </c>
      <c r="G789" s="1">
        <f>DATE(C789, CHOOSE(MATCH(UPPER(B789), {"ENERO","FEBRERO","MARZO","ABRIL","MAYO","JUNIO","JULIO","AGOSTO","SEPTIEMBRE","OCTUBRE","NOVIEMBRE","DICIEMBRE"}, 0), 1,2,3,4,5,6,7,8,9,10,11,12), A789)</f>
        <v>44439</v>
      </c>
      <c r="H789">
        <v>16.375</v>
      </c>
      <c r="I789">
        <v>40000</v>
      </c>
      <c r="J789" s="1">
        <f t="shared" si="25"/>
        <v>44254</v>
      </c>
      <c r="K789">
        <f t="shared" si="24"/>
        <v>24.85</v>
      </c>
    </row>
    <row r="790" spans="1:11" x14ac:dyDescent="0.25">
      <c r="A790">
        <v>1</v>
      </c>
      <c r="B790" t="s">
        <v>10</v>
      </c>
      <c r="C790">
        <v>2021</v>
      </c>
      <c r="D790">
        <v>95.625</v>
      </c>
      <c r="E790" t="s">
        <v>9</v>
      </c>
      <c r="F790">
        <v>78.375</v>
      </c>
      <c r="G790" s="1">
        <f>DATE(C790, CHOOSE(MATCH(UPPER(B790), {"ENERO","FEBRERO","MARZO","ABRIL","MAYO","JUNIO","JULIO","AGOSTO","SEPTIEMBRE","OCTUBRE","NOVIEMBRE","DICIEMBRE"}, 0), 1,2,3,4,5,6,7,8,9,10,11,12), A790)</f>
        <v>44440</v>
      </c>
      <c r="H790">
        <v>17.25</v>
      </c>
      <c r="I790">
        <v>40000</v>
      </c>
      <c r="J790" s="1">
        <f t="shared" si="25"/>
        <v>44255</v>
      </c>
      <c r="K790">
        <f t="shared" si="24"/>
        <v>23.15</v>
      </c>
    </row>
    <row r="791" spans="1:11" x14ac:dyDescent="0.25">
      <c r="A791">
        <v>2</v>
      </c>
      <c r="B791" t="s">
        <v>10</v>
      </c>
      <c r="C791">
        <v>2021</v>
      </c>
      <c r="D791">
        <v>78.375</v>
      </c>
      <c r="E791">
        <v>60</v>
      </c>
      <c r="F791">
        <v>121</v>
      </c>
      <c r="G791" s="1">
        <f>DATE(C791, CHOOSE(MATCH(UPPER(B791), {"ENERO","FEBRERO","MARZO","ABRIL","MAYO","JUNIO","JULIO","AGOSTO","SEPTIEMBRE","OCTUBRE","NOVIEMBRE","DICIEMBRE"}, 0), 1,2,3,4,5,6,7,8,9,10,11,12), A791)</f>
        <v>44441</v>
      </c>
      <c r="H791">
        <v>17.375</v>
      </c>
      <c r="I791">
        <v>40000</v>
      </c>
      <c r="J791" s="1">
        <f t="shared" si="25"/>
        <v>44256</v>
      </c>
      <c r="K791">
        <f t="shared" si="24"/>
        <v>7.875</v>
      </c>
    </row>
    <row r="792" spans="1:11" x14ac:dyDescent="0.25">
      <c r="A792">
        <v>3</v>
      </c>
      <c r="B792" t="s">
        <v>10</v>
      </c>
      <c r="C792">
        <v>2021</v>
      </c>
      <c r="D792">
        <v>121</v>
      </c>
      <c r="E792" t="s">
        <v>9</v>
      </c>
      <c r="F792">
        <v>92.5</v>
      </c>
      <c r="G792" s="1">
        <f>DATE(C792, CHOOSE(MATCH(UPPER(B792), {"ENERO","FEBRERO","MARZO","ABRIL","MAYO","JUNIO","JULIO","AGOSTO","SEPTIEMBRE","OCTUBRE","NOVIEMBRE","DICIEMBRE"}, 0), 1,2,3,4,5,6,7,8,9,10,11,12), A792)</f>
        <v>44442</v>
      </c>
      <c r="H792">
        <v>28.5</v>
      </c>
      <c r="I792">
        <v>40000</v>
      </c>
      <c r="J792" s="1">
        <f t="shared" si="25"/>
        <v>44257</v>
      </c>
      <c r="K792">
        <f t="shared" si="24"/>
        <v>12.75</v>
      </c>
    </row>
    <row r="793" spans="1:11" x14ac:dyDescent="0.25">
      <c r="A793">
        <v>4</v>
      </c>
      <c r="B793" t="s">
        <v>10</v>
      </c>
      <c r="C793">
        <v>2021</v>
      </c>
      <c r="D793">
        <v>92.5</v>
      </c>
      <c r="E793">
        <v>60</v>
      </c>
      <c r="F793">
        <v>115</v>
      </c>
      <c r="G793" s="1">
        <f>DATE(C793, CHOOSE(MATCH(UPPER(B793), {"ENERO","FEBRERO","MARZO","ABRIL","MAYO","JUNIO","JULIO","AGOSTO","SEPTIEMBRE","OCTUBRE","NOVIEMBRE","DICIEMBRE"}, 0), 1,2,3,4,5,6,7,8,9,10,11,12), A793)</f>
        <v>44443</v>
      </c>
      <c r="H793">
        <v>37.5</v>
      </c>
      <c r="I793">
        <v>40000</v>
      </c>
      <c r="J793" s="1">
        <f t="shared" si="25"/>
        <v>44258</v>
      </c>
      <c r="K793">
        <f t="shared" si="24"/>
        <v>9.25</v>
      </c>
    </row>
    <row r="794" spans="1:11" x14ac:dyDescent="0.25">
      <c r="A794">
        <v>5</v>
      </c>
      <c r="B794" t="s">
        <v>10</v>
      </c>
      <c r="C794">
        <v>2021</v>
      </c>
      <c r="D794">
        <v>115</v>
      </c>
      <c r="E794" t="s">
        <v>9</v>
      </c>
      <c r="F794">
        <v>75</v>
      </c>
      <c r="G794" s="1">
        <f>DATE(C794, CHOOSE(MATCH(UPPER(B794), {"ENERO","FEBRERO","MARZO","ABRIL","MAYO","JUNIO","JULIO","AGOSTO","SEPTIEMBRE","OCTUBRE","NOVIEMBRE","DICIEMBRE"}, 0), 1,2,3,4,5,6,7,8,9,10,11,12), A794)</f>
        <v>44444</v>
      </c>
      <c r="H794">
        <v>40</v>
      </c>
      <c r="I794">
        <v>40000</v>
      </c>
      <c r="J794" s="1">
        <f t="shared" si="25"/>
        <v>44259</v>
      </c>
      <c r="K794">
        <f t="shared" si="24"/>
        <v>11.125</v>
      </c>
    </row>
    <row r="795" spans="1:11" x14ac:dyDescent="0.25">
      <c r="A795">
        <v>6</v>
      </c>
      <c r="B795" t="s">
        <v>10</v>
      </c>
      <c r="C795">
        <v>2021</v>
      </c>
      <c r="D795">
        <v>75</v>
      </c>
      <c r="E795">
        <v>30</v>
      </c>
      <c r="F795">
        <v>92.25</v>
      </c>
      <c r="G795" s="1">
        <f>DATE(C795, CHOOSE(MATCH(UPPER(B795), {"ENERO","FEBRERO","MARZO","ABRIL","MAYO","JUNIO","JULIO","AGOSTO","SEPTIEMBRE","OCTUBRE","NOVIEMBRE","DICIEMBRE"}, 0), 1,2,3,4,5,6,7,8,9,10,11,12), A795)</f>
        <v>44445</v>
      </c>
      <c r="H795">
        <v>12.75</v>
      </c>
      <c r="I795">
        <v>40000</v>
      </c>
      <c r="J795" s="1">
        <f t="shared" si="25"/>
        <v>44260</v>
      </c>
      <c r="K795">
        <f t="shared" si="24"/>
        <v>17.625</v>
      </c>
    </row>
    <row r="796" spans="1:11" x14ac:dyDescent="0.25">
      <c r="A796">
        <v>7</v>
      </c>
      <c r="B796" t="s">
        <v>10</v>
      </c>
      <c r="C796">
        <v>2021</v>
      </c>
      <c r="D796">
        <v>92.25</v>
      </c>
      <c r="E796" t="s">
        <v>9</v>
      </c>
      <c r="F796">
        <v>77.5</v>
      </c>
      <c r="G796" s="1">
        <f>DATE(C796, CHOOSE(MATCH(UPPER(B796), {"ENERO","FEBRERO","MARZO","ABRIL","MAYO","JUNIO","JULIO","AGOSTO","SEPTIEMBRE","OCTUBRE","NOVIEMBRE","DICIEMBRE"}, 0), 1,2,3,4,5,6,7,8,9,10,11,12), A796)</f>
        <v>44446</v>
      </c>
      <c r="H796">
        <v>14.75</v>
      </c>
      <c r="I796">
        <v>40000</v>
      </c>
      <c r="J796" s="1">
        <f t="shared" si="25"/>
        <v>44261</v>
      </c>
      <c r="K796">
        <f t="shared" si="24"/>
        <v>18.25</v>
      </c>
    </row>
    <row r="797" spans="1:11" x14ac:dyDescent="0.25">
      <c r="A797">
        <v>8</v>
      </c>
      <c r="B797" t="s">
        <v>10</v>
      </c>
      <c r="C797">
        <v>2021</v>
      </c>
      <c r="D797">
        <v>77.5</v>
      </c>
      <c r="E797" t="s">
        <v>9</v>
      </c>
      <c r="F797">
        <v>50</v>
      </c>
      <c r="G797" s="1">
        <f>DATE(C797, CHOOSE(MATCH(UPPER(B797), {"ENERO","FEBRERO","MARZO","ABRIL","MAYO","JUNIO","JULIO","AGOSTO","SEPTIEMBRE","OCTUBRE","NOVIEMBRE","DICIEMBRE"}, 0), 1,2,3,4,5,6,7,8,9,10,11,12), A797)</f>
        <v>44447</v>
      </c>
      <c r="H797">
        <v>27.5</v>
      </c>
      <c r="I797">
        <v>40000</v>
      </c>
      <c r="J797" s="1">
        <f t="shared" si="25"/>
        <v>44262</v>
      </c>
      <c r="K797">
        <f t="shared" si="24"/>
        <v>27</v>
      </c>
    </row>
    <row r="798" spans="1:11" x14ac:dyDescent="0.25">
      <c r="A798">
        <v>9</v>
      </c>
      <c r="B798" t="s">
        <v>10</v>
      </c>
      <c r="C798">
        <v>2021</v>
      </c>
      <c r="D798">
        <v>50</v>
      </c>
      <c r="E798">
        <v>60</v>
      </c>
      <c r="F798">
        <v>90</v>
      </c>
      <c r="G798" s="1">
        <f>DATE(C798, CHOOSE(MATCH(UPPER(B798), {"ENERO","FEBRERO","MARZO","ABRIL","MAYO","JUNIO","JULIO","AGOSTO","SEPTIEMBRE","OCTUBRE","NOVIEMBRE","DICIEMBRE"}, 0), 1,2,3,4,5,6,7,8,9,10,11,12), A798)</f>
        <v>44448</v>
      </c>
      <c r="H798">
        <v>20</v>
      </c>
      <c r="I798">
        <v>40000</v>
      </c>
      <c r="J798" s="1">
        <f t="shared" si="25"/>
        <v>44263</v>
      </c>
      <c r="K798">
        <f t="shared" si="24"/>
        <v>12</v>
      </c>
    </row>
    <row r="799" spans="1:11" x14ac:dyDescent="0.25">
      <c r="A799">
        <v>10</v>
      </c>
      <c r="B799" t="s">
        <v>10</v>
      </c>
      <c r="C799">
        <v>2021</v>
      </c>
      <c r="D799">
        <v>90</v>
      </c>
      <c r="E799" t="s">
        <v>9</v>
      </c>
      <c r="F799">
        <v>60.2</v>
      </c>
      <c r="G799" s="1">
        <f>DATE(C799, CHOOSE(MATCH(UPPER(B799), {"ENERO","FEBRERO","MARZO","ABRIL","MAYO","JUNIO","JULIO","AGOSTO","SEPTIEMBRE","OCTUBRE","NOVIEMBRE","DICIEMBRE"}, 0), 1,2,3,4,5,6,7,8,9,10,11,12), A799)</f>
        <v>44449</v>
      </c>
      <c r="H799">
        <v>29.8</v>
      </c>
      <c r="I799">
        <v>40000</v>
      </c>
      <c r="J799" s="1">
        <f t="shared" si="25"/>
        <v>44264</v>
      </c>
      <c r="K799">
        <f t="shared" si="24"/>
        <v>3.75</v>
      </c>
    </row>
    <row r="800" spans="1:11" x14ac:dyDescent="0.25">
      <c r="A800">
        <v>11</v>
      </c>
      <c r="B800" t="s">
        <v>10</v>
      </c>
      <c r="C800">
        <v>2021</v>
      </c>
      <c r="D800">
        <v>60.2</v>
      </c>
      <c r="E800">
        <v>90</v>
      </c>
      <c r="F800">
        <v>109</v>
      </c>
      <c r="G800" s="1">
        <f>DATE(C800, CHOOSE(MATCH(UPPER(B800), {"ENERO","FEBRERO","MARZO","ABRIL","MAYO","JUNIO","JULIO","AGOSTO","SEPTIEMBRE","OCTUBRE","NOVIEMBRE","DICIEMBRE"}, 0), 1,2,3,4,5,6,7,8,9,10,11,12), A800)</f>
        <v>44450</v>
      </c>
      <c r="H800">
        <v>41.2</v>
      </c>
      <c r="I800">
        <v>40000</v>
      </c>
      <c r="J800" s="1">
        <f t="shared" si="25"/>
        <v>44265</v>
      </c>
      <c r="K800">
        <f t="shared" si="24"/>
        <v>9.75</v>
      </c>
    </row>
    <row r="801" spans="1:11" x14ac:dyDescent="0.25">
      <c r="A801">
        <v>12</v>
      </c>
      <c r="B801" t="s">
        <v>10</v>
      </c>
      <c r="C801">
        <v>2021</v>
      </c>
      <c r="D801">
        <v>109</v>
      </c>
      <c r="E801" t="s">
        <v>9</v>
      </c>
      <c r="F801">
        <v>72</v>
      </c>
      <c r="G801" s="1">
        <f>DATE(C801, CHOOSE(MATCH(UPPER(B801), {"ENERO","FEBRERO","MARZO","ABRIL","MAYO","JUNIO","JULIO","AGOSTO","SEPTIEMBRE","OCTUBRE","NOVIEMBRE","DICIEMBRE"}, 0), 1,2,3,4,5,6,7,8,9,10,11,12), A801)</f>
        <v>44451</v>
      </c>
      <c r="H801">
        <v>37</v>
      </c>
      <c r="I801">
        <v>40000</v>
      </c>
      <c r="J801" s="1">
        <f t="shared" si="25"/>
        <v>44266</v>
      </c>
      <c r="K801">
        <f t="shared" si="24"/>
        <v>7.125</v>
      </c>
    </row>
    <row r="802" spans="1:11" x14ac:dyDescent="0.25">
      <c r="A802">
        <v>13</v>
      </c>
      <c r="B802" t="s">
        <v>10</v>
      </c>
      <c r="C802">
        <v>2021</v>
      </c>
      <c r="D802">
        <v>72</v>
      </c>
      <c r="E802">
        <v>50</v>
      </c>
      <c r="F802">
        <v>110.75</v>
      </c>
      <c r="G802" s="1">
        <f>DATE(C802, CHOOSE(MATCH(UPPER(B802), {"ENERO","FEBRERO","MARZO","ABRIL","MAYO","JUNIO","JULIO","AGOSTO","SEPTIEMBRE","OCTUBRE","NOVIEMBRE","DICIEMBRE"}, 0), 1,2,3,4,5,6,7,8,9,10,11,12), A802)</f>
        <v>44452</v>
      </c>
      <c r="H802">
        <v>11.25</v>
      </c>
      <c r="I802">
        <v>40000</v>
      </c>
      <c r="J802" s="1">
        <f t="shared" si="25"/>
        <v>44267</v>
      </c>
      <c r="K802">
        <f t="shared" si="24"/>
        <v>18.875</v>
      </c>
    </row>
    <row r="803" spans="1:11" x14ac:dyDescent="0.25">
      <c r="A803">
        <v>14</v>
      </c>
      <c r="B803" t="s">
        <v>10</v>
      </c>
      <c r="C803">
        <v>2021</v>
      </c>
      <c r="D803">
        <v>110.75</v>
      </c>
      <c r="E803" t="s">
        <v>9</v>
      </c>
      <c r="F803">
        <v>96.375</v>
      </c>
      <c r="G803" s="1">
        <f>DATE(C803, CHOOSE(MATCH(UPPER(B803), {"ENERO","FEBRERO","MARZO","ABRIL","MAYO","JUNIO","JULIO","AGOSTO","SEPTIEMBRE","OCTUBRE","NOVIEMBRE","DICIEMBRE"}, 0), 1,2,3,4,5,6,7,8,9,10,11,12), A803)</f>
        <v>44453</v>
      </c>
      <c r="H803">
        <v>14.375</v>
      </c>
      <c r="I803">
        <v>40000</v>
      </c>
      <c r="J803" s="1">
        <f t="shared" si="25"/>
        <v>44268</v>
      </c>
      <c r="K803">
        <f t="shared" si="24"/>
        <v>22</v>
      </c>
    </row>
    <row r="804" spans="1:11" x14ac:dyDescent="0.25">
      <c r="A804">
        <v>15</v>
      </c>
      <c r="B804" t="s">
        <v>10</v>
      </c>
      <c r="C804">
        <v>2021</v>
      </c>
      <c r="D804">
        <v>96.375</v>
      </c>
      <c r="E804" t="s">
        <v>9</v>
      </c>
      <c r="F804">
        <v>77</v>
      </c>
      <c r="G804" s="1">
        <f>DATE(C804, CHOOSE(MATCH(UPPER(B804), {"ENERO","FEBRERO","MARZO","ABRIL","MAYO","JUNIO","JULIO","AGOSTO","SEPTIEMBRE","OCTUBRE","NOVIEMBRE","DICIEMBRE"}, 0), 1,2,3,4,5,6,7,8,9,10,11,12), A804)</f>
        <v>44454</v>
      </c>
      <c r="H804">
        <v>19.375</v>
      </c>
      <c r="I804">
        <v>40000</v>
      </c>
      <c r="J804" s="1">
        <f t="shared" si="25"/>
        <v>44269</v>
      </c>
      <c r="K804">
        <f t="shared" si="24"/>
        <v>23.5</v>
      </c>
    </row>
    <row r="805" spans="1:11" x14ac:dyDescent="0.25">
      <c r="A805">
        <v>16</v>
      </c>
      <c r="B805" t="s">
        <v>10</v>
      </c>
      <c r="C805">
        <v>2021</v>
      </c>
      <c r="D805">
        <v>77</v>
      </c>
      <c r="E805">
        <v>50</v>
      </c>
      <c r="F805">
        <v>106.5</v>
      </c>
      <c r="G805" s="1">
        <f>DATE(C805, CHOOSE(MATCH(UPPER(B805), {"ENERO","FEBRERO","MARZO","ABRIL","MAYO","JUNIO","JULIO","AGOSTO","SEPTIEMBRE","OCTUBRE","NOVIEMBRE","DICIEMBRE"}, 0), 1,2,3,4,5,6,7,8,9,10,11,12), A805)</f>
        <v>44455</v>
      </c>
      <c r="H805">
        <v>20.5</v>
      </c>
      <c r="I805">
        <v>40000</v>
      </c>
      <c r="J805" s="1">
        <f t="shared" si="25"/>
        <v>44270</v>
      </c>
      <c r="K805">
        <f t="shared" si="24"/>
        <v>6.5</v>
      </c>
    </row>
    <row r="806" spans="1:11" x14ac:dyDescent="0.25">
      <c r="A806">
        <v>17</v>
      </c>
      <c r="B806" t="s">
        <v>10</v>
      </c>
      <c r="C806">
        <v>2021</v>
      </c>
      <c r="D806">
        <v>106.5</v>
      </c>
      <c r="E806" t="s">
        <v>9</v>
      </c>
      <c r="F806">
        <v>76</v>
      </c>
      <c r="G806" s="1">
        <f>DATE(C806, CHOOSE(MATCH(UPPER(B806), {"ENERO","FEBRERO","MARZO","ABRIL","MAYO","JUNIO","JULIO","AGOSTO","SEPTIEMBRE","OCTUBRE","NOVIEMBRE","DICIEMBRE"}, 0), 1,2,3,4,5,6,7,8,9,10,11,12), A806)</f>
        <v>44456</v>
      </c>
      <c r="H806">
        <v>30.5</v>
      </c>
      <c r="I806">
        <v>40000</v>
      </c>
      <c r="J806" s="1">
        <f t="shared" si="25"/>
        <v>44271</v>
      </c>
      <c r="K806">
        <f t="shared" si="24"/>
        <v>9</v>
      </c>
    </row>
    <row r="807" spans="1:11" x14ac:dyDescent="0.25">
      <c r="A807">
        <v>18</v>
      </c>
      <c r="B807" t="s">
        <v>10</v>
      </c>
      <c r="C807">
        <v>2021</v>
      </c>
      <c r="D807">
        <v>76</v>
      </c>
      <c r="E807">
        <v>40</v>
      </c>
      <c r="F807">
        <v>79</v>
      </c>
      <c r="G807" s="1">
        <f>DATE(C807, CHOOSE(MATCH(UPPER(B807), {"ENERO","FEBRERO","MARZO","ABRIL","MAYO","JUNIO","JULIO","AGOSTO","SEPTIEMBRE","OCTUBRE","NOVIEMBRE","DICIEMBRE"}, 0), 1,2,3,4,5,6,7,8,9,10,11,12), A807)</f>
        <v>44457</v>
      </c>
      <c r="H807">
        <v>37</v>
      </c>
      <c r="I807">
        <v>40000</v>
      </c>
      <c r="J807" s="1">
        <f t="shared" si="25"/>
        <v>44272</v>
      </c>
      <c r="K807">
        <f t="shared" si="24"/>
        <v>11.625</v>
      </c>
    </row>
    <row r="808" spans="1:11" x14ac:dyDescent="0.25">
      <c r="A808">
        <v>19</v>
      </c>
      <c r="B808" t="s">
        <v>10</v>
      </c>
      <c r="C808">
        <v>2021</v>
      </c>
      <c r="D808">
        <v>79</v>
      </c>
      <c r="E808" t="s">
        <v>9</v>
      </c>
      <c r="F808">
        <v>42</v>
      </c>
      <c r="G808" s="1">
        <f>DATE(C808, CHOOSE(MATCH(UPPER(B808), {"ENERO","FEBRERO","MARZO","ABRIL","MAYO","JUNIO","JULIO","AGOSTO","SEPTIEMBRE","OCTUBRE","NOVIEMBRE","DICIEMBRE"}, 0), 1,2,3,4,5,6,7,8,9,10,11,12), A808)</f>
        <v>44458</v>
      </c>
      <c r="H808">
        <v>37</v>
      </c>
      <c r="I808">
        <v>40000</v>
      </c>
      <c r="J808" s="1">
        <f t="shared" si="25"/>
        <v>44273</v>
      </c>
      <c r="K808">
        <f t="shared" si="24"/>
        <v>14</v>
      </c>
    </row>
    <row r="809" spans="1:11" x14ac:dyDescent="0.25">
      <c r="A809">
        <v>20</v>
      </c>
      <c r="B809" t="s">
        <v>10</v>
      </c>
      <c r="C809">
        <v>2021</v>
      </c>
      <c r="D809">
        <v>42</v>
      </c>
      <c r="E809">
        <v>60</v>
      </c>
      <c r="F809">
        <v>94.75</v>
      </c>
      <c r="G809" s="1">
        <f>DATE(C809, CHOOSE(MATCH(UPPER(B809), {"ENERO","FEBRERO","MARZO","ABRIL","MAYO","JUNIO","JULIO","AGOSTO","SEPTIEMBRE","OCTUBRE","NOVIEMBRE","DICIEMBRE"}, 0), 1,2,3,4,5,6,7,8,9,10,11,12), A809)</f>
        <v>44459</v>
      </c>
      <c r="H809">
        <v>7.25</v>
      </c>
      <c r="I809">
        <v>40000</v>
      </c>
      <c r="J809" s="1">
        <f t="shared" si="25"/>
        <v>44274</v>
      </c>
      <c r="K809">
        <f t="shared" si="24"/>
        <v>15.875</v>
      </c>
    </row>
    <row r="810" spans="1:11" x14ac:dyDescent="0.25">
      <c r="A810">
        <v>21</v>
      </c>
      <c r="B810" t="s">
        <v>10</v>
      </c>
      <c r="C810">
        <v>2021</v>
      </c>
      <c r="D810">
        <v>94.75</v>
      </c>
      <c r="E810" t="s">
        <v>9</v>
      </c>
      <c r="F810">
        <v>84.75</v>
      </c>
      <c r="G810" s="1">
        <f>DATE(C810, CHOOSE(MATCH(UPPER(B810), {"ENERO","FEBRERO","MARZO","ABRIL","MAYO","JUNIO","JULIO","AGOSTO","SEPTIEMBRE","OCTUBRE","NOVIEMBRE","DICIEMBRE"}, 0), 1,2,3,4,5,6,7,8,9,10,11,12), A810)</f>
        <v>44460</v>
      </c>
      <c r="H810">
        <v>10</v>
      </c>
      <c r="I810">
        <v>40000</v>
      </c>
      <c r="J810" s="1">
        <f t="shared" si="25"/>
        <v>44275</v>
      </c>
      <c r="K810">
        <f t="shared" si="24"/>
        <v>21.25</v>
      </c>
    </row>
    <row r="811" spans="1:11" x14ac:dyDescent="0.25">
      <c r="A811">
        <v>22</v>
      </c>
      <c r="B811" t="s">
        <v>10</v>
      </c>
      <c r="C811">
        <v>2021</v>
      </c>
      <c r="D811">
        <v>84.75</v>
      </c>
      <c r="E811" t="s">
        <v>9</v>
      </c>
      <c r="F811">
        <v>69</v>
      </c>
      <c r="G811" s="1">
        <f>DATE(C811, CHOOSE(MATCH(UPPER(B811), {"ENERO","FEBRERO","MARZO","ABRIL","MAYO","JUNIO","JULIO","AGOSTO","SEPTIEMBRE","OCTUBRE","NOVIEMBRE","DICIEMBRE"}, 0), 1,2,3,4,5,6,7,8,9,10,11,12), A811)</f>
        <v>44461</v>
      </c>
      <c r="H811">
        <v>15.75</v>
      </c>
      <c r="I811">
        <v>40000</v>
      </c>
      <c r="J811" s="1">
        <f t="shared" si="25"/>
        <v>44276</v>
      </c>
      <c r="K811">
        <f t="shared" si="24"/>
        <v>29.5</v>
      </c>
    </row>
    <row r="812" spans="1:11" x14ac:dyDescent="0.25">
      <c r="A812">
        <v>23</v>
      </c>
      <c r="B812" t="s">
        <v>10</v>
      </c>
      <c r="C812">
        <v>2021</v>
      </c>
      <c r="D812">
        <v>69</v>
      </c>
      <c r="E812">
        <v>60</v>
      </c>
      <c r="F812">
        <v>113</v>
      </c>
      <c r="G812" s="1">
        <f>DATE(C812, CHOOSE(MATCH(UPPER(B812), {"ENERO","FEBRERO","MARZO","ABRIL","MAYO","JUNIO","JULIO","AGOSTO","SEPTIEMBRE","OCTUBRE","NOVIEMBRE","DICIEMBRE"}, 0), 1,2,3,4,5,6,7,8,9,10,11,12), A812)</f>
        <v>44462</v>
      </c>
      <c r="H812">
        <v>16</v>
      </c>
      <c r="I812">
        <v>40000</v>
      </c>
      <c r="J812" s="1">
        <f t="shared" si="25"/>
        <v>44277</v>
      </c>
      <c r="K812">
        <f t="shared" si="24"/>
        <v>21.5</v>
      </c>
    </row>
    <row r="813" spans="1:11" x14ac:dyDescent="0.25">
      <c r="A813">
        <v>24</v>
      </c>
      <c r="B813" t="s">
        <v>10</v>
      </c>
      <c r="C813">
        <v>2021</v>
      </c>
      <c r="D813">
        <v>113</v>
      </c>
      <c r="E813" t="s">
        <v>9</v>
      </c>
      <c r="F813">
        <v>64</v>
      </c>
      <c r="G813" s="1">
        <f>DATE(C813, CHOOSE(MATCH(UPPER(B813), {"ENERO","FEBRERO","MARZO","ABRIL","MAYO","JUNIO","JULIO","AGOSTO","SEPTIEMBRE","OCTUBRE","NOVIEMBRE","DICIEMBRE"}, 0), 1,2,3,4,5,6,7,8,9,10,11,12), A813)</f>
        <v>44463</v>
      </c>
      <c r="H813">
        <v>49</v>
      </c>
      <c r="I813">
        <v>40000</v>
      </c>
      <c r="J813" s="1">
        <f t="shared" si="25"/>
        <v>44278</v>
      </c>
      <c r="K813">
        <f t="shared" si="24"/>
        <v>8.25</v>
      </c>
    </row>
    <row r="814" spans="1:11" x14ac:dyDescent="0.25">
      <c r="A814">
        <v>25</v>
      </c>
      <c r="B814" t="s">
        <v>10</v>
      </c>
      <c r="C814">
        <v>2021</v>
      </c>
      <c r="D814">
        <v>64</v>
      </c>
      <c r="E814">
        <v>60</v>
      </c>
      <c r="F814">
        <v>100</v>
      </c>
      <c r="G814" s="1">
        <f>DATE(C814, CHOOSE(MATCH(UPPER(B814), {"ENERO","FEBRERO","MARZO","ABRIL","MAYO","JUNIO","JULIO","AGOSTO","SEPTIEMBRE","OCTUBRE","NOVIEMBRE","DICIEMBRE"}, 0), 1,2,3,4,5,6,7,8,9,10,11,12), A814)</f>
        <v>44464</v>
      </c>
      <c r="H814">
        <v>24</v>
      </c>
      <c r="I814">
        <v>40000</v>
      </c>
      <c r="J814" s="1">
        <f t="shared" si="25"/>
        <v>44279</v>
      </c>
      <c r="K814">
        <f t="shared" si="24"/>
        <v>7.5</v>
      </c>
    </row>
    <row r="815" spans="1:11" x14ac:dyDescent="0.25">
      <c r="A815">
        <v>26</v>
      </c>
      <c r="B815" t="s">
        <v>10</v>
      </c>
      <c r="C815">
        <v>2021</v>
      </c>
      <c r="D815">
        <v>100</v>
      </c>
      <c r="E815" t="s">
        <v>9</v>
      </c>
      <c r="F815">
        <v>69.75</v>
      </c>
      <c r="G815" s="1">
        <f>DATE(C815, CHOOSE(MATCH(UPPER(B815), {"ENERO","FEBRERO","MARZO","ABRIL","MAYO","JUNIO","JULIO","AGOSTO","SEPTIEMBRE","OCTUBRE","NOVIEMBRE","DICIEMBRE"}, 0), 1,2,3,4,5,6,7,8,9,10,11,12), A815)</f>
        <v>44465</v>
      </c>
      <c r="H815">
        <v>30.25</v>
      </c>
      <c r="I815">
        <v>40000</v>
      </c>
      <c r="J815" s="1">
        <f t="shared" si="25"/>
        <v>44280</v>
      </c>
      <c r="K815">
        <f t="shared" si="24"/>
        <v>10.375</v>
      </c>
    </row>
    <row r="816" spans="1:11" x14ac:dyDescent="0.25">
      <c r="A816">
        <v>27</v>
      </c>
      <c r="B816" t="s">
        <v>10</v>
      </c>
      <c r="C816">
        <v>2021</v>
      </c>
      <c r="D816">
        <v>69.75</v>
      </c>
      <c r="E816">
        <v>40</v>
      </c>
      <c r="F816">
        <v>96</v>
      </c>
      <c r="G816" s="1">
        <f>DATE(C816, CHOOSE(MATCH(UPPER(B816), {"ENERO","FEBRERO","MARZO","ABRIL","MAYO","JUNIO","JULIO","AGOSTO","SEPTIEMBRE","OCTUBRE","NOVIEMBRE","DICIEMBRE"}, 0), 1,2,3,4,5,6,7,8,9,10,11,12), A816)</f>
        <v>44466</v>
      </c>
      <c r="H816">
        <v>13.75</v>
      </c>
      <c r="I816">
        <v>40000</v>
      </c>
      <c r="J816" s="1">
        <f t="shared" si="25"/>
        <v>44281</v>
      </c>
      <c r="K816">
        <f t="shared" si="24"/>
        <v>10.75</v>
      </c>
    </row>
    <row r="817" spans="1:11" x14ac:dyDescent="0.25">
      <c r="A817">
        <v>28</v>
      </c>
      <c r="B817" t="s">
        <v>10</v>
      </c>
      <c r="C817">
        <v>2021</v>
      </c>
      <c r="D817">
        <v>96</v>
      </c>
      <c r="E817" t="s">
        <v>9</v>
      </c>
      <c r="F817">
        <v>81.75</v>
      </c>
      <c r="G817" s="1">
        <f>DATE(C817, CHOOSE(MATCH(UPPER(B817), {"ENERO","FEBRERO","MARZO","ABRIL","MAYO","JUNIO","JULIO","AGOSTO","SEPTIEMBRE","OCTUBRE","NOVIEMBRE","DICIEMBRE"}, 0), 1,2,3,4,5,6,7,8,9,10,11,12), A817)</f>
        <v>44467</v>
      </c>
      <c r="H817">
        <v>14.25</v>
      </c>
      <c r="I817">
        <v>40000</v>
      </c>
      <c r="J817" s="1">
        <f t="shared" si="25"/>
        <v>44282</v>
      </c>
      <c r="K817">
        <f t="shared" si="24"/>
        <v>31</v>
      </c>
    </row>
    <row r="818" spans="1:11" x14ac:dyDescent="0.25">
      <c r="A818">
        <v>29</v>
      </c>
      <c r="B818" t="s">
        <v>10</v>
      </c>
      <c r="C818">
        <v>2021</v>
      </c>
      <c r="D818">
        <v>81.75</v>
      </c>
      <c r="E818" t="s">
        <v>9</v>
      </c>
      <c r="F818">
        <v>64.875</v>
      </c>
      <c r="G818" s="1">
        <f>DATE(C818, CHOOSE(MATCH(UPPER(B818), {"ENERO","FEBRERO","MARZO","ABRIL","MAYO","JUNIO","JULIO","AGOSTO","SEPTIEMBRE","OCTUBRE","NOVIEMBRE","DICIEMBRE"}, 0), 1,2,3,4,5,6,7,8,9,10,11,12), A818)</f>
        <v>44468</v>
      </c>
      <c r="H818">
        <v>16.875</v>
      </c>
      <c r="I818">
        <v>40000</v>
      </c>
      <c r="J818" s="1">
        <f t="shared" si="25"/>
        <v>44283</v>
      </c>
      <c r="K818">
        <f t="shared" si="24"/>
        <v>23.125</v>
      </c>
    </row>
    <row r="819" spans="1:11" x14ac:dyDescent="0.25">
      <c r="A819">
        <v>30</v>
      </c>
      <c r="B819" t="s">
        <v>10</v>
      </c>
      <c r="C819">
        <v>2021</v>
      </c>
      <c r="D819">
        <v>64.875</v>
      </c>
      <c r="E819">
        <v>60</v>
      </c>
      <c r="F819">
        <v>104.75</v>
      </c>
      <c r="G819" s="1">
        <f>DATE(C819, CHOOSE(MATCH(UPPER(B819), {"ENERO","FEBRERO","MARZO","ABRIL","MAYO","JUNIO","JULIO","AGOSTO","SEPTIEMBRE","OCTUBRE","NOVIEMBRE","DICIEMBRE"}, 0), 1,2,3,4,5,6,7,8,9,10,11,12), A819)</f>
        <v>44469</v>
      </c>
      <c r="H819">
        <v>20.125</v>
      </c>
      <c r="I819">
        <v>40000</v>
      </c>
      <c r="J819" s="1">
        <f t="shared" si="25"/>
        <v>44284</v>
      </c>
      <c r="K819">
        <f t="shared" si="24"/>
        <v>9.75</v>
      </c>
    </row>
    <row r="820" spans="1:11" x14ac:dyDescent="0.25">
      <c r="A820">
        <v>1</v>
      </c>
      <c r="B820" t="s">
        <v>18</v>
      </c>
      <c r="C820">
        <v>2021</v>
      </c>
      <c r="D820">
        <v>104.75</v>
      </c>
      <c r="E820" t="s">
        <v>9</v>
      </c>
      <c r="F820">
        <v>78</v>
      </c>
      <c r="G820" s="1">
        <f>DATE(C820, CHOOSE(MATCH(UPPER(B820), {"ENERO","FEBRERO","MARZO","ABRIL","MAYO","JUNIO","JULIO","AGOSTO","SEPTIEMBRE","OCTUBRE","NOVIEMBRE","DICIEMBRE"}, 0), 1,2,3,4,5,6,7,8,9,10,11,12), A820)</f>
        <v>44470</v>
      </c>
      <c r="H820">
        <v>26.75</v>
      </c>
      <c r="I820">
        <v>40000</v>
      </c>
      <c r="J820" s="1">
        <f t="shared" si="25"/>
        <v>44285</v>
      </c>
      <c r="K820">
        <f t="shared" si="24"/>
        <v>10</v>
      </c>
    </row>
    <row r="821" spans="1:11" x14ac:dyDescent="0.25">
      <c r="A821">
        <v>2</v>
      </c>
      <c r="B821" t="s">
        <v>18</v>
      </c>
      <c r="C821">
        <v>2021</v>
      </c>
      <c r="D821">
        <v>78</v>
      </c>
      <c r="E821">
        <v>60</v>
      </c>
      <c r="F821">
        <v>105</v>
      </c>
      <c r="G821" s="1">
        <f>DATE(C821, CHOOSE(MATCH(UPPER(B821), {"ENERO","FEBRERO","MARZO","ABRIL","MAYO","JUNIO","JULIO","AGOSTO","SEPTIEMBRE","OCTUBRE","NOVIEMBRE","DICIEMBRE"}, 0), 1,2,3,4,5,6,7,8,9,10,11,12), A821)</f>
        <v>44471</v>
      </c>
      <c r="H821">
        <v>33</v>
      </c>
      <c r="I821">
        <v>40000</v>
      </c>
      <c r="J821" s="1">
        <f t="shared" si="25"/>
        <v>44286</v>
      </c>
      <c r="K821">
        <f t="shared" si="24"/>
        <v>19.75</v>
      </c>
    </row>
    <row r="822" spans="1:11" x14ac:dyDescent="0.25">
      <c r="A822">
        <v>3</v>
      </c>
      <c r="B822" t="s">
        <v>18</v>
      </c>
      <c r="C822">
        <v>2021</v>
      </c>
      <c r="D822">
        <v>105</v>
      </c>
      <c r="E822" t="s">
        <v>9</v>
      </c>
      <c r="F822">
        <v>62</v>
      </c>
      <c r="G822" s="1">
        <f>DATE(C822, CHOOSE(MATCH(UPPER(B822), {"ENERO","FEBRERO","MARZO","ABRIL","MAYO","JUNIO","JULIO","AGOSTO","SEPTIEMBRE","OCTUBRE","NOVIEMBRE","DICIEMBRE"}, 0), 1,2,3,4,5,6,7,8,9,10,11,12), A822)</f>
        <v>44472</v>
      </c>
      <c r="H822">
        <v>43</v>
      </c>
      <c r="I822">
        <v>40000</v>
      </c>
      <c r="J822" s="1">
        <f t="shared" si="25"/>
        <v>44287</v>
      </c>
      <c r="K822">
        <f t="shared" si="24"/>
        <v>18</v>
      </c>
    </row>
    <row r="823" spans="1:11" x14ac:dyDescent="0.25">
      <c r="A823">
        <v>4</v>
      </c>
      <c r="B823" t="s">
        <v>18</v>
      </c>
      <c r="C823">
        <v>2021</v>
      </c>
      <c r="D823">
        <v>62</v>
      </c>
      <c r="E823">
        <v>50</v>
      </c>
      <c r="F823">
        <v>98.25</v>
      </c>
      <c r="G823" s="1">
        <f>DATE(C823, CHOOSE(MATCH(UPPER(B823), {"ENERO","FEBRERO","MARZO","ABRIL","MAYO","JUNIO","JULIO","AGOSTO","SEPTIEMBRE","OCTUBRE","NOVIEMBRE","DICIEMBRE"}, 0), 1,2,3,4,5,6,7,8,9,10,11,12), A823)</f>
        <v>44473</v>
      </c>
      <c r="H823">
        <v>13.75</v>
      </c>
      <c r="I823">
        <v>40000</v>
      </c>
      <c r="J823" s="1">
        <f t="shared" si="25"/>
        <v>44288</v>
      </c>
      <c r="K823">
        <f t="shared" si="24"/>
        <v>31.25</v>
      </c>
    </row>
    <row r="824" spans="1:11" x14ac:dyDescent="0.25">
      <c r="A824">
        <v>5</v>
      </c>
      <c r="B824" t="s">
        <v>18</v>
      </c>
      <c r="C824">
        <v>2021</v>
      </c>
      <c r="D824">
        <v>98.25</v>
      </c>
      <c r="E824" t="s">
        <v>9</v>
      </c>
      <c r="F824">
        <v>84</v>
      </c>
      <c r="G824" s="1">
        <f>DATE(C824, CHOOSE(MATCH(UPPER(B824), {"ENERO","FEBRERO","MARZO","ABRIL","MAYO","JUNIO","JULIO","AGOSTO","SEPTIEMBRE","OCTUBRE","NOVIEMBRE","DICIEMBRE"}, 0), 1,2,3,4,5,6,7,8,9,10,11,12), A824)</f>
        <v>44474</v>
      </c>
      <c r="H824">
        <v>14.25</v>
      </c>
      <c r="I824">
        <v>40000</v>
      </c>
      <c r="J824" s="1">
        <f t="shared" si="25"/>
        <v>44289</v>
      </c>
      <c r="K824">
        <f t="shared" si="24"/>
        <v>18.125</v>
      </c>
    </row>
    <row r="825" spans="1:11" x14ac:dyDescent="0.25">
      <c r="A825">
        <v>6</v>
      </c>
      <c r="B825" t="s">
        <v>18</v>
      </c>
      <c r="C825">
        <v>2021</v>
      </c>
      <c r="D825">
        <v>84</v>
      </c>
      <c r="E825" t="s">
        <v>9</v>
      </c>
      <c r="F825">
        <v>64.375</v>
      </c>
      <c r="G825" s="1">
        <f>DATE(C825, CHOOSE(MATCH(UPPER(B825), {"ENERO","FEBRERO","MARZO","ABRIL","MAYO","JUNIO","JULIO","AGOSTO","SEPTIEMBRE","OCTUBRE","NOVIEMBRE","DICIEMBRE"}, 0), 1,2,3,4,5,6,7,8,9,10,11,12), A825)</f>
        <v>44475</v>
      </c>
      <c r="H825">
        <v>19.625</v>
      </c>
      <c r="I825">
        <v>40000</v>
      </c>
      <c r="J825" s="1">
        <f t="shared" si="25"/>
        <v>44290</v>
      </c>
      <c r="K825">
        <f t="shared" si="24"/>
        <v>21.75</v>
      </c>
    </row>
    <row r="826" spans="1:11" x14ac:dyDescent="0.25">
      <c r="A826">
        <v>7</v>
      </c>
      <c r="B826" t="s">
        <v>18</v>
      </c>
      <c r="C826">
        <v>2021</v>
      </c>
      <c r="D826">
        <v>64.375</v>
      </c>
      <c r="E826">
        <v>100</v>
      </c>
      <c r="F826">
        <v>146</v>
      </c>
      <c r="G826" s="1">
        <f>DATE(C826, CHOOSE(MATCH(UPPER(B826), {"ENERO","FEBRERO","MARZO","ABRIL","MAYO","JUNIO","JULIO","AGOSTO","SEPTIEMBRE","OCTUBRE","NOVIEMBRE","DICIEMBRE"}, 0), 1,2,3,4,5,6,7,8,9,10,11,12), A826)</f>
        <v>44476</v>
      </c>
      <c r="H826">
        <v>18.375</v>
      </c>
      <c r="I826">
        <v>40000</v>
      </c>
      <c r="J826" s="1">
        <f t="shared" si="25"/>
        <v>44291</v>
      </c>
      <c r="K826">
        <f t="shared" si="24"/>
        <v>8.375</v>
      </c>
    </row>
    <row r="827" spans="1:11" x14ac:dyDescent="0.25">
      <c r="A827">
        <v>8</v>
      </c>
      <c r="B827" t="s">
        <v>18</v>
      </c>
      <c r="C827">
        <v>2021</v>
      </c>
      <c r="D827">
        <v>146</v>
      </c>
      <c r="E827" t="s">
        <v>9</v>
      </c>
      <c r="F827">
        <v>117.5</v>
      </c>
      <c r="G827" s="1">
        <f>DATE(C827, CHOOSE(MATCH(UPPER(B827), {"ENERO","FEBRERO","MARZO","ABRIL","MAYO","JUNIO","JULIO","AGOSTO","SEPTIEMBRE","OCTUBRE","NOVIEMBRE","DICIEMBRE"}, 0), 1,2,3,4,5,6,7,8,9,10,11,12), A827)</f>
        <v>44477</v>
      </c>
      <c r="H827">
        <v>28.5</v>
      </c>
      <c r="I827">
        <v>40000</v>
      </c>
      <c r="J827" s="1">
        <f t="shared" si="25"/>
        <v>44292</v>
      </c>
      <c r="K827">
        <f t="shared" si="24"/>
        <v>9</v>
      </c>
    </row>
    <row r="828" spans="1:11" x14ac:dyDescent="0.25">
      <c r="A828">
        <v>9</v>
      </c>
      <c r="B828" t="s">
        <v>18</v>
      </c>
      <c r="C828">
        <v>2021</v>
      </c>
      <c r="D828">
        <v>117.5</v>
      </c>
      <c r="E828">
        <v>60</v>
      </c>
      <c r="F828">
        <v>145.5</v>
      </c>
      <c r="G828" s="1">
        <f>DATE(C828, CHOOSE(MATCH(UPPER(B828), {"ENERO","FEBRERO","MARZO","ABRIL","MAYO","JUNIO","JULIO","AGOSTO","SEPTIEMBRE","OCTUBRE","NOVIEMBRE","DICIEMBRE"}, 0), 1,2,3,4,5,6,7,8,9,10,11,12), A828)</f>
        <v>44478</v>
      </c>
      <c r="H828">
        <v>32</v>
      </c>
      <c r="I828">
        <v>40000</v>
      </c>
      <c r="J828" s="1">
        <f t="shared" si="25"/>
        <v>44293</v>
      </c>
      <c r="K828">
        <f t="shared" si="24"/>
        <v>9</v>
      </c>
    </row>
    <row r="829" spans="1:11" x14ac:dyDescent="0.25">
      <c r="A829">
        <v>10</v>
      </c>
      <c r="B829" t="s">
        <v>18</v>
      </c>
      <c r="C829">
        <v>2021</v>
      </c>
      <c r="D829">
        <v>145.5</v>
      </c>
      <c r="E829" t="s">
        <v>9</v>
      </c>
      <c r="F829">
        <v>114</v>
      </c>
      <c r="G829" s="1">
        <f>DATE(C829, CHOOSE(MATCH(UPPER(B829), {"ENERO","FEBRERO","MARZO","ABRIL","MAYO","JUNIO","JULIO","AGOSTO","SEPTIEMBRE","OCTUBRE","NOVIEMBRE","DICIEMBRE"}, 0), 1,2,3,4,5,6,7,8,9,10,11,12), A829)</f>
        <v>44479</v>
      </c>
      <c r="H829">
        <v>31.5</v>
      </c>
      <c r="I829">
        <v>40000</v>
      </c>
      <c r="J829" s="1">
        <f t="shared" si="25"/>
        <v>44294</v>
      </c>
      <c r="K829">
        <f t="shared" si="24"/>
        <v>9.75</v>
      </c>
    </row>
    <row r="830" spans="1:11" x14ac:dyDescent="0.25">
      <c r="A830">
        <v>11</v>
      </c>
      <c r="B830" t="s">
        <v>18</v>
      </c>
      <c r="C830">
        <v>2021</v>
      </c>
      <c r="D830">
        <v>114</v>
      </c>
      <c r="E830">
        <v>20</v>
      </c>
      <c r="F830">
        <v>113</v>
      </c>
      <c r="G830" s="1">
        <f>DATE(C830, CHOOSE(MATCH(UPPER(B830), {"ENERO","FEBRERO","MARZO","ABRIL","MAYO","JUNIO","JULIO","AGOSTO","SEPTIEMBRE","OCTUBRE","NOVIEMBRE","DICIEMBRE"}, 0), 1,2,3,4,5,6,7,8,9,10,11,12), A830)</f>
        <v>44480</v>
      </c>
      <c r="H830">
        <v>21</v>
      </c>
      <c r="I830">
        <v>40000</v>
      </c>
      <c r="J830" s="1">
        <f t="shared" si="25"/>
        <v>44295</v>
      </c>
      <c r="K830">
        <f t="shared" si="24"/>
        <v>12.375</v>
      </c>
    </row>
    <row r="831" spans="1:11" x14ac:dyDescent="0.25">
      <c r="A831">
        <v>12</v>
      </c>
      <c r="B831" t="s">
        <v>18</v>
      </c>
      <c r="C831">
        <v>2021</v>
      </c>
      <c r="D831">
        <v>113</v>
      </c>
      <c r="E831" t="s">
        <v>9</v>
      </c>
      <c r="F831">
        <v>90.25</v>
      </c>
      <c r="G831" s="1">
        <f>DATE(C831, CHOOSE(MATCH(UPPER(B831), {"ENERO","FEBRERO","MARZO","ABRIL","MAYO","JUNIO","JULIO","AGOSTO","SEPTIEMBRE","OCTUBRE","NOVIEMBRE","DICIEMBRE"}, 0), 1,2,3,4,5,6,7,8,9,10,11,12), A831)</f>
        <v>44481</v>
      </c>
      <c r="H831">
        <v>22.75</v>
      </c>
      <c r="I831">
        <v>40000</v>
      </c>
      <c r="J831" s="1">
        <f t="shared" si="25"/>
        <v>44296</v>
      </c>
      <c r="K831">
        <f t="shared" si="24"/>
        <v>18.875</v>
      </c>
    </row>
    <row r="832" spans="1:11" x14ac:dyDescent="0.25">
      <c r="A832">
        <v>13</v>
      </c>
      <c r="B832" t="s">
        <v>18</v>
      </c>
      <c r="C832">
        <v>2021</v>
      </c>
      <c r="D832">
        <v>90.25</v>
      </c>
      <c r="E832" t="s">
        <v>9</v>
      </c>
      <c r="F832">
        <v>62.5</v>
      </c>
      <c r="G832" s="1">
        <f>DATE(C832, CHOOSE(MATCH(UPPER(B832), {"ENERO","FEBRERO","MARZO","ABRIL","MAYO","JUNIO","JULIO","AGOSTO","SEPTIEMBRE","OCTUBRE","NOVIEMBRE","DICIEMBRE"}, 0), 1,2,3,4,5,6,7,8,9,10,11,12), A832)</f>
        <v>44482</v>
      </c>
      <c r="H832">
        <v>27.75</v>
      </c>
      <c r="I832">
        <v>48000</v>
      </c>
      <c r="J832" s="1">
        <f t="shared" si="25"/>
        <v>44297</v>
      </c>
      <c r="K832">
        <f t="shared" si="24"/>
        <v>19.25</v>
      </c>
    </row>
    <row r="833" spans="1:11" x14ac:dyDescent="0.25">
      <c r="A833">
        <v>14</v>
      </c>
      <c r="B833" t="s">
        <v>18</v>
      </c>
      <c r="C833">
        <v>2021</v>
      </c>
      <c r="D833">
        <v>62.5</v>
      </c>
      <c r="E833">
        <v>80</v>
      </c>
      <c r="F833">
        <v>119</v>
      </c>
      <c r="G833" s="1">
        <f>DATE(C833, CHOOSE(MATCH(UPPER(B833), {"ENERO","FEBRERO","MARZO","ABRIL","MAYO","JUNIO","JULIO","AGOSTO","SEPTIEMBRE","OCTUBRE","NOVIEMBRE","DICIEMBRE"}, 0), 1,2,3,4,5,6,7,8,9,10,11,12), A833)</f>
        <v>44483</v>
      </c>
      <c r="H833">
        <v>23.5</v>
      </c>
      <c r="I833">
        <v>48000</v>
      </c>
      <c r="J833" s="1">
        <f t="shared" si="25"/>
        <v>44298</v>
      </c>
      <c r="K833">
        <f t="shared" si="24"/>
        <v>8.125</v>
      </c>
    </row>
    <row r="834" spans="1:11" x14ac:dyDescent="0.25">
      <c r="A834">
        <v>15</v>
      </c>
      <c r="B834" t="s">
        <v>18</v>
      </c>
      <c r="C834">
        <v>2021</v>
      </c>
      <c r="D834">
        <v>119</v>
      </c>
      <c r="E834" t="s">
        <v>9</v>
      </c>
      <c r="F834">
        <v>88.5</v>
      </c>
      <c r="G834" s="1">
        <f>DATE(C834, CHOOSE(MATCH(UPPER(B834), {"ENERO","FEBRERO","MARZO","ABRIL","MAYO","JUNIO","JULIO","AGOSTO","SEPTIEMBRE","OCTUBRE","NOVIEMBRE","DICIEMBRE"}, 0), 1,2,3,4,5,6,7,8,9,10,11,12), A834)</f>
        <v>44484</v>
      </c>
      <c r="H834">
        <v>30.5</v>
      </c>
      <c r="I834">
        <v>48000</v>
      </c>
      <c r="J834" s="1">
        <f t="shared" si="25"/>
        <v>44299</v>
      </c>
      <c r="K834">
        <f t="shared" ref="K834:K897" si="26">VLOOKUP(J834, G:H, 2, FALSE)</f>
        <v>9.375</v>
      </c>
    </row>
    <row r="835" spans="1:11" x14ac:dyDescent="0.25">
      <c r="A835">
        <v>16</v>
      </c>
      <c r="B835" t="s">
        <v>18</v>
      </c>
      <c r="C835">
        <v>2021</v>
      </c>
      <c r="D835">
        <v>88.5</v>
      </c>
      <c r="E835">
        <v>40</v>
      </c>
      <c r="F835">
        <v>82</v>
      </c>
      <c r="G835" s="1">
        <f>DATE(C835, CHOOSE(MATCH(UPPER(B835), {"ENERO","FEBRERO","MARZO","ABRIL","MAYO","JUNIO","JULIO","AGOSTO","SEPTIEMBRE","OCTUBRE","NOVIEMBRE","DICIEMBRE"}, 0), 1,2,3,4,5,6,7,8,9,10,11,12), A835)</f>
        <v>44485</v>
      </c>
      <c r="H835">
        <v>46.5</v>
      </c>
      <c r="I835">
        <v>48000</v>
      </c>
      <c r="J835" s="1">
        <f t="shared" si="25"/>
        <v>44300</v>
      </c>
      <c r="K835">
        <f t="shared" si="26"/>
        <v>5.75</v>
      </c>
    </row>
    <row r="836" spans="1:11" x14ac:dyDescent="0.25">
      <c r="A836">
        <v>17</v>
      </c>
      <c r="B836" t="s">
        <v>18</v>
      </c>
      <c r="C836">
        <v>2021</v>
      </c>
      <c r="D836">
        <v>82</v>
      </c>
      <c r="E836" t="s">
        <v>9</v>
      </c>
      <c r="F836">
        <v>31</v>
      </c>
      <c r="G836" s="1">
        <f>DATE(C836, CHOOSE(MATCH(UPPER(B836), {"ENERO","FEBRERO","MARZO","ABRIL","MAYO","JUNIO","JULIO","AGOSTO","SEPTIEMBRE","OCTUBRE","NOVIEMBRE","DICIEMBRE"}, 0), 1,2,3,4,5,6,7,8,9,10,11,12), A836)</f>
        <v>44486</v>
      </c>
      <c r="H836">
        <v>51</v>
      </c>
      <c r="I836">
        <v>48000</v>
      </c>
      <c r="J836" s="1">
        <f t="shared" ref="J836:J899" si="27">DATE(2019,1,1) + ROW()-1</f>
        <v>44301</v>
      </c>
      <c r="K836">
        <f t="shared" si="26"/>
        <v>8.25</v>
      </c>
    </row>
    <row r="837" spans="1:11" x14ac:dyDescent="0.25">
      <c r="A837">
        <v>18</v>
      </c>
      <c r="B837" t="s">
        <v>18</v>
      </c>
      <c r="C837">
        <v>2021</v>
      </c>
      <c r="D837">
        <v>31</v>
      </c>
      <c r="E837">
        <v>99</v>
      </c>
      <c r="F837">
        <v>88</v>
      </c>
      <c r="G837" s="1">
        <f>DATE(C837, CHOOSE(MATCH(UPPER(B837), {"ENERO","FEBRERO","MARZO","ABRIL","MAYO","JUNIO","JULIO","AGOSTO","SEPTIEMBRE","OCTUBRE","NOVIEMBRE","DICIEMBRE"}, 0), 1,2,3,4,5,6,7,8,9,10,11,12), A837)</f>
        <v>44487</v>
      </c>
      <c r="H837">
        <v>42</v>
      </c>
      <c r="I837">
        <v>48000</v>
      </c>
      <c r="J837" s="1">
        <f t="shared" si="27"/>
        <v>44302</v>
      </c>
      <c r="K837">
        <f t="shared" si="26"/>
        <v>17</v>
      </c>
    </row>
    <row r="838" spans="1:11" x14ac:dyDescent="0.25">
      <c r="A838">
        <v>19</v>
      </c>
      <c r="B838" t="s">
        <v>18</v>
      </c>
      <c r="C838">
        <v>2021</v>
      </c>
      <c r="D838">
        <v>88</v>
      </c>
      <c r="E838" t="s">
        <v>9</v>
      </c>
      <c r="F838">
        <v>72.5</v>
      </c>
      <c r="G838" s="1">
        <f>DATE(C838, CHOOSE(MATCH(UPPER(B838), {"ENERO","FEBRERO","MARZO","ABRIL","MAYO","JUNIO","JULIO","AGOSTO","SEPTIEMBRE","OCTUBRE","NOVIEMBRE","DICIEMBRE"}, 0), 1,2,3,4,5,6,7,8,9,10,11,12), A838)</f>
        <v>44488</v>
      </c>
      <c r="H838">
        <v>15.5</v>
      </c>
      <c r="I838">
        <v>48000</v>
      </c>
      <c r="J838" s="1">
        <f t="shared" si="27"/>
        <v>44303</v>
      </c>
      <c r="K838">
        <f t="shared" si="26"/>
        <v>19.25</v>
      </c>
    </row>
    <row r="839" spans="1:11" x14ac:dyDescent="0.25">
      <c r="A839">
        <v>20</v>
      </c>
      <c r="B839" t="s">
        <v>18</v>
      </c>
      <c r="C839">
        <v>2021</v>
      </c>
      <c r="D839">
        <v>72.5</v>
      </c>
      <c r="E839" t="s">
        <v>9</v>
      </c>
      <c r="F839">
        <v>52.25</v>
      </c>
      <c r="G839" s="1">
        <f>DATE(C839, CHOOSE(MATCH(UPPER(B839), {"ENERO","FEBRERO","MARZO","ABRIL","MAYO","JUNIO","JULIO","AGOSTO","SEPTIEMBRE","OCTUBRE","NOVIEMBRE","DICIEMBRE"}, 0), 1,2,3,4,5,6,7,8,9,10,11,12), A839)</f>
        <v>44489</v>
      </c>
      <c r="H839">
        <v>20.25</v>
      </c>
      <c r="I839">
        <v>48000</v>
      </c>
      <c r="J839" s="1">
        <f t="shared" si="27"/>
        <v>44304</v>
      </c>
      <c r="K839">
        <f t="shared" si="26"/>
        <v>30</v>
      </c>
    </row>
    <row r="840" spans="1:11" x14ac:dyDescent="0.25">
      <c r="A840">
        <v>21</v>
      </c>
      <c r="B840" t="s">
        <v>18</v>
      </c>
      <c r="C840">
        <v>2021</v>
      </c>
      <c r="D840">
        <v>52.25</v>
      </c>
      <c r="E840">
        <v>120</v>
      </c>
      <c r="F840">
        <v>161.5</v>
      </c>
      <c r="G840" s="1">
        <f>DATE(C840, CHOOSE(MATCH(UPPER(B840), {"ENERO","FEBRERO","MARZO","ABRIL","MAYO","JUNIO","JULIO","AGOSTO","SEPTIEMBRE","OCTUBRE","NOVIEMBRE","DICIEMBRE"}, 0), 1,2,3,4,5,6,7,8,9,10,11,12), A840)</f>
        <v>44490</v>
      </c>
      <c r="H840">
        <v>10.75</v>
      </c>
      <c r="I840">
        <v>48000</v>
      </c>
      <c r="J840" s="1">
        <f t="shared" si="27"/>
        <v>44305</v>
      </c>
      <c r="K840">
        <f t="shared" si="26"/>
        <v>8.625</v>
      </c>
    </row>
    <row r="841" spans="1:11" x14ac:dyDescent="0.25">
      <c r="A841">
        <v>22</v>
      </c>
      <c r="B841" t="s">
        <v>18</v>
      </c>
      <c r="C841">
        <v>2021</v>
      </c>
      <c r="D841">
        <v>161.5</v>
      </c>
      <c r="E841" t="s">
        <v>9</v>
      </c>
      <c r="F841">
        <v>136.5</v>
      </c>
      <c r="G841" s="1">
        <f>DATE(C841, CHOOSE(MATCH(UPPER(B841), {"ENERO","FEBRERO","MARZO","ABRIL","MAYO","JUNIO","JULIO","AGOSTO","SEPTIEMBRE","OCTUBRE","NOVIEMBRE","DICIEMBRE"}, 0), 1,2,3,4,5,6,7,8,9,10,11,12), A841)</f>
        <v>44491</v>
      </c>
      <c r="H841">
        <v>25</v>
      </c>
      <c r="I841">
        <v>48000</v>
      </c>
      <c r="J841" s="1">
        <f t="shared" si="27"/>
        <v>44306</v>
      </c>
      <c r="K841">
        <f t="shared" si="26"/>
        <v>9.875</v>
      </c>
    </row>
    <row r="842" spans="1:11" x14ac:dyDescent="0.25">
      <c r="A842">
        <v>23</v>
      </c>
      <c r="B842" t="s">
        <v>18</v>
      </c>
      <c r="C842">
        <v>2021</v>
      </c>
      <c r="D842">
        <v>136.5</v>
      </c>
      <c r="E842" t="s">
        <v>9</v>
      </c>
      <c r="F842">
        <v>95.75</v>
      </c>
      <c r="G842" s="1">
        <f>DATE(C842, CHOOSE(MATCH(UPPER(B842), {"ENERO","FEBRERO","MARZO","ABRIL","MAYO","JUNIO","JULIO","AGOSTO","SEPTIEMBRE","OCTUBRE","NOVIEMBRE","DICIEMBRE"}, 0), 1,2,3,4,5,6,7,8,9,10,11,12), A842)</f>
        <v>44492</v>
      </c>
      <c r="H842">
        <v>40.75</v>
      </c>
      <c r="I842">
        <v>48000</v>
      </c>
      <c r="J842" s="1">
        <f t="shared" si="27"/>
        <v>44307</v>
      </c>
      <c r="K842">
        <f t="shared" si="26"/>
        <v>9.25</v>
      </c>
    </row>
    <row r="843" spans="1:11" x14ac:dyDescent="0.25">
      <c r="A843">
        <v>24</v>
      </c>
      <c r="B843" t="s">
        <v>18</v>
      </c>
      <c r="C843">
        <v>2021</v>
      </c>
      <c r="D843">
        <v>95.75</v>
      </c>
      <c r="E843">
        <v>60</v>
      </c>
      <c r="F843">
        <v>119.5</v>
      </c>
      <c r="G843" s="1">
        <f>DATE(C843, CHOOSE(MATCH(UPPER(B843), {"ENERO","FEBRERO","MARZO","ABRIL","MAYO","JUNIO","JULIO","AGOSTO","SEPTIEMBRE","OCTUBRE","NOVIEMBRE","DICIEMBRE"}, 0), 1,2,3,4,5,6,7,8,9,10,11,12), A843)</f>
        <v>44493</v>
      </c>
      <c r="H843">
        <v>36.25</v>
      </c>
      <c r="I843">
        <v>48000</v>
      </c>
      <c r="J843" s="1">
        <f t="shared" si="27"/>
        <v>44308</v>
      </c>
      <c r="K843">
        <f t="shared" si="26"/>
        <v>12.125</v>
      </c>
    </row>
    <row r="844" spans="1:11" x14ac:dyDescent="0.25">
      <c r="A844">
        <v>25</v>
      </c>
      <c r="B844" t="s">
        <v>18</v>
      </c>
      <c r="C844">
        <v>2021</v>
      </c>
      <c r="D844">
        <v>119.5</v>
      </c>
      <c r="E844" t="s">
        <v>9</v>
      </c>
      <c r="F844">
        <v>105.75</v>
      </c>
      <c r="G844" s="1">
        <f>DATE(C844, CHOOSE(MATCH(UPPER(B844), {"ENERO","FEBRERO","MARZO","ABRIL","MAYO","JUNIO","JULIO","AGOSTO","SEPTIEMBRE","OCTUBRE","NOVIEMBRE","DICIEMBRE"}, 0), 1,2,3,4,5,6,7,8,9,10,11,12), A844)</f>
        <v>44494</v>
      </c>
      <c r="H844">
        <v>13.75</v>
      </c>
      <c r="I844">
        <v>48000</v>
      </c>
      <c r="J844" s="1">
        <f t="shared" si="27"/>
        <v>44309</v>
      </c>
      <c r="K844">
        <f t="shared" si="26"/>
        <v>9.125</v>
      </c>
    </row>
    <row r="845" spans="1:11" x14ac:dyDescent="0.25">
      <c r="A845">
        <v>26</v>
      </c>
      <c r="B845" t="s">
        <v>18</v>
      </c>
      <c r="C845">
        <v>2021</v>
      </c>
      <c r="D845">
        <v>105.75</v>
      </c>
      <c r="E845">
        <v>70</v>
      </c>
      <c r="F845">
        <v>165.75</v>
      </c>
      <c r="G845" s="1">
        <f>DATE(C845, CHOOSE(MATCH(UPPER(B845), {"ENERO","FEBRERO","MARZO","ABRIL","MAYO","JUNIO","JULIO","AGOSTO","SEPTIEMBRE","OCTUBRE","NOVIEMBRE","DICIEMBRE"}, 0), 1,2,3,4,5,6,7,8,9,10,11,12), A845)</f>
        <v>44495</v>
      </c>
      <c r="H845">
        <v>10</v>
      </c>
      <c r="I845">
        <v>48000</v>
      </c>
      <c r="J845" s="1">
        <f t="shared" si="27"/>
        <v>44310</v>
      </c>
      <c r="K845">
        <f t="shared" si="26"/>
        <v>28.5</v>
      </c>
    </row>
    <row r="846" spans="1:11" x14ac:dyDescent="0.25">
      <c r="A846">
        <v>27</v>
      </c>
      <c r="B846" t="s">
        <v>18</v>
      </c>
      <c r="C846">
        <v>2021</v>
      </c>
      <c r="D846">
        <v>165.75</v>
      </c>
      <c r="E846" t="s">
        <v>9</v>
      </c>
      <c r="F846">
        <v>146.25</v>
      </c>
      <c r="G846" s="1">
        <f>DATE(C846, CHOOSE(MATCH(UPPER(B846), {"ENERO","FEBRERO","MARZO","ABRIL","MAYO","JUNIO","JULIO","AGOSTO","SEPTIEMBRE","OCTUBRE","NOVIEMBRE","DICIEMBRE"}, 0), 1,2,3,4,5,6,7,8,9,10,11,12), A846)</f>
        <v>44496</v>
      </c>
      <c r="H846">
        <v>19.5</v>
      </c>
      <c r="I846">
        <v>48000</v>
      </c>
      <c r="J846" s="1">
        <f t="shared" si="27"/>
        <v>44311</v>
      </c>
      <c r="K846">
        <f t="shared" si="26"/>
        <v>21</v>
      </c>
    </row>
    <row r="847" spans="1:11" x14ac:dyDescent="0.25">
      <c r="A847">
        <v>28</v>
      </c>
      <c r="B847" t="s">
        <v>18</v>
      </c>
      <c r="C847">
        <v>2021</v>
      </c>
      <c r="D847">
        <v>146.25</v>
      </c>
      <c r="E847">
        <v>120</v>
      </c>
      <c r="F847">
        <v>252.25</v>
      </c>
      <c r="G847" s="1">
        <f>DATE(C847, CHOOSE(MATCH(UPPER(B847), {"ENERO","FEBRERO","MARZO","ABRIL","MAYO","JUNIO","JULIO","AGOSTO","SEPTIEMBRE","OCTUBRE","NOVIEMBRE","DICIEMBRE"}, 0), 1,2,3,4,5,6,7,8,9,10,11,12), A847)</f>
        <v>44497</v>
      </c>
      <c r="H847">
        <v>14</v>
      </c>
      <c r="I847">
        <v>48000</v>
      </c>
      <c r="J847" s="1">
        <f t="shared" si="27"/>
        <v>44312</v>
      </c>
      <c r="K847">
        <f t="shared" si="26"/>
        <v>7</v>
      </c>
    </row>
    <row r="848" spans="1:11" x14ac:dyDescent="0.25">
      <c r="A848">
        <v>29</v>
      </c>
      <c r="B848" t="s">
        <v>18</v>
      </c>
      <c r="C848">
        <v>2021</v>
      </c>
      <c r="D848">
        <v>252.25</v>
      </c>
      <c r="E848" t="s">
        <v>9</v>
      </c>
      <c r="F848">
        <v>223.75</v>
      </c>
      <c r="G848" s="1">
        <f>DATE(C848, CHOOSE(MATCH(UPPER(B848), {"ENERO","FEBRERO","MARZO","ABRIL","MAYO","JUNIO","JULIO","AGOSTO","SEPTIEMBRE","OCTUBRE","NOVIEMBRE","DICIEMBRE"}, 0), 1,2,3,4,5,6,7,8,9,10,11,12), A848)</f>
        <v>44498</v>
      </c>
      <c r="H848">
        <v>28.5</v>
      </c>
      <c r="I848">
        <v>48000</v>
      </c>
      <c r="J848" s="1">
        <f t="shared" si="27"/>
        <v>44313</v>
      </c>
      <c r="K848">
        <f t="shared" si="26"/>
        <v>6.75</v>
      </c>
    </row>
    <row r="849" spans="1:11" x14ac:dyDescent="0.25">
      <c r="A849">
        <v>30</v>
      </c>
      <c r="B849" t="s">
        <v>18</v>
      </c>
      <c r="C849">
        <v>2021</v>
      </c>
      <c r="D849">
        <v>223.75</v>
      </c>
      <c r="E849">
        <v>70</v>
      </c>
      <c r="F849">
        <v>253.25</v>
      </c>
      <c r="G849" s="1">
        <f>DATE(C849, CHOOSE(MATCH(UPPER(B849), {"ENERO","FEBRERO","MARZO","ABRIL","MAYO","JUNIO","JULIO","AGOSTO","SEPTIEMBRE","OCTUBRE","NOVIEMBRE","DICIEMBRE"}, 0), 1,2,3,4,5,6,7,8,9,10,11,12), A849)</f>
        <v>44499</v>
      </c>
      <c r="H849">
        <v>40.5</v>
      </c>
      <c r="I849">
        <v>48000</v>
      </c>
      <c r="J849" s="1">
        <f t="shared" si="27"/>
        <v>44314</v>
      </c>
      <c r="K849">
        <f t="shared" si="26"/>
        <v>3</v>
      </c>
    </row>
    <row r="850" spans="1:11" x14ac:dyDescent="0.25">
      <c r="A850">
        <v>31</v>
      </c>
      <c r="B850" t="s">
        <v>18</v>
      </c>
      <c r="C850">
        <v>2021</v>
      </c>
      <c r="D850">
        <v>253.25</v>
      </c>
      <c r="E850" t="s">
        <v>9</v>
      </c>
      <c r="F850">
        <v>154.5</v>
      </c>
      <c r="G850" s="1">
        <f>DATE(C850, CHOOSE(MATCH(UPPER(B850), {"ENERO","FEBRERO","MARZO","ABRIL","MAYO","JUNIO","JULIO","AGOSTO","SEPTIEMBRE","OCTUBRE","NOVIEMBRE","DICIEMBRE"}, 0), 1,2,3,4,5,6,7,8,9,10,11,12), A850)</f>
        <v>44500</v>
      </c>
      <c r="H850">
        <v>98.75</v>
      </c>
      <c r="I850">
        <v>48000</v>
      </c>
      <c r="J850" s="1">
        <f t="shared" si="27"/>
        <v>44315</v>
      </c>
      <c r="K850">
        <f t="shared" si="26"/>
        <v>4.5</v>
      </c>
    </row>
    <row r="851" spans="1:11" x14ac:dyDescent="0.25">
      <c r="A851">
        <v>1</v>
      </c>
      <c r="B851" t="s">
        <v>19</v>
      </c>
      <c r="C851">
        <v>2021</v>
      </c>
      <c r="D851">
        <v>154.5</v>
      </c>
      <c r="E851" t="s">
        <v>9</v>
      </c>
      <c r="F851">
        <v>107.375</v>
      </c>
      <c r="G851" s="1">
        <f>DATE(C851, CHOOSE(MATCH(UPPER(B851), {"ENERO","FEBRERO","MARZO","ABRIL","MAYO","JUNIO","JULIO","AGOSTO","SEPTIEMBRE","OCTUBRE","NOVIEMBRE","DICIEMBRE"}, 0), 1,2,3,4,5,6,7,8,9,10,11,12), A851)</f>
        <v>44501</v>
      </c>
      <c r="H851">
        <v>47.125</v>
      </c>
      <c r="I851">
        <v>48000</v>
      </c>
      <c r="J851" s="1">
        <f t="shared" si="27"/>
        <v>44316</v>
      </c>
      <c r="K851">
        <f t="shared" si="26"/>
        <v>6.75</v>
      </c>
    </row>
    <row r="852" spans="1:11" x14ac:dyDescent="0.25">
      <c r="A852">
        <v>2</v>
      </c>
      <c r="B852" t="s">
        <v>19</v>
      </c>
      <c r="C852">
        <v>2021</v>
      </c>
      <c r="D852">
        <v>107.375</v>
      </c>
      <c r="E852" t="s">
        <v>9</v>
      </c>
      <c r="F852">
        <v>89.875</v>
      </c>
      <c r="G852" s="1">
        <f>DATE(C852, CHOOSE(MATCH(UPPER(B852), {"ENERO","FEBRERO","MARZO","ABRIL","MAYO","JUNIO","JULIO","AGOSTO","SEPTIEMBRE","OCTUBRE","NOVIEMBRE","DICIEMBRE"}, 0), 1,2,3,4,5,6,7,8,9,10,11,12), A852)</f>
        <v>44502</v>
      </c>
      <c r="H852">
        <v>17.5</v>
      </c>
      <c r="I852">
        <v>48000</v>
      </c>
      <c r="J852" s="1">
        <f t="shared" si="27"/>
        <v>44317</v>
      </c>
      <c r="K852">
        <f t="shared" si="26"/>
        <v>17.25</v>
      </c>
    </row>
    <row r="853" spans="1:11" x14ac:dyDescent="0.25">
      <c r="A853">
        <v>3</v>
      </c>
      <c r="B853" t="s">
        <v>19</v>
      </c>
      <c r="C853">
        <v>2021</v>
      </c>
      <c r="D853">
        <v>89.875</v>
      </c>
      <c r="E853">
        <v>90</v>
      </c>
      <c r="F853">
        <v>158</v>
      </c>
      <c r="G853" s="1">
        <f>DATE(C853, CHOOSE(MATCH(UPPER(B853), {"ENERO","FEBRERO","MARZO","ABRIL","MAYO","JUNIO","JULIO","AGOSTO","SEPTIEMBRE","OCTUBRE","NOVIEMBRE","DICIEMBRE"}, 0), 1,2,3,4,5,6,7,8,9,10,11,12), A853)</f>
        <v>44503</v>
      </c>
      <c r="H853">
        <v>21.875</v>
      </c>
      <c r="I853">
        <v>48000</v>
      </c>
      <c r="J853" s="1">
        <f t="shared" si="27"/>
        <v>44318</v>
      </c>
      <c r="K853">
        <f t="shared" si="26"/>
        <v>13.875</v>
      </c>
    </row>
    <row r="854" spans="1:11" x14ac:dyDescent="0.25">
      <c r="A854">
        <v>4</v>
      </c>
      <c r="B854" t="s">
        <v>19</v>
      </c>
      <c r="C854">
        <v>2021</v>
      </c>
      <c r="D854">
        <v>158</v>
      </c>
      <c r="E854" t="s">
        <v>9</v>
      </c>
      <c r="F854">
        <v>142</v>
      </c>
      <c r="G854" s="1">
        <f>DATE(C854, CHOOSE(MATCH(UPPER(B854), {"ENERO","FEBRERO","MARZO","ABRIL","MAYO","JUNIO","JULIO","AGOSTO","SEPTIEMBRE","OCTUBRE","NOVIEMBRE","DICIEMBRE"}, 0), 1,2,3,4,5,6,7,8,9,10,11,12), A854)</f>
        <v>44504</v>
      </c>
      <c r="H854">
        <v>16</v>
      </c>
      <c r="I854">
        <v>48000</v>
      </c>
      <c r="J854" s="1">
        <f t="shared" si="27"/>
        <v>44319</v>
      </c>
      <c r="K854">
        <f t="shared" si="26"/>
        <v>0</v>
      </c>
    </row>
    <row r="855" spans="1:11" x14ac:dyDescent="0.25">
      <c r="A855">
        <v>5</v>
      </c>
      <c r="B855" t="s">
        <v>19</v>
      </c>
      <c r="C855">
        <v>2021</v>
      </c>
      <c r="D855">
        <v>142</v>
      </c>
      <c r="E855" t="s">
        <v>9</v>
      </c>
      <c r="F855">
        <v>118.25</v>
      </c>
      <c r="G855" s="1">
        <f>DATE(C855, CHOOSE(MATCH(UPPER(B855), {"ENERO","FEBRERO","MARZO","ABRIL","MAYO","JUNIO","JULIO","AGOSTO","SEPTIEMBRE","OCTUBRE","NOVIEMBRE","DICIEMBRE"}, 0), 1,2,3,4,5,6,7,8,9,10,11,12), A855)</f>
        <v>44505</v>
      </c>
      <c r="H855">
        <v>23.75</v>
      </c>
      <c r="I855">
        <v>48000</v>
      </c>
      <c r="J855" s="1">
        <f t="shared" si="27"/>
        <v>44320</v>
      </c>
      <c r="K855">
        <f t="shared" si="26"/>
        <v>6.5</v>
      </c>
    </row>
    <row r="856" spans="1:11" x14ac:dyDescent="0.25">
      <c r="A856">
        <v>6</v>
      </c>
      <c r="B856" t="s">
        <v>19</v>
      </c>
      <c r="C856">
        <v>2021</v>
      </c>
      <c r="D856">
        <v>118.25</v>
      </c>
      <c r="E856">
        <v>64</v>
      </c>
      <c r="F856">
        <v>140.07499999999999</v>
      </c>
      <c r="G856" s="1">
        <f>DATE(C856, CHOOSE(MATCH(UPPER(B856), {"ENERO","FEBRERO","MARZO","ABRIL","MAYO","JUNIO","JULIO","AGOSTO","SEPTIEMBRE","OCTUBRE","NOVIEMBRE","DICIEMBRE"}, 0), 1,2,3,4,5,6,7,8,9,10,11,12), A856)</f>
        <v>44506</v>
      </c>
      <c r="H856">
        <v>42.174999999999997</v>
      </c>
      <c r="I856">
        <v>48000</v>
      </c>
      <c r="J856" s="1">
        <f t="shared" si="27"/>
        <v>44321</v>
      </c>
      <c r="K856">
        <f t="shared" si="26"/>
        <v>0</v>
      </c>
    </row>
    <row r="857" spans="1:11" x14ac:dyDescent="0.25">
      <c r="A857">
        <v>7</v>
      </c>
      <c r="B857" t="s">
        <v>19</v>
      </c>
      <c r="C857">
        <v>2021</v>
      </c>
      <c r="D857">
        <v>140.07499999999999</v>
      </c>
      <c r="E857" t="s">
        <v>9</v>
      </c>
      <c r="F857">
        <v>92.75</v>
      </c>
      <c r="G857" s="1">
        <f>DATE(C857, CHOOSE(MATCH(UPPER(B857), {"ENERO","FEBRERO","MARZO","ABRIL","MAYO","JUNIO","JULIO","AGOSTO","SEPTIEMBRE","OCTUBRE","NOVIEMBRE","DICIEMBRE"}, 0), 1,2,3,4,5,6,7,8,9,10,11,12), A857)</f>
        <v>44507</v>
      </c>
      <c r="H857">
        <v>47.325000000000003</v>
      </c>
      <c r="I857">
        <v>48000</v>
      </c>
      <c r="J857" s="1">
        <f t="shared" si="27"/>
        <v>44322</v>
      </c>
      <c r="K857">
        <f t="shared" si="26"/>
        <v>8.5</v>
      </c>
    </row>
    <row r="858" spans="1:11" x14ac:dyDescent="0.25">
      <c r="A858">
        <v>8</v>
      </c>
      <c r="B858" t="s">
        <v>19</v>
      </c>
      <c r="C858">
        <v>2021</v>
      </c>
      <c r="D858">
        <v>92.75</v>
      </c>
      <c r="E858">
        <v>50</v>
      </c>
      <c r="F858">
        <v>134.5</v>
      </c>
      <c r="G858" s="1">
        <f>DATE(C858, CHOOSE(MATCH(UPPER(B858), {"ENERO","FEBRERO","MARZO","ABRIL","MAYO","JUNIO","JULIO","AGOSTO","SEPTIEMBRE","OCTUBRE","NOVIEMBRE","DICIEMBRE"}, 0), 1,2,3,4,5,6,7,8,9,10,11,12), A858)</f>
        <v>44508</v>
      </c>
      <c r="H858">
        <v>8.25</v>
      </c>
      <c r="I858">
        <v>48000</v>
      </c>
      <c r="J858" s="1">
        <f t="shared" si="27"/>
        <v>44323</v>
      </c>
      <c r="K858">
        <f t="shared" si="26"/>
        <v>9.375</v>
      </c>
    </row>
    <row r="859" spans="1:11" x14ac:dyDescent="0.25">
      <c r="A859">
        <v>9</v>
      </c>
      <c r="B859" t="s">
        <v>19</v>
      </c>
      <c r="C859">
        <v>2021</v>
      </c>
      <c r="D859">
        <v>134.5</v>
      </c>
      <c r="E859" t="s">
        <v>9</v>
      </c>
      <c r="F859">
        <v>122</v>
      </c>
      <c r="G859" s="1">
        <f>DATE(C859, CHOOSE(MATCH(UPPER(B859), {"ENERO","FEBRERO","MARZO","ABRIL","MAYO","JUNIO","JULIO","AGOSTO","SEPTIEMBRE","OCTUBRE","NOVIEMBRE","DICIEMBRE"}, 0), 1,2,3,4,5,6,7,8,9,10,11,12), A859)</f>
        <v>44509</v>
      </c>
      <c r="H859">
        <v>12.5</v>
      </c>
      <c r="I859">
        <v>48000</v>
      </c>
      <c r="J859" s="1">
        <f t="shared" si="27"/>
        <v>44324</v>
      </c>
      <c r="K859">
        <f t="shared" si="26"/>
        <v>17.875</v>
      </c>
    </row>
    <row r="860" spans="1:11" x14ac:dyDescent="0.25">
      <c r="A860">
        <v>10</v>
      </c>
      <c r="B860" t="s">
        <v>19</v>
      </c>
      <c r="C860">
        <v>2021</v>
      </c>
      <c r="D860">
        <v>122</v>
      </c>
      <c r="E860" t="s">
        <v>9</v>
      </c>
      <c r="F860">
        <v>102</v>
      </c>
      <c r="G860" s="1">
        <f>DATE(C860, CHOOSE(MATCH(UPPER(B860), {"ENERO","FEBRERO","MARZO","ABRIL","MAYO","JUNIO","JULIO","AGOSTO","SEPTIEMBRE","OCTUBRE","NOVIEMBRE","DICIEMBRE"}, 0), 1,2,3,4,5,6,7,8,9,10,11,12), A860)</f>
        <v>44510</v>
      </c>
      <c r="H860">
        <v>20</v>
      </c>
      <c r="I860">
        <v>48000</v>
      </c>
      <c r="J860" s="1">
        <f t="shared" si="27"/>
        <v>44325</v>
      </c>
      <c r="K860">
        <f t="shared" si="26"/>
        <v>38.25</v>
      </c>
    </row>
    <row r="861" spans="1:11" x14ac:dyDescent="0.25">
      <c r="A861">
        <v>11</v>
      </c>
      <c r="B861" t="s">
        <v>19</v>
      </c>
      <c r="C861">
        <v>2021</v>
      </c>
      <c r="D861">
        <v>102</v>
      </c>
      <c r="E861">
        <v>80</v>
      </c>
      <c r="F861">
        <v>162</v>
      </c>
      <c r="G861" s="1">
        <f>DATE(C861, CHOOSE(MATCH(UPPER(B861), {"ENERO","FEBRERO","MARZO","ABRIL","MAYO","JUNIO","JULIO","AGOSTO","SEPTIEMBRE","OCTUBRE","NOVIEMBRE","DICIEMBRE"}, 0), 1,2,3,4,5,6,7,8,9,10,11,12), A861)</f>
        <v>44511</v>
      </c>
      <c r="H861">
        <v>20</v>
      </c>
      <c r="I861">
        <v>48000</v>
      </c>
      <c r="J861" s="1">
        <f t="shared" si="27"/>
        <v>44326</v>
      </c>
      <c r="K861">
        <f t="shared" si="26"/>
        <v>4.125</v>
      </c>
    </row>
    <row r="862" spans="1:11" x14ac:dyDescent="0.25">
      <c r="A862">
        <v>12</v>
      </c>
      <c r="B862" t="s">
        <v>19</v>
      </c>
      <c r="C862">
        <v>2021</v>
      </c>
      <c r="D862">
        <v>162</v>
      </c>
      <c r="E862" t="s">
        <v>9</v>
      </c>
      <c r="F862">
        <v>141</v>
      </c>
      <c r="G862" s="1">
        <f>DATE(C862, CHOOSE(MATCH(UPPER(B862), {"ENERO","FEBRERO","MARZO","ABRIL","MAYO","JUNIO","JULIO","AGOSTO","SEPTIEMBRE","OCTUBRE","NOVIEMBRE","DICIEMBRE"}, 0), 1,2,3,4,5,6,7,8,9,10,11,12), A862)</f>
        <v>44512</v>
      </c>
      <c r="H862">
        <v>21</v>
      </c>
      <c r="I862">
        <v>48000</v>
      </c>
      <c r="J862" s="1">
        <f t="shared" si="27"/>
        <v>44327</v>
      </c>
      <c r="K862">
        <f t="shared" si="26"/>
        <v>14.75</v>
      </c>
    </row>
    <row r="863" spans="1:11" x14ac:dyDescent="0.25">
      <c r="A863">
        <v>13</v>
      </c>
      <c r="B863" t="s">
        <v>19</v>
      </c>
      <c r="C863">
        <v>2021</v>
      </c>
      <c r="D863">
        <v>141</v>
      </c>
      <c r="E863">
        <v>50</v>
      </c>
      <c r="F863">
        <v>152.75</v>
      </c>
      <c r="G863" s="1">
        <f>DATE(C863, CHOOSE(MATCH(UPPER(B863), {"ENERO","FEBRERO","MARZO","ABRIL","MAYO","JUNIO","JULIO","AGOSTO","SEPTIEMBRE","OCTUBRE","NOVIEMBRE","DICIEMBRE"}, 0), 1,2,3,4,5,6,7,8,9,10,11,12), A863)</f>
        <v>44513</v>
      </c>
      <c r="H863">
        <v>38.25</v>
      </c>
      <c r="I863">
        <v>48000</v>
      </c>
      <c r="J863" s="1">
        <f t="shared" si="27"/>
        <v>44328</v>
      </c>
      <c r="K863">
        <f t="shared" si="26"/>
        <v>8.5</v>
      </c>
    </row>
    <row r="864" spans="1:11" x14ac:dyDescent="0.25">
      <c r="A864">
        <v>14</v>
      </c>
      <c r="B864" t="s">
        <v>19</v>
      </c>
      <c r="C864">
        <v>2021</v>
      </c>
      <c r="D864">
        <v>152.75</v>
      </c>
      <c r="E864" t="s">
        <v>9</v>
      </c>
      <c r="F864">
        <v>117.5</v>
      </c>
      <c r="G864" s="1">
        <f>DATE(C864, CHOOSE(MATCH(UPPER(B864), {"ENERO","FEBRERO","MARZO","ABRIL","MAYO","JUNIO","JULIO","AGOSTO","SEPTIEMBRE","OCTUBRE","NOVIEMBRE","DICIEMBRE"}, 0), 1,2,3,4,5,6,7,8,9,10,11,12), A864)</f>
        <v>44514</v>
      </c>
      <c r="H864">
        <v>35.25</v>
      </c>
      <c r="I864">
        <v>48000</v>
      </c>
      <c r="J864" s="1">
        <f t="shared" si="27"/>
        <v>44329</v>
      </c>
      <c r="K864">
        <f t="shared" si="26"/>
        <v>8.5</v>
      </c>
    </row>
    <row r="865" spans="1:11" x14ac:dyDescent="0.25">
      <c r="A865">
        <v>15</v>
      </c>
      <c r="B865" t="s">
        <v>19</v>
      </c>
      <c r="C865">
        <v>2021</v>
      </c>
      <c r="D865">
        <v>117.5</v>
      </c>
      <c r="E865">
        <v>50</v>
      </c>
      <c r="F865">
        <v>135</v>
      </c>
      <c r="G865" s="1">
        <f>DATE(C865, CHOOSE(MATCH(UPPER(B865), {"ENERO","FEBRERO","MARZO","ABRIL","MAYO","JUNIO","JULIO","AGOSTO","SEPTIEMBRE","OCTUBRE","NOVIEMBRE","DICIEMBRE"}, 0), 1,2,3,4,5,6,7,8,9,10,11,12), A865)</f>
        <v>44515</v>
      </c>
      <c r="H865">
        <v>32.5</v>
      </c>
      <c r="I865">
        <v>48000</v>
      </c>
      <c r="J865" s="1">
        <f t="shared" si="27"/>
        <v>44330</v>
      </c>
      <c r="K865">
        <f t="shared" si="26"/>
        <v>6.5</v>
      </c>
    </row>
    <row r="866" spans="1:11" x14ac:dyDescent="0.25">
      <c r="A866">
        <v>16</v>
      </c>
      <c r="B866" t="s">
        <v>19</v>
      </c>
      <c r="C866">
        <v>2021</v>
      </c>
      <c r="D866">
        <v>135</v>
      </c>
      <c r="E866" t="s">
        <v>9</v>
      </c>
      <c r="F866">
        <v>125.75</v>
      </c>
      <c r="G866" s="1">
        <f>DATE(C866, CHOOSE(MATCH(UPPER(B866), {"ENERO","FEBRERO","MARZO","ABRIL","MAYO","JUNIO","JULIO","AGOSTO","SEPTIEMBRE","OCTUBRE","NOVIEMBRE","DICIEMBRE"}, 0), 1,2,3,4,5,6,7,8,9,10,11,12), A866)</f>
        <v>44516</v>
      </c>
      <c r="H866">
        <v>9.25</v>
      </c>
      <c r="I866">
        <v>48000</v>
      </c>
      <c r="J866" s="1">
        <f t="shared" si="27"/>
        <v>44331</v>
      </c>
      <c r="K866">
        <f t="shared" si="26"/>
        <v>20.5</v>
      </c>
    </row>
    <row r="867" spans="1:11" x14ac:dyDescent="0.25">
      <c r="A867">
        <v>17</v>
      </c>
      <c r="B867" t="s">
        <v>19</v>
      </c>
      <c r="C867">
        <v>2021</v>
      </c>
      <c r="D867">
        <v>125.75</v>
      </c>
      <c r="E867" t="s">
        <v>9</v>
      </c>
      <c r="F867">
        <v>111</v>
      </c>
      <c r="G867" s="1">
        <f>DATE(C867, CHOOSE(MATCH(UPPER(B867), {"ENERO","FEBRERO","MARZO","ABRIL","MAYO","JUNIO","JULIO","AGOSTO","SEPTIEMBRE","OCTUBRE","NOVIEMBRE","DICIEMBRE"}, 0), 1,2,3,4,5,6,7,8,9,10,11,12), A867)</f>
        <v>44517</v>
      </c>
      <c r="H867">
        <v>14.75</v>
      </c>
      <c r="I867">
        <v>48000</v>
      </c>
      <c r="J867" s="1">
        <f t="shared" si="27"/>
        <v>44332</v>
      </c>
      <c r="K867">
        <f t="shared" si="26"/>
        <v>25.5</v>
      </c>
    </row>
    <row r="868" spans="1:11" x14ac:dyDescent="0.25">
      <c r="A868">
        <v>18</v>
      </c>
      <c r="B868" t="s">
        <v>19</v>
      </c>
      <c r="C868">
        <v>2021</v>
      </c>
      <c r="D868">
        <v>111</v>
      </c>
      <c r="E868" t="s">
        <v>9</v>
      </c>
      <c r="F868">
        <v>96</v>
      </c>
      <c r="G868" s="1">
        <f>DATE(C868, CHOOSE(MATCH(UPPER(B868), {"ENERO","FEBRERO","MARZO","ABRIL","MAYO","JUNIO","JULIO","AGOSTO","SEPTIEMBRE","OCTUBRE","NOVIEMBRE","DICIEMBRE"}, 0), 1,2,3,4,5,6,7,8,9,10,11,12), A868)</f>
        <v>44518</v>
      </c>
      <c r="H868">
        <v>15</v>
      </c>
      <c r="I868">
        <v>48000</v>
      </c>
      <c r="J868" s="1">
        <f t="shared" si="27"/>
        <v>44333</v>
      </c>
      <c r="K868">
        <f t="shared" si="26"/>
        <v>14</v>
      </c>
    </row>
    <row r="869" spans="1:11" x14ac:dyDescent="0.25">
      <c r="A869">
        <v>19</v>
      </c>
      <c r="B869" t="s">
        <v>19</v>
      </c>
      <c r="C869">
        <v>2021</v>
      </c>
      <c r="D869">
        <v>96</v>
      </c>
      <c r="E869">
        <v>100</v>
      </c>
      <c r="F869">
        <v>171.75</v>
      </c>
      <c r="G869" s="1">
        <f>DATE(C869, CHOOSE(MATCH(UPPER(B869), {"ENERO","FEBRERO","MARZO","ABRIL","MAYO","JUNIO","JULIO","AGOSTO","SEPTIEMBRE","OCTUBRE","NOVIEMBRE","DICIEMBRE"}, 0), 1,2,3,4,5,6,7,8,9,10,11,12), A869)</f>
        <v>44519</v>
      </c>
      <c r="H869">
        <v>24.25</v>
      </c>
      <c r="I869">
        <v>48000</v>
      </c>
      <c r="J869" s="1">
        <f t="shared" si="27"/>
        <v>44334</v>
      </c>
      <c r="K869">
        <f t="shared" si="26"/>
        <v>6.5</v>
      </c>
    </row>
    <row r="870" spans="1:11" x14ac:dyDescent="0.25">
      <c r="A870">
        <v>20</v>
      </c>
      <c r="B870" t="s">
        <v>19</v>
      </c>
      <c r="C870">
        <v>2021</v>
      </c>
      <c r="D870">
        <v>171.75</v>
      </c>
      <c r="E870" t="s">
        <v>9</v>
      </c>
      <c r="F870">
        <v>140.875</v>
      </c>
      <c r="G870" s="1">
        <f>DATE(C870, CHOOSE(MATCH(UPPER(B870), {"ENERO","FEBRERO","MARZO","ABRIL","MAYO","JUNIO","JULIO","AGOSTO","SEPTIEMBRE","OCTUBRE","NOVIEMBRE","DICIEMBRE"}, 0), 1,2,3,4,5,6,7,8,9,10,11,12), A870)</f>
        <v>44520</v>
      </c>
      <c r="H870">
        <v>30.875</v>
      </c>
      <c r="I870">
        <v>48000</v>
      </c>
      <c r="J870" s="1">
        <f t="shared" si="27"/>
        <v>44335</v>
      </c>
      <c r="K870">
        <f t="shared" si="26"/>
        <v>0</v>
      </c>
    </row>
    <row r="871" spans="1:11" x14ac:dyDescent="0.25">
      <c r="A871">
        <v>21</v>
      </c>
      <c r="B871" t="s">
        <v>19</v>
      </c>
      <c r="C871">
        <v>2021</v>
      </c>
      <c r="D871">
        <v>140.875</v>
      </c>
      <c r="E871" t="s">
        <v>9</v>
      </c>
      <c r="F871">
        <v>105</v>
      </c>
      <c r="G871" s="1">
        <f>DATE(C871, CHOOSE(MATCH(UPPER(B871), {"ENERO","FEBRERO","MARZO","ABRIL","MAYO","JUNIO","JULIO","AGOSTO","SEPTIEMBRE","OCTUBRE","NOVIEMBRE","DICIEMBRE"}, 0), 1,2,3,4,5,6,7,8,9,10,11,12), A871)</f>
        <v>44521</v>
      </c>
      <c r="H871">
        <v>35.875</v>
      </c>
      <c r="I871">
        <v>48000</v>
      </c>
      <c r="J871" s="1">
        <f t="shared" si="27"/>
        <v>44336</v>
      </c>
      <c r="K871">
        <f t="shared" si="26"/>
        <v>11.375</v>
      </c>
    </row>
    <row r="872" spans="1:11" x14ac:dyDescent="0.25">
      <c r="A872">
        <v>22</v>
      </c>
      <c r="B872" t="s">
        <v>19</v>
      </c>
      <c r="C872">
        <v>2021</v>
      </c>
      <c r="D872">
        <v>105</v>
      </c>
      <c r="E872">
        <v>30</v>
      </c>
      <c r="F872">
        <v>117.625</v>
      </c>
      <c r="G872" s="1">
        <f>DATE(C872, CHOOSE(MATCH(UPPER(B872), {"ENERO","FEBRERO","MARZO","ABRIL","MAYO","JUNIO","JULIO","AGOSTO","SEPTIEMBRE","OCTUBRE","NOVIEMBRE","DICIEMBRE"}, 0), 1,2,3,4,5,6,7,8,9,10,11,12), A872)</f>
        <v>44522</v>
      </c>
      <c r="H872">
        <v>17.375</v>
      </c>
      <c r="I872">
        <v>48000</v>
      </c>
      <c r="J872" s="1">
        <f t="shared" si="27"/>
        <v>44337</v>
      </c>
      <c r="K872">
        <f t="shared" si="26"/>
        <v>8.875</v>
      </c>
    </row>
    <row r="873" spans="1:11" x14ac:dyDescent="0.25">
      <c r="A873">
        <v>23</v>
      </c>
      <c r="B873" t="s">
        <v>19</v>
      </c>
      <c r="C873">
        <v>2021</v>
      </c>
      <c r="D873">
        <v>117.625</v>
      </c>
      <c r="E873" t="s">
        <v>9</v>
      </c>
      <c r="F873">
        <v>99.75</v>
      </c>
      <c r="G873" s="1">
        <f>DATE(C873, CHOOSE(MATCH(UPPER(B873), {"ENERO","FEBRERO","MARZO","ABRIL","MAYO","JUNIO","JULIO","AGOSTO","SEPTIEMBRE","OCTUBRE","NOVIEMBRE","DICIEMBRE"}, 0), 1,2,3,4,5,6,7,8,9,10,11,12), A873)</f>
        <v>44523</v>
      </c>
      <c r="H873">
        <v>17.875</v>
      </c>
      <c r="I873">
        <v>48000</v>
      </c>
      <c r="J873" s="1">
        <f t="shared" si="27"/>
        <v>44338</v>
      </c>
      <c r="K873">
        <f t="shared" si="26"/>
        <v>7.5</v>
      </c>
    </row>
    <row r="874" spans="1:11" x14ac:dyDescent="0.25">
      <c r="A874">
        <v>24</v>
      </c>
      <c r="B874" t="s">
        <v>19</v>
      </c>
      <c r="C874">
        <v>2021</v>
      </c>
      <c r="D874">
        <v>99.75</v>
      </c>
      <c r="E874" t="s">
        <v>9</v>
      </c>
      <c r="F874">
        <v>78.75</v>
      </c>
      <c r="G874" s="1">
        <f>DATE(C874, CHOOSE(MATCH(UPPER(B874), {"ENERO","FEBRERO","MARZO","ABRIL","MAYO","JUNIO","JULIO","AGOSTO","SEPTIEMBRE","OCTUBRE","NOVIEMBRE","DICIEMBRE"}, 0), 1,2,3,4,5,6,7,8,9,10,11,12), A874)</f>
        <v>44524</v>
      </c>
      <c r="H874">
        <v>21</v>
      </c>
      <c r="I874">
        <v>48000</v>
      </c>
      <c r="J874" s="1">
        <f t="shared" si="27"/>
        <v>44339</v>
      </c>
      <c r="K874">
        <f t="shared" si="26"/>
        <v>22</v>
      </c>
    </row>
    <row r="875" spans="1:11" x14ac:dyDescent="0.25">
      <c r="A875">
        <v>25</v>
      </c>
      <c r="B875" t="s">
        <v>19</v>
      </c>
      <c r="C875">
        <v>2021</v>
      </c>
      <c r="D875">
        <v>78.75</v>
      </c>
      <c r="E875">
        <v>50</v>
      </c>
      <c r="F875">
        <v>104</v>
      </c>
      <c r="G875" s="1">
        <f>DATE(C875, CHOOSE(MATCH(UPPER(B875), {"ENERO","FEBRERO","MARZO","ABRIL","MAYO","JUNIO","JULIO","AGOSTO","SEPTIEMBRE","OCTUBRE","NOVIEMBRE","DICIEMBRE"}, 0), 1,2,3,4,5,6,7,8,9,10,11,12), A875)</f>
        <v>44525</v>
      </c>
      <c r="H875">
        <v>24.75</v>
      </c>
      <c r="I875">
        <v>48000</v>
      </c>
      <c r="J875" s="1">
        <f t="shared" si="27"/>
        <v>44340</v>
      </c>
      <c r="K875">
        <f t="shared" si="26"/>
        <v>4.75</v>
      </c>
    </row>
    <row r="876" spans="1:11" x14ac:dyDescent="0.25">
      <c r="A876">
        <v>26</v>
      </c>
      <c r="B876" t="s">
        <v>19</v>
      </c>
      <c r="C876">
        <v>2021</v>
      </c>
      <c r="D876">
        <v>104</v>
      </c>
      <c r="E876" t="s">
        <v>9</v>
      </c>
      <c r="F876">
        <v>75.625</v>
      </c>
      <c r="G876" s="1">
        <f>DATE(C876, CHOOSE(MATCH(UPPER(B876), {"ENERO","FEBRERO","MARZO","ABRIL","MAYO","JUNIO","JULIO","AGOSTO","SEPTIEMBRE","OCTUBRE","NOVIEMBRE","DICIEMBRE"}, 0), 1,2,3,4,5,6,7,8,9,10,11,12), A876)</f>
        <v>44526</v>
      </c>
      <c r="H876">
        <v>28.375</v>
      </c>
      <c r="I876">
        <v>48000</v>
      </c>
      <c r="J876" s="1">
        <f t="shared" si="27"/>
        <v>44341</v>
      </c>
      <c r="K876">
        <f t="shared" si="26"/>
        <v>10</v>
      </c>
    </row>
    <row r="877" spans="1:11" x14ac:dyDescent="0.25">
      <c r="A877">
        <v>27</v>
      </c>
      <c r="B877" t="s">
        <v>19</v>
      </c>
      <c r="C877">
        <v>2021</v>
      </c>
      <c r="D877">
        <v>75.625</v>
      </c>
      <c r="E877">
        <v>30</v>
      </c>
      <c r="F877">
        <v>58.5</v>
      </c>
      <c r="G877" s="1">
        <f>DATE(C877, CHOOSE(MATCH(UPPER(B877), {"ENERO","FEBRERO","MARZO","ABRIL","MAYO","JUNIO","JULIO","AGOSTO","SEPTIEMBRE","OCTUBRE","NOVIEMBRE","DICIEMBRE"}, 0), 1,2,3,4,5,6,7,8,9,10,11,12), A877)</f>
        <v>44527</v>
      </c>
      <c r="H877">
        <v>47.125</v>
      </c>
      <c r="I877">
        <v>48000</v>
      </c>
      <c r="J877" s="1">
        <f t="shared" si="27"/>
        <v>44342</v>
      </c>
      <c r="K877">
        <f t="shared" si="26"/>
        <v>7.25</v>
      </c>
    </row>
    <row r="878" spans="1:11" x14ac:dyDescent="0.25">
      <c r="A878">
        <v>28</v>
      </c>
      <c r="B878" t="s">
        <v>19</v>
      </c>
      <c r="C878">
        <v>2021</v>
      </c>
      <c r="D878">
        <v>58.5</v>
      </c>
      <c r="E878">
        <v>60</v>
      </c>
      <c r="F878">
        <v>68.625</v>
      </c>
      <c r="G878" s="1">
        <f>DATE(C878, CHOOSE(MATCH(UPPER(B878), {"ENERO","FEBRERO","MARZO","ABRIL","MAYO","JUNIO","JULIO","AGOSTO","SEPTIEMBRE","OCTUBRE","NOVIEMBRE","DICIEMBRE"}, 0), 1,2,3,4,5,6,7,8,9,10,11,12), A878)</f>
        <v>44528</v>
      </c>
      <c r="H878">
        <v>49.875</v>
      </c>
      <c r="I878">
        <v>48000</v>
      </c>
      <c r="J878" s="1">
        <f t="shared" si="27"/>
        <v>44343</v>
      </c>
      <c r="K878">
        <f t="shared" si="26"/>
        <v>8.375</v>
      </c>
    </row>
    <row r="879" spans="1:11" x14ac:dyDescent="0.25">
      <c r="A879">
        <v>29</v>
      </c>
      <c r="B879" t="s">
        <v>19</v>
      </c>
      <c r="C879">
        <v>2021</v>
      </c>
      <c r="D879">
        <v>68.625</v>
      </c>
      <c r="E879" t="s">
        <v>9</v>
      </c>
      <c r="F879">
        <v>53.125</v>
      </c>
      <c r="G879" s="1">
        <f>DATE(C879, CHOOSE(MATCH(UPPER(B879), {"ENERO","FEBRERO","MARZO","ABRIL","MAYO","JUNIO","JULIO","AGOSTO","SEPTIEMBRE","OCTUBRE","NOVIEMBRE","DICIEMBRE"}, 0), 1,2,3,4,5,6,7,8,9,10,11,12), A879)</f>
        <v>44529</v>
      </c>
      <c r="H879">
        <v>15.5</v>
      </c>
      <c r="I879">
        <v>48000</v>
      </c>
      <c r="J879" s="1">
        <f t="shared" si="27"/>
        <v>44344</v>
      </c>
      <c r="K879">
        <f t="shared" si="26"/>
        <v>4.625</v>
      </c>
    </row>
    <row r="880" spans="1:11" x14ac:dyDescent="0.25">
      <c r="A880">
        <v>30</v>
      </c>
      <c r="B880" t="s">
        <v>19</v>
      </c>
      <c r="C880">
        <v>2021</v>
      </c>
      <c r="D880">
        <v>53.125</v>
      </c>
      <c r="E880">
        <v>80</v>
      </c>
      <c r="F880">
        <v>106.375</v>
      </c>
      <c r="G880" s="1">
        <f>DATE(C880, CHOOSE(MATCH(UPPER(B880), {"ENERO","FEBRERO","MARZO","ABRIL","MAYO","JUNIO","JULIO","AGOSTO","SEPTIEMBRE","OCTUBRE","NOVIEMBRE","DICIEMBRE"}, 0), 1,2,3,4,5,6,7,8,9,10,11,12), A880)</f>
        <v>44530</v>
      </c>
      <c r="H880">
        <v>26.75</v>
      </c>
      <c r="I880">
        <v>48000</v>
      </c>
      <c r="J880" s="1">
        <f t="shared" si="27"/>
        <v>44345</v>
      </c>
      <c r="K880">
        <f t="shared" si="26"/>
        <v>23.5</v>
      </c>
    </row>
    <row r="881" spans="1:11" x14ac:dyDescent="0.25">
      <c r="A881">
        <v>1</v>
      </c>
      <c r="B881" t="s">
        <v>20</v>
      </c>
      <c r="C881">
        <v>2021</v>
      </c>
      <c r="D881">
        <v>106.375</v>
      </c>
      <c r="E881" t="s">
        <v>9</v>
      </c>
      <c r="F881">
        <v>73</v>
      </c>
      <c r="G881" s="1">
        <f>DATE(C881, CHOOSE(MATCH(UPPER(B881), {"ENERO","FEBRERO","MARZO","ABRIL","MAYO","JUNIO","JULIO","AGOSTO","SEPTIEMBRE","OCTUBRE","NOVIEMBRE","DICIEMBRE"}, 0), 1,2,3,4,5,6,7,8,9,10,11,12), A881)</f>
        <v>44531</v>
      </c>
      <c r="H881">
        <v>33.375</v>
      </c>
      <c r="I881">
        <v>48000</v>
      </c>
      <c r="J881" s="1">
        <f t="shared" si="27"/>
        <v>44346</v>
      </c>
      <c r="K881">
        <f t="shared" si="26"/>
        <v>18.125</v>
      </c>
    </row>
    <row r="882" spans="1:11" x14ac:dyDescent="0.25">
      <c r="A882">
        <v>2</v>
      </c>
      <c r="B882" t="s">
        <v>20</v>
      </c>
      <c r="C882">
        <v>2021</v>
      </c>
      <c r="D882">
        <v>73</v>
      </c>
      <c r="E882" t="s">
        <v>9</v>
      </c>
      <c r="F882">
        <v>51.5</v>
      </c>
      <c r="G882" s="1">
        <f>DATE(C882, CHOOSE(MATCH(UPPER(B882), {"ENERO","FEBRERO","MARZO","ABRIL","MAYO","JUNIO","JULIO","AGOSTO","SEPTIEMBRE","OCTUBRE","NOVIEMBRE","DICIEMBRE"}, 0), 1,2,3,4,5,6,7,8,9,10,11,12), A882)</f>
        <v>44532</v>
      </c>
      <c r="H882">
        <v>21.5</v>
      </c>
      <c r="I882">
        <v>48000</v>
      </c>
      <c r="J882" s="1">
        <f t="shared" si="27"/>
        <v>44347</v>
      </c>
      <c r="K882">
        <f t="shared" si="26"/>
        <v>11.75</v>
      </c>
    </row>
    <row r="883" spans="1:11" x14ac:dyDescent="0.25">
      <c r="A883">
        <v>3</v>
      </c>
      <c r="B883" t="s">
        <v>20</v>
      </c>
      <c r="C883">
        <v>2021</v>
      </c>
      <c r="D883">
        <v>51.5</v>
      </c>
      <c r="E883">
        <v>100</v>
      </c>
      <c r="F883">
        <v>121</v>
      </c>
      <c r="G883" s="1">
        <f>DATE(C883, CHOOSE(MATCH(UPPER(B883), {"ENERO","FEBRERO","MARZO","ABRIL","MAYO","JUNIO","JULIO","AGOSTO","SEPTIEMBRE","OCTUBRE","NOVIEMBRE","DICIEMBRE"}, 0), 1,2,3,4,5,6,7,8,9,10,11,12), A883)</f>
        <v>44533</v>
      </c>
      <c r="H883">
        <v>30.5</v>
      </c>
      <c r="I883">
        <v>48000</v>
      </c>
      <c r="J883" s="1">
        <f t="shared" si="27"/>
        <v>44348</v>
      </c>
      <c r="K883">
        <f t="shared" si="26"/>
        <v>8.75</v>
      </c>
    </row>
    <row r="884" spans="1:11" x14ac:dyDescent="0.25">
      <c r="A884">
        <v>4</v>
      </c>
      <c r="B884" t="s">
        <v>20</v>
      </c>
      <c r="C884">
        <v>2021</v>
      </c>
      <c r="D884">
        <v>121</v>
      </c>
      <c r="E884" t="s">
        <v>9</v>
      </c>
      <c r="F884">
        <v>84</v>
      </c>
      <c r="G884" s="1">
        <f>DATE(C884, CHOOSE(MATCH(UPPER(B884), {"ENERO","FEBRERO","MARZO","ABRIL","MAYO","JUNIO","JULIO","AGOSTO","SEPTIEMBRE","OCTUBRE","NOVIEMBRE","DICIEMBRE"}, 0), 1,2,3,4,5,6,7,8,9,10,11,12), A884)</f>
        <v>44534</v>
      </c>
      <c r="H884">
        <v>37</v>
      </c>
      <c r="I884">
        <v>48000</v>
      </c>
      <c r="J884" s="1">
        <f t="shared" si="27"/>
        <v>44349</v>
      </c>
      <c r="K884">
        <f t="shared" si="26"/>
        <v>20</v>
      </c>
    </row>
    <row r="885" spans="1:11" x14ac:dyDescent="0.25">
      <c r="A885">
        <v>5</v>
      </c>
      <c r="B885" t="s">
        <v>20</v>
      </c>
      <c r="C885">
        <v>2021</v>
      </c>
      <c r="D885">
        <v>84</v>
      </c>
      <c r="E885">
        <v>40</v>
      </c>
      <c r="F885">
        <v>84.5</v>
      </c>
      <c r="G885" s="1">
        <f>DATE(C885, CHOOSE(MATCH(UPPER(B885), {"ENERO","FEBRERO","MARZO","ABRIL","MAYO","JUNIO","JULIO","AGOSTO","SEPTIEMBRE","OCTUBRE","NOVIEMBRE","DICIEMBRE"}, 0), 1,2,3,4,5,6,7,8,9,10,11,12), A885)</f>
        <v>44535</v>
      </c>
      <c r="H885">
        <v>39.5</v>
      </c>
      <c r="I885">
        <v>48000</v>
      </c>
      <c r="J885" s="1">
        <f t="shared" si="27"/>
        <v>44350</v>
      </c>
      <c r="K885">
        <f t="shared" si="26"/>
        <v>8.875</v>
      </c>
    </row>
    <row r="886" spans="1:11" x14ac:dyDescent="0.25">
      <c r="A886">
        <v>6</v>
      </c>
      <c r="B886" t="s">
        <v>20</v>
      </c>
      <c r="C886">
        <v>2021</v>
      </c>
      <c r="D886">
        <v>84.5</v>
      </c>
      <c r="E886" t="s">
        <v>9</v>
      </c>
      <c r="F886">
        <v>69.375</v>
      </c>
      <c r="G886" s="1">
        <f>DATE(C886, CHOOSE(MATCH(UPPER(B886), {"ENERO","FEBRERO","MARZO","ABRIL","MAYO","JUNIO","JULIO","AGOSTO","SEPTIEMBRE","OCTUBRE","NOVIEMBRE","DICIEMBRE"}, 0), 1,2,3,4,5,6,7,8,9,10,11,12), A886)</f>
        <v>44536</v>
      </c>
      <c r="H886">
        <v>15.125</v>
      </c>
      <c r="I886">
        <v>48000</v>
      </c>
      <c r="J886" s="1">
        <f t="shared" si="27"/>
        <v>44351</v>
      </c>
      <c r="K886">
        <f t="shared" si="26"/>
        <v>21.25</v>
      </c>
    </row>
    <row r="887" spans="1:11" x14ac:dyDescent="0.25">
      <c r="A887">
        <v>7</v>
      </c>
      <c r="B887" t="s">
        <v>20</v>
      </c>
      <c r="C887">
        <v>2021</v>
      </c>
      <c r="D887">
        <v>69.375</v>
      </c>
      <c r="E887">
        <v>100</v>
      </c>
      <c r="F887">
        <v>133.375</v>
      </c>
      <c r="G887" s="1">
        <f>DATE(C887, CHOOSE(MATCH(UPPER(B887), {"ENERO","FEBRERO","MARZO","ABRIL","MAYO","JUNIO","JULIO","AGOSTO","SEPTIEMBRE","OCTUBRE","NOVIEMBRE","DICIEMBRE"}, 0), 1,2,3,4,5,6,7,8,9,10,11,12), A887)</f>
        <v>44537</v>
      </c>
      <c r="H887">
        <v>36</v>
      </c>
      <c r="I887">
        <v>48000</v>
      </c>
      <c r="J887" s="1">
        <f t="shared" si="27"/>
        <v>44352</v>
      </c>
      <c r="K887">
        <f t="shared" si="26"/>
        <v>25.5</v>
      </c>
    </row>
    <row r="888" spans="1:11" x14ac:dyDescent="0.25">
      <c r="A888">
        <v>8</v>
      </c>
      <c r="B888" t="s">
        <v>20</v>
      </c>
      <c r="C888">
        <v>2021</v>
      </c>
      <c r="D888">
        <v>133.375</v>
      </c>
      <c r="E888" t="s">
        <v>9</v>
      </c>
      <c r="F888">
        <v>99</v>
      </c>
      <c r="G888" s="1">
        <f>DATE(C888, CHOOSE(MATCH(UPPER(B888), {"ENERO","FEBRERO","MARZO","ABRIL","MAYO","JUNIO","JULIO","AGOSTO","SEPTIEMBRE","OCTUBRE","NOVIEMBRE","DICIEMBRE"}, 0), 1,2,3,4,5,6,7,8,9,10,11,12), A888)</f>
        <v>44538</v>
      </c>
      <c r="H888">
        <v>34.375</v>
      </c>
      <c r="I888">
        <v>48000</v>
      </c>
      <c r="J888" s="1">
        <f t="shared" si="27"/>
        <v>44353</v>
      </c>
      <c r="K888">
        <f t="shared" si="26"/>
        <v>30</v>
      </c>
    </row>
    <row r="889" spans="1:11" x14ac:dyDescent="0.25">
      <c r="A889">
        <v>9</v>
      </c>
      <c r="B889" t="s">
        <v>20</v>
      </c>
      <c r="C889">
        <v>2021</v>
      </c>
      <c r="D889">
        <v>99</v>
      </c>
      <c r="E889" t="s">
        <v>9</v>
      </c>
      <c r="F889">
        <v>83.5</v>
      </c>
      <c r="G889" s="1">
        <f>DATE(C889, CHOOSE(MATCH(UPPER(B889), {"ENERO","FEBRERO","MARZO","ABRIL","MAYO","JUNIO","JULIO","AGOSTO","SEPTIEMBRE","OCTUBRE","NOVIEMBRE","DICIEMBRE"}, 0), 1,2,3,4,5,6,7,8,9,10,11,12), A889)</f>
        <v>44539</v>
      </c>
      <c r="H889">
        <v>15.5</v>
      </c>
      <c r="I889">
        <v>48000</v>
      </c>
      <c r="J889" s="1">
        <f t="shared" si="27"/>
        <v>44354</v>
      </c>
      <c r="K889">
        <f t="shared" si="26"/>
        <v>21.5</v>
      </c>
    </row>
    <row r="890" spans="1:11" x14ac:dyDescent="0.25">
      <c r="A890">
        <v>10</v>
      </c>
      <c r="B890" t="s">
        <v>20</v>
      </c>
      <c r="C890">
        <v>2021</v>
      </c>
      <c r="D890">
        <v>83.5</v>
      </c>
      <c r="E890">
        <v>101</v>
      </c>
      <c r="F890">
        <v>164.5</v>
      </c>
      <c r="G890" s="1">
        <f>DATE(C890, CHOOSE(MATCH(UPPER(B890), {"ENERO","FEBRERO","MARZO","ABRIL","MAYO","JUNIO","JULIO","AGOSTO","SEPTIEMBRE","OCTUBRE","NOVIEMBRE","DICIEMBRE"}, 0), 1,2,3,4,5,6,7,8,9,10,11,12), A890)</f>
        <v>44540</v>
      </c>
      <c r="H890">
        <v>20</v>
      </c>
      <c r="I890">
        <v>48000</v>
      </c>
      <c r="J890" s="1">
        <f t="shared" si="27"/>
        <v>44355</v>
      </c>
      <c r="K890">
        <f t="shared" si="26"/>
        <v>12.875</v>
      </c>
    </row>
    <row r="891" spans="1:11" x14ac:dyDescent="0.25">
      <c r="A891">
        <v>11</v>
      </c>
      <c r="B891" t="s">
        <v>20</v>
      </c>
      <c r="C891">
        <v>2021</v>
      </c>
      <c r="D891">
        <v>164.5</v>
      </c>
      <c r="E891" t="s">
        <v>9</v>
      </c>
      <c r="F891">
        <v>124.5</v>
      </c>
      <c r="G891" s="1">
        <f>DATE(C891, CHOOSE(MATCH(UPPER(B891), {"ENERO","FEBRERO","MARZO","ABRIL","MAYO","JUNIO","JULIO","AGOSTO","SEPTIEMBRE","OCTUBRE","NOVIEMBRE","DICIEMBRE"}, 0), 1,2,3,4,5,6,7,8,9,10,11,12), A891)</f>
        <v>44541</v>
      </c>
      <c r="H891">
        <v>40</v>
      </c>
      <c r="I891">
        <v>48000</v>
      </c>
      <c r="J891" s="1">
        <f t="shared" si="27"/>
        <v>44356</v>
      </c>
      <c r="K891">
        <f t="shared" si="26"/>
        <v>9.625</v>
      </c>
    </row>
    <row r="892" spans="1:11" x14ac:dyDescent="0.25">
      <c r="A892">
        <v>12</v>
      </c>
      <c r="B892" t="s">
        <v>20</v>
      </c>
      <c r="C892">
        <v>2021</v>
      </c>
      <c r="D892">
        <v>124.5</v>
      </c>
      <c r="E892" t="s">
        <v>9</v>
      </c>
      <c r="F892">
        <v>84.75</v>
      </c>
      <c r="G892" s="1">
        <f>DATE(C892, CHOOSE(MATCH(UPPER(B892), {"ENERO","FEBRERO","MARZO","ABRIL","MAYO","JUNIO","JULIO","AGOSTO","SEPTIEMBRE","OCTUBRE","NOVIEMBRE","DICIEMBRE"}, 0), 1,2,3,4,5,6,7,8,9,10,11,12), A892)</f>
        <v>44542</v>
      </c>
      <c r="H892">
        <v>39.75</v>
      </c>
      <c r="I892">
        <v>48000</v>
      </c>
      <c r="J892" s="1">
        <f t="shared" si="27"/>
        <v>44357</v>
      </c>
      <c r="K892">
        <f t="shared" si="26"/>
        <v>13</v>
      </c>
    </row>
    <row r="893" spans="1:11" x14ac:dyDescent="0.25">
      <c r="A893">
        <v>13</v>
      </c>
      <c r="B893" t="s">
        <v>20</v>
      </c>
      <c r="C893">
        <v>2021</v>
      </c>
      <c r="D893">
        <v>84.75</v>
      </c>
      <c r="E893" t="s">
        <v>9</v>
      </c>
      <c r="F893">
        <v>68</v>
      </c>
      <c r="G893" s="1">
        <f>DATE(C893, CHOOSE(MATCH(UPPER(B893), {"ENERO","FEBRERO","MARZO","ABRIL","MAYO","JUNIO","JULIO","AGOSTO","SEPTIEMBRE","OCTUBRE","NOVIEMBRE","DICIEMBRE"}, 0), 1,2,3,4,5,6,7,8,9,10,11,12), A893)</f>
        <v>44543</v>
      </c>
      <c r="H893">
        <v>16.75</v>
      </c>
      <c r="I893">
        <v>48000</v>
      </c>
      <c r="J893" s="1">
        <f t="shared" si="27"/>
        <v>44358</v>
      </c>
      <c r="K893">
        <f t="shared" si="26"/>
        <v>18.5</v>
      </c>
    </row>
    <row r="894" spans="1:11" x14ac:dyDescent="0.25">
      <c r="A894">
        <v>14</v>
      </c>
      <c r="B894" t="s">
        <v>20</v>
      </c>
      <c r="C894">
        <v>2021</v>
      </c>
      <c r="D894">
        <v>68</v>
      </c>
      <c r="E894">
        <v>90</v>
      </c>
      <c r="F894">
        <v>136</v>
      </c>
      <c r="G894" s="1">
        <f>DATE(C894, CHOOSE(MATCH(UPPER(B894), {"ENERO","FEBRERO","MARZO","ABRIL","MAYO","JUNIO","JULIO","AGOSTO","SEPTIEMBRE","OCTUBRE","NOVIEMBRE","DICIEMBRE"}, 0), 1,2,3,4,5,6,7,8,9,10,11,12), A894)</f>
        <v>44544</v>
      </c>
      <c r="H894">
        <v>22</v>
      </c>
      <c r="I894">
        <v>48000</v>
      </c>
      <c r="J894" s="1">
        <f t="shared" si="27"/>
        <v>44359</v>
      </c>
      <c r="K894">
        <f t="shared" si="26"/>
        <v>26.25</v>
      </c>
    </row>
    <row r="895" spans="1:11" x14ac:dyDescent="0.25">
      <c r="A895">
        <v>15</v>
      </c>
      <c r="B895" t="s">
        <v>20</v>
      </c>
      <c r="C895">
        <v>2021</v>
      </c>
      <c r="D895">
        <v>136</v>
      </c>
      <c r="E895" t="s">
        <v>9</v>
      </c>
      <c r="F895">
        <v>107.375</v>
      </c>
      <c r="G895" s="1">
        <f>DATE(C895, CHOOSE(MATCH(UPPER(B895), {"ENERO","FEBRERO","MARZO","ABRIL","MAYO","JUNIO","JULIO","AGOSTO","SEPTIEMBRE","OCTUBRE","NOVIEMBRE","DICIEMBRE"}, 0), 1,2,3,4,5,6,7,8,9,10,11,12), A895)</f>
        <v>44545</v>
      </c>
      <c r="H895">
        <v>28.625</v>
      </c>
      <c r="I895">
        <v>48000</v>
      </c>
      <c r="J895" s="1">
        <f t="shared" si="27"/>
        <v>44360</v>
      </c>
      <c r="K895">
        <f t="shared" si="26"/>
        <v>19.5</v>
      </c>
    </row>
    <row r="896" spans="1:11" x14ac:dyDescent="0.25">
      <c r="A896">
        <v>16</v>
      </c>
      <c r="B896" t="s">
        <v>20</v>
      </c>
      <c r="C896">
        <v>2021</v>
      </c>
      <c r="D896">
        <v>107.375</v>
      </c>
      <c r="E896">
        <v>90</v>
      </c>
      <c r="F896">
        <v>171.25</v>
      </c>
      <c r="G896" s="1">
        <f>DATE(C896, CHOOSE(MATCH(UPPER(B896), {"ENERO","FEBRERO","MARZO","ABRIL","MAYO","JUNIO","JULIO","AGOSTO","SEPTIEMBRE","OCTUBRE","NOVIEMBRE","DICIEMBRE"}, 0), 1,2,3,4,5,6,7,8,9,10,11,12), A896)</f>
        <v>44546</v>
      </c>
      <c r="H896">
        <v>26.125</v>
      </c>
      <c r="I896">
        <v>48000</v>
      </c>
      <c r="J896" s="1">
        <f t="shared" si="27"/>
        <v>44361</v>
      </c>
      <c r="K896">
        <f t="shared" si="26"/>
        <v>18.5</v>
      </c>
    </row>
    <row r="897" spans="1:11" x14ac:dyDescent="0.25">
      <c r="A897">
        <v>17</v>
      </c>
      <c r="B897" t="s">
        <v>20</v>
      </c>
      <c r="C897">
        <v>2021</v>
      </c>
      <c r="D897">
        <v>171.25</v>
      </c>
      <c r="E897" t="s">
        <v>9</v>
      </c>
      <c r="F897">
        <v>137</v>
      </c>
      <c r="G897" s="1">
        <f>DATE(C897, CHOOSE(MATCH(UPPER(B897), {"ENERO","FEBRERO","MARZO","ABRIL","MAYO","JUNIO","JULIO","AGOSTO","SEPTIEMBRE","OCTUBRE","NOVIEMBRE","DICIEMBRE"}, 0), 1,2,3,4,5,6,7,8,9,10,11,12), A897)</f>
        <v>44547</v>
      </c>
      <c r="H897">
        <v>34.25</v>
      </c>
      <c r="I897">
        <v>48000</v>
      </c>
      <c r="J897" s="1">
        <f t="shared" si="27"/>
        <v>44362</v>
      </c>
      <c r="K897">
        <f t="shared" si="26"/>
        <v>32</v>
      </c>
    </row>
    <row r="898" spans="1:11" x14ac:dyDescent="0.25">
      <c r="A898">
        <v>18</v>
      </c>
      <c r="B898" t="s">
        <v>20</v>
      </c>
      <c r="C898">
        <v>2021</v>
      </c>
      <c r="D898">
        <v>137</v>
      </c>
      <c r="E898">
        <v>50</v>
      </c>
      <c r="F898">
        <v>137</v>
      </c>
      <c r="G898" s="1">
        <f>DATE(C898, CHOOSE(MATCH(UPPER(B898), {"ENERO","FEBRERO","MARZO","ABRIL","MAYO","JUNIO","JULIO","AGOSTO","SEPTIEMBRE","OCTUBRE","NOVIEMBRE","DICIEMBRE"}, 0), 1,2,3,4,5,6,7,8,9,10,11,12), A898)</f>
        <v>44548</v>
      </c>
      <c r="H898">
        <v>50</v>
      </c>
      <c r="I898">
        <v>48000</v>
      </c>
      <c r="J898" s="1">
        <f t="shared" si="27"/>
        <v>44363</v>
      </c>
      <c r="K898">
        <f t="shared" ref="K898:K961" si="28">VLOOKUP(J898, G:H, 2, FALSE)</f>
        <v>24</v>
      </c>
    </row>
    <row r="899" spans="1:11" x14ac:dyDescent="0.25">
      <c r="A899">
        <v>19</v>
      </c>
      <c r="B899" t="s">
        <v>20</v>
      </c>
      <c r="C899">
        <v>2021</v>
      </c>
      <c r="D899">
        <v>137</v>
      </c>
      <c r="E899" t="s">
        <v>9</v>
      </c>
      <c r="F899">
        <v>88.75</v>
      </c>
      <c r="G899" s="1">
        <f>DATE(C899, CHOOSE(MATCH(UPPER(B899), {"ENERO","FEBRERO","MARZO","ABRIL","MAYO","JUNIO","JULIO","AGOSTO","SEPTIEMBRE","OCTUBRE","NOVIEMBRE","DICIEMBRE"}, 0), 1,2,3,4,5,6,7,8,9,10,11,12), A899)</f>
        <v>44549</v>
      </c>
      <c r="H899">
        <v>48.25</v>
      </c>
      <c r="I899">
        <v>48000</v>
      </c>
      <c r="J899" s="1">
        <f t="shared" si="27"/>
        <v>44364</v>
      </c>
      <c r="K899">
        <f t="shared" si="28"/>
        <v>21.5</v>
      </c>
    </row>
    <row r="900" spans="1:11" x14ac:dyDescent="0.25">
      <c r="A900">
        <v>20</v>
      </c>
      <c r="B900" t="s">
        <v>20</v>
      </c>
      <c r="C900">
        <v>2021</v>
      </c>
      <c r="D900">
        <v>88.75</v>
      </c>
      <c r="E900">
        <v>40</v>
      </c>
      <c r="F900">
        <v>95.125</v>
      </c>
      <c r="G900" s="1">
        <f>DATE(C900, CHOOSE(MATCH(UPPER(B900), {"ENERO","FEBRERO","MARZO","ABRIL","MAYO","JUNIO","JULIO","AGOSTO","SEPTIEMBRE","OCTUBRE","NOVIEMBRE","DICIEMBRE"}, 0), 1,2,3,4,5,6,7,8,9,10,11,12), A900)</f>
        <v>44550</v>
      </c>
      <c r="H900">
        <v>33.625</v>
      </c>
      <c r="I900">
        <v>48000</v>
      </c>
      <c r="J900" s="1">
        <f t="shared" ref="J900:J963" si="29">DATE(2019,1,1) + ROW()-1</f>
        <v>44365</v>
      </c>
      <c r="K900">
        <f t="shared" si="28"/>
        <v>38.5</v>
      </c>
    </row>
    <row r="901" spans="1:11" x14ac:dyDescent="0.25">
      <c r="A901">
        <v>21</v>
      </c>
      <c r="B901" t="s">
        <v>20</v>
      </c>
      <c r="C901">
        <v>2021</v>
      </c>
      <c r="D901">
        <v>95.125</v>
      </c>
      <c r="E901" t="s">
        <v>9</v>
      </c>
      <c r="F901">
        <v>56.75</v>
      </c>
      <c r="G901" s="1">
        <f>DATE(C901, CHOOSE(MATCH(UPPER(B901), {"ENERO","FEBRERO","MARZO","ABRIL","MAYO","JUNIO","JULIO","AGOSTO","SEPTIEMBRE","OCTUBRE","NOVIEMBRE","DICIEMBRE"}, 0), 1,2,3,4,5,6,7,8,9,10,11,12), A901)</f>
        <v>44551</v>
      </c>
      <c r="H901">
        <v>38.375</v>
      </c>
      <c r="I901">
        <v>48000</v>
      </c>
      <c r="J901" s="1">
        <f t="shared" si="29"/>
        <v>44366</v>
      </c>
      <c r="K901">
        <f t="shared" si="28"/>
        <v>28</v>
      </c>
    </row>
    <row r="902" spans="1:11" x14ac:dyDescent="0.25">
      <c r="A902">
        <v>22</v>
      </c>
      <c r="B902" t="s">
        <v>20</v>
      </c>
      <c r="C902">
        <v>2021</v>
      </c>
      <c r="D902">
        <v>56.75</v>
      </c>
      <c r="E902">
        <v>120</v>
      </c>
      <c r="F902">
        <v>141.125</v>
      </c>
      <c r="G902" s="1">
        <f>DATE(C902, CHOOSE(MATCH(UPPER(B902), {"ENERO","FEBRERO","MARZO","ABRIL","MAYO","JUNIO","JULIO","AGOSTO","SEPTIEMBRE","OCTUBRE","NOVIEMBRE","DICIEMBRE"}, 0), 1,2,3,4,5,6,7,8,9,10,11,12), A902)</f>
        <v>44552</v>
      </c>
      <c r="H902">
        <v>35.625</v>
      </c>
      <c r="I902">
        <v>48000</v>
      </c>
      <c r="J902" s="1">
        <f t="shared" si="29"/>
        <v>44367</v>
      </c>
      <c r="K902">
        <f t="shared" si="28"/>
        <v>25</v>
      </c>
    </row>
    <row r="903" spans="1:11" x14ac:dyDescent="0.25">
      <c r="A903">
        <v>23</v>
      </c>
      <c r="B903" t="s">
        <v>20</v>
      </c>
      <c r="C903">
        <v>2021</v>
      </c>
      <c r="D903">
        <v>141.125</v>
      </c>
      <c r="E903" t="s">
        <v>9</v>
      </c>
      <c r="F903">
        <v>101.375</v>
      </c>
      <c r="G903" s="1">
        <f>DATE(C903, CHOOSE(MATCH(UPPER(B903), {"ENERO","FEBRERO","MARZO","ABRIL","MAYO","JUNIO","JULIO","AGOSTO","SEPTIEMBRE","OCTUBRE","NOVIEMBRE","DICIEMBRE"}, 0), 1,2,3,4,5,6,7,8,9,10,11,12), A903)</f>
        <v>44553</v>
      </c>
      <c r="H903">
        <v>39.75</v>
      </c>
      <c r="I903">
        <v>48000</v>
      </c>
      <c r="J903" s="1">
        <f t="shared" si="29"/>
        <v>44368</v>
      </c>
      <c r="K903">
        <f t="shared" si="28"/>
        <v>16</v>
      </c>
    </row>
    <row r="904" spans="1:11" x14ac:dyDescent="0.25">
      <c r="A904">
        <v>24</v>
      </c>
      <c r="B904" t="s">
        <v>20</v>
      </c>
      <c r="C904">
        <v>2021</v>
      </c>
      <c r="D904">
        <v>101.375</v>
      </c>
      <c r="E904" t="s">
        <v>9</v>
      </c>
      <c r="F904">
        <v>101.375</v>
      </c>
      <c r="G904" s="1">
        <f>DATE(C904, CHOOSE(MATCH(UPPER(B904), {"ENERO","FEBRERO","MARZO","ABRIL","MAYO","JUNIO","JULIO","AGOSTO","SEPTIEMBRE","OCTUBRE","NOVIEMBRE","DICIEMBRE"}, 0), 1,2,3,4,5,6,7,8,9,10,11,12), A904)</f>
        <v>44554</v>
      </c>
      <c r="H904">
        <v>0</v>
      </c>
      <c r="I904">
        <v>48000</v>
      </c>
      <c r="J904" s="1">
        <f t="shared" si="29"/>
        <v>44369</v>
      </c>
      <c r="K904">
        <f t="shared" si="28"/>
        <v>14</v>
      </c>
    </row>
    <row r="905" spans="1:11" x14ac:dyDescent="0.25">
      <c r="A905">
        <v>25</v>
      </c>
      <c r="B905" t="s">
        <v>20</v>
      </c>
      <c r="C905">
        <v>2021</v>
      </c>
      <c r="D905">
        <v>101.375</v>
      </c>
      <c r="E905" t="s">
        <v>9</v>
      </c>
      <c r="F905">
        <v>52.75</v>
      </c>
      <c r="G905" s="1">
        <f>DATE(C905, CHOOSE(MATCH(UPPER(B905), {"ENERO","FEBRERO","MARZO","ABRIL","MAYO","JUNIO","JULIO","AGOSTO","SEPTIEMBRE","OCTUBRE","NOVIEMBRE","DICIEMBRE"}, 0), 1,2,3,4,5,6,7,8,9,10,11,12), A905)</f>
        <v>44555</v>
      </c>
      <c r="H905">
        <v>48.625</v>
      </c>
      <c r="I905">
        <v>48000</v>
      </c>
      <c r="J905" s="1">
        <f t="shared" si="29"/>
        <v>44370</v>
      </c>
      <c r="K905">
        <f t="shared" si="28"/>
        <v>5</v>
      </c>
    </row>
    <row r="906" spans="1:11" x14ac:dyDescent="0.25">
      <c r="A906">
        <v>26</v>
      </c>
      <c r="B906" t="s">
        <v>20</v>
      </c>
      <c r="C906">
        <v>2021</v>
      </c>
      <c r="D906">
        <v>52.75</v>
      </c>
      <c r="E906">
        <v>80</v>
      </c>
      <c r="F906">
        <v>72.75</v>
      </c>
      <c r="G906" s="1">
        <f>DATE(C906, CHOOSE(MATCH(UPPER(B906), {"ENERO","FEBRERO","MARZO","ABRIL","MAYO","JUNIO","JULIO","AGOSTO","SEPTIEMBRE","OCTUBRE","NOVIEMBRE","DICIEMBRE"}, 0), 1,2,3,4,5,6,7,8,9,10,11,12), A906)</f>
        <v>44556</v>
      </c>
      <c r="H906">
        <v>60</v>
      </c>
      <c r="I906">
        <v>48000</v>
      </c>
      <c r="J906" s="1">
        <f t="shared" si="29"/>
        <v>44371</v>
      </c>
      <c r="K906">
        <f t="shared" si="28"/>
        <v>29.625</v>
      </c>
    </row>
    <row r="907" spans="1:11" x14ac:dyDescent="0.25">
      <c r="A907">
        <v>27</v>
      </c>
      <c r="B907" t="s">
        <v>20</v>
      </c>
      <c r="C907">
        <v>2021</v>
      </c>
      <c r="D907">
        <v>72.75</v>
      </c>
      <c r="E907" t="s">
        <v>9</v>
      </c>
      <c r="F907">
        <v>42.75</v>
      </c>
      <c r="G907" s="1">
        <f>DATE(C907, CHOOSE(MATCH(UPPER(B907), {"ENERO","FEBRERO","MARZO","ABRIL","MAYO","JUNIO","JULIO","AGOSTO","SEPTIEMBRE","OCTUBRE","NOVIEMBRE","DICIEMBRE"}, 0), 1,2,3,4,5,6,7,8,9,10,11,12), A907)</f>
        <v>44557</v>
      </c>
      <c r="H907">
        <v>30</v>
      </c>
      <c r="I907">
        <v>48000</v>
      </c>
      <c r="J907" s="1">
        <f t="shared" si="29"/>
        <v>44372</v>
      </c>
      <c r="K907">
        <f t="shared" si="28"/>
        <v>31.375</v>
      </c>
    </row>
    <row r="908" spans="1:11" x14ac:dyDescent="0.25">
      <c r="A908">
        <v>28</v>
      </c>
      <c r="B908" t="s">
        <v>20</v>
      </c>
      <c r="C908">
        <v>2021</v>
      </c>
      <c r="D908">
        <v>42.75</v>
      </c>
      <c r="E908">
        <v>100</v>
      </c>
      <c r="F908">
        <v>104.5</v>
      </c>
      <c r="G908" s="1">
        <f>DATE(C908, CHOOSE(MATCH(UPPER(B908), {"ENERO","FEBRERO","MARZO","ABRIL","MAYO","JUNIO","JULIO","AGOSTO","SEPTIEMBRE","OCTUBRE","NOVIEMBRE","DICIEMBRE"}, 0), 1,2,3,4,5,6,7,8,9,10,11,12), A908)</f>
        <v>44558</v>
      </c>
      <c r="H908">
        <v>38.25</v>
      </c>
      <c r="I908">
        <v>48000</v>
      </c>
      <c r="J908" s="1">
        <f t="shared" si="29"/>
        <v>44373</v>
      </c>
      <c r="K908">
        <f t="shared" si="28"/>
        <v>38</v>
      </c>
    </row>
    <row r="909" spans="1:11" x14ac:dyDescent="0.25">
      <c r="A909">
        <v>29</v>
      </c>
      <c r="B909" t="s">
        <v>20</v>
      </c>
      <c r="C909">
        <v>2021</v>
      </c>
      <c r="D909">
        <v>104.5</v>
      </c>
      <c r="E909" t="s">
        <v>9</v>
      </c>
      <c r="F909">
        <v>59.125</v>
      </c>
      <c r="G909" s="1">
        <f>DATE(C909, CHOOSE(MATCH(UPPER(B909), {"ENERO","FEBRERO","MARZO","ABRIL","MAYO","JUNIO","JULIO","AGOSTO","SEPTIEMBRE","OCTUBRE","NOVIEMBRE","DICIEMBRE"}, 0), 1,2,3,4,5,6,7,8,9,10,11,12), A909)</f>
        <v>44559</v>
      </c>
      <c r="H909">
        <v>45.375</v>
      </c>
      <c r="I909">
        <v>48000</v>
      </c>
      <c r="J909" s="1">
        <f t="shared" si="29"/>
        <v>44374</v>
      </c>
      <c r="K909">
        <f t="shared" si="28"/>
        <v>43.25</v>
      </c>
    </row>
    <row r="910" spans="1:11" x14ac:dyDescent="0.25">
      <c r="A910">
        <v>30</v>
      </c>
      <c r="B910" t="s">
        <v>20</v>
      </c>
      <c r="C910">
        <v>2021</v>
      </c>
      <c r="D910">
        <v>59.125</v>
      </c>
      <c r="E910">
        <v>120</v>
      </c>
      <c r="F910">
        <v>149.375</v>
      </c>
      <c r="G910" s="1">
        <f>DATE(C910, CHOOSE(MATCH(UPPER(B910), {"ENERO","FEBRERO","MARZO","ABRIL","MAYO","JUNIO","JULIO","AGOSTO","SEPTIEMBRE","OCTUBRE","NOVIEMBRE","DICIEMBRE"}, 0), 1,2,3,4,5,6,7,8,9,10,11,12), A910)</f>
        <v>44560</v>
      </c>
      <c r="H910">
        <v>29.75</v>
      </c>
      <c r="I910">
        <v>48000</v>
      </c>
      <c r="J910" s="1">
        <f t="shared" si="29"/>
        <v>44375</v>
      </c>
      <c r="K910">
        <f t="shared" si="28"/>
        <v>13.75</v>
      </c>
    </row>
    <row r="911" spans="1:11" x14ac:dyDescent="0.25">
      <c r="A911">
        <v>31</v>
      </c>
      <c r="B911" t="s">
        <v>20</v>
      </c>
      <c r="C911">
        <v>2021</v>
      </c>
      <c r="D911">
        <v>59.125</v>
      </c>
      <c r="E911" t="s">
        <v>9</v>
      </c>
      <c r="F911">
        <v>59.125</v>
      </c>
      <c r="G911" s="1">
        <f>DATE(C911, CHOOSE(MATCH(UPPER(B911), {"ENERO","FEBRERO","MARZO","ABRIL","MAYO","JUNIO","JULIO","AGOSTO","SEPTIEMBRE","OCTUBRE","NOVIEMBRE","DICIEMBRE"}, 0), 1,2,3,4,5,6,7,8,9,10,11,12), A911)</f>
        <v>44561</v>
      </c>
      <c r="H911">
        <v>0</v>
      </c>
      <c r="I911">
        <v>48000</v>
      </c>
      <c r="J911" s="1">
        <f t="shared" si="29"/>
        <v>44376</v>
      </c>
      <c r="K911">
        <f t="shared" si="28"/>
        <v>32.25</v>
      </c>
    </row>
    <row r="912" spans="1:11" x14ac:dyDescent="0.25">
      <c r="A912">
        <v>1</v>
      </c>
      <c r="B912" t="s">
        <v>8</v>
      </c>
      <c r="C912">
        <v>2022</v>
      </c>
      <c r="D912">
        <v>149.375</v>
      </c>
      <c r="E912" t="s">
        <v>9</v>
      </c>
      <c r="F912">
        <v>102</v>
      </c>
      <c r="G912" s="1">
        <f>DATE(C912, CHOOSE(MATCH(UPPER(B912), {"ENERO","FEBRERO","MARZO","ABRIL","MAYO","JUNIO","JULIO","AGOSTO","SEPTIEMBRE","OCTUBRE","NOVIEMBRE","DICIEMBRE"}, 0), 1,2,3,4,5,6,7,8,9,10,11,12), A912)</f>
        <v>44562</v>
      </c>
      <c r="H912">
        <v>47.375</v>
      </c>
      <c r="I912">
        <v>48000</v>
      </c>
      <c r="J912" s="1">
        <f t="shared" si="29"/>
        <v>44377</v>
      </c>
      <c r="K912">
        <f t="shared" si="28"/>
        <v>23</v>
      </c>
    </row>
    <row r="913" spans="1:11" x14ac:dyDescent="0.25">
      <c r="A913">
        <v>2</v>
      </c>
      <c r="B913" t="s">
        <v>8</v>
      </c>
      <c r="C913">
        <v>2022</v>
      </c>
      <c r="D913">
        <v>102</v>
      </c>
      <c r="E913" t="s">
        <v>9</v>
      </c>
      <c r="F913">
        <v>48.125</v>
      </c>
      <c r="G913" s="1">
        <f>DATE(C913, CHOOSE(MATCH(UPPER(B913), {"ENERO","FEBRERO","MARZO","ABRIL","MAYO","JUNIO","JULIO","AGOSTO","SEPTIEMBRE","OCTUBRE","NOVIEMBRE","DICIEMBRE"}, 0), 1,2,3,4,5,6,7,8,9,10,11,12), A913)</f>
        <v>44563</v>
      </c>
      <c r="H913">
        <v>53.875</v>
      </c>
      <c r="I913">
        <v>48000</v>
      </c>
      <c r="J913" s="1">
        <f t="shared" si="29"/>
        <v>44378</v>
      </c>
      <c r="K913">
        <f t="shared" si="28"/>
        <v>22.125</v>
      </c>
    </row>
    <row r="914" spans="1:11" x14ac:dyDescent="0.25">
      <c r="A914">
        <v>3</v>
      </c>
      <c r="B914" t="s">
        <v>8</v>
      </c>
      <c r="C914">
        <v>2022</v>
      </c>
      <c r="D914">
        <v>48.125</v>
      </c>
      <c r="E914">
        <v>100</v>
      </c>
      <c r="F914">
        <v>120.25</v>
      </c>
      <c r="G914" s="1">
        <f>DATE(C914, CHOOSE(MATCH(UPPER(B914), {"ENERO","FEBRERO","MARZO","ABRIL","MAYO","JUNIO","JULIO","AGOSTO","SEPTIEMBRE","OCTUBRE","NOVIEMBRE","DICIEMBRE"}, 0), 1,2,3,4,5,6,7,8,9,10,11,12), A914)</f>
        <v>44564</v>
      </c>
      <c r="H914">
        <v>27.875</v>
      </c>
      <c r="I914">
        <v>48000</v>
      </c>
      <c r="J914" s="1">
        <f t="shared" si="29"/>
        <v>44379</v>
      </c>
      <c r="K914">
        <f t="shared" si="28"/>
        <v>22</v>
      </c>
    </row>
    <row r="915" spans="1:11" x14ac:dyDescent="0.25">
      <c r="A915">
        <v>4</v>
      </c>
      <c r="B915" t="s">
        <v>8</v>
      </c>
      <c r="C915">
        <v>2022</v>
      </c>
      <c r="D915">
        <v>120.25</v>
      </c>
      <c r="E915" t="s">
        <v>9</v>
      </c>
      <c r="F915">
        <v>89.25</v>
      </c>
      <c r="G915" s="1">
        <f>DATE(C915, CHOOSE(MATCH(UPPER(B915), {"ENERO","FEBRERO","MARZO","ABRIL","MAYO","JUNIO","JULIO","AGOSTO","SEPTIEMBRE","OCTUBRE","NOVIEMBRE","DICIEMBRE"}, 0), 1,2,3,4,5,6,7,8,9,10,11,12), A915)</f>
        <v>44565</v>
      </c>
      <c r="H915">
        <v>31</v>
      </c>
      <c r="I915">
        <v>48000</v>
      </c>
      <c r="J915" s="1">
        <f t="shared" si="29"/>
        <v>44380</v>
      </c>
      <c r="K915">
        <f t="shared" si="28"/>
        <v>35.875</v>
      </c>
    </row>
    <row r="916" spans="1:11" x14ac:dyDescent="0.25">
      <c r="A916">
        <v>5</v>
      </c>
      <c r="B916" t="s">
        <v>8</v>
      </c>
      <c r="C916">
        <v>2022</v>
      </c>
      <c r="D916">
        <v>89.25</v>
      </c>
      <c r="E916">
        <v>120</v>
      </c>
      <c r="F916">
        <v>176</v>
      </c>
      <c r="G916" s="1">
        <f>DATE(C916, CHOOSE(MATCH(UPPER(B916), {"ENERO","FEBRERO","MARZO","ABRIL","MAYO","JUNIO","JULIO","AGOSTO","SEPTIEMBRE","OCTUBRE","NOVIEMBRE","DICIEMBRE"}, 0), 1,2,3,4,5,6,7,8,9,10,11,12), A916)</f>
        <v>44566</v>
      </c>
      <c r="H916">
        <v>33.25</v>
      </c>
      <c r="I916">
        <v>48000</v>
      </c>
      <c r="J916" s="1">
        <f t="shared" si="29"/>
        <v>44381</v>
      </c>
      <c r="K916">
        <f t="shared" si="28"/>
        <v>41.25</v>
      </c>
    </row>
    <row r="917" spans="1:11" x14ac:dyDescent="0.25">
      <c r="A917">
        <v>6</v>
      </c>
      <c r="B917" t="s">
        <v>8</v>
      </c>
      <c r="C917">
        <v>2022</v>
      </c>
      <c r="D917">
        <v>176</v>
      </c>
      <c r="E917" t="s">
        <v>9</v>
      </c>
      <c r="F917">
        <v>153.625</v>
      </c>
      <c r="G917" s="1">
        <f>DATE(C917, CHOOSE(MATCH(UPPER(B917), {"ENERO","FEBRERO","MARZO","ABRIL","MAYO","JUNIO","JULIO","AGOSTO","SEPTIEMBRE","OCTUBRE","NOVIEMBRE","DICIEMBRE"}, 0), 1,2,3,4,5,6,7,8,9,10,11,12), A917)</f>
        <v>44567</v>
      </c>
      <c r="H917">
        <v>22.375</v>
      </c>
      <c r="I917">
        <v>48000</v>
      </c>
      <c r="J917" s="1">
        <f t="shared" si="29"/>
        <v>44382</v>
      </c>
      <c r="K917">
        <f t="shared" si="28"/>
        <v>31.75</v>
      </c>
    </row>
    <row r="918" spans="1:11" x14ac:dyDescent="0.25">
      <c r="A918">
        <v>7</v>
      </c>
      <c r="B918" t="s">
        <v>8</v>
      </c>
      <c r="C918">
        <v>2022</v>
      </c>
      <c r="D918">
        <v>153.625</v>
      </c>
      <c r="E918" t="s">
        <v>9</v>
      </c>
      <c r="F918">
        <v>125.625</v>
      </c>
      <c r="G918" s="1">
        <f>DATE(C918, CHOOSE(MATCH(UPPER(B918), {"ENERO","FEBRERO","MARZO","ABRIL","MAYO","JUNIO","JULIO","AGOSTO","SEPTIEMBRE","OCTUBRE","NOVIEMBRE","DICIEMBRE"}, 0), 1,2,3,4,5,6,7,8,9,10,11,12), A918)</f>
        <v>44568</v>
      </c>
      <c r="H918">
        <v>28</v>
      </c>
      <c r="I918">
        <v>48000</v>
      </c>
      <c r="J918" s="1">
        <f t="shared" si="29"/>
        <v>44383</v>
      </c>
      <c r="K918">
        <f t="shared" si="28"/>
        <v>17.75</v>
      </c>
    </row>
    <row r="919" spans="1:11" x14ac:dyDescent="0.25">
      <c r="A919">
        <v>8</v>
      </c>
      <c r="B919" t="s">
        <v>8</v>
      </c>
      <c r="C919">
        <v>2022</v>
      </c>
      <c r="D919">
        <v>125.625</v>
      </c>
      <c r="E919">
        <v>51</v>
      </c>
      <c r="F919">
        <v>144.65</v>
      </c>
      <c r="G919" s="1">
        <f>DATE(C919, CHOOSE(MATCH(UPPER(B919), {"ENERO","FEBRERO","MARZO","ABRIL","MAYO","JUNIO","JULIO","AGOSTO","SEPTIEMBRE","OCTUBRE","NOVIEMBRE","DICIEMBRE"}, 0), 1,2,3,4,5,6,7,8,9,10,11,12), A919)</f>
        <v>44569</v>
      </c>
      <c r="H919">
        <v>31.975000000000001</v>
      </c>
      <c r="I919">
        <v>48000</v>
      </c>
      <c r="J919" s="1">
        <f t="shared" si="29"/>
        <v>44384</v>
      </c>
      <c r="K919">
        <f t="shared" si="28"/>
        <v>12.75</v>
      </c>
    </row>
    <row r="920" spans="1:11" x14ac:dyDescent="0.25">
      <c r="A920">
        <v>9</v>
      </c>
      <c r="B920" t="s">
        <v>8</v>
      </c>
      <c r="C920">
        <v>2022</v>
      </c>
      <c r="D920">
        <v>144.65</v>
      </c>
      <c r="E920" t="s">
        <v>9</v>
      </c>
      <c r="F920">
        <v>113</v>
      </c>
      <c r="G920" s="1">
        <f>DATE(C920, CHOOSE(MATCH(UPPER(B920), {"ENERO","FEBRERO","MARZO","ABRIL","MAYO","JUNIO","JULIO","AGOSTO","SEPTIEMBRE","OCTUBRE","NOVIEMBRE","DICIEMBRE"}, 0), 1,2,3,4,5,6,7,8,9,10,11,12), A920)</f>
        <v>44570</v>
      </c>
      <c r="H920">
        <v>31.65</v>
      </c>
      <c r="I920">
        <v>48000</v>
      </c>
      <c r="J920" s="1">
        <f t="shared" si="29"/>
        <v>44385</v>
      </c>
      <c r="K920">
        <f t="shared" si="28"/>
        <v>15</v>
      </c>
    </row>
    <row r="921" spans="1:11" x14ac:dyDescent="0.25">
      <c r="A921">
        <v>10</v>
      </c>
      <c r="B921" t="s">
        <v>8</v>
      </c>
      <c r="C921">
        <v>2022</v>
      </c>
      <c r="D921">
        <v>113</v>
      </c>
      <c r="E921">
        <v>50</v>
      </c>
      <c r="F921">
        <v>130.25</v>
      </c>
      <c r="G921" s="1">
        <f>DATE(C921, CHOOSE(MATCH(UPPER(B921), {"ENERO","FEBRERO","MARZO","ABRIL","MAYO","JUNIO","JULIO","AGOSTO","SEPTIEMBRE","OCTUBRE","NOVIEMBRE","DICIEMBRE"}, 0), 1,2,3,4,5,6,7,8,9,10,11,12), A921)</f>
        <v>44571</v>
      </c>
      <c r="H921">
        <v>32.75</v>
      </c>
      <c r="I921">
        <v>48000</v>
      </c>
      <c r="J921" s="1">
        <f t="shared" si="29"/>
        <v>44386</v>
      </c>
      <c r="K921">
        <f t="shared" si="28"/>
        <v>20.5</v>
      </c>
    </row>
    <row r="922" spans="1:11" x14ac:dyDescent="0.25">
      <c r="A922">
        <v>11</v>
      </c>
      <c r="B922" t="s">
        <v>8</v>
      </c>
      <c r="C922">
        <v>2022</v>
      </c>
      <c r="D922">
        <v>130.25</v>
      </c>
      <c r="E922" t="s">
        <v>9</v>
      </c>
      <c r="F922">
        <v>108.875</v>
      </c>
      <c r="G922" s="1">
        <f>DATE(C922, CHOOSE(MATCH(UPPER(B922), {"ENERO","FEBRERO","MARZO","ABRIL","MAYO","JUNIO","JULIO","AGOSTO","SEPTIEMBRE","OCTUBRE","NOVIEMBRE","DICIEMBRE"}, 0), 1,2,3,4,5,6,7,8,9,10,11,12), A922)</f>
        <v>44572</v>
      </c>
      <c r="H922">
        <v>21.375</v>
      </c>
      <c r="I922">
        <v>48000</v>
      </c>
      <c r="J922" s="1">
        <f t="shared" si="29"/>
        <v>44387</v>
      </c>
      <c r="K922">
        <f t="shared" si="28"/>
        <v>30.75</v>
      </c>
    </row>
    <row r="923" spans="1:11" x14ac:dyDescent="0.25">
      <c r="A923">
        <v>12</v>
      </c>
      <c r="B923" t="s">
        <v>8</v>
      </c>
      <c r="C923">
        <v>2022</v>
      </c>
      <c r="D923">
        <v>108.875</v>
      </c>
      <c r="E923" t="s">
        <v>9</v>
      </c>
      <c r="F923">
        <v>81.75</v>
      </c>
      <c r="G923" s="1">
        <f>DATE(C923, CHOOSE(MATCH(UPPER(B923), {"ENERO","FEBRERO","MARZO","ABRIL","MAYO","JUNIO","JULIO","AGOSTO","SEPTIEMBRE","OCTUBRE","NOVIEMBRE","DICIEMBRE"}, 0), 1,2,3,4,5,6,7,8,9,10,11,12), A923)</f>
        <v>44573</v>
      </c>
      <c r="H923">
        <v>27.125</v>
      </c>
      <c r="I923">
        <v>48000</v>
      </c>
      <c r="J923" s="1">
        <f t="shared" si="29"/>
        <v>44388</v>
      </c>
      <c r="K923">
        <f t="shared" si="28"/>
        <v>35.25</v>
      </c>
    </row>
    <row r="924" spans="1:11" x14ac:dyDescent="0.25">
      <c r="A924">
        <v>13</v>
      </c>
      <c r="B924" t="s">
        <v>8</v>
      </c>
      <c r="C924">
        <v>2022</v>
      </c>
      <c r="D924">
        <v>81.75</v>
      </c>
      <c r="E924" t="s">
        <v>9</v>
      </c>
      <c r="F924">
        <v>63.875</v>
      </c>
      <c r="G924" s="1">
        <f>DATE(C924, CHOOSE(MATCH(UPPER(B924), {"ENERO","FEBRERO","MARZO","ABRIL","MAYO","JUNIO","JULIO","AGOSTO","SEPTIEMBRE","OCTUBRE","NOVIEMBRE","DICIEMBRE"}, 0), 1,2,3,4,5,6,7,8,9,10,11,12), A924)</f>
        <v>44574</v>
      </c>
      <c r="H924">
        <v>17.875</v>
      </c>
      <c r="I924">
        <v>48000</v>
      </c>
      <c r="J924" s="1">
        <f t="shared" si="29"/>
        <v>44389</v>
      </c>
      <c r="K924">
        <f t="shared" si="28"/>
        <v>14.25</v>
      </c>
    </row>
    <row r="925" spans="1:11" x14ac:dyDescent="0.25">
      <c r="A925">
        <v>14</v>
      </c>
      <c r="B925" t="s">
        <v>8</v>
      </c>
      <c r="C925">
        <v>2022</v>
      </c>
      <c r="D925">
        <v>63.875</v>
      </c>
      <c r="E925" t="s">
        <v>9</v>
      </c>
      <c r="F925">
        <v>42</v>
      </c>
      <c r="G925" s="1">
        <f>DATE(C925, CHOOSE(MATCH(UPPER(B925), {"ENERO","FEBRERO","MARZO","ABRIL","MAYO","JUNIO","JULIO","AGOSTO","SEPTIEMBRE","OCTUBRE","NOVIEMBRE","DICIEMBRE"}, 0), 1,2,3,4,5,6,7,8,9,10,11,12), A925)</f>
        <v>44575</v>
      </c>
      <c r="H925">
        <v>21.875</v>
      </c>
      <c r="I925">
        <v>48000</v>
      </c>
      <c r="J925" s="1">
        <f t="shared" si="29"/>
        <v>44390</v>
      </c>
      <c r="K925">
        <f t="shared" si="28"/>
        <v>18.25</v>
      </c>
    </row>
    <row r="926" spans="1:11" x14ac:dyDescent="0.25">
      <c r="A926">
        <v>15</v>
      </c>
      <c r="B926" t="s">
        <v>8</v>
      </c>
      <c r="C926">
        <v>2022</v>
      </c>
      <c r="D926">
        <v>42</v>
      </c>
      <c r="E926">
        <v>90</v>
      </c>
      <c r="F926">
        <v>103.152</v>
      </c>
      <c r="G926" s="1">
        <f>DATE(C926, CHOOSE(MATCH(UPPER(B926), {"ENERO","FEBRERO","MARZO","ABRIL","MAYO","JUNIO","JULIO","AGOSTO","SEPTIEMBRE","OCTUBRE","NOVIEMBRE","DICIEMBRE"}, 0), 1,2,3,4,5,6,7,8,9,10,11,12), A926)</f>
        <v>44576</v>
      </c>
      <c r="H926">
        <v>28.847999999999999</v>
      </c>
      <c r="I926">
        <v>48000</v>
      </c>
      <c r="J926" s="1">
        <f t="shared" si="29"/>
        <v>44391</v>
      </c>
      <c r="K926">
        <f t="shared" si="28"/>
        <v>18.5</v>
      </c>
    </row>
    <row r="927" spans="1:11" x14ac:dyDescent="0.25">
      <c r="A927">
        <v>16</v>
      </c>
      <c r="B927" t="s">
        <v>8</v>
      </c>
      <c r="C927">
        <v>2022</v>
      </c>
      <c r="D927">
        <v>103.152</v>
      </c>
      <c r="E927" t="s">
        <v>9</v>
      </c>
      <c r="F927">
        <v>74.875</v>
      </c>
      <c r="G927" s="1">
        <f>DATE(C927, CHOOSE(MATCH(UPPER(B927), {"ENERO","FEBRERO","MARZO","ABRIL","MAYO","JUNIO","JULIO","AGOSTO","SEPTIEMBRE","OCTUBRE","NOVIEMBRE","DICIEMBRE"}, 0), 1,2,3,4,5,6,7,8,9,10,11,12), A927)</f>
        <v>44577</v>
      </c>
      <c r="H927">
        <v>28.277000000000001</v>
      </c>
      <c r="I927">
        <v>48000</v>
      </c>
      <c r="J927" s="1">
        <f t="shared" si="29"/>
        <v>44392</v>
      </c>
      <c r="K927">
        <f t="shared" si="28"/>
        <v>19.25</v>
      </c>
    </row>
    <row r="928" spans="1:11" x14ac:dyDescent="0.25">
      <c r="A928">
        <v>17</v>
      </c>
      <c r="B928" t="s">
        <v>8</v>
      </c>
      <c r="C928">
        <v>2022</v>
      </c>
      <c r="D928">
        <v>74.875</v>
      </c>
      <c r="E928">
        <v>100</v>
      </c>
      <c r="F928">
        <v>162.25</v>
      </c>
      <c r="G928" s="1">
        <f>DATE(C928, CHOOSE(MATCH(UPPER(B928), {"ENERO","FEBRERO","MARZO","ABRIL","MAYO","JUNIO","JULIO","AGOSTO","SEPTIEMBRE","OCTUBRE","NOVIEMBRE","DICIEMBRE"}, 0), 1,2,3,4,5,6,7,8,9,10,11,12), A928)</f>
        <v>44578</v>
      </c>
      <c r="H928">
        <v>12.625</v>
      </c>
      <c r="I928">
        <v>48000</v>
      </c>
      <c r="J928" s="1">
        <f t="shared" si="29"/>
        <v>44393</v>
      </c>
      <c r="K928">
        <f t="shared" si="28"/>
        <v>26.5</v>
      </c>
    </row>
    <row r="929" spans="1:11" x14ac:dyDescent="0.25">
      <c r="A929">
        <v>18</v>
      </c>
      <c r="B929" t="s">
        <v>8</v>
      </c>
      <c r="C929">
        <v>2022</v>
      </c>
      <c r="D929">
        <v>162.25</v>
      </c>
      <c r="E929" t="s">
        <v>9</v>
      </c>
      <c r="F929">
        <v>146.625</v>
      </c>
      <c r="G929" s="1">
        <f>DATE(C929, CHOOSE(MATCH(UPPER(B929), {"ENERO","FEBRERO","MARZO","ABRIL","MAYO","JUNIO","JULIO","AGOSTO","SEPTIEMBRE","OCTUBRE","NOVIEMBRE","DICIEMBRE"}, 0), 1,2,3,4,5,6,7,8,9,10,11,12), A929)</f>
        <v>44579</v>
      </c>
      <c r="H929">
        <v>15.625</v>
      </c>
      <c r="I929">
        <v>48000</v>
      </c>
      <c r="J929" s="1">
        <f t="shared" si="29"/>
        <v>44394</v>
      </c>
      <c r="K929">
        <f t="shared" si="28"/>
        <v>44.5</v>
      </c>
    </row>
    <row r="930" spans="1:11" x14ac:dyDescent="0.25">
      <c r="A930">
        <v>19</v>
      </c>
      <c r="B930" t="s">
        <v>8</v>
      </c>
      <c r="C930">
        <v>2022</v>
      </c>
      <c r="D930">
        <v>146.625</v>
      </c>
      <c r="E930" t="s">
        <v>9</v>
      </c>
      <c r="F930">
        <v>133.375</v>
      </c>
      <c r="G930" s="1">
        <f>DATE(C930, CHOOSE(MATCH(UPPER(B930), {"ENERO","FEBRERO","MARZO","ABRIL","MAYO","JUNIO","JULIO","AGOSTO","SEPTIEMBRE","OCTUBRE","NOVIEMBRE","DICIEMBRE"}, 0), 1,2,3,4,5,6,7,8,9,10,11,12), A930)</f>
        <v>44580</v>
      </c>
      <c r="H930">
        <v>13.25</v>
      </c>
      <c r="I930">
        <v>48000</v>
      </c>
      <c r="J930" s="1">
        <f t="shared" si="29"/>
        <v>44395</v>
      </c>
      <c r="K930">
        <f t="shared" si="28"/>
        <v>47.5</v>
      </c>
    </row>
    <row r="931" spans="1:11" x14ac:dyDescent="0.25">
      <c r="A931">
        <v>20</v>
      </c>
      <c r="B931" t="s">
        <v>8</v>
      </c>
      <c r="C931">
        <v>2022</v>
      </c>
      <c r="D931">
        <v>133.375</v>
      </c>
      <c r="E931" t="s">
        <v>9</v>
      </c>
      <c r="F931">
        <v>117.375</v>
      </c>
      <c r="G931" s="1">
        <f>DATE(C931, CHOOSE(MATCH(UPPER(B931), {"ENERO","FEBRERO","MARZO","ABRIL","MAYO","JUNIO","JULIO","AGOSTO","SEPTIEMBRE","OCTUBRE","NOVIEMBRE","DICIEMBRE"}, 0), 1,2,3,4,5,6,7,8,9,10,11,12), A931)</f>
        <v>44581</v>
      </c>
      <c r="H931">
        <v>16</v>
      </c>
      <c r="I931">
        <v>48000</v>
      </c>
      <c r="J931" s="1">
        <f t="shared" si="29"/>
        <v>44396</v>
      </c>
      <c r="K931">
        <f t="shared" si="28"/>
        <v>17</v>
      </c>
    </row>
    <row r="932" spans="1:11" x14ac:dyDescent="0.25">
      <c r="A932">
        <v>21</v>
      </c>
      <c r="B932" t="s">
        <v>8</v>
      </c>
      <c r="C932">
        <v>2022</v>
      </c>
      <c r="D932">
        <v>117.375</v>
      </c>
      <c r="E932" t="s">
        <v>9</v>
      </c>
      <c r="F932">
        <v>93.375</v>
      </c>
      <c r="G932" s="1">
        <f>DATE(C932, CHOOSE(MATCH(UPPER(B932), {"ENERO","FEBRERO","MARZO","ABRIL","MAYO","JUNIO","JULIO","AGOSTO","SEPTIEMBRE","OCTUBRE","NOVIEMBRE","DICIEMBRE"}, 0), 1,2,3,4,5,6,7,8,9,10,11,12), A932)</f>
        <v>44582</v>
      </c>
      <c r="H932">
        <v>24</v>
      </c>
      <c r="I932">
        <v>48000</v>
      </c>
      <c r="J932" s="1">
        <f t="shared" si="29"/>
        <v>44397</v>
      </c>
      <c r="K932">
        <f t="shared" si="28"/>
        <v>0</v>
      </c>
    </row>
    <row r="933" spans="1:11" x14ac:dyDescent="0.25">
      <c r="A933">
        <v>22</v>
      </c>
      <c r="B933" t="s">
        <v>8</v>
      </c>
      <c r="C933">
        <v>2022</v>
      </c>
      <c r="D933">
        <v>93.375</v>
      </c>
      <c r="E933">
        <v>150</v>
      </c>
      <c r="F933">
        <v>202</v>
      </c>
      <c r="G933" s="1">
        <f>DATE(C933, CHOOSE(MATCH(UPPER(B933), {"ENERO","FEBRERO","MARZO","ABRIL","MAYO","JUNIO","JULIO","AGOSTO","SEPTIEMBRE","OCTUBRE","NOVIEMBRE","DICIEMBRE"}, 0), 1,2,3,4,5,6,7,8,9,10,11,12), A933)</f>
        <v>44583</v>
      </c>
      <c r="H933">
        <v>41.375</v>
      </c>
      <c r="I933">
        <v>48000</v>
      </c>
      <c r="J933" s="1">
        <f t="shared" si="29"/>
        <v>44398</v>
      </c>
      <c r="K933">
        <f t="shared" si="28"/>
        <v>15</v>
      </c>
    </row>
    <row r="934" spans="1:11" x14ac:dyDescent="0.25">
      <c r="A934">
        <v>23</v>
      </c>
      <c r="B934" t="s">
        <v>8</v>
      </c>
      <c r="C934">
        <v>2022</v>
      </c>
      <c r="D934">
        <v>202</v>
      </c>
      <c r="E934" t="s">
        <v>9</v>
      </c>
      <c r="F934">
        <v>161.875</v>
      </c>
      <c r="G934" s="1">
        <f>DATE(C934, CHOOSE(MATCH(UPPER(B934), {"ENERO","FEBRERO","MARZO","ABRIL","MAYO","JUNIO","JULIO","AGOSTO","SEPTIEMBRE","OCTUBRE","NOVIEMBRE","DICIEMBRE"}, 0), 1,2,3,4,5,6,7,8,9,10,11,12), A934)</f>
        <v>44584</v>
      </c>
      <c r="H934">
        <v>40.125</v>
      </c>
      <c r="I934">
        <v>48000</v>
      </c>
      <c r="J934" s="1">
        <f t="shared" si="29"/>
        <v>44399</v>
      </c>
      <c r="K934">
        <f t="shared" si="28"/>
        <v>9.5</v>
      </c>
    </row>
    <row r="935" spans="1:11" x14ac:dyDescent="0.25">
      <c r="A935">
        <v>24</v>
      </c>
      <c r="B935" t="s">
        <v>8</v>
      </c>
      <c r="C935">
        <v>2022</v>
      </c>
      <c r="D935">
        <v>161.875</v>
      </c>
      <c r="E935" t="s">
        <v>9</v>
      </c>
      <c r="F935">
        <v>155</v>
      </c>
      <c r="G935" s="1">
        <f>DATE(C935, CHOOSE(MATCH(UPPER(B935), {"ENERO","FEBRERO","MARZO","ABRIL","MAYO","JUNIO","JULIO","AGOSTO","SEPTIEMBRE","OCTUBRE","NOVIEMBRE","DICIEMBRE"}, 0), 1,2,3,4,5,6,7,8,9,10,11,12), A935)</f>
        <v>44585</v>
      </c>
      <c r="H935">
        <v>6.875</v>
      </c>
      <c r="I935">
        <v>48000</v>
      </c>
      <c r="J935" s="1">
        <f t="shared" si="29"/>
        <v>44400</v>
      </c>
      <c r="K935">
        <f t="shared" si="28"/>
        <v>16.25</v>
      </c>
    </row>
    <row r="936" spans="1:11" x14ac:dyDescent="0.25">
      <c r="A936">
        <v>25</v>
      </c>
      <c r="B936" t="s">
        <v>8</v>
      </c>
      <c r="C936">
        <v>2022</v>
      </c>
      <c r="D936">
        <v>155</v>
      </c>
      <c r="E936" t="s">
        <v>9</v>
      </c>
      <c r="F936">
        <v>143.25</v>
      </c>
      <c r="G936" s="1">
        <f>DATE(C936, CHOOSE(MATCH(UPPER(B936), {"ENERO","FEBRERO","MARZO","ABRIL","MAYO","JUNIO","JULIO","AGOSTO","SEPTIEMBRE","OCTUBRE","NOVIEMBRE","DICIEMBRE"}, 0), 1,2,3,4,5,6,7,8,9,10,11,12), A936)</f>
        <v>44586</v>
      </c>
      <c r="H936">
        <v>11.75</v>
      </c>
      <c r="I936">
        <v>48000</v>
      </c>
      <c r="J936" s="1">
        <f t="shared" si="29"/>
        <v>44401</v>
      </c>
      <c r="K936">
        <f t="shared" si="28"/>
        <v>29.75</v>
      </c>
    </row>
    <row r="937" spans="1:11" x14ac:dyDescent="0.25">
      <c r="A937">
        <v>26</v>
      </c>
      <c r="B937" t="s">
        <v>8</v>
      </c>
      <c r="C937">
        <v>2022</v>
      </c>
      <c r="D937">
        <v>143.25</v>
      </c>
      <c r="E937">
        <v>60</v>
      </c>
      <c r="F937">
        <v>188.875</v>
      </c>
      <c r="G937" s="1">
        <f>DATE(C937, CHOOSE(MATCH(UPPER(B937), {"ENERO","FEBRERO","MARZO","ABRIL","MAYO","JUNIO","JULIO","AGOSTO","SEPTIEMBRE","OCTUBRE","NOVIEMBRE","DICIEMBRE"}, 0), 1,2,3,4,5,6,7,8,9,10,11,12), A937)</f>
        <v>44587</v>
      </c>
      <c r="H937">
        <v>14.375</v>
      </c>
      <c r="I937">
        <v>48000</v>
      </c>
      <c r="J937" s="1">
        <f t="shared" si="29"/>
        <v>44402</v>
      </c>
      <c r="K937">
        <f t="shared" si="28"/>
        <v>40.25</v>
      </c>
    </row>
    <row r="938" spans="1:11" x14ac:dyDescent="0.25">
      <c r="A938">
        <v>27</v>
      </c>
      <c r="B938" t="s">
        <v>8</v>
      </c>
      <c r="C938">
        <v>2022</v>
      </c>
      <c r="D938">
        <v>188.875</v>
      </c>
      <c r="E938" t="s">
        <v>9</v>
      </c>
      <c r="F938">
        <v>174.25</v>
      </c>
      <c r="G938" s="1">
        <f>DATE(C938, CHOOSE(MATCH(UPPER(B938), {"ENERO","FEBRERO","MARZO","ABRIL","MAYO","JUNIO","JULIO","AGOSTO","SEPTIEMBRE","OCTUBRE","NOVIEMBRE","DICIEMBRE"}, 0), 1,2,3,4,5,6,7,8,9,10,11,12), A938)</f>
        <v>44588</v>
      </c>
      <c r="H938">
        <v>14.625</v>
      </c>
      <c r="I938">
        <v>48000</v>
      </c>
      <c r="J938" s="1">
        <f t="shared" si="29"/>
        <v>44403</v>
      </c>
      <c r="K938">
        <f t="shared" si="28"/>
        <v>17.25</v>
      </c>
    </row>
    <row r="939" spans="1:11" x14ac:dyDescent="0.25">
      <c r="A939">
        <v>28</v>
      </c>
      <c r="B939" t="s">
        <v>8</v>
      </c>
      <c r="C939">
        <v>2022</v>
      </c>
      <c r="D939">
        <v>174.25</v>
      </c>
      <c r="E939" t="s">
        <v>9</v>
      </c>
      <c r="F939">
        <v>153.5</v>
      </c>
      <c r="G939" s="1">
        <f>DATE(C939, CHOOSE(MATCH(UPPER(B939), {"ENERO","FEBRERO","MARZO","ABRIL","MAYO","JUNIO","JULIO","AGOSTO","SEPTIEMBRE","OCTUBRE","NOVIEMBRE","DICIEMBRE"}, 0), 1,2,3,4,5,6,7,8,9,10,11,12), A939)</f>
        <v>44589</v>
      </c>
      <c r="H939">
        <v>20.75</v>
      </c>
      <c r="I939">
        <v>48000</v>
      </c>
      <c r="J939" s="1">
        <f t="shared" si="29"/>
        <v>44404</v>
      </c>
      <c r="K939">
        <f t="shared" si="28"/>
        <v>15.5</v>
      </c>
    </row>
    <row r="940" spans="1:11" x14ac:dyDescent="0.25">
      <c r="A940">
        <v>29</v>
      </c>
      <c r="B940" t="s">
        <v>8</v>
      </c>
      <c r="C940">
        <v>2022</v>
      </c>
      <c r="D940">
        <v>153.5</v>
      </c>
      <c r="E940" t="s">
        <v>9</v>
      </c>
      <c r="F940">
        <v>123.5</v>
      </c>
      <c r="G940" s="1">
        <f>DATE(C940, CHOOSE(MATCH(UPPER(B940), {"ENERO","FEBRERO","MARZO","ABRIL","MAYO","JUNIO","JULIO","AGOSTO","SEPTIEMBRE","OCTUBRE","NOVIEMBRE","DICIEMBRE"}, 0), 1,2,3,4,5,6,7,8,9,10,11,12), A940)</f>
        <v>44590</v>
      </c>
      <c r="H940">
        <v>30</v>
      </c>
      <c r="I940">
        <v>48000</v>
      </c>
      <c r="J940" s="1">
        <f t="shared" si="29"/>
        <v>44405</v>
      </c>
      <c r="K940">
        <f t="shared" si="28"/>
        <v>24.125</v>
      </c>
    </row>
    <row r="941" spans="1:11" x14ac:dyDescent="0.25">
      <c r="A941">
        <v>30</v>
      </c>
      <c r="B941" t="s">
        <v>8</v>
      </c>
      <c r="C941">
        <v>2022</v>
      </c>
      <c r="D941">
        <v>123.5</v>
      </c>
      <c r="E941" t="s">
        <v>9</v>
      </c>
      <c r="F941">
        <v>88.5</v>
      </c>
      <c r="G941" s="1">
        <f>DATE(C941, CHOOSE(MATCH(UPPER(B941), {"ENERO","FEBRERO","MARZO","ABRIL","MAYO","JUNIO","JULIO","AGOSTO","SEPTIEMBRE","OCTUBRE","NOVIEMBRE","DICIEMBRE"}, 0), 1,2,3,4,5,6,7,8,9,10,11,12), A941)</f>
        <v>44591</v>
      </c>
      <c r="H941">
        <v>35</v>
      </c>
      <c r="I941">
        <v>48000</v>
      </c>
      <c r="J941" s="1">
        <f t="shared" si="29"/>
        <v>44406</v>
      </c>
      <c r="K941">
        <f t="shared" si="28"/>
        <v>12.375</v>
      </c>
    </row>
    <row r="942" spans="1:11" x14ac:dyDescent="0.25">
      <c r="A942">
        <v>31</v>
      </c>
      <c r="B942" t="s">
        <v>8</v>
      </c>
      <c r="C942">
        <v>2022</v>
      </c>
      <c r="D942">
        <v>88.5</v>
      </c>
      <c r="E942" t="s">
        <v>9</v>
      </c>
      <c r="F942">
        <v>74.875</v>
      </c>
      <c r="G942" s="1">
        <f>DATE(C942, CHOOSE(MATCH(UPPER(B942), {"ENERO","FEBRERO","MARZO","ABRIL","MAYO","JUNIO","JULIO","AGOSTO","SEPTIEMBRE","OCTUBRE","NOVIEMBRE","DICIEMBRE"}, 0), 1,2,3,4,5,6,7,8,9,10,11,12), A942)</f>
        <v>44592</v>
      </c>
      <c r="H942">
        <v>13.625</v>
      </c>
      <c r="I942">
        <v>48000</v>
      </c>
      <c r="J942" s="1">
        <f t="shared" si="29"/>
        <v>44407</v>
      </c>
      <c r="K942">
        <f t="shared" si="28"/>
        <v>20.5</v>
      </c>
    </row>
    <row r="943" spans="1:11" x14ac:dyDescent="0.25">
      <c r="A943">
        <v>1</v>
      </c>
      <c r="B943" t="s">
        <v>11</v>
      </c>
      <c r="C943">
        <v>2022</v>
      </c>
      <c r="D943">
        <v>74.875</v>
      </c>
      <c r="E943">
        <v>64</v>
      </c>
      <c r="F943">
        <v>131.5</v>
      </c>
      <c r="G943" s="1">
        <f>DATE(C943, CHOOSE(MATCH(UPPER(B943), {"ENERO","FEBRERO","MARZO","ABRIL","MAYO","JUNIO","JULIO","AGOSTO","SEPTIEMBRE","OCTUBRE","NOVIEMBRE","DICIEMBRE"}, 0), 1,2,3,4,5,6,7,8,9,10,11,12), A943)</f>
        <v>44593</v>
      </c>
      <c r="H943">
        <v>7.375</v>
      </c>
      <c r="I943">
        <v>48000</v>
      </c>
      <c r="J943" s="1">
        <f t="shared" si="29"/>
        <v>44408</v>
      </c>
      <c r="K943">
        <f t="shared" si="28"/>
        <v>49.5</v>
      </c>
    </row>
    <row r="944" spans="1:11" x14ac:dyDescent="0.25">
      <c r="A944">
        <v>2</v>
      </c>
      <c r="B944" t="s">
        <v>11</v>
      </c>
      <c r="C944">
        <v>2022</v>
      </c>
      <c r="D944">
        <v>131.5</v>
      </c>
      <c r="E944" t="s">
        <v>9</v>
      </c>
      <c r="F944">
        <v>117.125</v>
      </c>
      <c r="G944" s="1">
        <f>DATE(C944, CHOOSE(MATCH(UPPER(B944), {"ENERO","FEBRERO","MARZO","ABRIL","MAYO","JUNIO","JULIO","AGOSTO","SEPTIEMBRE","OCTUBRE","NOVIEMBRE","DICIEMBRE"}, 0), 1,2,3,4,5,6,7,8,9,10,11,12), A944)</f>
        <v>44594</v>
      </c>
      <c r="H944">
        <v>14.375</v>
      </c>
      <c r="I944">
        <v>48000</v>
      </c>
      <c r="J944" s="1">
        <f t="shared" si="29"/>
        <v>44409</v>
      </c>
      <c r="K944">
        <f t="shared" si="28"/>
        <v>41</v>
      </c>
    </row>
    <row r="945" spans="1:11" x14ac:dyDescent="0.25">
      <c r="A945">
        <v>3</v>
      </c>
      <c r="B945" t="s">
        <v>11</v>
      </c>
      <c r="C945">
        <v>2022</v>
      </c>
      <c r="D945">
        <v>117.125</v>
      </c>
      <c r="E945" t="s">
        <v>9</v>
      </c>
      <c r="F945">
        <v>103</v>
      </c>
      <c r="G945" s="1">
        <f>DATE(C945, CHOOSE(MATCH(UPPER(B945), {"ENERO","FEBRERO","MARZO","ABRIL","MAYO","JUNIO","JULIO","AGOSTO","SEPTIEMBRE","OCTUBRE","NOVIEMBRE","DICIEMBRE"}, 0), 1,2,3,4,5,6,7,8,9,10,11,12), A945)</f>
        <v>44595</v>
      </c>
      <c r="H945">
        <v>14.125</v>
      </c>
      <c r="I945">
        <v>48000</v>
      </c>
      <c r="J945" s="1">
        <f t="shared" si="29"/>
        <v>44410</v>
      </c>
      <c r="K945">
        <f t="shared" si="28"/>
        <v>10.75</v>
      </c>
    </row>
    <row r="946" spans="1:11" x14ac:dyDescent="0.25">
      <c r="A946">
        <v>4</v>
      </c>
      <c r="B946" t="s">
        <v>11</v>
      </c>
      <c r="C946">
        <v>2022</v>
      </c>
      <c r="D946">
        <v>103</v>
      </c>
      <c r="E946" t="s">
        <v>9</v>
      </c>
      <c r="F946">
        <v>84.5</v>
      </c>
      <c r="G946" s="1">
        <f>DATE(C946, CHOOSE(MATCH(UPPER(B946), {"ENERO","FEBRERO","MARZO","ABRIL","MAYO","JUNIO","JULIO","AGOSTO","SEPTIEMBRE","OCTUBRE","NOVIEMBRE","DICIEMBRE"}, 0), 1,2,3,4,5,6,7,8,9,10,11,12), A946)</f>
        <v>44596</v>
      </c>
      <c r="H946">
        <v>18.5</v>
      </c>
      <c r="I946">
        <v>48000</v>
      </c>
      <c r="J946" s="1">
        <f t="shared" si="29"/>
        <v>44411</v>
      </c>
      <c r="K946">
        <f t="shared" si="28"/>
        <v>18.75</v>
      </c>
    </row>
    <row r="947" spans="1:11" x14ac:dyDescent="0.25">
      <c r="A947">
        <v>5</v>
      </c>
      <c r="B947" t="s">
        <v>11</v>
      </c>
      <c r="C947">
        <v>2022</v>
      </c>
      <c r="D947">
        <v>84.5</v>
      </c>
      <c r="E947">
        <v>90</v>
      </c>
      <c r="F947">
        <v>139</v>
      </c>
      <c r="G947" s="1">
        <f>DATE(C947, CHOOSE(MATCH(UPPER(B947), {"ENERO","FEBRERO","MARZO","ABRIL","MAYO","JUNIO","JULIO","AGOSTO","SEPTIEMBRE","OCTUBRE","NOVIEMBRE","DICIEMBRE"}, 0), 1,2,3,4,5,6,7,8,9,10,11,12), A947)</f>
        <v>44597</v>
      </c>
      <c r="H947">
        <v>35.5</v>
      </c>
      <c r="I947">
        <v>48000</v>
      </c>
      <c r="J947" s="1">
        <f t="shared" si="29"/>
        <v>44412</v>
      </c>
      <c r="K947">
        <f t="shared" si="28"/>
        <v>25</v>
      </c>
    </row>
    <row r="948" spans="1:11" x14ac:dyDescent="0.25">
      <c r="A948">
        <v>6</v>
      </c>
      <c r="B948" t="s">
        <v>11</v>
      </c>
      <c r="C948">
        <v>2022</v>
      </c>
      <c r="D948">
        <v>139</v>
      </c>
      <c r="E948" t="s">
        <v>9</v>
      </c>
      <c r="F948">
        <v>106</v>
      </c>
      <c r="G948" s="1">
        <f>DATE(C948, CHOOSE(MATCH(UPPER(B948), {"ENERO","FEBRERO","MARZO","ABRIL","MAYO","JUNIO","JULIO","AGOSTO","SEPTIEMBRE","OCTUBRE","NOVIEMBRE","DICIEMBRE"}, 0), 1,2,3,4,5,6,7,8,9,10,11,12), A948)</f>
        <v>44598</v>
      </c>
      <c r="H948">
        <v>33</v>
      </c>
      <c r="I948">
        <v>48000</v>
      </c>
      <c r="J948" s="1">
        <f t="shared" si="29"/>
        <v>44413</v>
      </c>
      <c r="K948">
        <f t="shared" si="28"/>
        <v>20.75</v>
      </c>
    </row>
    <row r="949" spans="1:11" x14ac:dyDescent="0.25">
      <c r="A949">
        <v>7</v>
      </c>
      <c r="B949" t="s">
        <v>11</v>
      </c>
      <c r="C949">
        <v>2022</v>
      </c>
      <c r="D949">
        <v>106</v>
      </c>
      <c r="E949" t="s">
        <v>9</v>
      </c>
      <c r="F949">
        <v>97.25</v>
      </c>
      <c r="G949" s="1">
        <f>DATE(C949, CHOOSE(MATCH(UPPER(B949), {"ENERO","FEBRERO","MARZO","ABRIL","MAYO","JUNIO","JULIO","AGOSTO","SEPTIEMBRE","OCTUBRE","NOVIEMBRE","DICIEMBRE"}, 0), 1,2,3,4,5,6,7,8,9,10,11,12), A949)</f>
        <v>44599</v>
      </c>
      <c r="H949">
        <v>8.75</v>
      </c>
      <c r="I949">
        <v>48000</v>
      </c>
      <c r="J949" s="1">
        <f t="shared" si="29"/>
        <v>44414</v>
      </c>
      <c r="K949">
        <f t="shared" si="28"/>
        <v>31.25</v>
      </c>
    </row>
    <row r="950" spans="1:11" x14ac:dyDescent="0.25">
      <c r="A950">
        <v>8</v>
      </c>
      <c r="B950" t="s">
        <v>11</v>
      </c>
      <c r="C950">
        <v>2022</v>
      </c>
      <c r="D950">
        <v>97.25</v>
      </c>
      <c r="E950" t="s">
        <v>9</v>
      </c>
      <c r="F950">
        <v>82.375</v>
      </c>
      <c r="G950" s="1">
        <f>DATE(C950, CHOOSE(MATCH(UPPER(B950), {"ENERO","FEBRERO","MARZO","ABRIL","MAYO","JUNIO","JULIO","AGOSTO","SEPTIEMBRE","OCTUBRE","NOVIEMBRE","DICIEMBRE"}, 0), 1,2,3,4,5,6,7,8,9,10,11,12), A950)</f>
        <v>44600</v>
      </c>
      <c r="H950">
        <v>14.875</v>
      </c>
      <c r="I950">
        <v>48000</v>
      </c>
      <c r="J950" s="1">
        <f t="shared" si="29"/>
        <v>44415</v>
      </c>
      <c r="K950">
        <f t="shared" si="28"/>
        <v>33</v>
      </c>
    </row>
    <row r="951" spans="1:11" x14ac:dyDescent="0.25">
      <c r="A951">
        <v>9</v>
      </c>
      <c r="B951" t="s">
        <v>11</v>
      </c>
      <c r="C951">
        <v>2022</v>
      </c>
      <c r="D951">
        <v>82.375</v>
      </c>
      <c r="E951">
        <v>50</v>
      </c>
      <c r="F951">
        <v>119</v>
      </c>
      <c r="G951" s="1">
        <f>DATE(C951, CHOOSE(MATCH(UPPER(B951), {"ENERO","FEBRERO","MARZO","ABRIL","MAYO","JUNIO","JULIO","AGOSTO","SEPTIEMBRE","OCTUBRE","NOVIEMBRE","DICIEMBRE"}, 0), 1,2,3,4,5,6,7,8,9,10,11,12), A951)</f>
        <v>44601</v>
      </c>
      <c r="H951">
        <v>13.375</v>
      </c>
      <c r="I951">
        <v>48000</v>
      </c>
      <c r="J951" s="1">
        <f t="shared" si="29"/>
        <v>44416</v>
      </c>
      <c r="K951">
        <f t="shared" si="28"/>
        <v>31.25</v>
      </c>
    </row>
    <row r="952" spans="1:11" x14ac:dyDescent="0.25">
      <c r="A952">
        <v>10</v>
      </c>
      <c r="B952" t="s">
        <v>11</v>
      </c>
      <c r="C952">
        <v>2022</v>
      </c>
      <c r="D952">
        <v>119</v>
      </c>
      <c r="E952" t="s">
        <v>9</v>
      </c>
      <c r="F952">
        <v>108</v>
      </c>
      <c r="G952" s="1">
        <f>DATE(C952, CHOOSE(MATCH(UPPER(B952), {"ENERO","FEBRERO","MARZO","ABRIL","MAYO","JUNIO","JULIO","AGOSTO","SEPTIEMBRE","OCTUBRE","NOVIEMBRE","DICIEMBRE"}, 0), 1,2,3,4,5,6,7,8,9,10,11,12), A952)</f>
        <v>44602</v>
      </c>
      <c r="H952">
        <v>11</v>
      </c>
      <c r="I952">
        <v>48000</v>
      </c>
      <c r="J952" s="1">
        <f t="shared" si="29"/>
        <v>44417</v>
      </c>
      <c r="K952">
        <f t="shared" si="28"/>
        <v>8.75</v>
      </c>
    </row>
    <row r="953" spans="1:11" x14ac:dyDescent="0.25">
      <c r="A953">
        <v>11</v>
      </c>
      <c r="B953" t="s">
        <v>11</v>
      </c>
      <c r="C953">
        <v>2022</v>
      </c>
      <c r="D953">
        <v>108</v>
      </c>
      <c r="E953" t="s">
        <v>9</v>
      </c>
      <c r="F953">
        <v>83.875</v>
      </c>
      <c r="G953" s="1">
        <f>DATE(C953, CHOOSE(MATCH(UPPER(B953), {"ENERO","FEBRERO","MARZO","ABRIL","MAYO","JUNIO","JULIO","AGOSTO","SEPTIEMBRE","OCTUBRE","NOVIEMBRE","DICIEMBRE"}, 0), 1,2,3,4,5,6,7,8,9,10,11,12), A953)</f>
        <v>44603</v>
      </c>
      <c r="H953">
        <v>24.125</v>
      </c>
      <c r="I953">
        <v>48000</v>
      </c>
      <c r="J953" s="1">
        <f t="shared" si="29"/>
        <v>44418</v>
      </c>
      <c r="K953">
        <f t="shared" si="28"/>
        <v>17.125</v>
      </c>
    </row>
    <row r="954" spans="1:11" x14ac:dyDescent="0.25">
      <c r="A954">
        <v>12</v>
      </c>
      <c r="B954" t="s">
        <v>11</v>
      </c>
      <c r="C954">
        <v>2022</v>
      </c>
      <c r="D954">
        <v>83.875</v>
      </c>
      <c r="E954">
        <v>50</v>
      </c>
      <c r="F954">
        <v>103.375</v>
      </c>
      <c r="G954" s="1">
        <f>DATE(C954, CHOOSE(MATCH(UPPER(B954), {"ENERO","FEBRERO","MARZO","ABRIL","MAYO","JUNIO","JULIO","AGOSTO","SEPTIEMBRE","OCTUBRE","NOVIEMBRE","DICIEMBRE"}, 0), 1,2,3,4,5,6,7,8,9,10,11,12), A954)</f>
        <v>44604</v>
      </c>
      <c r="H954">
        <v>30.5</v>
      </c>
      <c r="I954">
        <v>48000</v>
      </c>
      <c r="J954" s="1">
        <f t="shared" si="29"/>
        <v>44419</v>
      </c>
      <c r="K954">
        <f t="shared" si="28"/>
        <v>26.875</v>
      </c>
    </row>
    <row r="955" spans="1:11" x14ac:dyDescent="0.25">
      <c r="A955">
        <v>13</v>
      </c>
      <c r="B955" t="s">
        <v>11</v>
      </c>
      <c r="C955">
        <v>2022</v>
      </c>
      <c r="D955">
        <v>103.375</v>
      </c>
      <c r="E955" t="s">
        <v>9</v>
      </c>
      <c r="F955">
        <v>62.875</v>
      </c>
      <c r="G955" s="1">
        <f>DATE(C955, CHOOSE(MATCH(UPPER(B955), {"ENERO","FEBRERO","MARZO","ABRIL","MAYO","JUNIO","JULIO","AGOSTO","SEPTIEMBRE","OCTUBRE","NOVIEMBRE","DICIEMBRE"}, 0), 1,2,3,4,5,6,7,8,9,10,11,12), A955)</f>
        <v>44605</v>
      </c>
      <c r="H955">
        <v>40.5</v>
      </c>
      <c r="I955">
        <v>48000</v>
      </c>
      <c r="J955" s="1">
        <f t="shared" si="29"/>
        <v>44420</v>
      </c>
      <c r="K955">
        <f t="shared" si="28"/>
        <v>7.5</v>
      </c>
    </row>
    <row r="956" spans="1:11" x14ac:dyDescent="0.25">
      <c r="A956">
        <v>14</v>
      </c>
      <c r="B956" t="s">
        <v>11</v>
      </c>
      <c r="C956">
        <v>2022</v>
      </c>
      <c r="D956">
        <v>62.875</v>
      </c>
      <c r="E956">
        <v>50</v>
      </c>
      <c r="F956">
        <v>96.5</v>
      </c>
      <c r="G956" s="1">
        <f>DATE(C956, CHOOSE(MATCH(UPPER(B956), {"ENERO","FEBRERO","MARZO","ABRIL","MAYO","JUNIO","JULIO","AGOSTO","SEPTIEMBRE","OCTUBRE","NOVIEMBRE","DICIEMBRE"}, 0), 1,2,3,4,5,6,7,8,9,10,11,12), A956)</f>
        <v>44606</v>
      </c>
      <c r="H956">
        <v>16.375</v>
      </c>
      <c r="I956">
        <v>48000</v>
      </c>
      <c r="J956" s="1">
        <f t="shared" si="29"/>
        <v>44421</v>
      </c>
      <c r="K956">
        <f t="shared" si="28"/>
        <v>14</v>
      </c>
    </row>
    <row r="957" spans="1:11" x14ac:dyDescent="0.25">
      <c r="A957">
        <v>15</v>
      </c>
      <c r="B957" t="s">
        <v>11</v>
      </c>
      <c r="C957">
        <v>2022</v>
      </c>
      <c r="D957">
        <v>96.5</v>
      </c>
      <c r="E957" t="s">
        <v>9</v>
      </c>
      <c r="F957">
        <v>87</v>
      </c>
      <c r="G957" s="1">
        <f>DATE(C957, CHOOSE(MATCH(UPPER(B957), {"ENERO","FEBRERO","MARZO","ABRIL","MAYO","JUNIO","JULIO","AGOSTO","SEPTIEMBRE","OCTUBRE","NOVIEMBRE","DICIEMBRE"}, 0), 1,2,3,4,5,6,7,8,9,10,11,12), A957)</f>
        <v>44607</v>
      </c>
      <c r="H957">
        <v>9.5</v>
      </c>
      <c r="I957">
        <v>48000</v>
      </c>
      <c r="J957" s="1">
        <f t="shared" si="29"/>
        <v>44422</v>
      </c>
      <c r="K957">
        <f t="shared" si="28"/>
        <v>23</v>
      </c>
    </row>
    <row r="958" spans="1:11" x14ac:dyDescent="0.25">
      <c r="A958">
        <v>16</v>
      </c>
      <c r="B958" t="s">
        <v>11</v>
      </c>
      <c r="C958">
        <v>2022</v>
      </c>
      <c r="D958">
        <v>87</v>
      </c>
      <c r="E958">
        <v>50</v>
      </c>
      <c r="F958">
        <v>125.5</v>
      </c>
      <c r="G958" s="1">
        <f>DATE(C958, CHOOSE(MATCH(UPPER(B958), {"ENERO","FEBRERO","MARZO","ABRIL","MAYO","JUNIO","JULIO","AGOSTO","SEPTIEMBRE","OCTUBRE","NOVIEMBRE","DICIEMBRE"}, 0), 1,2,3,4,5,6,7,8,9,10,11,12), A958)</f>
        <v>44608</v>
      </c>
      <c r="H958">
        <v>11.5</v>
      </c>
      <c r="I958">
        <v>48000</v>
      </c>
      <c r="J958" s="1">
        <f t="shared" si="29"/>
        <v>44423</v>
      </c>
      <c r="K958">
        <f t="shared" si="28"/>
        <v>35.5</v>
      </c>
    </row>
    <row r="959" spans="1:11" x14ac:dyDescent="0.25">
      <c r="A959">
        <v>17</v>
      </c>
      <c r="B959" t="s">
        <v>11</v>
      </c>
      <c r="C959">
        <v>2022</v>
      </c>
      <c r="D959">
        <v>125.5</v>
      </c>
      <c r="E959" t="s">
        <v>9</v>
      </c>
      <c r="F959">
        <v>109</v>
      </c>
      <c r="G959" s="1">
        <f>DATE(C959, CHOOSE(MATCH(UPPER(B959), {"ENERO","FEBRERO","MARZO","ABRIL","MAYO","JUNIO","JULIO","AGOSTO","SEPTIEMBRE","OCTUBRE","NOVIEMBRE","DICIEMBRE"}, 0), 1,2,3,4,5,6,7,8,9,10,11,12), A959)</f>
        <v>44609</v>
      </c>
      <c r="H959">
        <v>16.5</v>
      </c>
      <c r="I959">
        <v>48000</v>
      </c>
      <c r="J959" s="1">
        <f t="shared" si="29"/>
        <v>44424</v>
      </c>
      <c r="K959">
        <f t="shared" si="28"/>
        <v>31.125</v>
      </c>
    </row>
    <row r="960" spans="1:11" x14ac:dyDescent="0.25">
      <c r="A960">
        <v>18</v>
      </c>
      <c r="B960" t="s">
        <v>11</v>
      </c>
      <c r="C960">
        <v>2022</v>
      </c>
      <c r="D960">
        <v>109</v>
      </c>
      <c r="E960" t="s">
        <v>9</v>
      </c>
      <c r="F960">
        <v>88.375</v>
      </c>
      <c r="G960" s="1">
        <f>DATE(C960, CHOOSE(MATCH(UPPER(B960), {"ENERO","FEBRERO","MARZO","ABRIL","MAYO","JUNIO","JULIO","AGOSTO","SEPTIEMBRE","OCTUBRE","NOVIEMBRE","DICIEMBRE"}, 0), 1,2,3,4,5,6,7,8,9,10,11,12), A960)</f>
        <v>44610</v>
      </c>
      <c r="H960">
        <v>20.625</v>
      </c>
      <c r="I960">
        <v>48000</v>
      </c>
      <c r="J960" s="1">
        <f t="shared" si="29"/>
        <v>44425</v>
      </c>
      <c r="K960">
        <f t="shared" si="28"/>
        <v>21.875</v>
      </c>
    </row>
    <row r="961" spans="1:11" x14ac:dyDescent="0.25">
      <c r="A961">
        <v>19</v>
      </c>
      <c r="B961" t="s">
        <v>11</v>
      </c>
      <c r="C961">
        <v>2022</v>
      </c>
      <c r="D961">
        <v>88.375</v>
      </c>
      <c r="E961">
        <v>50</v>
      </c>
      <c r="F961">
        <v>109.25</v>
      </c>
      <c r="G961" s="1">
        <f>DATE(C961, CHOOSE(MATCH(UPPER(B961), {"ENERO","FEBRERO","MARZO","ABRIL","MAYO","JUNIO","JULIO","AGOSTO","SEPTIEMBRE","OCTUBRE","NOVIEMBRE","DICIEMBRE"}, 0), 1,2,3,4,5,6,7,8,9,10,11,12), A961)</f>
        <v>44611</v>
      </c>
      <c r="H961">
        <v>29.125</v>
      </c>
      <c r="I961">
        <v>48000</v>
      </c>
      <c r="J961" s="1">
        <f t="shared" si="29"/>
        <v>44426</v>
      </c>
      <c r="K961">
        <f t="shared" si="28"/>
        <v>23.5</v>
      </c>
    </row>
    <row r="962" spans="1:11" x14ac:dyDescent="0.25">
      <c r="A962">
        <v>20</v>
      </c>
      <c r="B962" t="s">
        <v>11</v>
      </c>
      <c r="C962">
        <v>2022</v>
      </c>
      <c r="D962">
        <v>109.25</v>
      </c>
      <c r="E962" t="s">
        <v>9</v>
      </c>
      <c r="F962">
        <v>77.125</v>
      </c>
      <c r="G962" s="1">
        <f>DATE(C962, CHOOSE(MATCH(UPPER(B962), {"ENERO","FEBRERO","MARZO","ABRIL","MAYO","JUNIO","JULIO","AGOSTO","SEPTIEMBRE","OCTUBRE","NOVIEMBRE","DICIEMBRE"}, 0), 1,2,3,4,5,6,7,8,9,10,11,12), A962)</f>
        <v>44612</v>
      </c>
      <c r="H962">
        <v>32.125</v>
      </c>
      <c r="I962">
        <v>48000</v>
      </c>
      <c r="J962" s="1">
        <f t="shared" si="29"/>
        <v>44427</v>
      </c>
      <c r="K962">
        <f t="shared" ref="K962:K1025" si="30">VLOOKUP(J962, G:H, 2, FALSE)</f>
        <v>10.25</v>
      </c>
    </row>
    <row r="963" spans="1:11" x14ac:dyDescent="0.25">
      <c r="A963">
        <v>21</v>
      </c>
      <c r="B963" t="s">
        <v>11</v>
      </c>
      <c r="C963">
        <v>2022</v>
      </c>
      <c r="D963">
        <v>77.125</v>
      </c>
      <c r="E963">
        <v>40</v>
      </c>
      <c r="F963">
        <v>105.625</v>
      </c>
      <c r="G963" s="1">
        <f>DATE(C963, CHOOSE(MATCH(UPPER(B963), {"ENERO","FEBRERO","MARZO","ABRIL","MAYO","JUNIO","JULIO","AGOSTO","SEPTIEMBRE","OCTUBRE","NOVIEMBRE","DICIEMBRE"}, 0), 1,2,3,4,5,6,7,8,9,10,11,12), A963)</f>
        <v>44613</v>
      </c>
      <c r="H963">
        <v>11.5</v>
      </c>
      <c r="I963">
        <v>48000</v>
      </c>
      <c r="J963" s="1">
        <f t="shared" si="29"/>
        <v>44428</v>
      </c>
      <c r="K963">
        <f t="shared" si="30"/>
        <v>21</v>
      </c>
    </row>
    <row r="964" spans="1:11" x14ac:dyDescent="0.25">
      <c r="A964">
        <v>22</v>
      </c>
      <c r="B964" t="s">
        <v>11</v>
      </c>
      <c r="C964">
        <v>2022</v>
      </c>
      <c r="D964">
        <v>105.625</v>
      </c>
      <c r="E964" t="s">
        <v>9</v>
      </c>
      <c r="F964">
        <v>95.375</v>
      </c>
      <c r="G964" s="1">
        <f>DATE(C964, CHOOSE(MATCH(UPPER(B964), {"ENERO","FEBRERO","MARZO","ABRIL","MAYO","JUNIO","JULIO","AGOSTO","SEPTIEMBRE","OCTUBRE","NOVIEMBRE","DICIEMBRE"}, 0), 1,2,3,4,5,6,7,8,9,10,11,12), A964)</f>
        <v>44614</v>
      </c>
      <c r="H964">
        <v>10.25</v>
      </c>
      <c r="I964">
        <v>48000</v>
      </c>
      <c r="J964" s="1">
        <f t="shared" ref="J964:J1027" si="31">DATE(2019,1,1) + ROW()-1</f>
        <v>44429</v>
      </c>
      <c r="K964">
        <f t="shared" si="30"/>
        <v>25.75</v>
      </c>
    </row>
    <row r="965" spans="1:11" x14ac:dyDescent="0.25">
      <c r="A965">
        <v>23</v>
      </c>
      <c r="B965" t="s">
        <v>11</v>
      </c>
      <c r="C965">
        <v>2022</v>
      </c>
      <c r="D965">
        <v>95.375</v>
      </c>
      <c r="E965">
        <v>30</v>
      </c>
      <c r="F965">
        <v>114.125</v>
      </c>
      <c r="G965" s="1">
        <f>DATE(C965, CHOOSE(MATCH(UPPER(B965), {"ENERO","FEBRERO","MARZO","ABRIL","MAYO","JUNIO","JULIO","AGOSTO","SEPTIEMBRE","OCTUBRE","NOVIEMBRE","DICIEMBRE"}, 0), 1,2,3,4,5,6,7,8,9,10,11,12), A965)</f>
        <v>44615</v>
      </c>
      <c r="H965">
        <v>11.25</v>
      </c>
      <c r="I965">
        <v>48000</v>
      </c>
      <c r="J965" s="1">
        <f t="shared" si="31"/>
        <v>44430</v>
      </c>
      <c r="K965">
        <f t="shared" si="30"/>
        <v>38</v>
      </c>
    </row>
    <row r="966" spans="1:11" x14ac:dyDescent="0.25">
      <c r="A966">
        <v>24</v>
      </c>
      <c r="B966" t="s">
        <v>11</v>
      </c>
      <c r="C966">
        <v>2022</v>
      </c>
      <c r="D966">
        <v>114.125</v>
      </c>
      <c r="E966" t="s">
        <v>9</v>
      </c>
      <c r="F966">
        <v>103.875</v>
      </c>
      <c r="G966" s="1">
        <f>DATE(C966, CHOOSE(MATCH(UPPER(B966), {"ENERO","FEBRERO","MARZO","ABRIL","MAYO","JUNIO","JULIO","AGOSTO","SEPTIEMBRE","OCTUBRE","NOVIEMBRE","DICIEMBRE"}, 0), 1,2,3,4,5,6,7,8,9,10,11,12), A966)</f>
        <v>44616</v>
      </c>
      <c r="H966">
        <v>10.25</v>
      </c>
      <c r="I966">
        <v>48000</v>
      </c>
      <c r="J966" s="1">
        <f t="shared" si="31"/>
        <v>44431</v>
      </c>
      <c r="K966">
        <f t="shared" si="30"/>
        <v>14.5</v>
      </c>
    </row>
    <row r="967" spans="1:11" x14ac:dyDescent="0.25">
      <c r="A967">
        <v>25</v>
      </c>
      <c r="B967" t="s">
        <v>11</v>
      </c>
      <c r="C967">
        <v>2022</v>
      </c>
      <c r="D967">
        <v>103.875</v>
      </c>
      <c r="E967" t="s">
        <v>9</v>
      </c>
      <c r="F967">
        <v>81</v>
      </c>
      <c r="G967" s="1">
        <f>DATE(C967, CHOOSE(MATCH(UPPER(B967), {"ENERO","FEBRERO","MARZO","ABRIL","MAYO","JUNIO","JULIO","AGOSTO","SEPTIEMBRE","OCTUBRE","NOVIEMBRE","DICIEMBRE"}, 0), 1,2,3,4,5,6,7,8,9,10,11,12), A967)</f>
        <v>44617</v>
      </c>
      <c r="H967">
        <v>22.875</v>
      </c>
      <c r="I967">
        <v>48000</v>
      </c>
      <c r="J967" s="1">
        <f t="shared" si="31"/>
        <v>44432</v>
      </c>
      <c r="K967">
        <f t="shared" si="30"/>
        <v>19.5</v>
      </c>
    </row>
    <row r="968" spans="1:11" x14ac:dyDescent="0.25">
      <c r="A968">
        <v>26</v>
      </c>
      <c r="B968" t="s">
        <v>11</v>
      </c>
      <c r="C968">
        <v>2022</v>
      </c>
      <c r="D968">
        <v>81</v>
      </c>
      <c r="E968">
        <v>50</v>
      </c>
      <c r="F968">
        <v>103.75</v>
      </c>
      <c r="G968" s="1">
        <f>DATE(C968, CHOOSE(MATCH(UPPER(B968), {"ENERO","FEBRERO","MARZO","ABRIL","MAYO","JUNIO","JULIO","AGOSTO","SEPTIEMBRE","OCTUBRE","NOVIEMBRE","DICIEMBRE"}, 0), 1,2,3,4,5,6,7,8,9,10,11,12), A968)</f>
        <v>44618</v>
      </c>
      <c r="H968">
        <v>27.25</v>
      </c>
      <c r="I968">
        <v>48000</v>
      </c>
      <c r="J968" s="1">
        <f t="shared" si="31"/>
        <v>44433</v>
      </c>
      <c r="K968">
        <f t="shared" si="30"/>
        <v>20.5</v>
      </c>
    </row>
    <row r="969" spans="1:11" x14ac:dyDescent="0.25">
      <c r="A969">
        <v>27</v>
      </c>
      <c r="B969" t="s">
        <v>11</v>
      </c>
      <c r="C969">
        <v>2022</v>
      </c>
      <c r="D969">
        <v>103.75</v>
      </c>
      <c r="E969" t="s">
        <v>9</v>
      </c>
      <c r="F969">
        <v>67</v>
      </c>
      <c r="G969" s="1">
        <f>DATE(C969, CHOOSE(MATCH(UPPER(B969), {"ENERO","FEBRERO","MARZO","ABRIL","MAYO","JUNIO","JULIO","AGOSTO","SEPTIEMBRE","OCTUBRE","NOVIEMBRE","DICIEMBRE"}, 0), 1,2,3,4,5,6,7,8,9,10,11,12), A969)</f>
        <v>44619</v>
      </c>
      <c r="H969">
        <v>36.75</v>
      </c>
      <c r="I969">
        <v>48000</v>
      </c>
      <c r="J969" s="1">
        <f t="shared" si="31"/>
        <v>44434</v>
      </c>
      <c r="K969">
        <f t="shared" si="30"/>
        <v>19.25</v>
      </c>
    </row>
    <row r="970" spans="1:11" x14ac:dyDescent="0.25">
      <c r="A970">
        <v>28</v>
      </c>
      <c r="B970" t="s">
        <v>11</v>
      </c>
      <c r="C970">
        <v>2022</v>
      </c>
      <c r="D970">
        <v>67</v>
      </c>
      <c r="E970">
        <v>50</v>
      </c>
      <c r="F970">
        <v>107.125</v>
      </c>
      <c r="G970" s="1">
        <f>DATE(C970, CHOOSE(MATCH(UPPER(B970), {"ENERO","FEBRERO","MARZO","ABRIL","MAYO","JUNIO","JULIO","AGOSTO","SEPTIEMBRE","OCTUBRE","NOVIEMBRE","DICIEMBRE"}, 0), 1,2,3,4,5,6,7,8,9,10,11,12), A970)</f>
        <v>44620</v>
      </c>
      <c r="H970">
        <v>9.875</v>
      </c>
      <c r="I970">
        <v>48000</v>
      </c>
      <c r="J970" s="1">
        <f t="shared" si="31"/>
        <v>44435</v>
      </c>
      <c r="K970">
        <f t="shared" si="30"/>
        <v>18.25</v>
      </c>
    </row>
    <row r="971" spans="1:11" x14ac:dyDescent="0.25">
      <c r="A971">
        <v>1</v>
      </c>
      <c r="B971" t="s">
        <v>12</v>
      </c>
      <c r="C971">
        <v>2022</v>
      </c>
      <c r="D971">
        <v>107.125</v>
      </c>
      <c r="E971" t="s">
        <v>9</v>
      </c>
      <c r="F971">
        <v>96.75</v>
      </c>
      <c r="G971" s="1">
        <f>DATE(C971, CHOOSE(MATCH(UPPER(B971), {"ENERO","FEBRERO","MARZO","ABRIL","MAYO","JUNIO","JULIO","AGOSTO","SEPTIEMBRE","OCTUBRE","NOVIEMBRE","DICIEMBRE"}, 0), 1,2,3,4,5,6,7,8,9,10,11,12), A971)</f>
        <v>44621</v>
      </c>
      <c r="H971">
        <v>10.375</v>
      </c>
      <c r="I971">
        <v>48000</v>
      </c>
      <c r="J971" s="1">
        <f t="shared" si="31"/>
        <v>44436</v>
      </c>
      <c r="K971">
        <f t="shared" si="30"/>
        <v>39.25</v>
      </c>
    </row>
    <row r="972" spans="1:11" x14ac:dyDescent="0.25">
      <c r="A972">
        <v>2</v>
      </c>
      <c r="B972" t="s">
        <v>12</v>
      </c>
      <c r="C972">
        <v>2022</v>
      </c>
      <c r="D972">
        <v>96.75</v>
      </c>
      <c r="E972">
        <v>50</v>
      </c>
      <c r="F972">
        <v>127.375</v>
      </c>
      <c r="G972" s="1">
        <f>DATE(C972, CHOOSE(MATCH(UPPER(B972), {"ENERO","FEBRERO","MARZO","ABRIL","MAYO","JUNIO","JULIO","AGOSTO","SEPTIEMBRE","OCTUBRE","NOVIEMBRE","DICIEMBRE"}, 0), 1,2,3,4,5,6,7,8,9,10,11,12), A972)</f>
        <v>44622</v>
      </c>
      <c r="H972">
        <v>19.375</v>
      </c>
      <c r="I972">
        <v>48000</v>
      </c>
      <c r="J972" s="1">
        <f t="shared" si="31"/>
        <v>44437</v>
      </c>
      <c r="K972">
        <f t="shared" si="30"/>
        <v>32.25</v>
      </c>
    </row>
    <row r="973" spans="1:11" x14ac:dyDescent="0.25">
      <c r="A973">
        <v>3</v>
      </c>
      <c r="B973" t="s">
        <v>12</v>
      </c>
      <c r="C973">
        <v>2022</v>
      </c>
      <c r="D973">
        <v>127.375</v>
      </c>
      <c r="E973" t="s">
        <v>9</v>
      </c>
      <c r="F973">
        <v>107.375</v>
      </c>
      <c r="G973" s="1">
        <f>DATE(C973, CHOOSE(MATCH(UPPER(B973), {"ENERO","FEBRERO","MARZO","ABRIL","MAYO","JUNIO","JULIO","AGOSTO","SEPTIEMBRE","OCTUBRE","NOVIEMBRE","DICIEMBRE"}, 0), 1,2,3,4,5,6,7,8,9,10,11,12), A973)</f>
        <v>44623</v>
      </c>
      <c r="H973">
        <v>20</v>
      </c>
      <c r="I973">
        <v>48000</v>
      </c>
      <c r="J973" s="1">
        <f t="shared" si="31"/>
        <v>44438</v>
      </c>
      <c r="K973">
        <f t="shared" si="30"/>
        <v>23.5</v>
      </c>
    </row>
    <row r="974" spans="1:11" x14ac:dyDescent="0.25">
      <c r="A974">
        <v>4</v>
      </c>
      <c r="B974" t="s">
        <v>12</v>
      </c>
      <c r="C974">
        <v>2022</v>
      </c>
      <c r="D974">
        <v>107.375</v>
      </c>
      <c r="E974" t="s">
        <v>9</v>
      </c>
      <c r="F974">
        <v>82.75</v>
      </c>
      <c r="G974" s="1">
        <f>DATE(C974, CHOOSE(MATCH(UPPER(B974), {"ENERO","FEBRERO","MARZO","ABRIL","MAYO","JUNIO","JULIO","AGOSTO","SEPTIEMBRE","OCTUBRE","NOVIEMBRE","DICIEMBRE"}, 0), 1,2,3,4,5,6,7,8,9,10,11,12), A974)</f>
        <v>44624</v>
      </c>
      <c r="H974">
        <v>24.625</v>
      </c>
      <c r="I974">
        <v>48000</v>
      </c>
      <c r="J974" s="1">
        <f t="shared" si="31"/>
        <v>44439</v>
      </c>
      <c r="K974">
        <f t="shared" si="30"/>
        <v>16.375</v>
      </c>
    </row>
    <row r="975" spans="1:11" x14ac:dyDescent="0.25">
      <c r="A975">
        <v>5</v>
      </c>
      <c r="B975" t="s">
        <v>12</v>
      </c>
      <c r="C975">
        <v>2022</v>
      </c>
      <c r="D975">
        <v>82.75</v>
      </c>
      <c r="E975">
        <v>120</v>
      </c>
      <c r="F975">
        <v>165.375</v>
      </c>
      <c r="G975" s="1">
        <f>DATE(C975, CHOOSE(MATCH(UPPER(B975), {"ENERO","FEBRERO","MARZO","ABRIL","MAYO","JUNIO","JULIO","AGOSTO","SEPTIEMBRE","OCTUBRE","NOVIEMBRE","DICIEMBRE"}, 0), 1,2,3,4,5,6,7,8,9,10,11,12), A975)</f>
        <v>44625</v>
      </c>
      <c r="H975">
        <v>37.375</v>
      </c>
      <c r="I975">
        <v>48000</v>
      </c>
      <c r="J975" s="1">
        <f t="shared" si="31"/>
        <v>44440</v>
      </c>
      <c r="K975">
        <f t="shared" si="30"/>
        <v>17.25</v>
      </c>
    </row>
    <row r="976" spans="1:11" x14ac:dyDescent="0.25">
      <c r="A976">
        <v>6</v>
      </c>
      <c r="B976" t="s">
        <v>12</v>
      </c>
      <c r="C976">
        <v>2022</v>
      </c>
      <c r="D976">
        <v>165.375</v>
      </c>
      <c r="E976" t="s">
        <v>9</v>
      </c>
      <c r="F976">
        <v>130</v>
      </c>
      <c r="G976" s="1">
        <f>DATE(C976, CHOOSE(MATCH(UPPER(B976), {"ENERO","FEBRERO","MARZO","ABRIL","MAYO","JUNIO","JULIO","AGOSTO","SEPTIEMBRE","OCTUBRE","NOVIEMBRE","DICIEMBRE"}, 0), 1,2,3,4,5,6,7,8,9,10,11,12), A976)</f>
        <v>44626</v>
      </c>
      <c r="H976">
        <v>35.375</v>
      </c>
      <c r="I976">
        <v>48000</v>
      </c>
      <c r="J976" s="1">
        <f t="shared" si="31"/>
        <v>44441</v>
      </c>
      <c r="K976">
        <f t="shared" si="30"/>
        <v>17.375</v>
      </c>
    </row>
    <row r="977" spans="1:11" x14ac:dyDescent="0.25">
      <c r="A977">
        <v>7</v>
      </c>
      <c r="B977" t="s">
        <v>12</v>
      </c>
      <c r="C977">
        <v>2022</v>
      </c>
      <c r="D977">
        <v>130</v>
      </c>
      <c r="E977" t="s">
        <v>9</v>
      </c>
      <c r="F977">
        <v>114.125</v>
      </c>
      <c r="G977" s="1">
        <f>DATE(C977, CHOOSE(MATCH(UPPER(B977), {"ENERO","FEBRERO","MARZO","ABRIL","MAYO","JUNIO","JULIO","AGOSTO","SEPTIEMBRE","OCTUBRE","NOVIEMBRE","DICIEMBRE"}, 0), 1,2,3,4,5,6,7,8,9,10,11,12), A977)</f>
        <v>44627</v>
      </c>
      <c r="H977">
        <v>15.875</v>
      </c>
      <c r="I977">
        <v>48000</v>
      </c>
      <c r="J977" s="1">
        <f t="shared" si="31"/>
        <v>44442</v>
      </c>
      <c r="K977">
        <f t="shared" si="30"/>
        <v>28.5</v>
      </c>
    </row>
    <row r="978" spans="1:11" x14ac:dyDescent="0.25">
      <c r="A978">
        <v>8</v>
      </c>
      <c r="B978" t="s">
        <v>12</v>
      </c>
      <c r="C978">
        <v>2022</v>
      </c>
      <c r="D978">
        <v>114.125</v>
      </c>
      <c r="E978" t="s">
        <v>9</v>
      </c>
      <c r="F978">
        <v>96</v>
      </c>
      <c r="G978" s="1">
        <f>DATE(C978, CHOOSE(MATCH(UPPER(B978), {"ENERO","FEBRERO","MARZO","ABRIL","MAYO","JUNIO","JULIO","AGOSTO","SEPTIEMBRE","OCTUBRE","NOVIEMBRE","DICIEMBRE"}, 0), 1,2,3,4,5,6,7,8,9,10,11,12), A978)</f>
        <v>44628</v>
      </c>
      <c r="H978">
        <v>18.125</v>
      </c>
      <c r="I978">
        <v>48000</v>
      </c>
      <c r="J978" s="1">
        <f t="shared" si="31"/>
        <v>44443</v>
      </c>
      <c r="K978">
        <f t="shared" si="30"/>
        <v>37.5</v>
      </c>
    </row>
    <row r="979" spans="1:11" x14ac:dyDescent="0.25">
      <c r="A979">
        <v>9</v>
      </c>
      <c r="B979" t="s">
        <v>12</v>
      </c>
      <c r="C979">
        <v>2022</v>
      </c>
      <c r="D979">
        <v>96</v>
      </c>
      <c r="E979">
        <v>50</v>
      </c>
      <c r="F979">
        <v>127.5</v>
      </c>
      <c r="G979" s="1">
        <f>DATE(C979, CHOOSE(MATCH(UPPER(B979), {"ENERO","FEBRERO","MARZO","ABRIL","MAYO","JUNIO","JULIO","AGOSTO","SEPTIEMBRE","OCTUBRE","NOVIEMBRE","DICIEMBRE"}, 0), 1,2,3,4,5,6,7,8,9,10,11,12), A979)</f>
        <v>44629</v>
      </c>
      <c r="H979">
        <v>18.5</v>
      </c>
      <c r="I979">
        <v>48000</v>
      </c>
      <c r="J979" s="1">
        <f t="shared" si="31"/>
        <v>44444</v>
      </c>
      <c r="K979">
        <f t="shared" si="30"/>
        <v>40</v>
      </c>
    </row>
    <row r="980" spans="1:11" x14ac:dyDescent="0.25">
      <c r="A980">
        <v>10</v>
      </c>
      <c r="B980" t="s">
        <v>12</v>
      </c>
      <c r="C980">
        <v>2022</v>
      </c>
      <c r="D980">
        <v>127.5</v>
      </c>
      <c r="E980" t="s">
        <v>9</v>
      </c>
      <c r="F980">
        <v>114</v>
      </c>
      <c r="G980" s="1">
        <f>DATE(C980, CHOOSE(MATCH(UPPER(B980), {"ENERO","FEBRERO","MARZO","ABRIL","MAYO","JUNIO","JULIO","AGOSTO","SEPTIEMBRE","OCTUBRE","NOVIEMBRE","DICIEMBRE"}, 0), 1,2,3,4,5,6,7,8,9,10,11,12), A980)</f>
        <v>44630</v>
      </c>
      <c r="H980">
        <v>13.5</v>
      </c>
      <c r="I980">
        <v>48000</v>
      </c>
      <c r="J980" s="1">
        <f t="shared" si="31"/>
        <v>44445</v>
      </c>
      <c r="K980">
        <f t="shared" si="30"/>
        <v>12.75</v>
      </c>
    </row>
    <row r="981" spans="1:11" x14ac:dyDescent="0.25">
      <c r="A981">
        <v>11</v>
      </c>
      <c r="B981" t="s">
        <v>12</v>
      </c>
      <c r="C981">
        <v>2022</v>
      </c>
      <c r="D981">
        <v>114</v>
      </c>
      <c r="E981" t="s">
        <v>9</v>
      </c>
      <c r="F981">
        <v>89</v>
      </c>
      <c r="G981" s="1">
        <f>DATE(C981, CHOOSE(MATCH(UPPER(B981), {"ENERO","FEBRERO","MARZO","ABRIL","MAYO","JUNIO","JULIO","AGOSTO","SEPTIEMBRE","OCTUBRE","NOVIEMBRE","DICIEMBRE"}, 0), 1,2,3,4,5,6,7,8,9,10,11,12), A981)</f>
        <v>44631</v>
      </c>
      <c r="H981">
        <v>25</v>
      </c>
      <c r="I981">
        <v>48000</v>
      </c>
      <c r="J981" s="1">
        <f t="shared" si="31"/>
        <v>44446</v>
      </c>
      <c r="K981">
        <f t="shared" si="30"/>
        <v>14.75</v>
      </c>
    </row>
    <row r="982" spans="1:11" x14ac:dyDescent="0.25">
      <c r="A982">
        <v>12</v>
      </c>
      <c r="B982" t="s">
        <v>12</v>
      </c>
      <c r="C982">
        <v>2022</v>
      </c>
      <c r="D982">
        <v>89</v>
      </c>
      <c r="E982">
        <v>30</v>
      </c>
      <c r="F982">
        <v>75.375</v>
      </c>
      <c r="G982" s="1">
        <f>DATE(C982, CHOOSE(MATCH(UPPER(B982), {"ENERO","FEBRERO","MARZO","ABRIL","MAYO","JUNIO","JULIO","AGOSTO","SEPTIEMBRE","OCTUBRE","NOVIEMBRE","DICIEMBRE"}, 0), 1,2,3,4,5,6,7,8,9,10,11,12), A982)</f>
        <v>44632</v>
      </c>
      <c r="H982">
        <v>43.625</v>
      </c>
      <c r="I982">
        <v>48000</v>
      </c>
      <c r="J982" s="1">
        <f t="shared" si="31"/>
        <v>44447</v>
      </c>
      <c r="K982">
        <f t="shared" si="30"/>
        <v>27.5</v>
      </c>
    </row>
    <row r="983" spans="1:11" x14ac:dyDescent="0.25">
      <c r="A983">
        <v>13</v>
      </c>
      <c r="B983" t="s">
        <v>12</v>
      </c>
      <c r="C983">
        <v>2022</v>
      </c>
      <c r="D983">
        <v>75.375</v>
      </c>
      <c r="E983" t="s">
        <v>9</v>
      </c>
      <c r="F983">
        <v>37.25</v>
      </c>
      <c r="G983" s="1">
        <f>DATE(C983, CHOOSE(MATCH(UPPER(B983), {"ENERO","FEBRERO","MARZO","ABRIL","MAYO","JUNIO","JULIO","AGOSTO","SEPTIEMBRE","OCTUBRE","NOVIEMBRE","DICIEMBRE"}, 0), 1,2,3,4,5,6,7,8,9,10,11,12), A983)</f>
        <v>44633</v>
      </c>
      <c r="H983">
        <v>38.125</v>
      </c>
      <c r="I983">
        <v>48000</v>
      </c>
      <c r="J983" s="1">
        <f t="shared" si="31"/>
        <v>44448</v>
      </c>
      <c r="K983">
        <f t="shared" si="30"/>
        <v>20</v>
      </c>
    </row>
    <row r="984" spans="1:11" x14ac:dyDescent="0.25">
      <c r="A984">
        <v>14</v>
      </c>
      <c r="B984" t="s">
        <v>12</v>
      </c>
      <c r="C984">
        <v>2022</v>
      </c>
      <c r="D984">
        <v>37.25</v>
      </c>
      <c r="E984">
        <v>60</v>
      </c>
      <c r="F984">
        <v>88.625</v>
      </c>
      <c r="G984" s="1">
        <f>DATE(C984, CHOOSE(MATCH(UPPER(B984), {"ENERO","FEBRERO","MARZO","ABRIL","MAYO","JUNIO","JULIO","AGOSTO","SEPTIEMBRE","OCTUBRE","NOVIEMBRE","DICIEMBRE"}, 0), 1,2,3,4,5,6,7,8,9,10,11,12), A984)</f>
        <v>44634</v>
      </c>
      <c r="H984">
        <v>8.625</v>
      </c>
      <c r="I984">
        <v>48000</v>
      </c>
      <c r="J984" s="1">
        <f t="shared" si="31"/>
        <v>44449</v>
      </c>
      <c r="K984">
        <f t="shared" si="30"/>
        <v>29.8</v>
      </c>
    </row>
    <row r="985" spans="1:11" x14ac:dyDescent="0.25">
      <c r="A985">
        <v>15</v>
      </c>
      <c r="B985" t="s">
        <v>12</v>
      </c>
      <c r="C985">
        <v>2022</v>
      </c>
      <c r="D985">
        <v>88.625</v>
      </c>
      <c r="E985" t="s">
        <v>9</v>
      </c>
      <c r="F985">
        <v>77.875</v>
      </c>
      <c r="G985" s="1">
        <f>DATE(C985, CHOOSE(MATCH(UPPER(B985), {"ENERO","FEBRERO","MARZO","ABRIL","MAYO","JUNIO","JULIO","AGOSTO","SEPTIEMBRE","OCTUBRE","NOVIEMBRE","DICIEMBRE"}, 0), 1,2,3,4,5,6,7,8,9,10,11,12), A985)</f>
        <v>44635</v>
      </c>
      <c r="H985">
        <v>10.75</v>
      </c>
      <c r="I985">
        <v>48000</v>
      </c>
      <c r="J985" s="1">
        <f t="shared" si="31"/>
        <v>44450</v>
      </c>
      <c r="K985">
        <f t="shared" si="30"/>
        <v>41.2</v>
      </c>
    </row>
    <row r="986" spans="1:11" x14ac:dyDescent="0.25">
      <c r="A986">
        <v>16</v>
      </c>
      <c r="B986" t="s">
        <v>12</v>
      </c>
      <c r="C986">
        <v>2022</v>
      </c>
      <c r="D986">
        <v>77.875</v>
      </c>
      <c r="E986">
        <v>50</v>
      </c>
      <c r="F986">
        <v>111.5</v>
      </c>
      <c r="G986" s="1">
        <f>DATE(C986, CHOOSE(MATCH(UPPER(B986), {"ENERO","FEBRERO","MARZO","ABRIL","MAYO","JUNIO","JULIO","AGOSTO","SEPTIEMBRE","OCTUBRE","NOVIEMBRE","DICIEMBRE"}, 0), 1,2,3,4,5,6,7,8,9,10,11,12), A986)</f>
        <v>44636</v>
      </c>
      <c r="H986">
        <v>16.375</v>
      </c>
      <c r="I986">
        <v>48000</v>
      </c>
      <c r="J986" s="1">
        <f t="shared" si="31"/>
        <v>44451</v>
      </c>
      <c r="K986">
        <f t="shared" si="30"/>
        <v>37</v>
      </c>
    </row>
    <row r="987" spans="1:11" x14ac:dyDescent="0.25">
      <c r="A987">
        <v>17</v>
      </c>
      <c r="B987" t="s">
        <v>12</v>
      </c>
      <c r="C987">
        <v>2022</v>
      </c>
      <c r="D987">
        <v>111.5</v>
      </c>
      <c r="E987" t="s">
        <v>9</v>
      </c>
      <c r="F987">
        <v>99</v>
      </c>
      <c r="G987" s="1">
        <f>DATE(C987, CHOOSE(MATCH(UPPER(B987), {"ENERO","FEBRERO","MARZO","ABRIL","MAYO","JUNIO","JULIO","AGOSTO","SEPTIEMBRE","OCTUBRE","NOVIEMBRE","DICIEMBRE"}, 0), 1,2,3,4,5,6,7,8,9,10,11,12), A987)</f>
        <v>44637</v>
      </c>
      <c r="H987">
        <v>12.5</v>
      </c>
      <c r="I987">
        <v>48000</v>
      </c>
      <c r="J987" s="1">
        <f t="shared" si="31"/>
        <v>44452</v>
      </c>
      <c r="K987">
        <f t="shared" si="30"/>
        <v>11.25</v>
      </c>
    </row>
    <row r="988" spans="1:11" x14ac:dyDescent="0.25">
      <c r="A988">
        <v>18</v>
      </c>
      <c r="B988" t="s">
        <v>12</v>
      </c>
      <c r="C988">
        <v>2022</v>
      </c>
      <c r="D988">
        <v>99</v>
      </c>
      <c r="E988" t="s">
        <v>9</v>
      </c>
      <c r="F988">
        <v>71.5</v>
      </c>
      <c r="G988" s="1">
        <f>DATE(C988, CHOOSE(MATCH(UPPER(B988), {"ENERO","FEBRERO","MARZO","ABRIL","MAYO","JUNIO","JULIO","AGOSTO","SEPTIEMBRE","OCTUBRE","NOVIEMBRE","DICIEMBRE"}, 0), 1,2,3,4,5,6,7,8,9,10,11,12), A988)</f>
        <v>44638</v>
      </c>
      <c r="H988">
        <v>27.5</v>
      </c>
      <c r="I988">
        <v>48000</v>
      </c>
      <c r="J988" s="1">
        <f t="shared" si="31"/>
        <v>44453</v>
      </c>
      <c r="K988">
        <f t="shared" si="30"/>
        <v>14.375</v>
      </c>
    </row>
    <row r="989" spans="1:11" x14ac:dyDescent="0.25">
      <c r="A989">
        <v>19</v>
      </c>
      <c r="B989" t="s">
        <v>12</v>
      </c>
      <c r="C989">
        <v>2022</v>
      </c>
      <c r="D989">
        <v>71.5</v>
      </c>
      <c r="E989">
        <v>90</v>
      </c>
      <c r="F989">
        <v>130.75</v>
      </c>
      <c r="G989" s="1">
        <f>DATE(C989, CHOOSE(MATCH(UPPER(B989), {"ENERO","FEBRERO","MARZO","ABRIL","MAYO","JUNIO","JULIO","AGOSTO","SEPTIEMBRE","OCTUBRE","NOVIEMBRE","DICIEMBRE"}, 0), 1,2,3,4,5,6,7,8,9,10,11,12), A989)</f>
        <v>44639</v>
      </c>
      <c r="H989">
        <v>30.75</v>
      </c>
      <c r="I989">
        <v>48000</v>
      </c>
      <c r="J989" s="1">
        <f t="shared" si="31"/>
        <v>44454</v>
      </c>
      <c r="K989">
        <f t="shared" si="30"/>
        <v>19.375</v>
      </c>
    </row>
    <row r="990" spans="1:11" x14ac:dyDescent="0.25">
      <c r="A990">
        <v>20</v>
      </c>
      <c r="B990" t="s">
        <v>12</v>
      </c>
      <c r="C990">
        <v>2022</v>
      </c>
      <c r="D990">
        <v>130.75</v>
      </c>
      <c r="E990" t="s">
        <v>9</v>
      </c>
      <c r="F990">
        <v>87.75</v>
      </c>
      <c r="G990" s="1">
        <f>DATE(C990, CHOOSE(MATCH(UPPER(B990), {"ENERO","FEBRERO","MARZO","ABRIL","MAYO","JUNIO","JULIO","AGOSTO","SEPTIEMBRE","OCTUBRE","NOVIEMBRE","DICIEMBRE"}, 0), 1,2,3,4,5,6,7,8,9,10,11,12), A990)</f>
        <v>44640</v>
      </c>
      <c r="H990">
        <v>43</v>
      </c>
      <c r="I990">
        <v>48000</v>
      </c>
      <c r="J990" s="1">
        <f t="shared" si="31"/>
        <v>44455</v>
      </c>
      <c r="K990">
        <f t="shared" si="30"/>
        <v>20.5</v>
      </c>
    </row>
    <row r="991" spans="1:11" x14ac:dyDescent="0.25">
      <c r="A991">
        <v>21</v>
      </c>
      <c r="B991" t="s">
        <v>12</v>
      </c>
      <c r="C991">
        <v>2022</v>
      </c>
      <c r="D991">
        <v>87.75</v>
      </c>
      <c r="E991" t="s">
        <v>9</v>
      </c>
      <c r="F991">
        <v>58.125</v>
      </c>
      <c r="G991" s="1">
        <f>DATE(C991, CHOOSE(MATCH(UPPER(B991), {"ENERO","FEBRERO","MARZO","ABRIL","MAYO","JUNIO","JULIO","AGOSTO","SEPTIEMBRE","OCTUBRE","NOVIEMBRE","DICIEMBRE"}, 0), 1,2,3,4,5,6,7,8,9,10,11,12), A991)</f>
        <v>44641</v>
      </c>
      <c r="H991">
        <v>29.625</v>
      </c>
      <c r="I991">
        <v>48000</v>
      </c>
      <c r="J991" s="1">
        <f t="shared" si="31"/>
        <v>44456</v>
      </c>
      <c r="K991">
        <f t="shared" si="30"/>
        <v>30.5</v>
      </c>
    </row>
    <row r="992" spans="1:11" x14ac:dyDescent="0.25">
      <c r="A992">
        <v>22</v>
      </c>
      <c r="B992" t="s">
        <v>12</v>
      </c>
      <c r="C992">
        <v>2022</v>
      </c>
      <c r="D992">
        <v>58.125</v>
      </c>
      <c r="E992">
        <v>100</v>
      </c>
      <c r="F992">
        <v>141.75</v>
      </c>
      <c r="G992" s="1">
        <f>DATE(C992, CHOOSE(MATCH(UPPER(B992), {"ENERO","FEBRERO","MARZO","ABRIL","MAYO","JUNIO","JULIO","AGOSTO","SEPTIEMBRE","OCTUBRE","NOVIEMBRE","DICIEMBRE"}, 0), 1,2,3,4,5,6,7,8,9,10,11,12), A992)</f>
        <v>44642</v>
      </c>
      <c r="H992">
        <v>16.375</v>
      </c>
      <c r="I992">
        <v>48000</v>
      </c>
      <c r="J992" s="1">
        <f t="shared" si="31"/>
        <v>44457</v>
      </c>
      <c r="K992">
        <f t="shared" si="30"/>
        <v>37</v>
      </c>
    </row>
    <row r="993" spans="1:11" x14ac:dyDescent="0.25">
      <c r="A993">
        <v>23</v>
      </c>
      <c r="B993" t="s">
        <v>12</v>
      </c>
      <c r="C993">
        <v>2022</v>
      </c>
      <c r="D993">
        <v>141.75</v>
      </c>
      <c r="E993" t="s">
        <v>9</v>
      </c>
      <c r="F993">
        <v>129.25</v>
      </c>
      <c r="G993" s="1">
        <f>DATE(C993, CHOOSE(MATCH(UPPER(B993), {"ENERO","FEBRERO","MARZO","ABRIL","MAYO","JUNIO","JULIO","AGOSTO","SEPTIEMBRE","OCTUBRE","NOVIEMBRE","DICIEMBRE"}, 0), 1,2,3,4,5,6,7,8,9,10,11,12), A993)</f>
        <v>44643</v>
      </c>
      <c r="H993">
        <v>12.5</v>
      </c>
      <c r="I993">
        <v>48000</v>
      </c>
      <c r="J993" s="1">
        <f t="shared" si="31"/>
        <v>44458</v>
      </c>
      <c r="K993">
        <f t="shared" si="30"/>
        <v>37</v>
      </c>
    </row>
    <row r="994" spans="1:11" x14ac:dyDescent="0.25">
      <c r="A994">
        <v>24</v>
      </c>
      <c r="B994" t="s">
        <v>12</v>
      </c>
      <c r="C994">
        <v>2022</v>
      </c>
      <c r="D994">
        <v>129.25</v>
      </c>
      <c r="E994" t="s">
        <v>9</v>
      </c>
      <c r="F994">
        <v>116.75</v>
      </c>
      <c r="G994" s="1">
        <f>DATE(C994, CHOOSE(MATCH(UPPER(B994), {"ENERO","FEBRERO","MARZO","ABRIL","MAYO","JUNIO","JULIO","AGOSTO","SEPTIEMBRE","OCTUBRE","NOVIEMBRE","DICIEMBRE"}, 0), 1,2,3,4,5,6,7,8,9,10,11,12), A994)</f>
        <v>44644</v>
      </c>
      <c r="H994">
        <v>12.5</v>
      </c>
      <c r="I994">
        <v>48000</v>
      </c>
      <c r="J994" s="1">
        <f t="shared" si="31"/>
        <v>44459</v>
      </c>
      <c r="K994">
        <f t="shared" si="30"/>
        <v>7.25</v>
      </c>
    </row>
    <row r="995" spans="1:11" x14ac:dyDescent="0.25">
      <c r="A995">
        <v>25</v>
      </c>
      <c r="B995" t="s">
        <v>12</v>
      </c>
      <c r="C995">
        <v>2022</v>
      </c>
      <c r="D995">
        <v>116.75</v>
      </c>
      <c r="E995" t="s">
        <v>9</v>
      </c>
      <c r="F995">
        <v>96.5</v>
      </c>
      <c r="G995" s="1">
        <f>DATE(C995, CHOOSE(MATCH(UPPER(B995), {"ENERO","FEBRERO","MARZO","ABRIL","MAYO","JUNIO","JULIO","AGOSTO","SEPTIEMBRE","OCTUBRE","NOVIEMBRE","DICIEMBRE"}, 0), 1,2,3,4,5,6,7,8,9,10,11,12), A995)</f>
        <v>44645</v>
      </c>
      <c r="H995">
        <v>20.25</v>
      </c>
      <c r="I995">
        <v>48000</v>
      </c>
      <c r="J995" s="1">
        <f t="shared" si="31"/>
        <v>44460</v>
      </c>
      <c r="K995">
        <f t="shared" si="30"/>
        <v>10</v>
      </c>
    </row>
    <row r="996" spans="1:11" x14ac:dyDescent="0.25">
      <c r="A996">
        <v>26</v>
      </c>
      <c r="B996" t="s">
        <v>12</v>
      </c>
      <c r="C996">
        <v>2022</v>
      </c>
      <c r="D996">
        <v>96.5</v>
      </c>
      <c r="E996">
        <v>50</v>
      </c>
      <c r="F996">
        <v>116.25</v>
      </c>
      <c r="G996" s="1">
        <f>DATE(C996, CHOOSE(MATCH(UPPER(B996), {"ENERO","FEBRERO","MARZO","ABRIL","MAYO","JUNIO","JULIO","AGOSTO","SEPTIEMBRE","OCTUBRE","NOVIEMBRE","DICIEMBRE"}, 0), 1,2,3,4,5,6,7,8,9,10,11,12), A996)</f>
        <v>44646</v>
      </c>
      <c r="H996">
        <v>30.25</v>
      </c>
      <c r="I996">
        <v>48000</v>
      </c>
      <c r="J996" s="1">
        <f t="shared" si="31"/>
        <v>44461</v>
      </c>
      <c r="K996">
        <f t="shared" si="30"/>
        <v>15.75</v>
      </c>
    </row>
    <row r="997" spans="1:11" x14ac:dyDescent="0.25">
      <c r="A997">
        <v>27</v>
      </c>
      <c r="B997" t="s">
        <v>12</v>
      </c>
      <c r="C997">
        <v>2022</v>
      </c>
      <c r="D997">
        <v>116.25</v>
      </c>
      <c r="E997" t="s">
        <v>9</v>
      </c>
      <c r="F997">
        <v>82.75</v>
      </c>
      <c r="G997" s="1">
        <f>DATE(C997, CHOOSE(MATCH(UPPER(B997), {"ENERO","FEBRERO","MARZO","ABRIL","MAYO","JUNIO","JULIO","AGOSTO","SEPTIEMBRE","OCTUBRE","NOVIEMBRE","DICIEMBRE"}, 0), 1,2,3,4,5,6,7,8,9,10,11,12), A997)</f>
        <v>44647</v>
      </c>
      <c r="H997">
        <v>33.5</v>
      </c>
      <c r="I997">
        <v>48000</v>
      </c>
      <c r="J997" s="1">
        <f t="shared" si="31"/>
        <v>44462</v>
      </c>
      <c r="K997">
        <f t="shared" si="30"/>
        <v>16</v>
      </c>
    </row>
    <row r="998" spans="1:11" x14ac:dyDescent="0.25">
      <c r="A998">
        <v>28</v>
      </c>
      <c r="B998" t="s">
        <v>12</v>
      </c>
      <c r="C998">
        <v>2022</v>
      </c>
      <c r="D998">
        <v>82.75</v>
      </c>
      <c r="E998" t="s">
        <v>9</v>
      </c>
      <c r="F998">
        <v>69.125</v>
      </c>
      <c r="G998" s="1">
        <f>DATE(C998, CHOOSE(MATCH(UPPER(B998), {"ENERO","FEBRERO","MARZO","ABRIL","MAYO","JUNIO","JULIO","AGOSTO","SEPTIEMBRE","OCTUBRE","NOVIEMBRE","DICIEMBRE"}, 0), 1,2,3,4,5,6,7,8,9,10,11,12), A998)</f>
        <v>44648</v>
      </c>
      <c r="H998">
        <v>13.625</v>
      </c>
      <c r="I998">
        <v>48000</v>
      </c>
      <c r="J998" s="1">
        <f t="shared" si="31"/>
        <v>44463</v>
      </c>
      <c r="K998">
        <f t="shared" si="30"/>
        <v>49</v>
      </c>
    </row>
    <row r="999" spans="1:11" x14ac:dyDescent="0.25">
      <c r="A999">
        <v>29</v>
      </c>
      <c r="B999" t="s">
        <v>12</v>
      </c>
      <c r="C999">
        <v>2022</v>
      </c>
      <c r="D999">
        <v>69.125</v>
      </c>
      <c r="E999" t="s">
        <v>9</v>
      </c>
      <c r="F999">
        <v>57.625</v>
      </c>
      <c r="G999" s="1">
        <f>DATE(C999, CHOOSE(MATCH(UPPER(B999), {"ENERO","FEBRERO","MARZO","ABRIL","MAYO","JUNIO","JULIO","AGOSTO","SEPTIEMBRE","OCTUBRE","NOVIEMBRE","DICIEMBRE"}, 0), 1,2,3,4,5,6,7,8,9,10,11,12), A999)</f>
        <v>44649</v>
      </c>
      <c r="H999">
        <v>11.5</v>
      </c>
      <c r="I999">
        <v>48000</v>
      </c>
      <c r="J999" s="1">
        <f t="shared" si="31"/>
        <v>44464</v>
      </c>
      <c r="K999">
        <f t="shared" si="30"/>
        <v>24</v>
      </c>
    </row>
    <row r="1000" spans="1:11" x14ac:dyDescent="0.25">
      <c r="A1000">
        <v>30</v>
      </c>
      <c r="B1000" t="s">
        <v>12</v>
      </c>
      <c r="C1000">
        <v>2022</v>
      </c>
      <c r="D1000">
        <v>57.625</v>
      </c>
      <c r="E1000">
        <v>50</v>
      </c>
      <c r="F1000">
        <v>92.25</v>
      </c>
      <c r="G1000" s="1">
        <f>DATE(C1000, CHOOSE(MATCH(UPPER(B1000), {"ENERO","FEBRERO","MARZO","ABRIL","MAYO","JUNIO","JULIO","AGOSTO","SEPTIEMBRE","OCTUBRE","NOVIEMBRE","DICIEMBRE"}, 0), 1,2,3,4,5,6,7,8,9,10,11,12), A1000)</f>
        <v>44650</v>
      </c>
      <c r="H1000">
        <v>15.375</v>
      </c>
      <c r="I1000">
        <v>48000</v>
      </c>
      <c r="J1000" s="1">
        <f t="shared" si="31"/>
        <v>44465</v>
      </c>
      <c r="K1000">
        <f t="shared" si="30"/>
        <v>30.25</v>
      </c>
    </row>
    <row r="1001" spans="1:11" x14ac:dyDescent="0.25">
      <c r="A1001">
        <v>31</v>
      </c>
      <c r="B1001" t="s">
        <v>12</v>
      </c>
      <c r="C1001">
        <v>2022</v>
      </c>
      <c r="D1001">
        <v>92.25</v>
      </c>
      <c r="E1001" t="s">
        <v>9</v>
      </c>
      <c r="F1001">
        <v>78.125</v>
      </c>
      <c r="G1001" s="1">
        <f>DATE(C1001, CHOOSE(MATCH(UPPER(B1001), {"ENERO","FEBRERO","MARZO","ABRIL","MAYO","JUNIO","JULIO","AGOSTO","SEPTIEMBRE","OCTUBRE","NOVIEMBRE","DICIEMBRE"}, 0), 1,2,3,4,5,6,7,8,9,10,11,12), A1001)</f>
        <v>44651</v>
      </c>
      <c r="H1001">
        <v>14.125</v>
      </c>
      <c r="I1001">
        <v>48000</v>
      </c>
      <c r="J1001" s="1">
        <f t="shared" si="31"/>
        <v>44466</v>
      </c>
      <c r="K1001">
        <f t="shared" si="30"/>
        <v>13.75</v>
      </c>
    </row>
    <row r="1002" spans="1:11" x14ac:dyDescent="0.25">
      <c r="A1002">
        <v>1</v>
      </c>
      <c r="B1002" t="s">
        <v>13</v>
      </c>
      <c r="C1002">
        <v>2022</v>
      </c>
      <c r="D1002">
        <v>78.125</v>
      </c>
      <c r="E1002" t="s">
        <v>9</v>
      </c>
      <c r="F1002">
        <v>51.75</v>
      </c>
      <c r="G1002" s="1">
        <f>DATE(C1002, CHOOSE(MATCH(UPPER(B1002), {"ENERO","FEBRERO","MARZO","ABRIL","MAYO","JUNIO","JULIO","AGOSTO","SEPTIEMBRE","OCTUBRE","NOVIEMBRE","DICIEMBRE"}, 0), 1,2,3,4,5,6,7,8,9,10,11,12), A1002)</f>
        <v>44652</v>
      </c>
      <c r="H1002">
        <v>26.375</v>
      </c>
      <c r="I1002">
        <v>48000</v>
      </c>
      <c r="J1002" s="1">
        <f t="shared" si="31"/>
        <v>44467</v>
      </c>
      <c r="K1002">
        <f t="shared" si="30"/>
        <v>14.25</v>
      </c>
    </row>
    <row r="1003" spans="1:11" x14ac:dyDescent="0.25">
      <c r="A1003">
        <v>2</v>
      </c>
      <c r="B1003" t="s">
        <v>13</v>
      </c>
      <c r="C1003">
        <v>2022</v>
      </c>
      <c r="D1003">
        <v>51.75</v>
      </c>
      <c r="E1003">
        <v>70</v>
      </c>
      <c r="F1003">
        <v>89.5</v>
      </c>
      <c r="G1003" s="1">
        <f>DATE(C1003, CHOOSE(MATCH(UPPER(B1003), {"ENERO","FEBRERO","MARZO","ABRIL","MAYO","JUNIO","JULIO","AGOSTO","SEPTIEMBRE","OCTUBRE","NOVIEMBRE","DICIEMBRE"}, 0), 1,2,3,4,5,6,7,8,9,10,11,12), A1003)</f>
        <v>44653</v>
      </c>
      <c r="H1003">
        <v>32.25</v>
      </c>
      <c r="I1003">
        <v>48000</v>
      </c>
      <c r="J1003" s="1">
        <f t="shared" si="31"/>
        <v>44468</v>
      </c>
      <c r="K1003">
        <f t="shared" si="30"/>
        <v>16.875</v>
      </c>
    </row>
    <row r="1004" spans="1:11" x14ac:dyDescent="0.25">
      <c r="A1004">
        <v>3</v>
      </c>
      <c r="B1004" t="s">
        <v>13</v>
      </c>
      <c r="C1004">
        <v>2022</v>
      </c>
      <c r="D1004">
        <v>89.5</v>
      </c>
      <c r="E1004" t="s">
        <v>9</v>
      </c>
      <c r="F1004">
        <v>50.5</v>
      </c>
      <c r="G1004" s="1">
        <f>DATE(C1004, CHOOSE(MATCH(UPPER(B1004), {"ENERO","FEBRERO","MARZO","ABRIL","MAYO","JUNIO","JULIO","AGOSTO","SEPTIEMBRE","OCTUBRE","NOVIEMBRE","DICIEMBRE"}, 0), 1,2,3,4,5,6,7,8,9,10,11,12), A1004)</f>
        <v>44654</v>
      </c>
      <c r="H1004">
        <v>39</v>
      </c>
      <c r="I1004">
        <v>48000</v>
      </c>
      <c r="J1004" s="1">
        <f t="shared" si="31"/>
        <v>44469</v>
      </c>
      <c r="K1004">
        <f t="shared" si="30"/>
        <v>20.125</v>
      </c>
    </row>
    <row r="1005" spans="1:11" x14ac:dyDescent="0.25">
      <c r="A1005">
        <v>4</v>
      </c>
      <c r="B1005" t="s">
        <v>13</v>
      </c>
      <c r="C1005">
        <v>2022</v>
      </c>
      <c r="D1005">
        <v>50.5</v>
      </c>
      <c r="E1005">
        <v>50</v>
      </c>
      <c r="F1005">
        <v>88</v>
      </c>
      <c r="G1005" s="1">
        <f>DATE(C1005, CHOOSE(MATCH(UPPER(B1005), {"ENERO","FEBRERO","MARZO","ABRIL","MAYO","JUNIO","JULIO","AGOSTO","SEPTIEMBRE","OCTUBRE","NOVIEMBRE","DICIEMBRE"}, 0), 1,2,3,4,5,6,7,8,9,10,11,12), A1005)</f>
        <v>44655</v>
      </c>
      <c r="H1005">
        <v>12.5</v>
      </c>
      <c r="I1005">
        <v>48000</v>
      </c>
      <c r="J1005" s="1">
        <f t="shared" si="31"/>
        <v>44470</v>
      </c>
      <c r="K1005">
        <f t="shared" si="30"/>
        <v>26.75</v>
      </c>
    </row>
    <row r="1006" spans="1:11" x14ac:dyDescent="0.25">
      <c r="A1006">
        <v>5</v>
      </c>
      <c r="B1006" t="s">
        <v>13</v>
      </c>
      <c r="C1006">
        <v>2022</v>
      </c>
      <c r="D1006">
        <v>88</v>
      </c>
      <c r="E1006" t="s">
        <v>9</v>
      </c>
      <c r="F1006">
        <v>78.125</v>
      </c>
      <c r="G1006" s="1">
        <f>DATE(C1006, CHOOSE(MATCH(UPPER(B1006), {"ENERO","FEBRERO","MARZO","ABRIL","MAYO","JUNIO","JULIO","AGOSTO","SEPTIEMBRE","OCTUBRE","NOVIEMBRE","DICIEMBRE"}, 0), 1,2,3,4,5,6,7,8,9,10,11,12), A1006)</f>
        <v>44656</v>
      </c>
      <c r="H1006">
        <v>9.875</v>
      </c>
      <c r="I1006">
        <v>48000</v>
      </c>
      <c r="J1006" s="1">
        <f t="shared" si="31"/>
        <v>44471</v>
      </c>
      <c r="K1006">
        <f t="shared" si="30"/>
        <v>33</v>
      </c>
    </row>
    <row r="1007" spans="1:11" x14ac:dyDescent="0.25">
      <c r="A1007">
        <v>6</v>
      </c>
      <c r="B1007" t="s">
        <v>13</v>
      </c>
      <c r="C1007">
        <v>2022</v>
      </c>
      <c r="D1007">
        <v>78.125</v>
      </c>
      <c r="E1007">
        <v>50</v>
      </c>
      <c r="F1007">
        <v>114.875</v>
      </c>
      <c r="G1007" s="1">
        <f>DATE(C1007, CHOOSE(MATCH(UPPER(B1007), {"ENERO","FEBRERO","MARZO","ABRIL","MAYO","JUNIO","JULIO","AGOSTO","SEPTIEMBRE","OCTUBRE","NOVIEMBRE","DICIEMBRE"}, 0), 1,2,3,4,5,6,7,8,9,10,11,12), A1007)</f>
        <v>44657</v>
      </c>
      <c r="H1007">
        <v>13.25</v>
      </c>
      <c r="I1007">
        <v>48000</v>
      </c>
      <c r="J1007" s="1">
        <f t="shared" si="31"/>
        <v>44472</v>
      </c>
      <c r="K1007">
        <f t="shared" si="30"/>
        <v>43</v>
      </c>
    </row>
    <row r="1008" spans="1:11" x14ac:dyDescent="0.25">
      <c r="A1008">
        <v>7</v>
      </c>
      <c r="B1008" t="s">
        <v>13</v>
      </c>
      <c r="C1008">
        <v>2022</v>
      </c>
      <c r="D1008">
        <v>114.875</v>
      </c>
      <c r="E1008" t="s">
        <v>9</v>
      </c>
      <c r="F1008">
        <v>100</v>
      </c>
      <c r="G1008" s="1">
        <f>DATE(C1008, CHOOSE(MATCH(UPPER(B1008), {"ENERO","FEBRERO","MARZO","ABRIL","MAYO","JUNIO","JULIO","AGOSTO","SEPTIEMBRE","OCTUBRE","NOVIEMBRE","DICIEMBRE"}, 0), 1,2,3,4,5,6,7,8,9,10,11,12), A1008)</f>
        <v>44658</v>
      </c>
      <c r="H1008">
        <v>14.875</v>
      </c>
      <c r="I1008">
        <v>48000</v>
      </c>
      <c r="J1008" s="1">
        <f t="shared" si="31"/>
        <v>44473</v>
      </c>
      <c r="K1008">
        <f t="shared" si="30"/>
        <v>13.75</v>
      </c>
    </row>
    <row r="1009" spans="1:11" x14ac:dyDescent="0.25">
      <c r="A1009">
        <v>8</v>
      </c>
      <c r="B1009" t="s">
        <v>13</v>
      </c>
      <c r="C1009">
        <v>2022</v>
      </c>
      <c r="D1009">
        <v>100</v>
      </c>
      <c r="E1009" t="s">
        <v>9</v>
      </c>
      <c r="F1009">
        <v>76.75</v>
      </c>
      <c r="G1009" s="1">
        <f>DATE(C1009, CHOOSE(MATCH(UPPER(B1009), {"ENERO","FEBRERO","MARZO","ABRIL","MAYO","JUNIO","JULIO","AGOSTO","SEPTIEMBRE","OCTUBRE","NOVIEMBRE","DICIEMBRE"}, 0), 1,2,3,4,5,6,7,8,9,10,11,12), A1009)</f>
        <v>44659</v>
      </c>
      <c r="H1009">
        <v>23.25</v>
      </c>
      <c r="I1009">
        <v>48000</v>
      </c>
      <c r="J1009" s="1">
        <f t="shared" si="31"/>
        <v>44474</v>
      </c>
      <c r="K1009">
        <f t="shared" si="30"/>
        <v>14.25</v>
      </c>
    </row>
    <row r="1010" spans="1:11" x14ac:dyDescent="0.25">
      <c r="A1010">
        <v>9</v>
      </c>
      <c r="B1010" t="s">
        <v>13</v>
      </c>
      <c r="C1010">
        <v>2022</v>
      </c>
      <c r="D1010">
        <v>76.75</v>
      </c>
      <c r="E1010">
        <v>60</v>
      </c>
      <c r="F1010">
        <v>95</v>
      </c>
      <c r="G1010" s="1">
        <f>DATE(C1010, CHOOSE(MATCH(UPPER(B1010), {"ENERO","FEBRERO","MARZO","ABRIL","MAYO","JUNIO","JULIO","AGOSTO","SEPTIEMBRE","OCTUBRE","NOVIEMBRE","DICIEMBRE"}, 0), 1,2,3,4,5,6,7,8,9,10,11,12), A1010)</f>
        <v>44660</v>
      </c>
      <c r="H1010">
        <v>41.75</v>
      </c>
      <c r="I1010">
        <v>48000</v>
      </c>
      <c r="J1010" s="1">
        <f t="shared" si="31"/>
        <v>44475</v>
      </c>
      <c r="K1010">
        <f t="shared" si="30"/>
        <v>19.625</v>
      </c>
    </row>
    <row r="1011" spans="1:11" x14ac:dyDescent="0.25">
      <c r="A1011">
        <v>10</v>
      </c>
      <c r="B1011" t="s">
        <v>13</v>
      </c>
      <c r="C1011">
        <v>2022</v>
      </c>
      <c r="D1011">
        <v>95</v>
      </c>
      <c r="E1011" t="s">
        <v>9</v>
      </c>
      <c r="F1011">
        <v>50.5</v>
      </c>
      <c r="G1011" s="1">
        <f>DATE(C1011, CHOOSE(MATCH(UPPER(B1011), {"ENERO","FEBRERO","MARZO","ABRIL","MAYO","JUNIO","JULIO","AGOSTO","SEPTIEMBRE","OCTUBRE","NOVIEMBRE","DICIEMBRE"}, 0), 1,2,3,4,5,6,7,8,9,10,11,12), A1011)</f>
        <v>44661</v>
      </c>
      <c r="H1011">
        <v>44.5</v>
      </c>
      <c r="I1011">
        <v>48000</v>
      </c>
      <c r="J1011" s="1">
        <f t="shared" si="31"/>
        <v>44476</v>
      </c>
      <c r="K1011">
        <f t="shared" si="30"/>
        <v>18.375</v>
      </c>
    </row>
    <row r="1012" spans="1:11" x14ac:dyDescent="0.25">
      <c r="A1012">
        <v>11</v>
      </c>
      <c r="B1012" t="s">
        <v>13</v>
      </c>
      <c r="C1012">
        <v>2022</v>
      </c>
      <c r="D1012">
        <v>50.5</v>
      </c>
      <c r="E1012">
        <v>100</v>
      </c>
      <c r="F1012">
        <v>127.625</v>
      </c>
      <c r="G1012" s="1">
        <f>DATE(C1012, CHOOSE(MATCH(UPPER(B1012), {"ENERO","FEBRERO","MARZO","ABRIL","MAYO","JUNIO","JULIO","AGOSTO","SEPTIEMBRE","OCTUBRE","NOVIEMBRE","DICIEMBRE"}, 0), 1,2,3,4,5,6,7,8,9,10,11,12), A1012)</f>
        <v>44662</v>
      </c>
      <c r="H1012">
        <v>22.875</v>
      </c>
      <c r="I1012">
        <v>48000</v>
      </c>
      <c r="J1012" s="1">
        <f t="shared" si="31"/>
        <v>44477</v>
      </c>
      <c r="K1012">
        <f t="shared" si="30"/>
        <v>28.5</v>
      </c>
    </row>
    <row r="1013" spans="1:11" x14ac:dyDescent="0.25">
      <c r="A1013">
        <v>12</v>
      </c>
      <c r="B1013" t="s">
        <v>13</v>
      </c>
      <c r="C1013">
        <v>2022</v>
      </c>
      <c r="D1013">
        <v>127.625</v>
      </c>
      <c r="E1013" t="s">
        <v>9</v>
      </c>
      <c r="F1013">
        <v>90.625</v>
      </c>
      <c r="G1013" s="1">
        <f>DATE(C1013, CHOOSE(MATCH(UPPER(B1013), {"ENERO","FEBRERO","MARZO","ABRIL","MAYO","JUNIO","JULIO","AGOSTO","SEPTIEMBRE","OCTUBRE","NOVIEMBRE","DICIEMBRE"}, 0), 1,2,3,4,5,6,7,8,9,10,11,12), A1013)</f>
        <v>44663</v>
      </c>
      <c r="H1013">
        <v>37</v>
      </c>
      <c r="I1013">
        <v>48000</v>
      </c>
      <c r="J1013" s="1">
        <f t="shared" si="31"/>
        <v>44478</v>
      </c>
      <c r="K1013">
        <f t="shared" si="30"/>
        <v>32</v>
      </c>
    </row>
    <row r="1014" spans="1:11" x14ac:dyDescent="0.25">
      <c r="A1014">
        <v>13</v>
      </c>
      <c r="B1014" t="s">
        <v>13</v>
      </c>
      <c r="C1014">
        <v>2022</v>
      </c>
      <c r="D1014">
        <v>90.625</v>
      </c>
      <c r="E1014">
        <v>50</v>
      </c>
      <c r="F1014">
        <v>117.25</v>
      </c>
      <c r="G1014" s="1">
        <f>DATE(C1014, CHOOSE(MATCH(UPPER(B1014), {"ENERO","FEBRERO","MARZO","ABRIL","MAYO","JUNIO","JULIO","AGOSTO","SEPTIEMBRE","OCTUBRE","NOVIEMBRE","DICIEMBRE"}, 0), 1,2,3,4,5,6,7,8,9,10,11,12), A1014)</f>
        <v>44664</v>
      </c>
      <c r="H1014">
        <v>23.375</v>
      </c>
      <c r="I1014">
        <v>48000</v>
      </c>
      <c r="J1014" s="1">
        <f t="shared" si="31"/>
        <v>44479</v>
      </c>
      <c r="K1014">
        <f t="shared" si="30"/>
        <v>31.5</v>
      </c>
    </row>
    <row r="1015" spans="1:11" x14ac:dyDescent="0.25">
      <c r="A1015">
        <v>14</v>
      </c>
      <c r="B1015" t="s">
        <v>13</v>
      </c>
      <c r="C1015">
        <v>2022</v>
      </c>
      <c r="D1015">
        <v>117.25</v>
      </c>
      <c r="E1015" t="s">
        <v>9</v>
      </c>
      <c r="F1015">
        <v>82.25</v>
      </c>
      <c r="G1015" s="1">
        <f>DATE(C1015, CHOOSE(MATCH(UPPER(B1015), {"ENERO","FEBRERO","MARZO","ABRIL","MAYO","JUNIO","JULIO","AGOSTO","SEPTIEMBRE","OCTUBRE","NOVIEMBRE","DICIEMBRE"}, 0), 1,2,3,4,5,6,7,8,9,10,11,12), A1015)</f>
        <v>44665</v>
      </c>
      <c r="H1015">
        <v>35</v>
      </c>
      <c r="I1015">
        <v>48000</v>
      </c>
      <c r="J1015" s="1">
        <f t="shared" si="31"/>
        <v>44480</v>
      </c>
      <c r="K1015">
        <f t="shared" si="30"/>
        <v>21</v>
      </c>
    </row>
    <row r="1016" spans="1:11" x14ac:dyDescent="0.25">
      <c r="A1016">
        <v>15</v>
      </c>
      <c r="B1016" t="s">
        <v>13</v>
      </c>
      <c r="C1016">
        <v>2022</v>
      </c>
      <c r="D1016">
        <v>82.25</v>
      </c>
      <c r="E1016" t="s">
        <v>9</v>
      </c>
      <c r="F1016">
        <v>45.875</v>
      </c>
      <c r="G1016" s="1">
        <f>DATE(C1016, CHOOSE(MATCH(UPPER(B1016), {"ENERO","FEBRERO","MARZO","ABRIL","MAYO","JUNIO","JULIO","AGOSTO","SEPTIEMBRE","OCTUBRE","NOVIEMBRE","DICIEMBRE"}, 0), 1,2,3,4,5,6,7,8,9,10,11,12), A1016)</f>
        <v>44666</v>
      </c>
      <c r="H1016">
        <v>36.375</v>
      </c>
      <c r="I1016">
        <v>48000</v>
      </c>
      <c r="J1016" s="1">
        <f t="shared" si="31"/>
        <v>44481</v>
      </c>
      <c r="K1016">
        <f t="shared" si="30"/>
        <v>22.75</v>
      </c>
    </row>
    <row r="1017" spans="1:11" x14ac:dyDescent="0.25">
      <c r="A1017">
        <v>16</v>
      </c>
      <c r="B1017" t="s">
        <v>13</v>
      </c>
      <c r="C1017">
        <v>2022</v>
      </c>
      <c r="D1017">
        <v>45.875</v>
      </c>
      <c r="E1017">
        <v>60</v>
      </c>
      <c r="F1017">
        <v>75.75</v>
      </c>
      <c r="G1017" s="1">
        <f>DATE(C1017, CHOOSE(MATCH(UPPER(B1017), {"ENERO","FEBRERO","MARZO","ABRIL","MAYO","JUNIO","JULIO","AGOSTO","SEPTIEMBRE","OCTUBRE","NOVIEMBRE","DICIEMBRE"}, 0), 1,2,3,4,5,6,7,8,9,10,11,12), A1017)</f>
        <v>44667</v>
      </c>
      <c r="H1017">
        <v>30.125</v>
      </c>
      <c r="I1017">
        <v>48000</v>
      </c>
      <c r="J1017" s="1">
        <f t="shared" si="31"/>
        <v>44482</v>
      </c>
      <c r="K1017">
        <f t="shared" si="30"/>
        <v>27.75</v>
      </c>
    </row>
    <row r="1018" spans="1:11" x14ac:dyDescent="0.25">
      <c r="A1018">
        <v>17</v>
      </c>
      <c r="B1018" t="s">
        <v>13</v>
      </c>
      <c r="C1018">
        <v>2022</v>
      </c>
      <c r="D1018">
        <v>75.75</v>
      </c>
      <c r="E1018" t="s">
        <v>9</v>
      </c>
      <c r="F1018">
        <v>36.75</v>
      </c>
      <c r="G1018" s="1">
        <f>DATE(C1018, CHOOSE(MATCH(UPPER(B1018), {"ENERO","FEBRERO","MARZO","ABRIL","MAYO","JUNIO","JULIO","AGOSTO","SEPTIEMBRE","OCTUBRE","NOVIEMBRE","DICIEMBRE"}, 0), 1,2,3,4,5,6,7,8,9,10,11,12), A1018)</f>
        <v>44668</v>
      </c>
      <c r="H1018">
        <v>39</v>
      </c>
      <c r="I1018">
        <v>48000</v>
      </c>
      <c r="J1018" s="1">
        <f t="shared" si="31"/>
        <v>44483</v>
      </c>
      <c r="K1018">
        <f t="shared" si="30"/>
        <v>23.5</v>
      </c>
    </row>
    <row r="1019" spans="1:11" x14ac:dyDescent="0.25">
      <c r="A1019">
        <v>18</v>
      </c>
      <c r="B1019" t="s">
        <v>13</v>
      </c>
      <c r="C1019">
        <v>2022</v>
      </c>
      <c r="D1019">
        <v>36.75</v>
      </c>
      <c r="E1019" t="s">
        <v>9</v>
      </c>
      <c r="F1019">
        <v>24.75</v>
      </c>
      <c r="G1019" s="1">
        <f>DATE(C1019, CHOOSE(MATCH(UPPER(B1019), {"ENERO","FEBRERO","MARZO","ABRIL","MAYO","JUNIO","JULIO","AGOSTO","SEPTIEMBRE","OCTUBRE","NOVIEMBRE","DICIEMBRE"}, 0), 1,2,3,4,5,6,7,8,9,10,11,12), A1019)</f>
        <v>44669</v>
      </c>
      <c r="H1019">
        <v>12</v>
      </c>
      <c r="I1019">
        <v>48000</v>
      </c>
      <c r="J1019" s="1">
        <f t="shared" si="31"/>
        <v>44484</v>
      </c>
      <c r="K1019">
        <f t="shared" si="30"/>
        <v>30.5</v>
      </c>
    </row>
    <row r="1020" spans="1:11" x14ac:dyDescent="0.25">
      <c r="A1020">
        <v>19</v>
      </c>
      <c r="B1020" t="s">
        <v>13</v>
      </c>
      <c r="C1020">
        <v>2022</v>
      </c>
      <c r="D1020">
        <v>24.75</v>
      </c>
      <c r="E1020">
        <v>100</v>
      </c>
      <c r="F1020">
        <v>114.875</v>
      </c>
      <c r="G1020" s="1">
        <f>DATE(C1020, CHOOSE(MATCH(UPPER(B1020), {"ENERO","FEBRERO","MARZO","ABRIL","MAYO","JUNIO","JULIO","AGOSTO","SEPTIEMBRE","OCTUBRE","NOVIEMBRE","DICIEMBRE"}, 0), 1,2,3,4,5,6,7,8,9,10,11,12), A1020)</f>
        <v>44670</v>
      </c>
      <c r="H1020">
        <v>9.875</v>
      </c>
      <c r="I1020">
        <v>48000</v>
      </c>
      <c r="J1020" s="1">
        <f t="shared" si="31"/>
        <v>44485</v>
      </c>
      <c r="K1020">
        <f t="shared" si="30"/>
        <v>46.5</v>
      </c>
    </row>
    <row r="1021" spans="1:11" x14ac:dyDescent="0.25">
      <c r="A1021">
        <v>20</v>
      </c>
      <c r="B1021" t="s">
        <v>13</v>
      </c>
      <c r="C1021">
        <v>2022</v>
      </c>
      <c r="D1021">
        <v>114.875</v>
      </c>
      <c r="E1021" t="s">
        <v>9</v>
      </c>
      <c r="F1021">
        <v>98.5</v>
      </c>
      <c r="G1021" s="1">
        <f>DATE(C1021, CHOOSE(MATCH(UPPER(B1021), {"ENERO","FEBRERO","MARZO","ABRIL","MAYO","JUNIO","JULIO","AGOSTO","SEPTIEMBRE","OCTUBRE","NOVIEMBRE","DICIEMBRE"}, 0), 1,2,3,4,5,6,7,8,9,10,11,12), A1021)</f>
        <v>44671</v>
      </c>
      <c r="H1021">
        <v>16.375</v>
      </c>
      <c r="I1021">
        <v>48000</v>
      </c>
      <c r="J1021" s="1">
        <f t="shared" si="31"/>
        <v>44486</v>
      </c>
      <c r="K1021">
        <f t="shared" si="30"/>
        <v>51</v>
      </c>
    </row>
    <row r="1022" spans="1:11" x14ac:dyDescent="0.25">
      <c r="A1022">
        <v>21</v>
      </c>
      <c r="B1022" t="s">
        <v>13</v>
      </c>
      <c r="C1022">
        <v>2022</v>
      </c>
      <c r="D1022">
        <v>98.5</v>
      </c>
      <c r="E1022" t="s">
        <v>9</v>
      </c>
      <c r="F1022">
        <v>84</v>
      </c>
      <c r="G1022" s="1">
        <f>DATE(C1022, CHOOSE(MATCH(UPPER(B1022), {"ENERO","FEBRERO","MARZO","ABRIL","MAYO","JUNIO","JULIO","AGOSTO","SEPTIEMBRE","OCTUBRE","NOVIEMBRE","DICIEMBRE"}, 0), 1,2,3,4,5,6,7,8,9,10,11,12), A1022)</f>
        <v>44672</v>
      </c>
      <c r="H1022">
        <v>14.5</v>
      </c>
      <c r="I1022">
        <v>48000</v>
      </c>
      <c r="J1022" s="1">
        <f t="shared" si="31"/>
        <v>44487</v>
      </c>
      <c r="K1022">
        <f t="shared" si="30"/>
        <v>42</v>
      </c>
    </row>
    <row r="1023" spans="1:11" x14ac:dyDescent="0.25">
      <c r="A1023">
        <v>22</v>
      </c>
      <c r="B1023" t="s">
        <v>13</v>
      </c>
      <c r="C1023">
        <v>2022</v>
      </c>
      <c r="D1023">
        <v>84</v>
      </c>
      <c r="E1023" t="s">
        <v>9</v>
      </c>
      <c r="F1023">
        <v>59.25</v>
      </c>
      <c r="G1023" s="1">
        <f>DATE(C1023, CHOOSE(MATCH(UPPER(B1023), {"ENERO","FEBRERO","MARZO","ABRIL","MAYO","JUNIO","JULIO","AGOSTO","SEPTIEMBRE","OCTUBRE","NOVIEMBRE","DICIEMBRE"}, 0), 1,2,3,4,5,6,7,8,9,10,11,12), A1023)</f>
        <v>44673</v>
      </c>
      <c r="H1023">
        <v>24.75</v>
      </c>
      <c r="I1023">
        <v>48000</v>
      </c>
      <c r="J1023" s="1">
        <f t="shared" si="31"/>
        <v>44488</v>
      </c>
      <c r="K1023">
        <f t="shared" si="30"/>
        <v>15.5</v>
      </c>
    </row>
    <row r="1024" spans="1:11" x14ac:dyDescent="0.25">
      <c r="A1024">
        <v>23</v>
      </c>
      <c r="B1024" t="s">
        <v>13</v>
      </c>
      <c r="C1024">
        <v>2022</v>
      </c>
      <c r="D1024">
        <v>59.25</v>
      </c>
      <c r="E1024">
        <v>90</v>
      </c>
      <c r="F1024">
        <v>113</v>
      </c>
      <c r="G1024" s="1">
        <f>DATE(C1024, CHOOSE(MATCH(UPPER(B1024), {"ENERO","FEBRERO","MARZO","ABRIL","MAYO","JUNIO","JULIO","AGOSTO","SEPTIEMBRE","OCTUBRE","NOVIEMBRE","DICIEMBRE"}, 0), 1,2,3,4,5,6,7,8,9,10,11,12), A1024)</f>
        <v>44674</v>
      </c>
      <c r="H1024">
        <v>36.25</v>
      </c>
      <c r="I1024">
        <v>48000</v>
      </c>
      <c r="J1024" s="1">
        <f t="shared" si="31"/>
        <v>44489</v>
      </c>
      <c r="K1024">
        <f t="shared" si="30"/>
        <v>20.25</v>
      </c>
    </row>
    <row r="1025" spans="1:11" x14ac:dyDescent="0.25">
      <c r="A1025">
        <v>24</v>
      </c>
      <c r="B1025" t="s">
        <v>13</v>
      </c>
      <c r="C1025">
        <v>2022</v>
      </c>
      <c r="D1025">
        <v>113</v>
      </c>
      <c r="E1025" t="s">
        <v>9</v>
      </c>
      <c r="F1025">
        <v>67.5</v>
      </c>
      <c r="G1025" s="1">
        <f>DATE(C1025, CHOOSE(MATCH(UPPER(B1025), {"ENERO","FEBRERO","MARZO","ABRIL","MAYO","JUNIO","JULIO","AGOSTO","SEPTIEMBRE","OCTUBRE","NOVIEMBRE","DICIEMBRE"}, 0), 1,2,3,4,5,6,7,8,9,10,11,12), A1025)</f>
        <v>44675</v>
      </c>
      <c r="H1025">
        <v>45.5</v>
      </c>
      <c r="I1025">
        <v>48000</v>
      </c>
      <c r="J1025" s="1">
        <f t="shared" si="31"/>
        <v>44490</v>
      </c>
      <c r="K1025">
        <f t="shared" si="30"/>
        <v>10.75</v>
      </c>
    </row>
    <row r="1026" spans="1:11" x14ac:dyDescent="0.25">
      <c r="A1026">
        <v>25</v>
      </c>
      <c r="B1026" t="s">
        <v>13</v>
      </c>
      <c r="C1026">
        <v>2022</v>
      </c>
      <c r="D1026">
        <v>67.5</v>
      </c>
      <c r="E1026" t="s">
        <v>9</v>
      </c>
      <c r="F1026">
        <v>55.25</v>
      </c>
      <c r="G1026" s="1">
        <f>DATE(C1026, CHOOSE(MATCH(UPPER(B1026), {"ENERO","FEBRERO","MARZO","ABRIL","MAYO","JUNIO","JULIO","AGOSTO","SEPTIEMBRE","OCTUBRE","NOVIEMBRE","DICIEMBRE"}, 0), 1,2,3,4,5,6,7,8,9,10,11,12), A1026)</f>
        <v>44676</v>
      </c>
      <c r="H1026">
        <v>12.25</v>
      </c>
      <c r="I1026">
        <v>48000</v>
      </c>
      <c r="J1026" s="1">
        <f t="shared" si="31"/>
        <v>44491</v>
      </c>
      <c r="K1026">
        <f t="shared" ref="K1026:K1089" si="32">VLOOKUP(J1026, G:H, 2, FALSE)</f>
        <v>25</v>
      </c>
    </row>
    <row r="1027" spans="1:11" x14ac:dyDescent="0.25">
      <c r="A1027">
        <v>26</v>
      </c>
      <c r="B1027" t="s">
        <v>13</v>
      </c>
      <c r="C1027">
        <v>2022</v>
      </c>
      <c r="D1027">
        <v>55.25</v>
      </c>
      <c r="E1027">
        <v>70</v>
      </c>
      <c r="F1027">
        <v>114.875</v>
      </c>
      <c r="G1027" s="1">
        <f>DATE(C1027, CHOOSE(MATCH(UPPER(B1027), {"ENERO","FEBRERO","MARZO","ABRIL","MAYO","JUNIO","JULIO","AGOSTO","SEPTIEMBRE","OCTUBRE","NOVIEMBRE","DICIEMBRE"}, 0), 1,2,3,4,5,6,7,8,9,10,11,12), A1027)</f>
        <v>44677</v>
      </c>
      <c r="H1027">
        <v>10.375</v>
      </c>
      <c r="I1027">
        <v>48000</v>
      </c>
      <c r="J1027" s="1">
        <f t="shared" si="31"/>
        <v>44492</v>
      </c>
      <c r="K1027">
        <f t="shared" si="32"/>
        <v>40.75</v>
      </c>
    </row>
    <row r="1028" spans="1:11" x14ac:dyDescent="0.25">
      <c r="A1028">
        <v>27</v>
      </c>
      <c r="B1028" t="s">
        <v>13</v>
      </c>
      <c r="C1028">
        <v>2022</v>
      </c>
      <c r="D1028">
        <v>114.875</v>
      </c>
      <c r="E1028" t="s">
        <v>9</v>
      </c>
      <c r="F1028">
        <v>100.75</v>
      </c>
      <c r="G1028" s="1">
        <f>DATE(C1028, CHOOSE(MATCH(UPPER(B1028), {"ENERO","FEBRERO","MARZO","ABRIL","MAYO","JUNIO","JULIO","AGOSTO","SEPTIEMBRE","OCTUBRE","NOVIEMBRE","DICIEMBRE"}, 0), 1,2,3,4,5,6,7,8,9,10,11,12), A1028)</f>
        <v>44678</v>
      </c>
      <c r="H1028">
        <v>14.125</v>
      </c>
      <c r="I1028">
        <v>48000</v>
      </c>
      <c r="J1028" s="1">
        <f t="shared" ref="J1028:J1091" si="33">DATE(2019,1,1) + ROW()-1</f>
        <v>44493</v>
      </c>
      <c r="K1028">
        <f t="shared" si="32"/>
        <v>36.25</v>
      </c>
    </row>
    <row r="1029" spans="1:11" x14ac:dyDescent="0.25">
      <c r="A1029">
        <v>28</v>
      </c>
      <c r="B1029" t="s">
        <v>13</v>
      </c>
      <c r="C1029">
        <v>2022</v>
      </c>
      <c r="D1029">
        <v>100.75</v>
      </c>
      <c r="E1029" t="s">
        <v>9</v>
      </c>
      <c r="F1029">
        <v>87</v>
      </c>
      <c r="G1029" s="1">
        <f>DATE(C1029, CHOOSE(MATCH(UPPER(B1029), {"ENERO","FEBRERO","MARZO","ABRIL","MAYO","JUNIO","JULIO","AGOSTO","SEPTIEMBRE","OCTUBRE","NOVIEMBRE","DICIEMBRE"}, 0), 1,2,3,4,5,6,7,8,9,10,11,12), A1029)</f>
        <v>44679</v>
      </c>
      <c r="H1029">
        <v>13.75</v>
      </c>
      <c r="I1029">
        <v>48000</v>
      </c>
      <c r="J1029" s="1">
        <f t="shared" si="33"/>
        <v>44494</v>
      </c>
      <c r="K1029">
        <f t="shared" si="32"/>
        <v>13.75</v>
      </c>
    </row>
    <row r="1030" spans="1:11" x14ac:dyDescent="0.25">
      <c r="A1030">
        <v>29</v>
      </c>
      <c r="B1030" t="s">
        <v>13</v>
      </c>
      <c r="C1030">
        <v>2022</v>
      </c>
      <c r="D1030">
        <v>87</v>
      </c>
      <c r="E1030" t="s">
        <v>9</v>
      </c>
      <c r="F1030">
        <v>65</v>
      </c>
      <c r="G1030" s="1">
        <f>DATE(C1030, CHOOSE(MATCH(UPPER(B1030), {"ENERO","FEBRERO","MARZO","ABRIL","MAYO","JUNIO","JULIO","AGOSTO","SEPTIEMBRE","OCTUBRE","NOVIEMBRE","DICIEMBRE"}, 0), 1,2,3,4,5,6,7,8,9,10,11,12), A1030)</f>
        <v>44680</v>
      </c>
      <c r="H1030">
        <v>22</v>
      </c>
      <c r="I1030">
        <v>48000</v>
      </c>
      <c r="J1030" s="1">
        <f t="shared" si="33"/>
        <v>44495</v>
      </c>
      <c r="K1030">
        <f t="shared" si="32"/>
        <v>10</v>
      </c>
    </row>
    <row r="1031" spans="1:11" x14ac:dyDescent="0.25">
      <c r="A1031">
        <v>30</v>
      </c>
      <c r="B1031" t="s">
        <v>13</v>
      </c>
      <c r="C1031">
        <v>2022</v>
      </c>
      <c r="D1031">
        <v>65</v>
      </c>
      <c r="E1031">
        <v>70</v>
      </c>
      <c r="F1031">
        <v>81</v>
      </c>
      <c r="G1031" s="1">
        <f>DATE(C1031, CHOOSE(MATCH(UPPER(B1031), {"ENERO","FEBRERO","MARZO","ABRIL","MAYO","JUNIO","JULIO","AGOSTO","SEPTIEMBRE","OCTUBRE","NOVIEMBRE","DICIEMBRE"}, 0), 1,2,3,4,5,6,7,8,9,10,11,12), A1031)</f>
        <v>44681</v>
      </c>
      <c r="H1031">
        <v>54</v>
      </c>
      <c r="I1031">
        <v>48000</v>
      </c>
      <c r="J1031" s="1">
        <f t="shared" si="33"/>
        <v>44496</v>
      </c>
      <c r="K1031">
        <f t="shared" si="32"/>
        <v>19.5</v>
      </c>
    </row>
    <row r="1032" spans="1:11" x14ac:dyDescent="0.25">
      <c r="A1032">
        <v>1</v>
      </c>
      <c r="B1032" t="s">
        <v>14</v>
      </c>
      <c r="C1032">
        <v>2022</v>
      </c>
      <c r="D1032">
        <v>81</v>
      </c>
      <c r="E1032" t="s">
        <v>9</v>
      </c>
      <c r="F1032">
        <v>41.25</v>
      </c>
      <c r="G1032" s="1">
        <f>DATE(C1032, CHOOSE(MATCH(UPPER(B1032), {"ENERO","FEBRERO","MARZO","ABRIL","MAYO","JUNIO","JULIO","AGOSTO","SEPTIEMBRE","OCTUBRE","NOVIEMBRE","DICIEMBRE"}, 0), 1,2,3,4,5,6,7,8,9,10,11,12), A1032)</f>
        <v>44682</v>
      </c>
      <c r="H1032">
        <v>39.75</v>
      </c>
      <c r="I1032">
        <v>48000</v>
      </c>
      <c r="J1032" s="1">
        <f t="shared" si="33"/>
        <v>44497</v>
      </c>
      <c r="K1032">
        <f t="shared" si="32"/>
        <v>14</v>
      </c>
    </row>
    <row r="1033" spans="1:11" x14ac:dyDescent="0.25">
      <c r="A1033">
        <v>2</v>
      </c>
      <c r="B1033" t="s">
        <v>14</v>
      </c>
      <c r="C1033">
        <v>2022</v>
      </c>
      <c r="D1033">
        <v>41.25</v>
      </c>
      <c r="E1033" t="s">
        <v>9</v>
      </c>
      <c r="F1033">
        <v>28.5</v>
      </c>
      <c r="G1033" s="1">
        <f>DATE(C1033, CHOOSE(MATCH(UPPER(B1033), {"ENERO","FEBRERO","MARZO","ABRIL","MAYO","JUNIO","JULIO","AGOSTO","SEPTIEMBRE","OCTUBRE","NOVIEMBRE","DICIEMBRE"}, 0), 1,2,3,4,5,6,7,8,9,10,11,12), A1033)</f>
        <v>44683</v>
      </c>
      <c r="H1033">
        <v>12.75</v>
      </c>
      <c r="I1033">
        <v>48000</v>
      </c>
      <c r="J1033" s="1">
        <f t="shared" si="33"/>
        <v>44498</v>
      </c>
      <c r="K1033">
        <f t="shared" si="32"/>
        <v>28.5</v>
      </c>
    </row>
    <row r="1034" spans="1:11" x14ac:dyDescent="0.25">
      <c r="A1034">
        <v>3</v>
      </c>
      <c r="B1034" t="s">
        <v>14</v>
      </c>
      <c r="C1034">
        <v>2022</v>
      </c>
      <c r="D1034">
        <v>28.5</v>
      </c>
      <c r="E1034">
        <v>90</v>
      </c>
      <c r="F1034">
        <v>103.625</v>
      </c>
      <c r="G1034" s="1">
        <f>DATE(C1034, CHOOSE(MATCH(UPPER(B1034), {"ENERO","FEBRERO","MARZO","ABRIL","MAYO","JUNIO","JULIO","AGOSTO","SEPTIEMBRE","OCTUBRE","NOVIEMBRE","DICIEMBRE"}, 0), 1,2,3,4,5,6,7,8,9,10,11,12), A1034)</f>
        <v>44684</v>
      </c>
      <c r="H1034">
        <v>14.875</v>
      </c>
      <c r="I1034">
        <v>48000</v>
      </c>
      <c r="J1034" s="1">
        <f t="shared" si="33"/>
        <v>44499</v>
      </c>
      <c r="K1034">
        <f t="shared" si="32"/>
        <v>40.5</v>
      </c>
    </row>
    <row r="1035" spans="1:11" x14ac:dyDescent="0.25">
      <c r="A1035">
        <v>4</v>
      </c>
      <c r="B1035" t="s">
        <v>14</v>
      </c>
      <c r="C1035">
        <v>2022</v>
      </c>
      <c r="D1035">
        <v>103.625</v>
      </c>
      <c r="E1035" t="s">
        <v>9</v>
      </c>
      <c r="F1035">
        <v>80.5</v>
      </c>
      <c r="G1035" s="1">
        <f>DATE(C1035, CHOOSE(MATCH(UPPER(B1035), {"ENERO","FEBRERO","MARZO","ABRIL","MAYO","JUNIO","JULIO","AGOSTO","SEPTIEMBRE","OCTUBRE","NOVIEMBRE","DICIEMBRE"}, 0), 1,2,3,4,5,6,7,8,9,10,11,12), A1035)</f>
        <v>44685</v>
      </c>
      <c r="H1035">
        <v>23.125</v>
      </c>
      <c r="I1035">
        <v>48000</v>
      </c>
      <c r="J1035" s="1">
        <f t="shared" si="33"/>
        <v>44500</v>
      </c>
      <c r="K1035">
        <f t="shared" si="32"/>
        <v>98.75</v>
      </c>
    </row>
    <row r="1036" spans="1:11" x14ac:dyDescent="0.25">
      <c r="A1036">
        <v>5</v>
      </c>
      <c r="B1036" t="s">
        <v>14</v>
      </c>
      <c r="C1036">
        <v>2022</v>
      </c>
      <c r="D1036">
        <v>80.5</v>
      </c>
      <c r="E1036" t="s">
        <v>9</v>
      </c>
      <c r="F1036">
        <v>51.125</v>
      </c>
      <c r="G1036" s="1">
        <f>DATE(C1036, CHOOSE(MATCH(UPPER(B1036), {"ENERO","FEBRERO","MARZO","ABRIL","MAYO","JUNIO","JULIO","AGOSTO","SEPTIEMBRE","OCTUBRE","NOVIEMBRE","DICIEMBRE"}, 0), 1,2,3,4,5,6,7,8,9,10,11,12), A1036)</f>
        <v>44686</v>
      </c>
      <c r="H1036">
        <v>29.375</v>
      </c>
      <c r="I1036">
        <v>48000</v>
      </c>
      <c r="J1036" s="1">
        <f t="shared" si="33"/>
        <v>44501</v>
      </c>
      <c r="K1036">
        <f t="shared" si="32"/>
        <v>47.125</v>
      </c>
    </row>
    <row r="1037" spans="1:11" x14ac:dyDescent="0.25">
      <c r="A1037">
        <v>6</v>
      </c>
      <c r="B1037" t="s">
        <v>14</v>
      </c>
      <c r="C1037">
        <v>2022</v>
      </c>
      <c r="D1037">
        <v>51.125</v>
      </c>
      <c r="E1037">
        <v>60</v>
      </c>
      <c r="F1037">
        <v>84.25</v>
      </c>
      <c r="G1037" s="1">
        <f>DATE(C1037, CHOOSE(MATCH(UPPER(B1037), {"ENERO","FEBRERO","MARZO","ABRIL","MAYO","JUNIO","JULIO","AGOSTO","SEPTIEMBRE","OCTUBRE","NOVIEMBRE","DICIEMBRE"}, 0), 1,2,3,4,5,6,7,8,9,10,11,12), A1037)</f>
        <v>44687</v>
      </c>
      <c r="H1037">
        <v>26.875</v>
      </c>
      <c r="I1037">
        <v>48000</v>
      </c>
      <c r="J1037" s="1">
        <f t="shared" si="33"/>
        <v>44502</v>
      </c>
      <c r="K1037">
        <f t="shared" si="32"/>
        <v>17.5</v>
      </c>
    </row>
    <row r="1038" spans="1:11" x14ac:dyDescent="0.25">
      <c r="A1038">
        <v>7</v>
      </c>
      <c r="B1038" t="s">
        <v>14</v>
      </c>
      <c r="C1038">
        <v>2022</v>
      </c>
      <c r="D1038">
        <v>84.25</v>
      </c>
      <c r="E1038" t="s">
        <v>9</v>
      </c>
      <c r="F1038">
        <v>44.125</v>
      </c>
      <c r="G1038" s="1">
        <f>DATE(C1038, CHOOSE(MATCH(UPPER(B1038), {"ENERO","FEBRERO","MARZO","ABRIL","MAYO","JUNIO","JULIO","AGOSTO","SEPTIEMBRE","OCTUBRE","NOVIEMBRE","DICIEMBRE"}, 0), 1,2,3,4,5,6,7,8,9,10,11,12), A1038)</f>
        <v>44688</v>
      </c>
      <c r="H1038">
        <v>40.125</v>
      </c>
      <c r="I1038">
        <v>48000</v>
      </c>
      <c r="J1038" s="1">
        <f t="shared" si="33"/>
        <v>44503</v>
      </c>
      <c r="K1038">
        <f t="shared" si="32"/>
        <v>21.875</v>
      </c>
    </row>
    <row r="1039" spans="1:11" x14ac:dyDescent="0.25">
      <c r="A1039">
        <v>8</v>
      </c>
      <c r="B1039" t="s">
        <v>14</v>
      </c>
      <c r="C1039">
        <v>2022</v>
      </c>
      <c r="D1039">
        <v>44.125</v>
      </c>
      <c r="E1039">
        <v>30</v>
      </c>
      <c r="F1039">
        <v>30.25</v>
      </c>
      <c r="G1039" s="1">
        <f>DATE(C1039, CHOOSE(MATCH(UPPER(B1039), {"ENERO","FEBRERO","MARZO","ABRIL","MAYO","JUNIO","JULIO","AGOSTO","SEPTIEMBRE","OCTUBRE","NOVIEMBRE","DICIEMBRE"}, 0), 1,2,3,4,5,6,7,8,9,10,11,12), A1039)</f>
        <v>44689</v>
      </c>
      <c r="H1039">
        <v>43.875</v>
      </c>
      <c r="I1039">
        <v>48000</v>
      </c>
      <c r="J1039" s="1">
        <f t="shared" si="33"/>
        <v>44504</v>
      </c>
      <c r="K1039">
        <f t="shared" si="32"/>
        <v>16</v>
      </c>
    </row>
    <row r="1040" spans="1:11" x14ac:dyDescent="0.25">
      <c r="A1040">
        <v>9</v>
      </c>
      <c r="B1040" t="s">
        <v>14</v>
      </c>
      <c r="C1040">
        <v>2022</v>
      </c>
      <c r="D1040">
        <v>30.25</v>
      </c>
      <c r="E1040">
        <v>60</v>
      </c>
      <c r="F1040">
        <v>78.625</v>
      </c>
      <c r="G1040" s="1">
        <f>DATE(C1040, CHOOSE(MATCH(UPPER(B1040), {"ENERO","FEBRERO","MARZO","ABRIL","MAYO","JUNIO","JULIO","AGOSTO","SEPTIEMBRE","OCTUBRE","NOVIEMBRE","DICIEMBRE"}, 0), 1,2,3,4,5,6,7,8,9,10,11,12), A1040)</f>
        <v>44690</v>
      </c>
      <c r="H1040">
        <v>11.625</v>
      </c>
      <c r="I1040">
        <v>48000</v>
      </c>
      <c r="J1040" s="1">
        <f t="shared" si="33"/>
        <v>44505</v>
      </c>
      <c r="K1040">
        <f t="shared" si="32"/>
        <v>23.75</v>
      </c>
    </row>
    <row r="1041" spans="1:11" x14ac:dyDescent="0.25">
      <c r="A1041">
        <v>10</v>
      </c>
      <c r="B1041" t="s">
        <v>14</v>
      </c>
      <c r="C1041">
        <v>2022</v>
      </c>
      <c r="D1041">
        <v>78.625</v>
      </c>
      <c r="E1041" t="s">
        <v>9</v>
      </c>
      <c r="F1041">
        <v>66.5</v>
      </c>
      <c r="G1041" s="1">
        <f>DATE(C1041, CHOOSE(MATCH(UPPER(B1041), {"ENERO","FEBRERO","MARZO","ABRIL","MAYO","JUNIO","JULIO","AGOSTO","SEPTIEMBRE","OCTUBRE","NOVIEMBRE","DICIEMBRE"}, 0), 1,2,3,4,5,6,7,8,9,10,11,12), A1041)</f>
        <v>44691</v>
      </c>
      <c r="H1041">
        <v>12.125</v>
      </c>
      <c r="I1041">
        <v>48000</v>
      </c>
      <c r="J1041" s="1">
        <f t="shared" si="33"/>
        <v>44506</v>
      </c>
      <c r="K1041">
        <f t="shared" si="32"/>
        <v>42.174999999999997</v>
      </c>
    </row>
    <row r="1042" spans="1:11" x14ac:dyDescent="0.25">
      <c r="A1042">
        <v>11</v>
      </c>
      <c r="B1042" t="s">
        <v>14</v>
      </c>
      <c r="C1042">
        <v>2022</v>
      </c>
      <c r="D1042">
        <v>66.5</v>
      </c>
      <c r="E1042">
        <v>50</v>
      </c>
      <c r="F1042">
        <v>92.75</v>
      </c>
      <c r="G1042" s="1">
        <f>DATE(C1042, CHOOSE(MATCH(UPPER(B1042), {"ENERO","FEBRERO","MARZO","ABRIL","MAYO","JUNIO","JULIO","AGOSTO","SEPTIEMBRE","OCTUBRE","NOVIEMBRE","DICIEMBRE"}, 0), 1,2,3,4,5,6,7,8,9,10,11,12), A1042)</f>
        <v>44692</v>
      </c>
      <c r="H1042">
        <v>23.75</v>
      </c>
      <c r="I1042">
        <v>48000</v>
      </c>
      <c r="J1042" s="1">
        <f t="shared" si="33"/>
        <v>44507</v>
      </c>
      <c r="K1042">
        <f t="shared" si="32"/>
        <v>47.325000000000003</v>
      </c>
    </row>
    <row r="1043" spans="1:11" x14ac:dyDescent="0.25">
      <c r="A1043">
        <v>12</v>
      </c>
      <c r="B1043" t="s">
        <v>14</v>
      </c>
      <c r="C1043">
        <v>2022</v>
      </c>
      <c r="D1043">
        <v>92.75</v>
      </c>
      <c r="E1043" t="s">
        <v>9</v>
      </c>
      <c r="F1043">
        <v>74.5</v>
      </c>
      <c r="G1043" s="1">
        <f>DATE(C1043, CHOOSE(MATCH(UPPER(B1043), {"ENERO","FEBRERO","MARZO","ABRIL","MAYO","JUNIO","JULIO","AGOSTO","SEPTIEMBRE","OCTUBRE","NOVIEMBRE","DICIEMBRE"}, 0), 1,2,3,4,5,6,7,8,9,10,11,12), A1043)</f>
        <v>44693</v>
      </c>
      <c r="H1043">
        <v>18.25</v>
      </c>
      <c r="I1043">
        <v>48000</v>
      </c>
      <c r="J1043" s="1">
        <f t="shared" si="33"/>
        <v>44508</v>
      </c>
      <c r="K1043">
        <f t="shared" si="32"/>
        <v>8.25</v>
      </c>
    </row>
    <row r="1044" spans="1:11" x14ac:dyDescent="0.25">
      <c r="A1044">
        <v>13</v>
      </c>
      <c r="B1044" t="s">
        <v>14</v>
      </c>
      <c r="C1044">
        <v>2022</v>
      </c>
      <c r="D1044">
        <v>74.5</v>
      </c>
      <c r="E1044" t="s">
        <v>9</v>
      </c>
      <c r="F1044">
        <v>45.25</v>
      </c>
      <c r="G1044" s="1">
        <f>DATE(C1044, CHOOSE(MATCH(UPPER(B1044), {"ENERO","FEBRERO","MARZO","ABRIL","MAYO","JUNIO","JULIO","AGOSTO","SEPTIEMBRE","OCTUBRE","NOVIEMBRE","DICIEMBRE"}, 0), 1,2,3,4,5,6,7,8,9,10,11,12), A1044)</f>
        <v>44694</v>
      </c>
      <c r="H1044">
        <v>29.25</v>
      </c>
      <c r="I1044">
        <v>48000</v>
      </c>
      <c r="J1044" s="1">
        <f t="shared" si="33"/>
        <v>44509</v>
      </c>
      <c r="K1044">
        <f t="shared" si="32"/>
        <v>12.5</v>
      </c>
    </row>
    <row r="1045" spans="1:11" x14ac:dyDescent="0.25">
      <c r="A1045">
        <v>14</v>
      </c>
      <c r="B1045" t="s">
        <v>14</v>
      </c>
      <c r="C1045">
        <v>2022</v>
      </c>
      <c r="D1045">
        <v>45.25</v>
      </c>
      <c r="E1045">
        <v>80</v>
      </c>
      <c r="F1045">
        <v>91.25</v>
      </c>
      <c r="G1045" s="1">
        <f>DATE(C1045, CHOOSE(MATCH(UPPER(B1045), {"ENERO","FEBRERO","MARZO","ABRIL","MAYO","JUNIO","JULIO","AGOSTO","SEPTIEMBRE","OCTUBRE","NOVIEMBRE","DICIEMBRE"}, 0), 1,2,3,4,5,6,7,8,9,10,11,12), A1045)</f>
        <v>44695</v>
      </c>
      <c r="H1045">
        <v>34</v>
      </c>
      <c r="I1045">
        <v>48000</v>
      </c>
      <c r="J1045" s="1">
        <f t="shared" si="33"/>
        <v>44510</v>
      </c>
      <c r="K1045">
        <f t="shared" si="32"/>
        <v>20</v>
      </c>
    </row>
    <row r="1046" spans="1:11" x14ac:dyDescent="0.25">
      <c r="A1046">
        <v>15</v>
      </c>
      <c r="B1046" t="s">
        <v>14</v>
      </c>
      <c r="C1046">
        <v>2022</v>
      </c>
      <c r="D1046">
        <v>91.25</v>
      </c>
      <c r="E1046" t="s">
        <v>9</v>
      </c>
      <c r="F1046">
        <v>49.375</v>
      </c>
      <c r="G1046" s="1">
        <f>DATE(C1046, CHOOSE(MATCH(UPPER(B1046), {"ENERO","FEBRERO","MARZO","ABRIL","MAYO","JUNIO","JULIO","AGOSTO","SEPTIEMBRE","OCTUBRE","NOVIEMBRE","DICIEMBRE"}, 0), 1,2,3,4,5,6,7,8,9,10,11,12), A1046)</f>
        <v>44696</v>
      </c>
      <c r="H1046">
        <v>41.875</v>
      </c>
      <c r="I1046">
        <v>48000</v>
      </c>
      <c r="J1046" s="1">
        <f t="shared" si="33"/>
        <v>44511</v>
      </c>
      <c r="K1046">
        <f t="shared" si="32"/>
        <v>20</v>
      </c>
    </row>
    <row r="1047" spans="1:11" x14ac:dyDescent="0.25">
      <c r="A1047">
        <v>16</v>
      </c>
      <c r="B1047" t="s">
        <v>14</v>
      </c>
      <c r="C1047">
        <v>2022</v>
      </c>
      <c r="D1047">
        <v>49.375</v>
      </c>
      <c r="E1047">
        <v>60</v>
      </c>
      <c r="F1047">
        <v>99</v>
      </c>
      <c r="G1047" s="1">
        <f>DATE(C1047, CHOOSE(MATCH(UPPER(B1047), {"ENERO","FEBRERO","MARZO","ABRIL","MAYO","JUNIO","JULIO","AGOSTO","SEPTIEMBRE","OCTUBRE","NOVIEMBRE","DICIEMBRE"}, 0), 1,2,3,4,5,6,7,8,9,10,11,12), A1047)</f>
        <v>44697</v>
      </c>
      <c r="H1047">
        <v>10.375</v>
      </c>
      <c r="I1047">
        <v>48000</v>
      </c>
      <c r="J1047" s="1">
        <f t="shared" si="33"/>
        <v>44512</v>
      </c>
      <c r="K1047">
        <f t="shared" si="32"/>
        <v>21</v>
      </c>
    </row>
    <row r="1048" spans="1:11" x14ac:dyDescent="0.25">
      <c r="A1048">
        <v>17</v>
      </c>
      <c r="B1048" t="s">
        <v>14</v>
      </c>
      <c r="C1048">
        <v>2022</v>
      </c>
      <c r="D1048">
        <v>99</v>
      </c>
      <c r="E1048" t="s">
        <v>9</v>
      </c>
      <c r="F1048">
        <v>87.875</v>
      </c>
      <c r="G1048" s="1">
        <f>DATE(C1048, CHOOSE(MATCH(UPPER(B1048), {"ENERO","FEBRERO","MARZO","ABRIL","MAYO","JUNIO","JULIO","AGOSTO","SEPTIEMBRE","OCTUBRE","NOVIEMBRE","DICIEMBRE"}, 0), 1,2,3,4,5,6,7,8,9,10,11,12), A1048)</f>
        <v>44698</v>
      </c>
      <c r="H1048">
        <v>11.125</v>
      </c>
      <c r="I1048">
        <v>48000</v>
      </c>
      <c r="J1048" s="1">
        <f t="shared" si="33"/>
        <v>44513</v>
      </c>
      <c r="K1048">
        <f t="shared" si="32"/>
        <v>38.25</v>
      </c>
    </row>
    <row r="1049" spans="1:11" x14ac:dyDescent="0.25">
      <c r="A1049">
        <v>18</v>
      </c>
      <c r="B1049" t="s">
        <v>14</v>
      </c>
      <c r="C1049">
        <v>2022</v>
      </c>
      <c r="D1049">
        <v>87.875</v>
      </c>
      <c r="E1049" t="s">
        <v>9</v>
      </c>
      <c r="F1049">
        <v>66.25</v>
      </c>
      <c r="G1049" s="1">
        <f>DATE(C1049, CHOOSE(MATCH(UPPER(B1049), {"ENERO","FEBRERO","MARZO","ABRIL","MAYO","JUNIO","JULIO","AGOSTO","SEPTIEMBRE","OCTUBRE","NOVIEMBRE","DICIEMBRE"}, 0), 1,2,3,4,5,6,7,8,9,10,11,12), A1049)</f>
        <v>44699</v>
      </c>
      <c r="H1049">
        <v>21.625</v>
      </c>
      <c r="I1049">
        <v>48000</v>
      </c>
      <c r="J1049" s="1">
        <f t="shared" si="33"/>
        <v>44514</v>
      </c>
      <c r="K1049">
        <f t="shared" si="32"/>
        <v>35.25</v>
      </c>
    </row>
    <row r="1050" spans="1:11" x14ac:dyDescent="0.25">
      <c r="A1050">
        <v>19</v>
      </c>
      <c r="B1050" t="s">
        <v>14</v>
      </c>
      <c r="C1050">
        <v>2022</v>
      </c>
      <c r="D1050">
        <v>66.25</v>
      </c>
      <c r="E1050" t="s">
        <v>9</v>
      </c>
      <c r="F1050">
        <v>53.5</v>
      </c>
      <c r="G1050" s="1">
        <f>DATE(C1050, CHOOSE(MATCH(UPPER(B1050), {"ENERO","FEBRERO","MARZO","ABRIL","MAYO","JUNIO","JULIO","AGOSTO","SEPTIEMBRE","OCTUBRE","NOVIEMBRE","DICIEMBRE"}, 0), 1,2,3,4,5,6,7,8,9,10,11,12), A1050)</f>
        <v>44700</v>
      </c>
      <c r="H1050">
        <v>12.75</v>
      </c>
      <c r="I1050">
        <v>48000</v>
      </c>
      <c r="J1050" s="1">
        <f t="shared" si="33"/>
        <v>44515</v>
      </c>
      <c r="K1050">
        <f t="shared" si="32"/>
        <v>32.5</v>
      </c>
    </row>
    <row r="1051" spans="1:11" x14ac:dyDescent="0.25">
      <c r="A1051">
        <v>20</v>
      </c>
      <c r="B1051" t="s">
        <v>14</v>
      </c>
      <c r="C1051">
        <v>2022</v>
      </c>
      <c r="D1051">
        <v>53.5</v>
      </c>
      <c r="E1051">
        <v>90</v>
      </c>
      <c r="F1051">
        <v>115.75</v>
      </c>
      <c r="G1051" s="1">
        <f>DATE(C1051, CHOOSE(MATCH(UPPER(B1051), {"ENERO","FEBRERO","MARZO","ABRIL","MAYO","JUNIO","JULIO","AGOSTO","SEPTIEMBRE","OCTUBRE","NOVIEMBRE","DICIEMBRE"}, 0), 1,2,3,4,5,6,7,8,9,10,11,12), A1051)</f>
        <v>44701</v>
      </c>
      <c r="H1051">
        <v>27.75</v>
      </c>
      <c r="I1051">
        <v>48000</v>
      </c>
      <c r="J1051" s="1">
        <f t="shared" si="33"/>
        <v>44516</v>
      </c>
      <c r="K1051">
        <f t="shared" si="32"/>
        <v>9.25</v>
      </c>
    </row>
    <row r="1052" spans="1:11" x14ac:dyDescent="0.25">
      <c r="A1052">
        <v>21</v>
      </c>
      <c r="B1052" t="s">
        <v>14</v>
      </c>
      <c r="C1052">
        <v>2022</v>
      </c>
      <c r="D1052">
        <v>115.75</v>
      </c>
      <c r="E1052" t="s">
        <v>9</v>
      </c>
      <c r="F1052">
        <v>73.375</v>
      </c>
      <c r="G1052" s="1">
        <f>DATE(C1052, CHOOSE(MATCH(UPPER(B1052), {"ENERO","FEBRERO","MARZO","ABRIL","MAYO","JUNIO","JULIO","AGOSTO","SEPTIEMBRE","OCTUBRE","NOVIEMBRE","DICIEMBRE"}, 0), 1,2,3,4,5,6,7,8,9,10,11,12), A1052)</f>
        <v>44702</v>
      </c>
      <c r="H1052">
        <v>42.375</v>
      </c>
      <c r="I1052">
        <v>48000</v>
      </c>
      <c r="J1052" s="1">
        <f t="shared" si="33"/>
        <v>44517</v>
      </c>
      <c r="K1052">
        <f t="shared" si="32"/>
        <v>14.75</v>
      </c>
    </row>
    <row r="1053" spans="1:11" x14ac:dyDescent="0.25">
      <c r="A1053">
        <v>22</v>
      </c>
      <c r="B1053" t="s">
        <v>14</v>
      </c>
      <c r="C1053">
        <v>2022</v>
      </c>
      <c r="D1053">
        <v>73.375</v>
      </c>
      <c r="E1053" t="s">
        <v>9</v>
      </c>
      <c r="F1053">
        <v>18.125</v>
      </c>
      <c r="G1053" s="1">
        <f>DATE(C1053, CHOOSE(MATCH(UPPER(B1053), {"ENERO","FEBRERO","MARZO","ABRIL","MAYO","JUNIO","JULIO","AGOSTO","SEPTIEMBRE","OCTUBRE","NOVIEMBRE","DICIEMBRE"}, 0), 1,2,3,4,5,6,7,8,9,10,11,12), A1053)</f>
        <v>44703</v>
      </c>
      <c r="H1053">
        <v>55.25</v>
      </c>
      <c r="I1053">
        <v>48000</v>
      </c>
      <c r="J1053" s="1">
        <f t="shared" si="33"/>
        <v>44518</v>
      </c>
      <c r="K1053">
        <f t="shared" si="32"/>
        <v>15</v>
      </c>
    </row>
    <row r="1054" spans="1:11" x14ac:dyDescent="0.25">
      <c r="A1054">
        <v>23</v>
      </c>
      <c r="B1054" t="s">
        <v>14</v>
      </c>
      <c r="C1054">
        <v>2022</v>
      </c>
      <c r="D1054">
        <v>18.125</v>
      </c>
      <c r="E1054">
        <v>50</v>
      </c>
      <c r="F1054">
        <v>58.5</v>
      </c>
      <c r="G1054" s="1">
        <f>DATE(C1054, CHOOSE(MATCH(UPPER(B1054), {"ENERO","FEBRERO","MARZO","ABRIL","MAYO","JUNIO","JULIO","AGOSTO","SEPTIEMBRE","OCTUBRE","NOVIEMBRE","DICIEMBRE"}, 0), 1,2,3,4,5,6,7,8,9,10,11,12), A1054)</f>
        <v>44704</v>
      </c>
      <c r="H1054">
        <v>9.625</v>
      </c>
      <c r="I1054">
        <v>48000</v>
      </c>
      <c r="J1054" s="1">
        <f t="shared" si="33"/>
        <v>44519</v>
      </c>
      <c r="K1054">
        <f t="shared" si="32"/>
        <v>24.25</v>
      </c>
    </row>
    <row r="1055" spans="1:11" x14ac:dyDescent="0.25">
      <c r="A1055">
        <v>24</v>
      </c>
      <c r="B1055" t="s">
        <v>14</v>
      </c>
      <c r="C1055">
        <v>2022</v>
      </c>
      <c r="D1055">
        <v>58.5</v>
      </c>
      <c r="E1055" t="s">
        <v>9</v>
      </c>
      <c r="F1055">
        <v>45.25</v>
      </c>
      <c r="G1055" s="1">
        <f>DATE(C1055, CHOOSE(MATCH(UPPER(B1055), {"ENERO","FEBRERO","MARZO","ABRIL","MAYO","JUNIO","JULIO","AGOSTO","SEPTIEMBRE","OCTUBRE","NOVIEMBRE","DICIEMBRE"}, 0), 1,2,3,4,5,6,7,8,9,10,11,12), A1055)</f>
        <v>44705</v>
      </c>
      <c r="H1055">
        <v>13.25</v>
      </c>
      <c r="I1055">
        <v>48000</v>
      </c>
      <c r="J1055" s="1">
        <f t="shared" si="33"/>
        <v>44520</v>
      </c>
      <c r="K1055">
        <f t="shared" si="32"/>
        <v>30.875</v>
      </c>
    </row>
    <row r="1056" spans="1:11" x14ac:dyDescent="0.25">
      <c r="A1056">
        <v>25</v>
      </c>
      <c r="B1056" t="s">
        <v>14</v>
      </c>
      <c r="C1056">
        <v>2022</v>
      </c>
      <c r="D1056">
        <v>45.25</v>
      </c>
      <c r="E1056">
        <v>60</v>
      </c>
      <c r="F1056">
        <v>90.625</v>
      </c>
      <c r="G1056" s="1">
        <f>DATE(C1056, CHOOSE(MATCH(UPPER(B1056), {"ENERO","FEBRERO","MARZO","ABRIL","MAYO","JUNIO","JULIO","AGOSTO","SEPTIEMBRE","OCTUBRE","NOVIEMBRE","DICIEMBRE"}, 0), 1,2,3,4,5,6,7,8,9,10,11,12), A1056)</f>
        <v>44706</v>
      </c>
      <c r="H1056">
        <v>14.625</v>
      </c>
      <c r="I1056">
        <v>48000</v>
      </c>
      <c r="J1056" s="1">
        <f t="shared" si="33"/>
        <v>44521</v>
      </c>
      <c r="K1056">
        <f t="shared" si="32"/>
        <v>35.875</v>
      </c>
    </row>
    <row r="1057" spans="1:11" x14ac:dyDescent="0.25">
      <c r="A1057">
        <v>26</v>
      </c>
      <c r="B1057" t="s">
        <v>14</v>
      </c>
      <c r="C1057">
        <v>2022</v>
      </c>
      <c r="D1057">
        <v>90.625</v>
      </c>
      <c r="E1057" t="s">
        <v>9</v>
      </c>
      <c r="F1057">
        <v>70</v>
      </c>
      <c r="G1057" s="1">
        <f>DATE(C1057, CHOOSE(MATCH(UPPER(B1057), {"ENERO","FEBRERO","MARZO","ABRIL","MAYO","JUNIO","JULIO","AGOSTO","SEPTIEMBRE","OCTUBRE","NOVIEMBRE","DICIEMBRE"}, 0), 1,2,3,4,5,6,7,8,9,10,11,12), A1057)</f>
        <v>44707</v>
      </c>
      <c r="H1057">
        <v>20.625</v>
      </c>
      <c r="I1057">
        <v>48000</v>
      </c>
      <c r="J1057" s="1">
        <f t="shared" si="33"/>
        <v>44522</v>
      </c>
      <c r="K1057">
        <f t="shared" si="32"/>
        <v>17.375</v>
      </c>
    </row>
    <row r="1058" spans="1:11" x14ac:dyDescent="0.25">
      <c r="A1058">
        <v>27</v>
      </c>
      <c r="B1058" t="s">
        <v>14</v>
      </c>
      <c r="C1058">
        <v>2022</v>
      </c>
      <c r="D1058">
        <v>70</v>
      </c>
      <c r="E1058" t="s">
        <v>9</v>
      </c>
      <c r="F1058">
        <v>49.75</v>
      </c>
      <c r="G1058" s="1">
        <f>DATE(C1058, CHOOSE(MATCH(UPPER(B1058), {"ENERO","FEBRERO","MARZO","ABRIL","MAYO","JUNIO","JULIO","AGOSTO","SEPTIEMBRE","OCTUBRE","NOVIEMBRE","DICIEMBRE"}, 0), 1,2,3,4,5,6,7,8,9,10,11,12), A1058)</f>
        <v>44708</v>
      </c>
      <c r="H1058">
        <v>20.25</v>
      </c>
      <c r="I1058">
        <v>48000</v>
      </c>
      <c r="J1058" s="1">
        <f t="shared" si="33"/>
        <v>44523</v>
      </c>
      <c r="K1058">
        <f t="shared" si="32"/>
        <v>17.875</v>
      </c>
    </row>
    <row r="1059" spans="1:11" x14ac:dyDescent="0.25">
      <c r="A1059">
        <v>28</v>
      </c>
      <c r="B1059" t="s">
        <v>14</v>
      </c>
      <c r="C1059">
        <v>2022</v>
      </c>
      <c r="D1059">
        <v>49.75</v>
      </c>
      <c r="E1059">
        <v>80</v>
      </c>
      <c r="F1059">
        <v>83.375</v>
      </c>
      <c r="G1059" s="1">
        <f>DATE(C1059, CHOOSE(MATCH(UPPER(B1059), {"ENERO","FEBRERO","MARZO","ABRIL","MAYO","JUNIO","JULIO","AGOSTO","SEPTIEMBRE","OCTUBRE","NOVIEMBRE","DICIEMBRE"}, 0), 1,2,3,4,5,6,7,8,9,10,11,12), A1059)</f>
        <v>44709</v>
      </c>
      <c r="H1059">
        <v>46.375</v>
      </c>
      <c r="I1059">
        <v>48000</v>
      </c>
      <c r="J1059" s="1">
        <f t="shared" si="33"/>
        <v>44524</v>
      </c>
      <c r="K1059">
        <f t="shared" si="32"/>
        <v>21</v>
      </c>
    </row>
    <row r="1060" spans="1:11" x14ac:dyDescent="0.25">
      <c r="A1060">
        <v>29</v>
      </c>
      <c r="B1060" t="s">
        <v>14</v>
      </c>
      <c r="C1060">
        <v>2022</v>
      </c>
      <c r="D1060">
        <v>83.375</v>
      </c>
      <c r="E1060" t="s">
        <v>9</v>
      </c>
      <c r="F1060">
        <v>40.375</v>
      </c>
      <c r="G1060" s="1">
        <f>DATE(C1060, CHOOSE(MATCH(UPPER(B1060), {"ENERO","FEBRERO","MARZO","ABRIL","MAYO","JUNIO","JULIO","AGOSTO","SEPTIEMBRE","OCTUBRE","NOVIEMBRE","DICIEMBRE"}, 0), 1,2,3,4,5,6,7,8,9,10,11,12), A1060)</f>
        <v>44710</v>
      </c>
      <c r="H1060">
        <v>43</v>
      </c>
      <c r="I1060">
        <v>48000</v>
      </c>
      <c r="J1060" s="1">
        <f t="shared" si="33"/>
        <v>44525</v>
      </c>
      <c r="K1060">
        <f t="shared" si="32"/>
        <v>24.75</v>
      </c>
    </row>
    <row r="1061" spans="1:11" x14ac:dyDescent="0.25">
      <c r="A1061">
        <v>30</v>
      </c>
      <c r="B1061" t="s">
        <v>14</v>
      </c>
      <c r="C1061">
        <v>2022</v>
      </c>
      <c r="D1061">
        <v>40.375</v>
      </c>
      <c r="E1061">
        <v>60</v>
      </c>
      <c r="F1061">
        <v>65.25</v>
      </c>
      <c r="G1061" s="1">
        <f>DATE(C1061, CHOOSE(MATCH(UPPER(B1061), {"ENERO","FEBRERO","MARZO","ABRIL","MAYO","JUNIO","JULIO","AGOSTO","SEPTIEMBRE","OCTUBRE","NOVIEMBRE","DICIEMBRE"}, 0), 1,2,3,4,5,6,7,8,9,10,11,12), A1061)</f>
        <v>44711</v>
      </c>
      <c r="H1061">
        <v>35.125</v>
      </c>
      <c r="I1061">
        <v>48000</v>
      </c>
      <c r="J1061" s="1">
        <f t="shared" si="33"/>
        <v>44526</v>
      </c>
      <c r="K1061">
        <f t="shared" si="32"/>
        <v>28.375</v>
      </c>
    </row>
    <row r="1062" spans="1:11" x14ac:dyDescent="0.25">
      <c r="A1062">
        <v>31</v>
      </c>
      <c r="B1062" t="s">
        <v>14</v>
      </c>
      <c r="C1062">
        <v>2022</v>
      </c>
      <c r="D1062">
        <v>65.25</v>
      </c>
      <c r="E1062" t="s">
        <v>9</v>
      </c>
      <c r="F1062">
        <v>52.125</v>
      </c>
      <c r="G1062" s="1">
        <f>DATE(C1062, CHOOSE(MATCH(UPPER(B1062), {"ENERO","FEBRERO","MARZO","ABRIL","MAYO","JUNIO","JULIO","AGOSTO","SEPTIEMBRE","OCTUBRE","NOVIEMBRE","DICIEMBRE"}, 0), 1,2,3,4,5,6,7,8,9,10,11,12), A1062)</f>
        <v>44712</v>
      </c>
      <c r="H1062">
        <v>13.125</v>
      </c>
      <c r="I1062">
        <v>48000</v>
      </c>
      <c r="J1062" s="1">
        <f t="shared" si="33"/>
        <v>44527</v>
      </c>
      <c r="K1062">
        <f t="shared" si="32"/>
        <v>47.125</v>
      </c>
    </row>
    <row r="1063" spans="1:11" x14ac:dyDescent="0.25">
      <c r="A1063">
        <v>1</v>
      </c>
      <c r="B1063" t="s">
        <v>15</v>
      </c>
      <c r="C1063">
        <v>2022</v>
      </c>
      <c r="D1063">
        <v>52.125</v>
      </c>
      <c r="E1063" t="s">
        <v>9</v>
      </c>
      <c r="F1063">
        <v>37.75</v>
      </c>
      <c r="G1063" s="1">
        <f>DATE(C1063, CHOOSE(MATCH(UPPER(B1063), {"ENERO","FEBRERO","MARZO","ABRIL","MAYO","JUNIO","JULIO","AGOSTO","SEPTIEMBRE","OCTUBRE","NOVIEMBRE","DICIEMBRE"}, 0), 1,2,3,4,5,6,7,8,9,10,11,12), A1063)</f>
        <v>44713</v>
      </c>
      <c r="H1063">
        <v>14.375</v>
      </c>
      <c r="I1063">
        <v>48000</v>
      </c>
      <c r="J1063" s="1">
        <f t="shared" si="33"/>
        <v>44528</v>
      </c>
      <c r="K1063">
        <f t="shared" si="32"/>
        <v>49.875</v>
      </c>
    </row>
    <row r="1064" spans="1:11" x14ac:dyDescent="0.25">
      <c r="A1064">
        <v>2</v>
      </c>
      <c r="B1064" t="s">
        <v>15</v>
      </c>
      <c r="C1064">
        <v>2022</v>
      </c>
      <c r="D1064">
        <v>37.75</v>
      </c>
      <c r="E1064">
        <v>70</v>
      </c>
      <c r="F1064">
        <v>82.625</v>
      </c>
      <c r="G1064" s="1">
        <f>DATE(C1064, CHOOSE(MATCH(UPPER(B1064), {"ENERO","FEBRERO","MARZO","ABRIL","MAYO","JUNIO","JULIO","AGOSTO","SEPTIEMBRE","OCTUBRE","NOVIEMBRE","DICIEMBRE"}, 0), 1,2,3,4,5,6,7,8,9,10,11,12), A1064)</f>
        <v>44714</v>
      </c>
      <c r="H1064">
        <v>25.125</v>
      </c>
      <c r="I1064">
        <v>48000</v>
      </c>
      <c r="J1064" s="1">
        <f t="shared" si="33"/>
        <v>44529</v>
      </c>
      <c r="K1064">
        <f t="shared" si="32"/>
        <v>15.5</v>
      </c>
    </row>
    <row r="1065" spans="1:11" x14ac:dyDescent="0.25">
      <c r="A1065">
        <v>3</v>
      </c>
      <c r="B1065" t="s">
        <v>15</v>
      </c>
      <c r="C1065">
        <v>2022</v>
      </c>
      <c r="D1065">
        <v>82.625</v>
      </c>
      <c r="E1065" t="s">
        <v>9</v>
      </c>
      <c r="F1065">
        <v>47.125</v>
      </c>
      <c r="G1065" s="1">
        <f>DATE(C1065, CHOOSE(MATCH(UPPER(B1065), {"ENERO","FEBRERO","MARZO","ABRIL","MAYO","JUNIO","JULIO","AGOSTO","SEPTIEMBRE","OCTUBRE","NOVIEMBRE","DICIEMBRE"}, 0), 1,2,3,4,5,6,7,8,9,10,11,12), A1065)</f>
        <v>44715</v>
      </c>
      <c r="H1065">
        <v>35.5</v>
      </c>
      <c r="I1065">
        <v>48000</v>
      </c>
      <c r="J1065" s="1">
        <f t="shared" si="33"/>
        <v>44530</v>
      </c>
      <c r="K1065">
        <f t="shared" si="32"/>
        <v>26.75</v>
      </c>
    </row>
    <row r="1066" spans="1:11" x14ac:dyDescent="0.25">
      <c r="A1066">
        <v>4</v>
      </c>
      <c r="B1066" t="s">
        <v>15</v>
      </c>
      <c r="C1066">
        <v>2022</v>
      </c>
      <c r="D1066">
        <v>47.125</v>
      </c>
      <c r="E1066">
        <v>70</v>
      </c>
      <c r="F1066">
        <v>67.375</v>
      </c>
      <c r="G1066" s="1">
        <f>DATE(C1066, CHOOSE(MATCH(UPPER(B1066), {"ENERO","FEBRERO","MARZO","ABRIL","MAYO","JUNIO","JULIO","AGOSTO","SEPTIEMBRE","OCTUBRE","NOVIEMBRE","DICIEMBRE"}, 0), 1,2,3,4,5,6,7,8,9,10,11,12), A1066)</f>
        <v>44716</v>
      </c>
      <c r="H1066">
        <v>49.75</v>
      </c>
      <c r="I1066">
        <v>48000</v>
      </c>
      <c r="J1066" s="1">
        <f t="shared" si="33"/>
        <v>44531</v>
      </c>
      <c r="K1066">
        <f t="shared" si="32"/>
        <v>33.375</v>
      </c>
    </row>
    <row r="1067" spans="1:11" x14ac:dyDescent="0.25">
      <c r="A1067">
        <v>5</v>
      </c>
      <c r="B1067" t="s">
        <v>15</v>
      </c>
      <c r="C1067">
        <v>2022</v>
      </c>
      <c r="D1067">
        <v>67.375</v>
      </c>
      <c r="E1067" t="s">
        <v>9</v>
      </c>
      <c r="F1067">
        <v>24.5</v>
      </c>
      <c r="G1067" s="1">
        <f>DATE(C1067, CHOOSE(MATCH(UPPER(B1067), {"ENERO","FEBRERO","MARZO","ABRIL","MAYO","JUNIO","JULIO","AGOSTO","SEPTIEMBRE","OCTUBRE","NOVIEMBRE","DICIEMBRE"}, 0), 1,2,3,4,5,6,7,8,9,10,11,12), A1067)</f>
        <v>44717</v>
      </c>
      <c r="H1067">
        <v>42.875</v>
      </c>
      <c r="I1067">
        <v>48000</v>
      </c>
      <c r="J1067" s="1">
        <f t="shared" si="33"/>
        <v>44532</v>
      </c>
      <c r="K1067">
        <f t="shared" si="32"/>
        <v>21.5</v>
      </c>
    </row>
    <row r="1068" spans="1:11" x14ac:dyDescent="0.25">
      <c r="A1068">
        <v>6</v>
      </c>
      <c r="B1068" t="s">
        <v>15</v>
      </c>
      <c r="C1068">
        <v>2022</v>
      </c>
      <c r="D1068">
        <v>24.5</v>
      </c>
      <c r="E1068">
        <v>20</v>
      </c>
      <c r="F1068">
        <v>31.875</v>
      </c>
      <c r="G1068" s="1">
        <f>DATE(C1068, CHOOSE(MATCH(UPPER(B1068), {"ENERO","FEBRERO","MARZO","ABRIL","MAYO","JUNIO","JULIO","AGOSTO","SEPTIEMBRE","OCTUBRE","NOVIEMBRE","DICIEMBRE"}, 0), 1,2,3,4,5,6,7,8,9,10,11,12), A1068)</f>
        <v>44718</v>
      </c>
      <c r="H1068">
        <v>12.625</v>
      </c>
      <c r="I1068">
        <v>48000</v>
      </c>
      <c r="J1068" s="1">
        <f t="shared" si="33"/>
        <v>44533</v>
      </c>
      <c r="K1068">
        <f t="shared" si="32"/>
        <v>30.5</v>
      </c>
    </row>
    <row r="1069" spans="1:11" x14ac:dyDescent="0.25">
      <c r="A1069">
        <v>7</v>
      </c>
      <c r="B1069" t="s">
        <v>15</v>
      </c>
      <c r="C1069">
        <v>2022</v>
      </c>
      <c r="D1069">
        <v>31.875</v>
      </c>
      <c r="E1069">
        <v>80</v>
      </c>
      <c r="F1069">
        <v>103.5</v>
      </c>
      <c r="G1069" s="1">
        <f>DATE(C1069, CHOOSE(MATCH(UPPER(B1069), {"ENERO","FEBRERO","MARZO","ABRIL","MAYO","JUNIO","JULIO","AGOSTO","SEPTIEMBRE","OCTUBRE","NOVIEMBRE","DICIEMBRE"}, 0), 1,2,3,4,5,6,7,8,9,10,11,12), A1069)</f>
        <v>44719</v>
      </c>
      <c r="H1069">
        <v>8.375</v>
      </c>
      <c r="I1069">
        <v>48000</v>
      </c>
      <c r="J1069" s="1">
        <f t="shared" si="33"/>
        <v>44534</v>
      </c>
      <c r="K1069">
        <f t="shared" si="32"/>
        <v>37</v>
      </c>
    </row>
    <row r="1070" spans="1:11" x14ac:dyDescent="0.25">
      <c r="A1070">
        <v>8</v>
      </c>
      <c r="B1070" t="s">
        <v>15</v>
      </c>
      <c r="C1070">
        <v>2022</v>
      </c>
      <c r="D1070">
        <v>103.5</v>
      </c>
      <c r="E1070" t="s">
        <v>9</v>
      </c>
      <c r="F1070">
        <v>80.75</v>
      </c>
      <c r="G1070" s="1">
        <f>DATE(C1070, CHOOSE(MATCH(UPPER(B1070), {"ENERO","FEBRERO","MARZO","ABRIL","MAYO","JUNIO","JULIO","AGOSTO","SEPTIEMBRE","OCTUBRE","NOVIEMBRE","DICIEMBRE"}, 0), 1,2,3,4,5,6,7,8,9,10,11,12), A1070)</f>
        <v>44720</v>
      </c>
      <c r="H1070">
        <v>22.75</v>
      </c>
      <c r="I1070">
        <v>48000</v>
      </c>
      <c r="J1070" s="1">
        <f t="shared" si="33"/>
        <v>44535</v>
      </c>
      <c r="K1070">
        <f t="shared" si="32"/>
        <v>39.5</v>
      </c>
    </row>
    <row r="1071" spans="1:11" x14ac:dyDescent="0.25">
      <c r="A1071">
        <v>9</v>
      </c>
      <c r="B1071" t="s">
        <v>15</v>
      </c>
      <c r="C1071">
        <v>2022</v>
      </c>
      <c r="D1071">
        <v>80.75</v>
      </c>
      <c r="E1071" t="s">
        <v>9</v>
      </c>
      <c r="F1071">
        <v>68.125</v>
      </c>
      <c r="G1071" s="1">
        <f>DATE(C1071, CHOOSE(MATCH(UPPER(B1071), {"ENERO","FEBRERO","MARZO","ABRIL","MAYO","JUNIO","JULIO","AGOSTO","SEPTIEMBRE","OCTUBRE","NOVIEMBRE","DICIEMBRE"}, 0), 1,2,3,4,5,6,7,8,9,10,11,12), A1071)</f>
        <v>44721</v>
      </c>
      <c r="H1071">
        <v>12.625</v>
      </c>
      <c r="I1071">
        <v>48000</v>
      </c>
      <c r="J1071" s="1">
        <f t="shared" si="33"/>
        <v>44536</v>
      </c>
      <c r="K1071">
        <f t="shared" si="32"/>
        <v>15.125</v>
      </c>
    </row>
    <row r="1072" spans="1:11" x14ac:dyDescent="0.25">
      <c r="A1072">
        <v>10</v>
      </c>
      <c r="B1072" t="s">
        <v>15</v>
      </c>
      <c r="C1072">
        <v>2022</v>
      </c>
      <c r="D1072">
        <v>68.125</v>
      </c>
      <c r="E1072">
        <v>90</v>
      </c>
      <c r="F1072">
        <v>130.125</v>
      </c>
      <c r="G1072" s="1">
        <f>DATE(C1072, CHOOSE(MATCH(UPPER(B1072), {"ENERO","FEBRERO","MARZO","ABRIL","MAYO","JUNIO","JULIO","AGOSTO","SEPTIEMBRE","OCTUBRE","NOVIEMBRE","DICIEMBRE"}, 0), 1,2,3,4,5,6,7,8,9,10,11,12), A1072)</f>
        <v>44722</v>
      </c>
      <c r="H1072">
        <v>28</v>
      </c>
      <c r="I1072">
        <v>48000</v>
      </c>
      <c r="J1072" s="1">
        <f t="shared" si="33"/>
        <v>44537</v>
      </c>
      <c r="K1072">
        <f t="shared" si="32"/>
        <v>36</v>
      </c>
    </row>
    <row r="1073" spans="1:11" x14ac:dyDescent="0.25">
      <c r="A1073">
        <v>11</v>
      </c>
      <c r="B1073" t="s">
        <v>15</v>
      </c>
      <c r="C1073">
        <v>2022</v>
      </c>
      <c r="D1073">
        <v>130.125</v>
      </c>
      <c r="E1073" t="s">
        <v>9</v>
      </c>
      <c r="F1073">
        <v>83.75</v>
      </c>
      <c r="G1073" s="1">
        <f>DATE(C1073, CHOOSE(MATCH(UPPER(B1073), {"ENERO","FEBRERO","MARZO","ABRIL","MAYO","JUNIO","JULIO","AGOSTO","SEPTIEMBRE","OCTUBRE","NOVIEMBRE","DICIEMBRE"}, 0), 1,2,3,4,5,6,7,8,9,10,11,12), A1073)</f>
        <v>44723</v>
      </c>
      <c r="H1073">
        <v>46.375</v>
      </c>
      <c r="I1073">
        <v>48000</v>
      </c>
      <c r="J1073" s="1">
        <f t="shared" si="33"/>
        <v>44538</v>
      </c>
      <c r="K1073">
        <f t="shared" si="32"/>
        <v>34.375</v>
      </c>
    </row>
    <row r="1074" spans="1:11" x14ac:dyDescent="0.25">
      <c r="A1074">
        <v>12</v>
      </c>
      <c r="B1074" t="s">
        <v>15</v>
      </c>
      <c r="C1074">
        <v>2022</v>
      </c>
      <c r="D1074">
        <v>83.75</v>
      </c>
      <c r="E1074" t="s">
        <v>9</v>
      </c>
      <c r="F1074">
        <v>38</v>
      </c>
      <c r="G1074" s="1">
        <f>DATE(C1074, CHOOSE(MATCH(UPPER(B1074), {"ENERO","FEBRERO","MARZO","ABRIL","MAYO","JUNIO","JULIO","AGOSTO","SEPTIEMBRE","OCTUBRE","NOVIEMBRE","DICIEMBRE"}, 0), 1,2,3,4,5,6,7,8,9,10,11,12), A1074)</f>
        <v>44724</v>
      </c>
      <c r="H1074">
        <v>45.75</v>
      </c>
      <c r="I1074">
        <v>48000</v>
      </c>
      <c r="J1074" s="1">
        <f t="shared" si="33"/>
        <v>44539</v>
      </c>
      <c r="K1074">
        <f t="shared" si="32"/>
        <v>15.5</v>
      </c>
    </row>
    <row r="1075" spans="1:11" x14ac:dyDescent="0.25">
      <c r="A1075">
        <v>13</v>
      </c>
      <c r="B1075" t="s">
        <v>15</v>
      </c>
      <c r="C1075">
        <v>2022</v>
      </c>
      <c r="D1075">
        <v>38</v>
      </c>
      <c r="E1075">
        <v>60</v>
      </c>
      <c r="F1075">
        <v>85</v>
      </c>
      <c r="G1075" s="1">
        <f>DATE(C1075, CHOOSE(MATCH(UPPER(B1075), {"ENERO","FEBRERO","MARZO","ABRIL","MAYO","JUNIO","JULIO","AGOSTO","SEPTIEMBRE","OCTUBRE","NOVIEMBRE","DICIEMBRE"}, 0), 1,2,3,4,5,6,7,8,9,10,11,12), A1075)</f>
        <v>44725</v>
      </c>
      <c r="H1075">
        <v>13</v>
      </c>
      <c r="I1075">
        <v>48000</v>
      </c>
      <c r="J1075" s="1">
        <f t="shared" si="33"/>
        <v>44540</v>
      </c>
      <c r="K1075">
        <f t="shared" si="32"/>
        <v>20</v>
      </c>
    </row>
    <row r="1076" spans="1:11" x14ac:dyDescent="0.25">
      <c r="A1076">
        <v>14</v>
      </c>
      <c r="B1076" t="s">
        <v>15</v>
      </c>
      <c r="C1076">
        <v>2022</v>
      </c>
      <c r="D1076">
        <v>85</v>
      </c>
      <c r="E1076" t="s">
        <v>9</v>
      </c>
      <c r="F1076">
        <v>65.375</v>
      </c>
      <c r="G1076" s="1">
        <f>DATE(C1076, CHOOSE(MATCH(UPPER(B1076), {"ENERO","FEBRERO","MARZO","ABRIL","MAYO","JUNIO","JULIO","AGOSTO","SEPTIEMBRE","OCTUBRE","NOVIEMBRE","DICIEMBRE"}, 0), 1,2,3,4,5,6,7,8,9,10,11,12), A1076)</f>
        <v>44726</v>
      </c>
      <c r="H1076">
        <v>19.625</v>
      </c>
      <c r="I1076">
        <v>48000</v>
      </c>
      <c r="J1076" s="1">
        <f t="shared" si="33"/>
        <v>44541</v>
      </c>
      <c r="K1076">
        <f t="shared" si="32"/>
        <v>40</v>
      </c>
    </row>
    <row r="1077" spans="1:11" x14ac:dyDescent="0.25">
      <c r="A1077">
        <v>15</v>
      </c>
      <c r="B1077" t="s">
        <v>15</v>
      </c>
      <c r="C1077">
        <v>2022</v>
      </c>
      <c r="D1077">
        <v>65.375</v>
      </c>
      <c r="E1077">
        <v>20</v>
      </c>
      <c r="F1077">
        <v>53.625</v>
      </c>
      <c r="G1077" s="1">
        <f>DATE(C1077, CHOOSE(MATCH(UPPER(B1077), {"ENERO","FEBRERO","MARZO","ABRIL","MAYO","JUNIO","JULIO","AGOSTO","SEPTIEMBRE","OCTUBRE","NOVIEMBRE","DICIEMBRE"}, 0), 1,2,3,4,5,6,7,8,9,10,11,12), A1077)</f>
        <v>44727</v>
      </c>
      <c r="H1077">
        <v>31.75</v>
      </c>
      <c r="I1077">
        <v>48000</v>
      </c>
      <c r="J1077" s="1">
        <f t="shared" si="33"/>
        <v>44542</v>
      </c>
      <c r="K1077">
        <f t="shared" si="32"/>
        <v>39.75</v>
      </c>
    </row>
    <row r="1078" spans="1:11" x14ac:dyDescent="0.25">
      <c r="A1078">
        <v>16</v>
      </c>
      <c r="B1078" t="s">
        <v>15</v>
      </c>
      <c r="C1078">
        <v>2022</v>
      </c>
      <c r="D1078">
        <v>53.625</v>
      </c>
      <c r="E1078">
        <v>20</v>
      </c>
      <c r="F1078">
        <v>55.75</v>
      </c>
      <c r="G1078" s="1">
        <f>DATE(C1078, CHOOSE(MATCH(UPPER(B1078), {"ENERO","FEBRERO","MARZO","ABRIL","MAYO","JUNIO","JULIO","AGOSTO","SEPTIEMBRE","OCTUBRE","NOVIEMBRE","DICIEMBRE"}, 0), 1,2,3,4,5,6,7,8,9,10,11,12), A1078)</f>
        <v>44728</v>
      </c>
      <c r="H1078">
        <v>17.875</v>
      </c>
      <c r="I1078">
        <v>48000</v>
      </c>
      <c r="J1078" s="1">
        <f t="shared" si="33"/>
        <v>44543</v>
      </c>
      <c r="K1078">
        <f t="shared" si="32"/>
        <v>16.75</v>
      </c>
    </row>
    <row r="1079" spans="1:11" x14ac:dyDescent="0.25">
      <c r="A1079">
        <v>17</v>
      </c>
      <c r="B1079" t="s">
        <v>15</v>
      </c>
      <c r="C1079">
        <v>2022</v>
      </c>
      <c r="D1079">
        <v>55.75</v>
      </c>
      <c r="E1079">
        <v>60</v>
      </c>
      <c r="F1079">
        <v>80</v>
      </c>
      <c r="G1079" s="1">
        <f>DATE(C1079, CHOOSE(MATCH(UPPER(B1079), {"ENERO","FEBRERO","MARZO","ABRIL","MAYO","JUNIO","JULIO","AGOSTO","SEPTIEMBRE","OCTUBRE","NOVIEMBRE","DICIEMBRE"}, 0), 1,2,3,4,5,6,7,8,9,10,11,12), A1079)</f>
        <v>44729</v>
      </c>
      <c r="H1079">
        <v>35.75</v>
      </c>
      <c r="I1079">
        <v>48000</v>
      </c>
      <c r="J1079" s="1">
        <f t="shared" si="33"/>
        <v>44544</v>
      </c>
      <c r="K1079">
        <f t="shared" si="32"/>
        <v>22</v>
      </c>
    </row>
    <row r="1080" spans="1:11" x14ac:dyDescent="0.25">
      <c r="A1080">
        <v>18</v>
      </c>
      <c r="B1080" t="s">
        <v>15</v>
      </c>
      <c r="C1080">
        <v>2022</v>
      </c>
      <c r="D1080">
        <v>80</v>
      </c>
      <c r="E1080">
        <v>60</v>
      </c>
      <c r="F1080">
        <v>81.5</v>
      </c>
      <c r="G1080" s="1">
        <f>DATE(C1080, CHOOSE(MATCH(UPPER(B1080), {"ENERO","FEBRERO","MARZO","ABRIL","MAYO","JUNIO","JULIO","AGOSTO","SEPTIEMBRE","OCTUBRE","NOVIEMBRE","DICIEMBRE"}, 0), 1,2,3,4,5,6,7,8,9,10,11,12), A1080)</f>
        <v>44730</v>
      </c>
      <c r="H1080">
        <v>58.5</v>
      </c>
      <c r="I1080">
        <v>48000</v>
      </c>
      <c r="J1080" s="1">
        <f t="shared" si="33"/>
        <v>44545</v>
      </c>
      <c r="K1080">
        <f t="shared" si="32"/>
        <v>28.625</v>
      </c>
    </row>
    <row r="1081" spans="1:11" x14ac:dyDescent="0.25">
      <c r="A1081">
        <v>19</v>
      </c>
      <c r="B1081" t="s">
        <v>15</v>
      </c>
      <c r="C1081">
        <v>2022</v>
      </c>
      <c r="D1081">
        <v>81.5</v>
      </c>
      <c r="E1081">
        <v>40</v>
      </c>
      <c r="F1081">
        <v>85.625</v>
      </c>
      <c r="G1081" s="1">
        <f>DATE(C1081, CHOOSE(MATCH(UPPER(B1081), {"ENERO","FEBRERO","MARZO","ABRIL","MAYO","JUNIO","JULIO","AGOSTO","SEPTIEMBRE","OCTUBRE","NOVIEMBRE","DICIEMBRE"}, 0), 1,2,3,4,5,6,7,8,9,10,11,12), A1081)</f>
        <v>44731</v>
      </c>
      <c r="H1081">
        <v>35.875</v>
      </c>
      <c r="I1081">
        <v>48000</v>
      </c>
      <c r="J1081" s="1">
        <f t="shared" si="33"/>
        <v>44546</v>
      </c>
      <c r="K1081">
        <f t="shared" si="32"/>
        <v>26.125</v>
      </c>
    </row>
    <row r="1082" spans="1:11" x14ac:dyDescent="0.25">
      <c r="A1082">
        <v>20</v>
      </c>
      <c r="B1082" t="s">
        <v>15</v>
      </c>
      <c r="C1082">
        <v>2022</v>
      </c>
      <c r="D1082">
        <v>85.625</v>
      </c>
      <c r="E1082">
        <v>30</v>
      </c>
      <c r="F1082">
        <v>66.125</v>
      </c>
      <c r="G1082" s="1">
        <f>DATE(C1082, CHOOSE(MATCH(UPPER(B1082), {"ENERO","FEBRERO","MARZO","ABRIL","MAYO","JUNIO","JULIO","AGOSTO","SEPTIEMBRE","OCTUBRE","NOVIEMBRE","DICIEMBRE"}, 0), 1,2,3,4,5,6,7,8,9,10,11,12), A1082)</f>
        <v>44732</v>
      </c>
      <c r="H1082">
        <v>49.5</v>
      </c>
      <c r="I1082">
        <v>48000</v>
      </c>
      <c r="J1082" s="1">
        <f t="shared" si="33"/>
        <v>44547</v>
      </c>
      <c r="K1082">
        <f t="shared" si="32"/>
        <v>34.25</v>
      </c>
    </row>
    <row r="1083" spans="1:11" x14ac:dyDescent="0.25">
      <c r="A1083">
        <v>21</v>
      </c>
      <c r="B1083" t="s">
        <v>15</v>
      </c>
      <c r="C1083">
        <v>2022</v>
      </c>
      <c r="D1083">
        <v>66.125</v>
      </c>
      <c r="E1083" t="s">
        <v>9</v>
      </c>
      <c r="F1083">
        <v>50.375</v>
      </c>
      <c r="G1083" s="1">
        <f>DATE(C1083, CHOOSE(MATCH(UPPER(B1083), {"ENERO","FEBRERO","MARZO","ABRIL","MAYO","JUNIO","JULIO","AGOSTO","SEPTIEMBRE","OCTUBRE","NOVIEMBRE","DICIEMBRE"}, 0), 1,2,3,4,5,6,7,8,9,10,11,12), A1083)</f>
        <v>44733</v>
      </c>
      <c r="H1083">
        <v>15.75</v>
      </c>
      <c r="I1083">
        <v>48000</v>
      </c>
      <c r="J1083" s="1">
        <f t="shared" si="33"/>
        <v>44548</v>
      </c>
      <c r="K1083">
        <f t="shared" si="32"/>
        <v>50</v>
      </c>
    </row>
    <row r="1084" spans="1:11" x14ac:dyDescent="0.25">
      <c r="A1084">
        <v>22</v>
      </c>
      <c r="B1084" t="s">
        <v>15</v>
      </c>
      <c r="C1084">
        <v>2022</v>
      </c>
      <c r="D1084">
        <v>50.375</v>
      </c>
      <c r="E1084">
        <v>60</v>
      </c>
      <c r="F1084">
        <v>87.625</v>
      </c>
      <c r="G1084" s="1">
        <f>DATE(C1084, CHOOSE(MATCH(UPPER(B1084), {"ENERO","FEBRERO","MARZO","ABRIL","MAYO","JUNIO","JULIO","AGOSTO","SEPTIEMBRE","OCTUBRE","NOVIEMBRE","DICIEMBRE"}, 0), 1,2,3,4,5,6,7,8,9,10,11,12), A1084)</f>
        <v>44734</v>
      </c>
      <c r="H1084">
        <v>22.75</v>
      </c>
      <c r="I1084">
        <v>48000</v>
      </c>
      <c r="J1084" s="1">
        <f t="shared" si="33"/>
        <v>44549</v>
      </c>
      <c r="K1084">
        <f t="shared" si="32"/>
        <v>48.25</v>
      </c>
    </row>
    <row r="1085" spans="1:11" x14ac:dyDescent="0.25">
      <c r="A1085">
        <v>23</v>
      </c>
      <c r="B1085" t="s">
        <v>15</v>
      </c>
      <c r="C1085">
        <v>2022</v>
      </c>
      <c r="D1085">
        <v>87.625</v>
      </c>
      <c r="E1085" t="s">
        <v>9</v>
      </c>
      <c r="F1085">
        <v>65.625</v>
      </c>
      <c r="G1085" s="1">
        <f>DATE(C1085, CHOOSE(MATCH(UPPER(B1085), {"ENERO","FEBRERO","MARZO","ABRIL","MAYO","JUNIO","JULIO","AGOSTO","SEPTIEMBRE","OCTUBRE","NOVIEMBRE","DICIEMBRE"}, 0), 1,2,3,4,5,6,7,8,9,10,11,12), A1085)</f>
        <v>44735</v>
      </c>
      <c r="H1085">
        <v>22</v>
      </c>
      <c r="I1085">
        <v>48000</v>
      </c>
      <c r="J1085" s="1">
        <f t="shared" si="33"/>
        <v>44550</v>
      </c>
      <c r="K1085">
        <f t="shared" si="32"/>
        <v>33.625</v>
      </c>
    </row>
    <row r="1086" spans="1:11" x14ac:dyDescent="0.25">
      <c r="A1086">
        <v>24</v>
      </c>
      <c r="B1086" t="s">
        <v>15</v>
      </c>
      <c r="C1086">
        <v>2022</v>
      </c>
      <c r="D1086">
        <v>65.625</v>
      </c>
      <c r="E1086" t="s">
        <v>9</v>
      </c>
      <c r="F1086">
        <v>39.125</v>
      </c>
      <c r="G1086" s="1">
        <f>DATE(C1086, CHOOSE(MATCH(UPPER(B1086), {"ENERO","FEBRERO","MARZO","ABRIL","MAYO","JUNIO","JULIO","AGOSTO","SEPTIEMBRE","OCTUBRE","NOVIEMBRE","DICIEMBRE"}, 0), 1,2,3,4,5,6,7,8,9,10,11,12), A1086)</f>
        <v>44736</v>
      </c>
      <c r="H1086">
        <v>26.5</v>
      </c>
      <c r="I1086">
        <v>48000</v>
      </c>
      <c r="J1086" s="1">
        <f t="shared" si="33"/>
        <v>44551</v>
      </c>
      <c r="K1086">
        <f t="shared" si="32"/>
        <v>38.375</v>
      </c>
    </row>
    <row r="1087" spans="1:11" x14ac:dyDescent="0.25">
      <c r="A1087">
        <v>25</v>
      </c>
      <c r="B1087" t="s">
        <v>15</v>
      </c>
      <c r="C1087">
        <v>2022</v>
      </c>
      <c r="D1087">
        <v>39.125</v>
      </c>
      <c r="E1087">
        <v>70</v>
      </c>
      <c r="F1087">
        <v>72.625</v>
      </c>
      <c r="G1087" s="1">
        <f>DATE(C1087, CHOOSE(MATCH(UPPER(B1087), {"ENERO","FEBRERO","MARZO","ABRIL","MAYO","JUNIO","JULIO","AGOSTO","SEPTIEMBRE","OCTUBRE","NOVIEMBRE","DICIEMBRE"}, 0), 1,2,3,4,5,6,7,8,9,10,11,12), A1087)</f>
        <v>44737</v>
      </c>
      <c r="H1087">
        <v>36.5</v>
      </c>
      <c r="I1087">
        <v>48000</v>
      </c>
      <c r="J1087" s="1">
        <f t="shared" si="33"/>
        <v>44552</v>
      </c>
      <c r="K1087">
        <f t="shared" si="32"/>
        <v>35.625</v>
      </c>
    </row>
    <row r="1088" spans="1:11" x14ac:dyDescent="0.25">
      <c r="A1088">
        <v>26</v>
      </c>
      <c r="B1088" t="s">
        <v>15</v>
      </c>
      <c r="C1088">
        <v>2022</v>
      </c>
      <c r="D1088">
        <v>72.625</v>
      </c>
      <c r="E1088" t="s">
        <v>9</v>
      </c>
      <c r="F1088">
        <v>33.5</v>
      </c>
      <c r="G1088" s="1">
        <f>DATE(C1088, CHOOSE(MATCH(UPPER(B1088), {"ENERO","FEBRERO","MARZO","ABRIL","MAYO","JUNIO","JULIO","AGOSTO","SEPTIEMBRE","OCTUBRE","NOVIEMBRE","DICIEMBRE"}, 0), 1,2,3,4,5,6,7,8,9,10,11,12), A1088)</f>
        <v>44738</v>
      </c>
      <c r="H1088">
        <v>39.125</v>
      </c>
      <c r="I1088">
        <v>48000</v>
      </c>
      <c r="J1088" s="1">
        <f t="shared" si="33"/>
        <v>44553</v>
      </c>
      <c r="K1088">
        <f t="shared" si="32"/>
        <v>39.75</v>
      </c>
    </row>
    <row r="1089" spans="1:11" x14ac:dyDescent="0.25">
      <c r="A1089">
        <v>27</v>
      </c>
      <c r="B1089" t="s">
        <v>15</v>
      </c>
      <c r="C1089">
        <v>2022</v>
      </c>
      <c r="D1089">
        <v>33.5</v>
      </c>
      <c r="E1089">
        <v>60</v>
      </c>
      <c r="F1089">
        <v>57.125</v>
      </c>
      <c r="G1089" s="1">
        <f>DATE(C1089, CHOOSE(MATCH(UPPER(B1089), {"ENERO","FEBRERO","MARZO","ABRIL","MAYO","JUNIO","JULIO","AGOSTO","SEPTIEMBRE","OCTUBRE","NOVIEMBRE","DICIEMBRE"}, 0), 1,2,3,4,5,6,7,8,9,10,11,12), A1089)</f>
        <v>44739</v>
      </c>
      <c r="H1089">
        <v>36.375</v>
      </c>
      <c r="I1089">
        <v>48000</v>
      </c>
      <c r="J1089" s="1">
        <f t="shared" si="33"/>
        <v>44554</v>
      </c>
      <c r="K1089">
        <f t="shared" si="32"/>
        <v>0</v>
      </c>
    </row>
    <row r="1090" spans="1:11" x14ac:dyDescent="0.25">
      <c r="A1090">
        <v>28</v>
      </c>
      <c r="B1090" t="s">
        <v>15</v>
      </c>
      <c r="C1090">
        <v>2022</v>
      </c>
      <c r="D1090">
        <v>57.125</v>
      </c>
      <c r="E1090" t="s">
        <v>9</v>
      </c>
      <c r="F1090">
        <v>40.875</v>
      </c>
      <c r="G1090" s="1">
        <f>DATE(C1090, CHOOSE(MATCH(UPPER(B1090), {"ENERO","FEBRERO","MARZO","ABRIL","MAYO","JUNIO","JULIO","AGOSTO","SEPTIEMBRE","OCTUBRE","NOVIEMBRE","DICIEMBRE"}, 0), 1,2,3,4,5,6,7,8,9,10,11,12), A1090)</f>
        <v>44740</v>
      </c>
      <c r="H1090">
        <v>16.25</v>
      </c>
      <c r="I1090">
        <v>48000</v>
      </c>
      <c r="J1090" s="1">
        <f t="shared" si="33"/>
        <v>44555</v>
      </c>
      <c r="K1090">
        <f t="shared" ref="K1090:K1153" si="34">VLOOKUP(J1090, G:H, 2, FALSE)</f>
        <v>48.625</v>
      </c>
    </row>
    <row r="1091" spans="1:11" x14ac:dyDescent="0.25">
      <c r="A1091">
        <v>29</v>
      </c>
      <c r="B1091" t="s">
        <v>15</v>
      </c>
      <c r="C1091">
        <v>2022</v>
      </c>
      <c r="D1091">
        <v>40.875</v>
      </c>
      <c r="E1091">
        <v>90</v>
      </c>
      <c r="F1091">
        <v>96.25</v>
      </c>
      <c r="G1091" s="1">
        <f>DATE(C1091, CHOOSE(MATCH(UPPER(B1091), {"ENERO","FEBRERO","MARZO","ABRIL","MAYO","JUNIO","JULIO","AGOSTO","SEPTIEMBRE","OCTUBRE","NOVIEMBRE","DICIEMBRE"}, 0), 1,2,3,4,5,6,7,8,9,10,11,12), A1091)</f>
        <v>44741</v>
      </c>
      <c r="H1091">
        <v>34.625</v>
      </c>
      <c r="I1091">
        <v>48000</v>
      </c>
      <c r="J1091" s="1">
        <f t="shared" si="33"/>
        <v>44556</v>
      </c>
      <c r="K1091">
        <f t="shared" si="34"/>
        <v>60</v>
      </c>
    </row>
    <row r="1092" spans="1:11" x14ac:dyDescent="0.25">
      <c r="A1092">
        <v>30</v>
      </c>
      <c r="B1092" t="s">
        <v>15</v>
      </c>
      <c r="C1092">
        <v>2022</v>
      </c>
      <c r="D1092">
        <v>96.25</v>
      </c>
      <c r="E1092" t="s">
        <v>9</v>
      </c>
      <c r="F1092">
        <v>69.125</v>
      </c>
      <c r="G1092" s="1">
        <f>DATE(C1092, CHOOSE(MATCH(UPPER(B1092), {"ENERO","FEBRERO","MARZO","ABRIL","MAYO","JUNIO","JULIO","AGOSTO","SEPTIEMBRE","OCTUBRE","NOVIEMBRE","DICIEMBRE"}, 0), 1,2,3,4,5,6,7,8,9,10,11,12), A1092)</f>
        <v>44742</v>
      </c>
      <c r="H1092">
        <v>27.125</v>
      </c>
      <c r="I1092">
        <v>48000</v>
      </c>
      <c r="J1092" s="1">
        <f t="shared" ref="J1092:J1155" si="35">DATE(2019,1,1) + ROW()-1</f>
        <v>44557</v>
      </c>
      <c r="K1092">
        <f t="shared" si="34"/>
        <v>30</v>
      </c>
    </row>
    <row r="1093" spans="1:11" x14ac:dyDescent="0.25">
      <c r="A1093">
        <v>1</v>
      </c>
      <c r="B1093" t="s">
        <v>16</v>
      </c>
      <c r="C1093">
        <v>2022</v>
      </c>
      <c r="D1093">
        <v>69.125</v>
      </c>
      <c r="E1093" t="s">
        <v>9</v>
      </c>
      <c r="F1093">
        <v>35.375</v>
      </c>
      <c r="G1093" s="1">
        <f>DATE(C1093, CHOOSE(MATCH(UPPER(B1093), {"ENERO","FEBRERO","MARZO","ABRIL","MAYO","JUNIO","JULIO","AGOSTO","SEPTIEMBRE","OCTUBRE","NOVIEMBRE","DICIEMBRE"}, 0), 1,2,3,4,5,6,7,8,9,10,11,12), A1093)</f>
        <v>44743</v>
      </c>
      <c r="H1093">
        <v>33.75</v>
      </c>
      <c r="I1093">
        <v>48000</v>
      </c>
      <c r="J1093" s="1">
        <f t="shared" si="35"/>
        <v>44558</v>
      </c>
      <c r="K1093">
        <f t="shared" si="34"/>
        <v>38.25</v>
      </c>
    </row>
    <row r="1094" spans="1:11" x14ac:dyDescent="0.25">
      <c r="A1094">
        <v>2</v>
      </c>
      <c r="B1094" t="s">
        <v>16</v>
      </c>
      <c r="C1094">
        <v>2022</v>
      </c>
      <c r="D1094">
        <v>35.375</v>
      </c>
      <c r="E1094">
        <v>100</v>
      </c>
      <c r="F1094">
        <v>83</v>
      </c>
      <c r="G1094" s="1">
        <f>DATE(C1094, CHOOSE(MATCH(UPPER(B1094), {"ENERO","FEBRERO","MARZO","ABRIL","MAYO","JUNIO","JULIO","AGOSTO","SEPTIEMBRE","OCTUBRE","NOVIEMBRE","DICIEMBRE"}, 0), 1,2,3,4,5,6,7,8,9,10,11,12), A1094)</f>
        <v>44744</v>
      </c>
      <c r="H1094">
        <v>52.375</v>
      </c>
      <c r="I1094">
        <v>48000</v>
      </c>
      <c r="J1094" s="1">
        <f t="shared" si="35"/>
        <v>44559</v>
      </c>
      <c r="K1094">
        <f t="shared" si="34"/>
        <v>45.375</v>
      </c>
    </row>
    <row r="1095" spans="1:11" x14ac:dyDescent="0.25">
      <c r="A1095">
        <v>3</v>
      </c>
      <c r="B1095" t="s">
        <v>16</v>
      </c>
      <c r="C1095">
        <v>2022</v>
      </c>
      <c r="D1095">
        <v>83</v>
      </c>
      <c r="E1095" t="s">
        <v>9</v>
      </c>
      <c r="F1095">
        <v>42.5</v>
      </c>
      <c r="G1095" s="1">
        <f>DATE(C1095, CHOOSE(MATCH(UPPER(B1095), {"ENERO","FEBRERO","MARZO","ABRIL","MAYO","JUNIO","JULIO","AGOSTO","SEPTIEMBRE","OCTUBRE","NOVIEMBRE","DICIEMBRE"}, 0), 1,2,3,4,5,6,7,8,9,10,11,12), A1095)</f>
        <v>44745</v>
      </c>
      <c r="H1095">
        <v>40.5</v>
      </c>
      <c r="I1095">
        <v>48000</v>
      </c>
      <c r="J1095" s="1">
        <f t="shared" si="35"/>
        <v>44560</v>
      </c>
      <c r="K1095">
        <f t="shared" si="34"/>
        <v>29.75</v>
      </c>
    </row>
    <row r="1096" spans="1:11" x14ac:dyDescent="0.25">
      <c r="A1096">
        <v>4</v>
      </c>
      <c r="B1096" t="s">
        <v>16</v>
      </c>
      <c r="C1096">
        <v>2022</v>
      </c>
      <c r="D1096">
        <v>42.5</v>
      </c>
      <c r="E1096">
        <v>60</v>
      </c>
      <c r="F1096">
        <v>65.75</v>
      </c>
      <c r="G1096" s="1">
        <f>DATE(C1096, CHOOSE(MATCH(UPPER(B1096), {"ENERO","FEBRERO","MARZO","ABRIL","MAYO","JUNIO","JULIO","AGOSTO","SEPTIEMBRE","OCTUBRE","NOVIEMBRE","DICIEMBRE"}, 0), 1,2,3,4,5,6,7,8,9,10,11,12), A1096)</f>
        <v>44746</v>
      </c>
      <c r="H1096">
        <v>36.75</v>
      </c>
      <c r="I1096">
        <v>48000</v>
      </c>
      <c r="J1096" s="1">
        <f t="shared" si="35"/>
        <v>44561</v>
      </c>
      <c r="K1096">
        <f t="shared" si="34"/>
        <v>0</v>
      </c>
    </row>
    <row r="1097" spans="1:11" x14ac:dyDescent="0.25">
      <c r="A1097">
        <v>5</v>
      </c>
      <c r="B1097" t="s">
        <v>16</v>
      </c>
      <c r="C1097">
        <v>2022</v>
      </c>
      <c r="D1097">
        <v>65.75</v>
      </c>
      <c r="E1097" t="s">
        <v>9</v>
      </c>
      <c r="F1097">
        <v>52.875</v>
      </c>
      <c r="G1097" s="1">
        <f>DATE(C1097, CHOOSE(MATCH(UPPER(B1097), {"ENERO","FEBRERO","MARZO","ABRIL","MAYO","JUNIO","JULIO","AGOSTO","SEPTIEMBRE","OCTUBRE","NOVIEMBRE","DICIEMBRE"}, 0), 1,2,3,4,5,6,7,8,9,10,11,12), A1097)</f>
        <v>44747</v>
      </c>
      <c r="H1097">
        <v>12.875</v>
      </c>
      <c r="I1097">
        <v>48000</v>
      </c>
      <c r="J1097" s="1">
        <f t="shared" si="35"/>
        <v>44562</v>
      </c>
      <c r="K1097">
        <f t="shared" si="34"/>
        <v>47.375</v>
      </c>
    </row>
    <row r="1098" spans="1:11" x14ac:dyDescent="0.25">
      <c r="A1098">
        <v>6</v>
      </c>
      <c r="B1098" t="s">
        <v>16</v>
      </c>
      <c r="C1098">
        <v>2022</v>
      </c>
      <c r="D1098">
        <v>52.875</v>
      </c>
      <c r="E1098">
        <v>80</v>
      </c>
      <c r="F1098">
        <v>94</v>
      </c>
      <c r="G1098" s="1">
        <f>DATE(C1098, CHOOSE(MATCH(UPPER(B1098), {"ENERO","FEBRERO","MARZO","ABRIL","MAYO","JUNIO","JULIO","AGOSTO","SEPTIEMBRE","OCTUBRE","NOVIEMBRE","DICIEMBRE"}, 0), 1,2,3,4,5,6,7,8,9,10,11,12), A1098)</f>
        <v>44748</v>
      </c>
      <c r="H1098">
        <v>38.875</v>
      </c>
      <c r="I1098">
        <v>48000</v>
      </c>
      <c r="J1098" s="1">
        <f t="shared" si="35"/>
        <v>44563</v>
      </c>
      <c r="K1098">
        <f t="shared" si="34"/>
        <v>53.875</v>
      </c>
    </row>
    <row r="1099" spans="1:11" x14ac:dyDescent="0.25">
      <c r="A1099">
        <v>7</v>
      </c>
      <c r="B1099" t="s">
        <v>16</v>
      </c>
      <c r="C1099">
        <v>2022</v>
      </c>
      <c r="D1099">
        <v>94</v>
      </c>
      <c r="E1099" t="s">
        <v>9</v>
      </c>
      <c r="F1099">
        <v>63.5</v>
      </c>
      <c r="G1099" s="1">
        <f>DATE(C1099, CHOOSE(MATCH(UPPER(B1099), {"ENERO","FEBRERO","MARZO","ABRIL","MAYO","JUNIO","JULIO","AGOSTO","SEPTIEMBRE","OCTUBRE","NOVIEMBRE","DICIEMBRE"}, 0), 1,2,3,4,5,6,7,8,9,10,11,12), A1099)</f>
        <v>44749</v>
      </c>
      <c r="H1099">
        <v>30.5</v>
      </c>
      <c r="I1099">
        <v>48000</v>
      </c>
      <c r="J1099" s="1">
        <f t="shared" si="35"/>
        <v>44564</v>
      </c>
      <c r="K1099">
        <f t="shared" si="34"/>
        <v>27.875</v>
      </c>
    </row>
    <row r="1100" spans="1:11" x14ac:dyDescent="0.25">
      <c r="A1100">
        <v>8</v>
      </c>
      <c r="B1100" t="s">
        <v>16</v>
      </c>
      <c r="C1100">
        <v>2022</v>
      </c>
      <c r="D1100">
        <v>63.5</v>
      </c>
      <c r="E1100" t="s">
        <v>9</v>
      </c>
      <c r="F1100">
        <v>36.875</v>
      </c>
      <c r="G1100" s="1">
        <f>DATE(C1100, CHOOSE(MATCH(UPPER(B1100), {"ENERO","FEBRERO","MARZO","ABRIL","MAYO","JUNIO","JULIO","AGOSTO","SEPTIEMBRE","OCTUBRE","NOVIEMBRE","DICIEMBRE"}, 0), 1,2,3,4,5,6,7,8,9,10,11,12), A1100)</f>
        <v>44750</v>
      </c>
      <c r="H1100">
        <v>26.625</v>
      </c>
      <c r="I1100">
        <v>48000</v>
      </c>
      <c r="J1100" s="1">
        <f t="shared" si="35"/>
        <v>44565</v>
      </c>
      <c r="K1100">
        <f t="shared" si="34"/>
        <v>31</v>
      </c>
    </row>
    <row r="1101" spans="1:11" x14ac:dyDescent="0.25">
      <c r="A1101">
        <v>9</v>
      </c>
      <c r="B1101" t="s">
        <v>16</v>
      </c>
      <c r="C1101">
        <v>2022</v>
      </c>
      <c r="D1101">
        <v>36.875</v>
      </c>
      <c r="E1101">
        <v>90</v>
      </c>
      <c r="F1101">
        <v>79.5</v>
      </c>
      <c r="G1101" s="1">
        <f>DATE(C1101, CHOOSE(MATCH(UPPER(B1101), {"ENERO","FEBRERO","MARZO","ABRIL","MAYO","JUNIO","JULIO","AGOSTO","SEPTIEMBRE","OCTUBRE","NOVIEMBRE","DICIEMBRE"}, 0), 1,2,3,4,5,6,7,8,9,10,11,12), A1101)</f>
        <v>44751</v>
      </c>
      <c r="H1101">
        <v>47.375</v>
      </c>
      <c r="I1101">
        <v>48000</v>
      </c>
      <c r="J1101" s="1">
        <f t="shared" si="35"/>
        <v>44566</v>
      </c>
      <c r="K1101">
        <f t="shared" si="34"/>
        <v>33.25</v>
      </c>
    </row>
    <row r="1102" spans="1:11" x14ac:dyDescent="0.25">
      <c r="A1102">
        <v>10</v>
      </c>
      <c r="B1102" t="s">
        <v>16</v>
      </c>
      <c r="C1102">
        <v>2022</v>
      </c>
      <c r="D1102">
        <v>79.5</v>
      </c>
      <c r="E1102" t="s">
        <v>9</v>
      </c>
      <c r="F1102">
        <v>32</v>
      </c>
      <c r="G1102" s="1">
        <f>DATE(C1102, CHOOSE(MATCH(UPPER(B1102), {"ENERO","FEBRERO","MARZO","ABRIL","MAYO","JUNIO","JULIO","AGOSTO","SEPTIEMBRE","OCTUBRE","NOVIEMBRE","DICIEMBRE"}, 0), 1,2,3,4,5,6,7,8,9,10,11,12), A1102)</f>
        <v>44752</v>
      </c>
      <c r="H1102">
        <v>47.5</v>
      </c>
      <c r="I1102">
        <v>48000</v>
      </c>
      <c r="J1102" s="1">
        <f t="shared" si="35"/>
        <v>44567</v>
      </c>
      <c r="K1102">
        <f t="shared" si="34"/>
        <v>22.375</v>
      </c>
    </row>
    <row r="1103" spans="1:11" x14ac:dyDescent="0.25">
      <c r="A1103">
        <v>11</v>
      </c>
      <c r="B1103" t="s">
        <v>16</v>
      </c>
      <c r="C1103">
        <v>2022</v>
      </c>
      <c r="D1103">
        <v>32</v>
      </c>
      <c r="E1103">
        <v>80</v>
      </c>
      <c r="F1103">
        <v>98</v>
      </c>
      <c r="G1103" s="1">
        <f>DATE(C1103, CHOOSE(MATCH(UPPER(B1103), {"ENERO","FEBRERO","MARZO","ABRIL","MAYO","JUNIO","JULIO","AGOSTO","SEPTIEMBRE","OCTUBRE","NOVIEMBRE","DICIEMBRE"}, 0), 1,2,3,4,5,6,7,8,9,10,11,12), A1103)</f>
        <v>44753</v>
      </c>
      <c r="H1103">
        <v>14</v>
      </c>
      <c r="I1103">
        <v>48000</v>
      </c>
      <c r="J1103" s="1">
        <f t="shared" si="35"/>
        <v>44568</v>
      </c>
      <c r="K1103">
        <f t="shared" si="34"/>
        <v>28</v>
      </c>
    </row>
    <row r="1104" spans="1:11" x14ac:dyDescent="0.25">
      <c r="A1104">
        <v>12</v>
      </c>
      <c r="B1104" t="s">
        <v>16</v>
      </c>
      <c r="C1104">
        <v>2022</v>
      </c>
      <c r="D1104">
        <v>98</v>
      </c>
      <c r="E1104" t="s">
        <v>9</v>
      </c>
      <c r="F1104">
        <v>76.25</v>
      </c>
      <c r="G1104" s="1">
        <f>DATE(C1104, CHOOSE(MATCH(UPPER(B1104), {"ENERO","FEBRERO","MARZO","ABRIL","MAYO","JUNIO","JULIO","AGOSTO","SEPTIEMBRE","OCTUBRE","NOVIEMBRE","DICIEMBRE"}, 0), 1,2,3,4,5,6,7,8,9,10,11,12), A1104)</f>
        <v>44754</v>
      </c>
      <c r="H1104">
        <v>21.75</v>
      </c>
      <c r="I1104">
        <v>48000</v>
      </c>
      <c r="J1104" s="1">
        <f t="shared" si="35"/>
        <v>44569</v>
      </c>
      <c r="K1104">
        <f t="shared" si="34"/>
        <v>31.975000000000001</v>
      </c>
    </row>
    <row r="1105" spans="1:11" x14ac:dyDescent="0.25">
      <c r="A1105">
        <v>13</v>
      </c>
      <c r="B1105" t="s">
        <v>16</v>
      </c>
      <c r="C1105">
        <v>2022</v>
      </c>
      <c r="D1105">
        <v>76.25</v>
      </c>
      <c r="E1105">
        <v>80</v>
      </c>
      <c r="F1105">
        <v>121.5</v>
      </c>
      <c r="G1105" s="1">
        <f>DATE(C1105, CHOOSE(MATCH(UPPER(B1105), {"ENERO","FEBRERO","MARZO","ABRIL","MAYO","JUNIO","JULIO","AGOSTO","SEPTIEMBRE","OCTUBRE","NOVIEMBRE","DICIEMBRE"}, 0), 1,2,3,4,5,6,7,8,9,10,11,12), A1105)</f>
        <v>44755</v>
      </c>
      <c r="H1105">
        <v>34.75</v>
      </c>
      <c r="I1105">
        <v>48000</v>
      </c>
      <c r="J1105" s="1">
        <f t="shared" si="35"/>
        <v>44570</v>
      </c>
      <c r="K1105">
        <f t="shared" si="34"/>
        <v>31.65</v>
      </c>
    </row>
    <row r="1106" spans="1:11" x14ac:dyDescent="0.25">
      <c r="A1106">
        <v>14</v>
      </c>
      <c r="B1106" t="s">
        <v>16</v>
      </c>
      <c r="C1106">
        <v>2022</v>
      </c>
      <c r="D1106">
        <v>121.5</v>
      </c>
      <c r="E1106" t="s">
        <v>9</v>
      </c>
      <c r="F1106">
        <v>104</v>
      </c>
      <c r="G1106" s="1">
        <f>DATE(C1106, CHOOSE(MATCH(UPPER(B1106), {"ENERO","FEBRERO","MARZO","ABRIL","MAYO","JUNIO","JULIO","AGOSTO","SEPTIEMBRE","OCTUBRE","NOVIEMBRE","DICIEMBRE"}, 0), 1,2,3,4,5,6,7,8,9,10,11,12), A1106)</f>
        <v>44756</v>
      </c>
      <c r="H1106">
        <v>17.5</v>
      </c>
      <c r="I1106">
        <v>48000</v>
      </c>
      <c r="J1106" s="1">
        <f t="shared" si="35"/>
        <v>44571</v>
      </c>
      <c r="K1106">
        <f t="shared" si="34"/>
        <v>32.75</v>
      </c>
    </row>
    <row r="1107" spans="1:11" x14ac:dyDescent="0.25">
      <c r="A1107">
        <v>15</v>
      </c>
      <c r="B1107" t="s">
        <v>16</v>
      </c>
      <c r="C1107">
        <v>2022</v>
      </c>
      <c r="D1107">
        <v>104</v>
      </c>
      <c r="E1107" t="s">
        <v>9</v>
      </c>
      <c r="F1107">
        <v>70.75</v>
      </c>
      <c r="G1107" s="1">
        <f>DATE(C1107, CHOOSE(MATCH(UPPER(B1107), {"ENERO","FEBRERO","MARZO","ABRIL","MAYO","JUNIO","JULIO","AGOSTO","SEPTIEMBRE","OCTUBRE","NOVIEMBRE","DICIEMBRE"}, 0), 1,2,3,4,5,6,7,8,9,10,11,12), A1107)</f>
        <v>44757</v>
      </c>
      <c r="H1107">
        <v>33.25</v>
      </c>
      <c r="I1107">
        <v>48000</v>
      </c>
      <c r="J1107" s="1">
        <f t="shared" si="35"/>
        <v>44572</v>
      </c>
      <c r="K1107">
        <f t="shared" si="34"/>
        <v>21.375</v>
      </c>
    </row>
    <row r="1108" spans="1:11" x14ac:dyDescent="0.25">
      <c r="A1108">
        <v>16</v>
      </c>
      <c r="B1108" t="s">
        <v>16</v>
      </c>
      <c r="C1108">
        <v>2022</v>
      </c>
      <c r="D1108">
        <v>70.75</v>
      </c>
      <c r="E1108" t="s">
        <v>9</v>
      </c>
      <c r="F1108">
        <v>36.25</v>
      </c>
      <c r="G1108" s="1">
        <f>DATE(C1108, CHOOSE(MATCH(UPPER(B1108), {"ENERO","FEBRERO","MARZO","ABRIL","MAYO","JUNIO","JULIO","AGOSTO","SEPTIEMBRE","OCTUBRE","NOVIEMBRE","DICIEMBRE"}, 0), 1,2,3,4,5,6,7,8,9,10,11,12), A1108)</f>
        <v>44758</v>
      </c>
      <c r="H1108">
        <v>34.5</v>
      </c>
      <c r="I1108">
        <v>48000</v>
      </c>
      <c r="J1108" s="1">
        <f t="shared" si="35"/>
        <v>44573</v>
      </c>
      <c r="K1108">
        <f t="shared" si="34"/>
        <v>27.125</v>
      </c>
    </row>
    <row r="1109" spans="1:11" x14ac:dyDescent="0.25">
      <c r="A1109">
        <v>17</v>
      </c>
      <c r="B1109" t="s">
        <v>16</v>
      </c>
      <c r="C1109">
        <v>2022</v>
      </c>
      <c r="D1109">
        <v>36.25</v>
      </c>
      <c r="E1109">
        <v>100</v>
      </c>
      <c r="F1109">
        <v>89.625</v>
      </c>
      <c r="G1109" s="1">
        <f>DATE(C1109, CHOOSE(MATCH(UPPER(B1109), {"ENERO","FEBRERO","MARZO","ABRIL","MAYO","JUNIO","JULIO","AGOSTO","SEPTIEMBRE","OCTUBRE","NOVIEMBRE","DICIEMBRE"}, 0), 1,2,3,4,5,6,7,8,9,10,11,12), A1109)</f>
        <v>44759</v>
      </c>
      <c r="H1109">
        <v>46.625</v>
      </c>
      <c r="I1109">
        <v>48000</v>
      </c>
      <c r="J1109" s="1">
        <f t="shared" si="35"/>
        <v>44574</v>
      </c>
      <c r="K1109">
        <f t="shared" si="34"/>
        <v>17.875</v>
      </c>
    </row>
    <row r="1110" spans="1:11" x14ac:dyDescent="0.25">
      <c r="A1110">
        <v>18</v>
      </c>
      <c r="B1110" t="s">
        <v>16</v>
      </c>
      <c r="C1110">
        <v>2022</v>
      </c>
      <c r="D1110">
        <v>89.625</v>
      </c>
      <c r="E1110" t="s">
        <v>9</v>
      </c>
      <c r="F1110">
        <v>74.625</v>
      </c>
      <c r="G1110" s="1">
        <f>DATE(C1110, CHOOSE(MATCH(UPPER(B1110), {"ENERO","FEBRERO","MARZO","ABRIL","MAYO","JUNIO","JULIO","AGOSTO","SEPTIEMBRE","OCTUBRE","NOVIEMBRE","DICIEMBRE"}, 0), 1,2,3,4,5,6,7,8,9,10,11,12), A1110)</f>
        <v>44760</v>
      </c>
      <c r="H1110">
        <v>15</v>
      </c>
      <c r="I1110">
        <v>48000</v>
      </c>
      <c r="J1110" s="1">
        <f t="shared" si="35"/>
        <v>44575</v>
      </c>
      <c r="K1110">
        <f t="shared" si="34"/>
        <v>21.875</v>
      </c>
    </row>
    <row r="1111" spans="1:11" x14ac:dyDescent="0.25">
      <c r="A1111">
        <v>19</v>
      </c>
      <c r="B1111" t="s">
        <v>16</v>
      </c>
      <c r="C1111">
        <v>2022</v>
      </c>
      <c r="D1111">
        <v>74.625</v>
      </c>
      <c r="E1111" t="s">
        <v>9</v>
      </c>
      <c r="F1111">
        <v>51</v>
      </c>
      <c r="G1111" s="1">
        <f>DATE(C1111, CHOOSE(MATCH(UPPER(B1111), {"ENERO","FEBRERO","MARZO","ABRIL","MAYO","JUNIO","JULIO","AGOSTO","SEPTIEMBRE","OCTUBRE","NOVIEMBRE","DICIEMBRE"}, 0), 1,2,3,4,5,6,7,8,9,10,11,12), A1111)</f>
        <v>44761</v>
      </c>
      <c r="H1111">
        <v>23.625</v>
      </c>
      <c r="I1111">
        <v>48000</v>
      </c>
      <c r="J1111" s="1">
        <f t="shared" si="35"/>
        <v>44576</v>
      </c>
      <c r="K1111">
        <f t="shared" si="34"/>
        <v>28.847999999999999</v>
      </c>
    </row>
    <row r="1112" spans="1:11" x14ac:dyDescent="0.25">
      <c r="A1112">
        <v>20</v>
      </c>
      <c r="B1112" t="s">
        <v>16</v>
      </c>
      <c r="C1112">
        <v>2022</v>
      </c>
      <c r="D1112">
        <v>51</v>
      </c>
      <c r="E1112">
        <v>100</v>
      </c>
      <c r="F1112">
        <v>111.5</v>
      </c>
      <c r="G1112" s="1">
        <f>DATE(C1112, CHOOSE(MATCH(UPPER(B1112), {"ENERO","FEBRERO","MARZO","ABRIL","MAYO","JUNIO","JULIO","AGOSTO","SEPTIEMBRE","OCTUBRE","NOVIEMBRE","DICIEMBRE"}, 0), 1,2,3,4,5,6,7,8,9,10,11,12), A1112)</f>
        <v>44762</v>
      </c>
      <c r="H1112">
        <v>39.5</v>
      </c>
      <c r="I1112">
        <v>48000</v>
      </c>
      <c r="J1112" s="1">
        <f t="shared" si="35"/>
        <v>44577</v>
      </c>
      <c r="K1112">
        <f t="shared" si="34"/>
        <v>28.277000000000001</v>
      </c>
    </row>
    <row r="1113" spans="1:11" x14ac:dyDescent="0.25">
      <c r="A1113">
        <v>21</v>
      </c>
      <c r="B1113" t="s">
        <v>16</v>
      </c>
      <c r="C1113">
        <v>2022</v>
      </c>
      <c r="D1113">
        <v>111.5</v>
      </c>
      <c r="E1113" t="s">
        <v>9</v>
      </c>
      <c r="F1113">
        <v>99.625</v>
      </c>
      <c r="G1113" s="1">
        <f>DATE(C1113, CHOOSE(MATCH(UPPER(B1113), {"ENERO","FEBRERO","MARZO","ABRIL","MAYO","JUNIO","JULIO","AGOSTO","SEPTIEMBRE","OCTUBRE","NOVIEMBRE","DICIEMBRE"}, 0), 1,2,3,4,5,6,7,8,9,10,11,12), A1113)</f>
        <v>44763</v>
      </c>
      <c r="H1113">
        <v>11.875</v>
      </c>
      <c r="I1113">
        <v>48000</v>
      </c>
      <c r="J1113" s="1">
        <f t="shared" si="35"/>
        <v>44578</v>
      </c>
      <c r="K1113">
        <f t="shared" si="34"/>
        <v>12.625</v>
      </c>
    </row>
    <row r="1114" spans="1:11" x14ac:dyDescent="0.25">
      <c r="A1114">
        <v>22</v>
      </c>
      <c r="B1114" t="s">
        <v>16</v>
      </c>
      <c r="C1114">
        <v>2022</v>
      </c>
      <c r="D1114">
        <v>99.625</v>
      </c>
      <c r="E1114" t="s">
        <v>9</v>
      </c>
      <c r="F1114">
        <v>61</v>
      </c>
      <c r="G1114" s="1">
        <f>DATE(C1114, CHOOSE(MATCH(UPPER(B1114), {"ENERO","FEBRERO","MARZO","ABRIL","MAYO","JUNIO","JULIO","AGOSTO","SEPTIEMBRE","OCTUBRE","NOVIEMBRE","DICIEMBRE"}, 0), 1,2,3,4,5,6,7,8,9,10,11,12), A1114)</f>
        <v>44764</v>
      </c>
      <c r="H1114">
        <v>38.625</v>
      </c>
      <c r="I1114">
        <v>48000</v>
      </c>
      <c r="J1114" s="1">
        <f t="shared" si="35"/>
        <v>44579</v>
      </c>
      <c r="K1114">
        <f t="shared" si="34"/>
        <v>15.625</v>
      </c>
    </row>
    <row r="1115" spans="1:11" x14ac:dyDescent="0.25">
      <c r="A1115">
        <v>23</v>
      </c>
      <c r="B1115" t="s">
        <v>16</v>
      </c>
      <c r="C1115">
        <v>2022</v>
      </c>
      <c r="D1115">
        <v>61</v>
      </c>
      <c r="E1115">
        <v>30</v>
      </c>
      <c r="F1115">
        <v>54.75</v>
      </c>
      <c r="G1115" s="1">
        <f>DATE(C1115, CHOOSE(MATCH(UPPER(B1115), {"ENERO","FEBRERO","MARZO","ABRIL","MAYO","JUNIO","JULIO","AGOSTO","SEPTIEMBRE","OCTUBRE","NOVIEMBRE","DICIEMBRE"}, 0), 1,2,3,4,5,6,7,8,9,10,11,12), A1115)</f>
        <v>44765</v>
      </c>
      <c r="H1115">
        <v>36.25</v>
      </c>
      <c r="I1115">
        <v>48000</v>
      </c>
      <c r="J1115" s="1">
        <f t="shared" si="35"/>
        <v>44580</v>
      </c>
      <c r="K1115">
        <f t="shared" si="34"/>
        <v>13.25</v>
      </c>
    </row>
    <row r="1116" spans="1:11" x14ac:dyDescent="0.25">
      <c r="A1116">
        <v>24</v>
      </c>
      <c r="B1116" t="s">
        <v>16</v>
      </c>
      <c r="C1116">
        <v>2022</v>
      </c>
      <c r="D1116">
        <v>54.75</v>
      </c>
      <c r="E1116" t="s">
        <v>9</v>
      </c>
      <c r="F1116">
        <v>14.375</v>
      </c>
      <c r="G1116" s="1">
        <f>DATE(C1116, CHOOSE(MATCH(UPPER(B1116), {"ENERO","FEBRERO","MARZO","ABRIL","MAYO","JUNIO","JULIO","AGOSTO","SEPTIEMBRE","OCTUBRE","NOVIEMBRE","DICIEMBRE"}, 0), 1,2,3,4,5,6,7,8,9,10,11,12), A1116)</f>
        <v>44766</v>
      </c>
      <c r="H1116">
        <v>40.375</v>
      </c>
      <c r="I1116">
        <v>48000</v>
      </c>
      <c r="J1116" s="1">
        <f t="shared" si="35"/>
        <v>44581</v>
      </c>
      <c r="K1116">
        <f t="shared" si="34"/>
        <v>16</v>
      </c>
    </row>
    <row r="1117" spans="1:11" x14ac:dyDescent="0.25">
      <c r="A1117">
        <v>25</v>
      </c>
      <c r="B1117" t="s">
        <v>16</v>
      </c>
      <c r="C1117">
        <v>2022</v>
      </c>
      <c r="D1117">
        <v>14.375</v>
      </c>
      <c r="E1117">
        <v>70</v>
      </c>
      <c r="F1117">
        <v>67.75</v>
      </c>
      <c r="G1117" s="1">
        <f>DATE(C1117, CHOOSE(MATCH(UPPER(B1117), {"ENERO","FEBRERO","MARZO","ABRIL","MAYO","JUNIO","JULIO","AGOSTO","SEPTIEMBRE","OCTUBRE","NOVIEMBRE","DICIEMBRE"}, 0), 1,2,3,4,5,6,7,8,9,10,11,12), A1117)</f>
        <v>44767</v>
      </c>
      <c r="H1117">
        <v>16.625</v>
      </c>
      <c r="I1117">
        <v>48000</v>
      </c>
      <c r="J1117" s="1">
        <f t="shared" si="35"/>
        <v>44582</v>
      </c>
      <c r="K1117">
        <f t="shared" si="34"/>
        <v>24</v>
      </c>
    </row>
    <row r="1118" spans="1:11" x14ac:dyDescent="0.25">
      <c r="A1118">
        <v>26</v>
      </c>
      <c r="B1118" t="s">
        <v>16</v>
      </c>
      <c r="C1118">
        <v>2022</v>
      </c>
      <c r="D1118">
        <v>67.75</v>
      </c>
      <c r="E1118" t="s">
        <v>9</v>
      </c>
      <c r="F1118">
        <v>50.625</v>
      </c>
      <c r="G1118" s="1">
        <f>DATE(C1118, CHOOSE(MATCH(UPPER(B1118), {"ENERO","FEBRERO","MARZO","ABRIL","MAYO","JUNIO","JULIO","AGOSTO","SEPTIEMBRE","OCTUBRE","NOVIEMBRE","DICIEMBRE"}, 0), 1,2,3,4,5,6,7,8,9,10,11,12), A1118)</f>
        <v>44768</v>
      </c>
      <c r="H1118">
        <v>17.125</v>
      </c>
      <c r="I1118">
        <v>48000</v>
      </c>
      <c r="J1118" s="1">
        <f t="shared" si="35"/>
        <v>44583</v>
      </c>
      <c r="K1118">
        <f t="shared" si="34"/>
        <v>41.375</v>
      </c>
    </row>
    <row r="1119" spans="1:11" x14ac:dyDescent="0.25">
      <c r="A1119">
        <v>27</v>
      </c>
      <c r="B1119" t="s">
        <v>16</v>
      </c>
      <c r="C1119">
        <v>2022</v>
      </c>
      <c r="D1119">
        <v>50.625</v>
      </c>
      <c r="E1119">
        <v>80</v>
      </c>
      <c r="F1119">
        <v>105.875</v>
      </c>
      <c r="G1119" s="1">
        <f>DATE(C1119, CHOOSE(MATCH(UPPER(B1119), {"ENERO","FEBRERO","MARZO","ABRIL","MAYO","JUNIO","JULIO","AGOSTO","SEPTIEMBRE","OCTUBRE","NOVIEMBRE","DICIEMBRE"}, 0), 1,2,3,4,5,6,7,8,9,10,11,12), A1119)</f>
        <v>44769</v>
      </c>
      <c r="H1119">
        <v>24.75</v>
      </c>
      <c r="I1119">
        <v>48000</v>
      </c>
      <c r="J1119" s="1">
        <f t="shared" si="35"/>
        <v>44584</v>
      </c>
      <c r="K1119">
        <f t="shared" si="34"/>
        <v>40.125</v>
      </c>
    </row>
    <row r="1120" spans="1:11" x14ac:dyDescent="0.25">
      <c r="A1120">
        <v>28</v>
      </c>
      <c r="B1120" t="s">
        <v>16</v>
      </c>
      <c r="C1120">
        <v>2022</v>
      </c>
      <c r="D1120">
        <v>105.875</v>
      </c>
      <c r="E1120" t="s">
        <v>9</v>
      </c>
      <c r="F1120">
        <v>89.625</v>
      </c>
      <c r="G1120" s="1">
        <f>DATE(C1120, CHOOSE(MATCH(UPPER(B1120), {"ENERO","FEBRERO","MARZO","ABRIL","MAYO","JUNIO","JULIO","AGOSTO","SEPTIEMBRE","OCTUBRE","NOVIEMBRE","DICIEMBRE"}, 0), 1,2,3,4,5,6,7,8,9,10,11,12), A1120)</f>
        <v>44770</v>
      </c>
      <c r="H1120">
        <v>16.25</v>
      </c>
      <c r="I1120">
        <v>48000</v>
      </c>
      <c r="J1120" s="1">
        <f t="shared" si="35"/>
        <v>44585</v>
      </c>
      <c r="K1120">
        <f t="shared" si="34"/>
        <v>6.875</v>
      </c>
    </row>
    <row r="1121" spans="1:11" x14ac:dyDescent="0.25">
      <c r="A1121">
        <v>29</v>
      </c>
      <c r="B1121" t="s">
        <v>16</v>
      </c>
      <c r="C1121">
        <v>2022</v>
      </c>
      <c r="D1121">
        <v>89.625</v>
      </c>
      <c r="E1121" t="s">
        <v>9</v>
      </c>
      <c r="F1121">
        <v>60.625</v>
      </c>
      <c r="G1121" s="1">
        <f>DATE(C1121, CHOOSE(MATCH(UPPER(B1121), {"ENERO","FEBRERO","MARZO","ABRIL","MAYO","JUNIO","JULIO","AGOSTO","SEPTIEMBRE","OCTUBRE","NOVIEMBRE","DICIEMBRE"}, 0), 1,2,3,4,5,6,7,8,9,10,11,12), A1121)</f>
        <v>44771</v>
      </c>
      <c r="H1121">
        <v>29</v>
      </c>
      <c r="I1121">
        <v>48000</v>
      </c>
      <c r="J1121" s="1">
        <f t="shared" si="35"/>
        <v>44586</v>
      </c>
      <c r="K1121">
        <f t="shared" si="34"/>
        <v>11.75</v>
      </c>
    </row>
    <row r="1122" spans="1:11" x14ac:dyDescent="0.25">
      <c r="A1122">
        <v>30</v>
      </c>
      <c r="B1122" t="s">
        <v>16</v>
      </c>
      <c r="C1122">
        <v>2022</v>
      </c>
      <c r="D1122">
        <v>60.625</v>
      </c>
      <c r="E1122">
        <v>80</v>
      </c>
      <c r="F1122">
        <v>110.375</v>
      </c>
      <c r="G1122" s="1">
        <f>DATE(C1122, CHOOSE(MATCH(UPPER(B1122), {"ENERO","FEBRERO","MARZO","ABRIL","MAYO","JUNIO","JULIO","AGOSTO","SEPTIEMBRE","OCTUBRE","NOVIEMBRE","DICIEMBRE"}, 0), 1,2,3,4,5,6,7,8,9,10,11,12), A1122)</f>
        <v>44772</v>
      </c>
      <c r="H1122">
        <v>30.25</v>
      </c>
      <c r="I1122">
        <v>48000</v>
      </c>
      <c r="J1122" s="1">
        <f t="shared" si="35"/>
        <v>44587</v>
      </c>
      <c r="K1122">
        <f t="shared" si="34"/>
        <v>14.375</v>
      </c>
    </row>
    <row r="1123" spans="1:11" x14ac:dyDescent="0.25">
      <c r="A1123">
        <v>31</v>
      </c>
      <c r="B1123" t="s">
        <v>16</v>
      </c>
      <c r="C1123">
        <v>2022</v>
      </c>
      <c r="D1123">
        <v>110.375</v>
      </c>
      <c r="E1123" t="s">
        <v>9</v>
      </c>
      <c r="F1123">
        <v>63.125</v>
      </c>
      <c r="G1123" s="1">
        <f>DATE(C1123, CHOOSE(MATCH(UPPER(B1123), {"ENERO","FEBRERO","MARZO","ABRIL","MAYO","JUNIO","JULIO","AGOSTO","SEPTIEMBRE","OCTUBRE","NOVIEMBRE","DICIEMBRE"}, 0), 1,2,3,4,5,6,7,8,9,10,11,12), A1123)</f>
        <v>44773</v>
      </c>
      <c r="H1123">
        <v>47.25</v>
      </c>
      <c r="I1123">
        <v>48000</v>
      </c>
      <c r="J1123" s="1">
        <f t="shared" si="35"/>
        <v>44588</v>
      </c>
      <c r="K1123">
        <f t="shared" si="34"/>
        <v>14.625</v>
      </c>
    </row>
    <row r="1124" spans="1:11" x14ac:dyDescent="0.25">
      <c r="A1124">
        <v>1</v>
      </c>
      <c r="B1124" t="s">
        <v>17</v>
      </c>
      <c r="C1124">
        <v>2022</v>
      </c>
      <c r="D1124">
        <v>63.125</v>
      </c>
      <c r="E1124">
        <v>50</v>
      </c>
      <c r="F1124">
        <v>91.375</v>
      </c>
      <c r="G1124" s="1">
        <f>DATE(C1124, CHOOSE(MATCH(UPPER(B1124), {"ENERO","FEBRERO","MARZO","ABRIL","MAYO","JUNIO","JULIO","AGOSTO","SEPTIEMBRE","OCTUBRE","NOVIEMBRE","DICIEMBRE"}, 0), 1,2,3,4,5,6,7,8,9,10,11,12), A1124)</f>
        <v>44774</v>
      </c>
      <c r="H1124">
        <v>21.75</v>
      </c>
      <c r="I1124">
        <v>48000</v>
      </c>
      <c r="J1124" s="1">
        <f t="shared" si="35"/>
        <v>44589</v>
      </c>
      <c r="K1124">
        <f t="shared" si="34"/>
        <v>20.75</v>
      </c>
    </row>
    <row r="1125" spans="1:11" x14ac:dyDescent="0.25">
      <c r="A1125">
        <v>2</v>
      </c>
      <c r="B1125" t="s">
        <v>17</v>
      </c>
      <c r="C1125">
        <v>2022</v>
      </c>
      <c r="D1125">
        <v>91.375</v>
      </c>
      <c r="E1125" t="s">
        <v>9</v>
      </c>
      <c r="F1125">
        <v>76.125</v>
      </c>
      <c r="G1125" s="1">
        <f>DATE(C1125, CHOOSE(MATCH(UPPER(B1125), {"ENERO","FEBRERO","MARZO","ABRIL","MAYO","JUNIO","JULIO","AGOSTO","SEPTIEMBRE","OCTUBRE","NOVIEMBRE","DICIEMBRE"}, 0), 1,2,3,4,5,6,7,8,9,10,11,12), A1125)</f>
        <v>44775</v>
      </c>
      <c r="H1125">
        <v>15.25</v>
      </c>
      <c r="I1125">
        <v>48000</v>
      </c>
      <c r="J1125" s="1">
        <f t="shared" si="35"/>
        <v>44590</v>
      </c>
      <c r="K1125">
        <f t="shared" si="34"/>
        <v>30</v>
      </c>
    </row>
    <row r="1126" spans="1:11" x14ac:dyDescent="0.25">
      <c r="A1126">
        <v>3</v>
      </c>
      <c r="B1126" t="s">
        <v>17</v>
      </c>
      <c r="C1126">
        <v>2022</v>
      </c>
      <c r="D1126">
        <v>76.125</v>
      </c>
      <c r="E1126">
        <v>80</v>
      </c>
      <c r="F1126">
        <v>129.5</v>
      </c>
      <c r="G1126" s="1">
        <f>DATE(C1126, CHOOSE(MATCH(UPPER(B1126), {"ENERO","FEBRERO","MARZO","ABRIL","MAYO","JUNIO","JULIO","AGOSTO","SEPTIEMBRE","OCTUBRE","NOVIEMBRE","DICIEMBRE"}, 0), 1,2,3,4,5,6,7,8,9,10,11,12), A1126)</f>
        <v>44776</v>
      </c>
      <c r="H1126">
        <v>26.625</v>
      </c>
      <c r="I1126">
        <v>48000</v>
      </c>
      <c r="J1126" s="1">
        <f t="shared" si="35"/>
        <v>44591</v>
      </c>
      <c r="K1126">
        <f t="shared" si="34"/>
        <v>35</v>
      </c>
    </row>
    <row r="1127" spans="1:11" x14ac:dyDescent="0.25">
      <c r="A1127">
        <v>4</v>
      </c>
      <c r="B1127" t="s">
        <v>17</v>
      </c>
      <c r="C1127">
        <v>2022</v>
      </c>
      <c r="D1127">
        <v>129.5</v>
      </c>
      <c r="E1127" t="s">
        <v>9</v>
      </c>
      <c r="F1127">
        <v>113.375</v>
      </c>
      <c r="G1127" s="1">
        <f>DATE(C1127, CHOOSE(MATCH(UPPER(B1127), {"ENERO","FEBRERO","MARZO","ABRIL","MAYO","JUNIO","JULIO","AGOSTO","SEPTIEMBRE","OCTUBRE","NOVIEMBRE","DICIEMBRE"}, 0), 1,2,3,4,5,6,7,8,9,10,11,12), A1127)</f>
        <v>44777</v>
      </c>
      <c r="H1127">
        <v>16.125</v>
      </c>
      <c r="I1127">
        <v>48000</v>
      </c>
      <c r="J1127" s="1">
        <f t="shared" si="35"/>
        <v>44592</v>
      </c>
      <c r="K1127">
        <f t="shared" si="34"/>
        <v>13.625</v>
      </c>
    </row>
    <row r="1128" spans="1:11" x14ac:dyDescent="0.25">
      <c r="A1128">
        <v>5</v>
      </c>
      <c r="B1128" t="s">
        <v>17</v>
      </c>
      <c r="C1128">
        <v>2022</v>
      </c>
      <c r="D1128">
        <v>113.375</v>
      </c>
      <c r="E1128" t="s">
        <v>9</v>
      </c>
      <c r="F1128">
        <v>91.625</v>
      </c>
      <c r="G1128" s="1">
        <f>DATE(C1128, CHOOSE(MATCH(UPPER(B1128), {"ENERO","FEBRERO","MARZO","ABRIL","MAYO","JUNIO","JULIO","AGOSTO","SEPTIEMBRE","OCTUBRE","NOVIEMBRE","DICIEMBRE"}, 0), 1,2,3,4,5,6,7,8,9,10,11,12), A1128)</f>
        <v>44778</v>
      </c>
      <c r="H1128">
        <v>21.75</v>
      </c>
      <c r="I1128">
        <v>48000</v>
      </c>
      <c r="J1128" s="1">
        <f t="shared" si="35"/>
        <v>44593</v>
      </c>
      <c r="K1128">
        <f t="shared" si="34"/>
        <v>7.375</v>
      </c>
    </row>
    <row r="1129" spans="1:11" x14ac:dyDescent="0.25">
      <c r="A1129">
        <v>6</v>
      </c>
      <c r="B1129" t="s">
        <v>17</v>
      </c>
      <c r="C1129">
        <v>2022</v>
      </c>
      <c r="D1129">
        <v>91.625</v>
      </c>
      <c r="E1129">
        <v>70</v>
      </c>
      <c r="F1129">
        <v>124</v>
      </c>
      <c r="G1129" s="1">
        <f>DATE(C1129, CHOOSE(MATCH(UPPER(B1129), {"ENERO","FEBRERO","MARZO","ABRIL","MAYO","JUNIO","JULIO","AGOSTO","SEPTIEMBRE","OCTUBRE","NOVIEMBRE","DICIEMBRE"}, 0), 1,2,3,4,5,6,7,8,9,10,11,12), A1129)</f>
        <v>44779</v>
      </c>
      <c r="H1129">
        <v>37.625</v>
      </c>
      <c r="I1129">
        <v>48000</v>
      </c>
      <c r="J1129" s="1">
        <f t="shared" si="35"/>
        <v>44594</v>
      </c>
      <c r="K1129">
        <f t="shared" si="34"/>
        <v>14.375</v>
      </c>
    </row>
    <row r="1130" spans="1:11" x14ac:dyDescent="0.25">
      <c r="A1130">
        <v>7</v>
      </c>
      <c r="B1130" t="s">
        <v>17</v>
      </c>
      <c r="C1130">
        <v>2022</v>
      </c>
      <c r="D1130">
        <v>124</v>
      </c>
      <c r="E1130" t="s">
        <v>9</v>
      </c>
      <c r="F1130">
        <v>85.75</v>
      </c>
      <c r="G1130" s="1">
        <f>DATE(C1130, CHOOSE(MATCH(UPPER(B1130), {"ENERO","FEBRERO","MARZO","ABRIL","MAYO","JUNIO","JULIO","AGOSTO","SEPTIEMBRE","OCTUBRE","NOVIEMBRE","DICIEMBRE"}, 0), 1,2,3,4,5,6,7,8,9,10,11,12), A1130)</f>
        <v>44780</v>
      </c>
      <c r="H1130">
        <v>38.25</v>
      </c>
      <c r="I1130">
        <v>48000</v>
      </c>
      <c r="J1130" s="1">
        <f t="shared" si="35"/>
        <v>44595</v>
      </c>
      <c r="K1130">
        <f t="shared" si="34"/>
        <v>14.125</v>
      </c>
    </row>
    <row r="1131" spans="1:11" x14ac:dyDescent="0.25">
      <c r="A1131">
        <v>8</v>
      </c>
      <c r="B1131" t="s">
        <v>17</v>
      </c>
      <c r="C1131">
        <v>2022</v>
      </c>
      <c r="D1131">
        <v>85.75</v>
      </c>
      <c r="E1131">
        <v>20</v>
      </c>
      <c r="F1131">
        <v>89.875</v>
      </c>
      <c r="G1131" s="1">
        <f>DATE(C1131, CHOOSE(MATCH(UPPER(B1131), {"ENERO","FEBRERO","MARZO","ABRIL","MAYO","JUNIO","JULIO","AGOSTO","SEPTIEMBRE","OCTUBRE","NOVIEMBRE","DICIEMBRE"}, 0), 1,2,3,4,5,6,7,8,9,10,11,12), A1131)</f>
        <v>44781</v>
      </c>
      <c r="H1131">
        <v>15.875</v>
      </c>
      <c r="I1131">
        <v>48000</v>
      </c>
      <c r="J1131" s="1">
        <f t="shared" si="35"/>
        <v>44596</v>
      </c>
      <c r="K1131">
        <f t="shared" si="34"/>
        <v>18.5</v>
      </c>
    </row>
    <row r="1132" spans="1:11" x14ac:dyDescent="0.25">
      <c r="A1132">
        <v>9</v>
      </c>
      <c r="B1132" t="s">
        <v>17</v>
      </c>
      <c r="C1132">
        <v>2022</v>
      </c>
      <c r="D1132">
        <v>89.875</v>
      </c>
      <c r="E1132" t="s">
        <v>9</v>
      </c>
      <c r="F1132">
        <v>69.75</v>
      </c>
      <c r="G1132" s="1">
        <f>DATE(C1132, CHOOSE(MATCH(UPPER(B1132), {"ENERO","FEBRERO","MARZO","ABRIL","MAYO","JUNIO","JULIO","AGOSTO","SEPTIEMBRE","OCTUBRE","NOVIEMBRE","DICIEMBRE"}, 0), 1,2,3,4,5,6,7,8,9,10,11,12), A1132)</f>
        <v>44782</v>
      </c>
      <c r="H1132">
        <v>20.125</v>
      </c>
      <c r="I1132">
        <v>48000</v>
      </c>
      <c r="J1132" s="1">
        <f t="shared" si="35"/>
        <v>44597</v>
      </c>
      <c r="K1132">
        <f t="shared" si="34"/>
        <v>35.5</v>
      </c>
    </row>
    <row r="1133" spans="1:11" x14ac:dyDescent="0.25">
      <c r="A1133">
        <v>10</v>
      </c>
      <c r="B1133" t="s">
        <v>17</v>
      </c>
      <c r="C1133">
        <v>2022</v>
      </c>
      <c r="D1133">
        <v>69.75</v>
      </c>
      <c r="E1133">
        <v>70</v>
      </c>
      <c r="F1133">
        <v>116.125</v>
      </c>
      <c r="G1133" s="1">
        <f>DATE(C1133, CHOOSE(MATCH(UPPER(B1133), {"ENERO","FEBRERO","MARZO","ABRIL","MAYO","JUNIO","JULIO","AGOSTO","SEPTIEMBRE","OCTUBRE","NOVIEMBRE","DICIEMBRE"}, 0), 1,2,3,4,5,6,7,8,9,10,11,12), A1133)</f>
        <v>44783</v>
      </c>
      <c r="H1133">
        <v>23.625</v>
      </c>
      <c r="I1133">
        <v>48000</v>
      </c>
      <c r="J1133" s="1">
        <f t="shared" si="35"/>
        <v>44598</v>
      </c>
      <c r="K1133">
        <f t="shared" si="34"/>
        <v>33</v>
      </c>
    </row>
    <row r="1134" spans="1:11" x14ac:dyDescent="0.25">
      <c r="A1134">
        <v>11</v>
      </c>
      <c r="B1134" t="s">
        <v>17</v>
      </c>
      <c r="C1134">
        <v>2022</v>
      </c>
      <c r="D1134">
        <v>116.125</v>
      </c>
      <c r="E1134" t="s">
        <v>9</v>
      </c>
      <c r="F1134">
        <v>98.625</v>
      </c>
      <c r="G1134" s="1">
        <f>DATE(C1134, CHOOSE(MATCH(UPPER(B1134), {"ENERO","FEBRERO","MARZO","ABRIL","MAYO","JUNIO","JULIO","AGOSTO","SEPTIEMBRE","OCTUBRE","NOVIEMBRE","DICIEMBRE"}, 0), 1,2,3,4,5,6,7,8,9,10,11,12), A1134)</f>
        <v>44784</v>
      </c>
      <c r="H1134">
        <v>17.5</v>
      </c>
      <c r="I1134">
        <v>48000</v>
      </c>
      <c r="J1134" s="1">
        <f t="shared" si="35"/>
        <v>44599</v>
      </c>
      <c r="K1134">
        <f t="shared" si="34"/>
        <v>8.75</v>
      </c>
    </row>
    <row r="1135" spans="1:11" x14ac:dyDescent="0.25">
      <c r="A1135">
        <v>12</v>
      </c>
      <c r="B1135" t="s">
        <v>17</v>
      </c>
      <c r="C1135">
        <v>2022</v>
      </c>
      <c r="D1135">
        <v>98.625</v>
      </c>
      <c r="E1135" t="s">
        <v>9</v>
      </c>
      <c r="F1135">
        <v>68.125</v>
      </c>
      <c r="G1135" s="1">
        <f>DATE(C1135, CHOOSE(MATCH(UPPER(B1135), {"ENERO","FEBRERO","MARZO","ABRIL","MAYO","JUNIO","JULIO","AGOSTO","SEPTIEMBRE","OCTUBRE","NOVIEMBRE","DICIEMBRE"}, 0), 1,2,3,4,5,6,7,8,9,10,11,12), A1135)</f>
        <v>44785</v>
      </c>
      <c r="H1135">
        <v>30.5</v>
      </c>
      <c r="I1135">
        <v>48000</v>
      </c>
      <c r="J1135" s="1">
        <f t="shared" si="35"/>
        <v>44600</v>
      </c>
      <c r="K1135">
        <f t="shared" si="34"/>
        <v>14.875</v>
      </c>
    </row>
    <row r="1136" spans="1:11" x14ac:dyDescent="0.25">
      <c r="A1136">
        <v>13</v>
      </c>
      <c r="B1136" t="s">
        <v>17</v>
      </c>
      <c r="C1136">
        <v>2022</v>
      </c>
      <c r="D1136">
        <v>68.125</v>
      </c>
      <c r="E1136">
        <v>70</v>
      </c>
      <c r="F1136">
        <v>106.625</v>
      </c>
      <c r="G1136" s="1">
        <f>DATE(C1136, CHOOSE(MATCH(UPPER(B1136), {"ENERO","FEBRERO","MARZO","ABRIL","MAYO","JUNIO","JULIO","AGOSTO","SEPTIEMBRE","OCTUBRE","NOVIEMBRE","DICIEMBRE"}, 0), 1,2,3,4,5,6,7,8,9,10,11,12), A1136)</f>
        <v>44786</v>
      </c>
      <c r="H1136">
        <v>31.5</v>
      </c>
      <c r="I1136">
        <v>48000</v>
      </c>
      <c r="J1136" s="1">
        <f t="shared" si="35"/>
        <v>44601</v>
      </c>
      <c r="K1136">
        <f t="shared" si="34"/>
        <v>13.375</v>
      </c>
    </row>
    <row r="1137" spans="1:11" x14ac:dyDescent="0.25">
      <c r="A1137">
        <v>14</v>
      </c>
      <c r="B1137" t="s">
        <v>17</v>
      </c>
      <c r="C1137">
        <v>2022</v>
      </c>
      <c r="D1137">
        <v>106.625</v>
      </c>
      <c r="E1137" t="s">
        <v>9</v>
      </c>
      <c r="F1137">
        <v>66.875</v>
      </c>
      <c r="G1137" s="1">
        <f>DATE(C1137, CHOOSE(MATCH(UPPER(B1137), {"ENERO","FEBRERO","MARZO","ABRIL","MAYO","JUNIO","JULIO","AGOSTO","SEPTIEMBRE","OCTUBRE","NOVIEMBRE","DICIEMBRE"}, 0), 1,2,3,4,5,6,7,8,9,10,11,12), A1137)</f>
        <v>44787</v>
      </c>
      <c r="H1137">
        <v>39.75</v>
      </c>
      <c r="I1137">
        <v>48000</v>
      </c>
      <c r="J1137" s="1">
        <f t="shared" si="35"/>
        <v>44602</v>
      </c>
      <c r="K1137">
        <f t="shared" si="34"/>
        <v>11</v>
      </c>
    </row>
    <row r="1138" spans="1:11" x14ac:dyDescent="0.25">
      <c r="A1138">
        <v>15</v>
      </c>
      <c r="B1138" t="s">
        <v>17</v>
      </c>
      <c r="C1138">
        <v>2022</v>
      </c>
      <c r="D1138">
        <v>66.875</v>
      </c>
      <c r="E1138">
        <v>80</v>
      </c>
      <c r="F1138">
        <v>107</v>
      </c>
      <c r="G1138" s="1">
        <f>DATE(C1138, CHOOSE(MATCH(UPPER(B1138), {"ENERO","FEBRERO","MARZO","ABRIL","MAYO","JUNIO","JULIO","AGOSTO","SEPTIEMBRE","OCTUBRE","NOVIEMBRE","DICIEMBRE"}, 0), 1,2,3,4,5,6,7,8,9,10,11,12), A1138)</f>
        <v>44788</v>
      </c>
      <c r="H1138">
        <v>39.875</v>
      </c>
      <c r="I1138">
        <v>48000</v>
      </c>
      <c r="J1138" s="1">
        <f t="shared" si="35"/>
        <v>44603</v>
      </c>
      <c r="K1138">
        <f t="shared" si="34"/>
        <v>24.125</v>
      </c>
    </row>
    <row r="1139" spans="1:11" x14ac:dyDescent="0.25">
      <c r="A1139">
        <v>16</v>
      </c>
      <c r="B1139" t="s">
        <v>17</v>
      </c>
      <c r="C1139">
        <v>2022</v>
      </c>
      <c r="D1139">
        <v>107</v>
      </c>
      <c r="E1139" t="s">
        <v>9</v>
      </c>
      <c r="F1139">
        <v>93</v>
      </c>
      <c r="G1139" s="1">
        <f>DATE(C1139, CHOOSE(MATCH(UPPER(B1139), {"ENERO","FEBRERO","MARZO","ABRIL","MAYO","JUNIO","JULIO","AGOSTO","SEPTIEMBRE","OCTUBRE","NOVIEMBRE","DICIEMBRE"}, 0), 1,2,3,4,5,6,7,8,9,10,11,12), A1139)</f>
        <v>44789</v>
      </c>
      <c r="H1139">
        <v>14</v>
      </c>
      <c r="I1139">
        <v>48000</v>
      </c>
      <c r="J1139" s="1">
        <f t="shared" si="35"/>
        <v>44604</v>
      </c>
      <c r="K1139">
        <f t="shared" si="34"/>
        <v>30.5</v>
      </c>
    </row>
    <row r="1140" spans="1:11" x14ac:dyDescent="0.25">
      <c r="A1140">
        <v>17</v>
      </c>
      <c r="B1140" t="s">
        <v>17</v>
      </c>
      <c r="C1140">
        <v>2022</v>
      </c>
      <c r="D1140">
        <v>93</v>
      </c>
      <c r="E1140" t="s">
        <v>9</v>
      </c>
      <c r="F1140">
        <v>72.375</v>
      </c>
      <c r="G1140" s="1">
        <f>DATE(C1140, CHOOSE(MATCH(UPPER(B1140), {"ENERO","FEBRERO","MARZO","ABRIL","MAYO","JUNIO","JULIO","AGOSTO","SEPTIEMBRE","OCTUBRE","NOVIEMBRE","DICIEMBRE"}, 0), 1,2,3,4,5,6,7,8,9,10,11,12), A1140)</f>
        <v>44790</v>
      </c>
      <c r="H1140">
        <v>20.625</v>
      </c>
      <c r="I1140">
        <v>48000</v>
      </c>
      <c r="J1140" s="1">
        <f t="shared" si="35"/>
        <v>44605</v>
      </c>
      <c r="K1140">
        <f t="shared" si="34"/>
        <v>40.5</v>
      </c>
    </row>
    <row r="1141" spans="1:11" x14ac:dyDescent="0.25">
      <c r="A1141">
        <v>18</v>
      </c>
      <c r="B1141" t="s">
        <v>17</v>
      </c>
      <c r="C1141">
        <v>2022</v>
      </c>
      <c r="D1141">
        <v>72.375</v>
      </c>
      <c r="E1141">
        <v>40</v>
      </c>
      <c r="F1141">
        <v>90.5</v>
      </c>
      <c r="G1141" s="1">
        <f>DATE(C1141, CHOOSE(MATCH(UPPER(B1141), {"ENERO","FEBRERO","MARZO","ABRIL","MAYO","JUNIO","JULIO","AGOSTO","SEPTIEMBRE","OCTUBRE","NOVIEMBRE","DICIEMBRE"}, 0), 1,2,3,4,5,6,7,8,9,10,11,12), A1141)</f>
        <v>44791</v>
      </c>
      <c r="H1141">
        <v>21.875</v>
      </c>
      <c r="I1141">
        <v>48000</v>
      </c>
      <c r="J1141" s="1">
        <f t="shared" si="35"/>
        <v>44606</v>
      </c>
      <c r="K1141">
        <f t="shared" si="34"/>
        <v>16.375</v>
      </c>
    </row>
    <row r="1142" spans="1:11" x14ac:dyDescent="0.25">
      <c r="A1142">
        <v>19</v>
      </c>
      <c r="B1142" t="s">
        <v>17</v>
      </c>
      <c r="C1142">
        <v>2022</v>
      </c>
      <c r="D1142">
        <v>90.5</v>
      </c>
      <c r="E1142" t="s">
        <v>9</v>
      </c>
      <c r="F1142">
        <v>57</v>
      </c>
      <c r="G1142" s="1">
        <f>DATE(C1142, CHOOSE(MATCH(UPPER(B1142), {"ENERO","FEBRERO","MARZO","ABRIL","MAYO","JUNIO","JULIO","AGOSTO","SEPTIEMBRE","OCTUBRE","NOVIEMBRE","DICIEMBRE"}, 0), 1,2,3,4,5,6,7,8,9,10,11,12), A1142)</f>
        <v>44792</v>
      </c>
      <c r="H1142">
        <v>33.5</v>
      </c>
      <c r="I1142">
        <v>48000</v>
      </c>
      <c r="J1142" s="1">
        <f t="shared" si="35"/>
        <v>44607</v>
      </c>
      <c r="K1142">
        <f t="shared" si="34"/>
        <v>9.5</v>
      </c>
    </row>
    <row r="1143" spans="1:11" x14ac:dyDescent="0.25">
      <c r="A1143">
        <v>20</v>
      </c>
      <c r="B1143" t="s">
        <v>17</v>
      </c>
      <c r="C1143">
        <v>2022</v>
      </c>
      <c r="D1143">
        <v>57</v>
      </c>
      <c r="E1143">
        <v>60</v>
      </c>
      <c r="F1143">
        <v>70.875</v>
      </c>
      <c r="G1143" s="1">
        <f>DATE(C1143, CHOOSE(MATCH(UPPER(B1143), {"ENERO","FEBRERO","MARZO","ABRIL","MAYO","JUNIO","JULIO","AGOSTO","SEPTIEMBRE","OCTUBRE","NOVIEMBRE","DICIEMBRE"}, 0), 1,2,3,4,5,6,7,8,9,10,11,12), A1143)</f>
        <v>44793</v>
      </c>
      <c r="H1143">
        <v>46.125</v>
      </c>
      <c r="I1143">
        <v>48000</v>
      </c>
      <c r="J1143" s="1">
        <f t="shared" si="35"/>
        <v>44608</v>
      </c>
      <c r="K1143">
        <f t="shared" si="34"/>
        <v>11.5</v>
      </c>
    </row>
    <row r="1144" spans="1:11" x14ac:dyDescent="0.25">
      <c r="A1144">
        <v>21</v>
      </c>
      <c r="B1144" t="s">
        <v>17</v>
      </c>
      <c r="C1144">
        <v>2022</v>
      </c>
      <c r="D1144">
        <v>70.875</v>
      </c>
      <c r="E1144" t="s">
        <v>9</v>
      </c>
      <c r="F1144">
        <v>33.125</v>
      </c>
      <c r="G1144" s="1">
        <f>DATE(C1144, CHOOSE(MATCH(UPPER(B1144), {"ENERO","FEBRERO","MARZO","ABRIL","MAYO","JUNIO","JULIO","AGOSTO","SEPTIEMBRE","OCTUBRE","NOVIEMBRE","DICIEMBRE"}, 0), 1,2,3,4,5,6,7,8,9,10,11,12), A1144)</f>
        <v>44794</v>
      </c>
      <c r="H1144">
        <v>37.75</v>
      </c>
      <c r="I1144">
        <v>48000</v>
      </c>
      <c r="J1144" s="1">
        <f t="shared" si="35"/>
        <v>44609</v>
      </c>
      <c r="K1144">
        <f t="shared" si="34"/>
        <v>16.5</v>
      </c>
    </row>
    <row r="1145" spans="1:11" x14ac:dyDescent="0.25">
      <c r="A1145">
        <v>22</v>
      </c>
      <c r="B1145" t="s">
        <v>17</v>
      </c>
      <c r="C1145">
        <v>2022</v>
      </c>
      <c r="D1145">
        <v>33.125</v>
      </c>
      <c r="E1145">
        <v>90</v>
      </c>
      <c r="F1145">
        <v>109.75</v>
      </c>
      <c r="G1145" s="1">
        <f>DATE(C1145, CHOOSE(MATCH(UPPER(B1145), {"ENERO","FEBRERO","MARZO","ABRIL","MAYO","JUNIO","JULIO","AGOSTO","SEPTIEMBRE","OCTUBRE","NOVIEMBRE","DICIEMBRE"}, 0), 1,2,3,4,5,6,7,8,9,10,11,12), A1145)</f>
        <v>44795</v>
      </c>
      <c r="H1145">
        <v>13.375</v>
      </c>
      <c r="I1145">
        <v>48000</v>
      </c>
      <c r="J1145" s="1">
        <f t="shared" si="35"/>
        <v>44610</v>
      </c>
      <c r="K1145">
        <f t="shared" si="34"/>
        <v>20.625</v>
      </c>
    </row>
    <row r="1146" spans="1:11" x14ac:dyDescent="0.25">
      <c r="A1146">
        <v>23</v>
      </c>
      <c r="B1146" t="s">
        <v>17</v>
      </c>
      <c r="C1146">
        <v>2022</v>
      </c>
      <c r="D1146">
        <v>109.75</v>
      </c>
      <c r="E1146" t="s">
        <v>9</v>
      </c>
      <c r="F1146">
        <v>94.25</v>
      </c>
      <c r="G1146" s="1">
        <f>DATE(C1146, CHOOSE(MATCH(UPPER(B1146), {"ENERO","FEBRERO","MARZO","ABRIL","MAYO","JUNIO","JULIO","AGOSTO","SEPTIEMBRE","OCTUBRE","NOVIEMBRE","DICIEMBRE"}, 0), 1,2,3,4,5,6,7,8,9,10,11,12), A1146)</f>
        <v>44796</v>
      </c>
      <c r="H1146">
        <v>15.5</v>
      </c>
      <c r="I1146">
        <v>48000</v>
      </c>
      <c r="J1146" s="1">
        <f t="shared" si="35"/>
        <v>44611</v>
      </c>
      <c r="K1146">
        <f t="shared" si="34"/>
        <v>29.125</v>
      </c>
    </row>
    <row r="1147" spans="1:11" x14ac:dyDescent="0.25">
      <c r="A1147">
        <v>24</v>
      </c>
      <c r="B1147" t="s">
        <v>17</v>
      </c>
      <c r="C1147">
        <v>2022</v>
      </c>
      <c r="D1147">
        <v>94.25</v>
      </c>
      <c r="E1147">
        <v>40</v>
      </c>
      <c r="F1147">
        <v>117.125</v>
      </c>
      <c r="G1147" s="1">
        <f>DATE(C1147, CHOOSE(MATCH(UPPER(B1147), {"ENERO","FEBRERO","MARZO","ABRIL","MAYO","JUNIO","JULIO","AGOSTO","SEPTIEMBRE","OCTUBRE","NOVIEMBRE","DICIEMBRE"}, 0), 1,2,3,4,5,6,7,8,9,10,11,12), A1147)</f>
        <v>44797</v>
      </c>
      <c r="H1147">
        <v>17.125</v>
      </c>
      <c r="I1147">
        <v>48000</v>
      </c>
      <c r="J1147" s="1">
        <f t="shared" si="35"/>
        <v>44612</v>
      </c>
      <c r="K1147">
        <f t="shared" si="34"/>
        <v>32.125</v>
      </c>
    </row>
    <row r="1148" spans="1:11" x14ac:dyDescent="0.25">
      <c r="A1148">
        <v>25</v>
      </c>
      <c r="B1148" t="s">
        <v>17</v>
      </c>
      <c r="C1148">
        <v>2022</v>
      </c>
      <c r="D1148">
        <v>117.125</v>
      </c>
      <c r="E1148" t="s">
        <v>9</v>
      </c>
      <c r="F1148">
        <v>96.625</v>
      </c>
      <c r="G1148" s="1">
        <f>DATE(C1148, CHOOSE(MATCH(UPPER(B1148), {"ENERO","FEBRERO","MARZO","ABRIL","MAYO","JUNIO","JULIO","AGOSTO","SEPTIEMBRE","OCTUBRE","NOVIEMBRE","DICIEMBRE"}, 0), 1,2,3,4,5,6,7,8,9,10,11,12), A1148)</f>
        <v>44798</v>
      </c>
      <c r="H1148">
        <v>20.5</v>
      </c>
      <c r="I1148">
        <v>48000</v>
      </c>
      <c r="J1148" s="1">
        <f t="shared" si="35"/>
        <v>44613</v>
      </c>
      <c r="K1148">
        <f t="shared" si="34"/>
        <v>11.5</v>
      </c>
    </row>
    <row r="1149" spans="1:11" x14ac:dyDescent="0.25">
      <c r="A1149">
        <v>26</v>
      </c>
      <c r="B1149" t="s">
        <v>17</v>
      </c>
      <c r="C1149">
        <v>2022</v>
      </c>
      <c r="D1149">
        <v>96.625</v>
      </c>
      <c r="E1149" t="s">
        <v>9</v>
      </c>
      <c r="F1149">
        <v>57</v>
      </c>
      <c r="G1149" s="1">
        <f>DATE(C1149, CHOOSE(MATCH(UPPER(B1149), {"ENERO","FEBRERO","MARZO","ABRIL","MAYO","JUNIO","JULIO","AGOSTO","SEPTIEMBRE","OCTUBRE","NOVIEMBRE","DICIEMBRE"}, 0), 1,2,3,4,5,6,7,8,9,10,11,12), A1149)</f>
        <v>44799</v>
      </c>
      <c r="H1149">
        <v>39.625</v>
      </c>
      <c r="I1149">
        <v>48000</v>
      </c>
      <c r="J1149" s="1">
        <f t="shared" si="35"/>
        <v>44614</v>
      </c>
      <c r="K1149">
        <f t="shared" si="34"/>
        <v>10.25</v>
      </c>
    </row>
    <row r="1150" spans="1:11" x14ac:dyDescent="0.25">
      <c r="A1150">
        <v>27</v>
      </c>
      <c r="B1150" t="s">
        <v>17</v>
      </c>
      <c r="C1150">
        <v>2022</v>
      </c>
      <c r="D1150">
        <v>57</v>
      </c>
      <c r="E1150">
        <v>70</v>
      </c>
      <c r="F1150">
        <v>85</v>
      </c>
      <c r="G1150" s="1">
        <f>DATE(C1150, CHOOSE(MATCH(UPPER(B1150), {"ENERO","FEBRERO","MARZO","ABRIL","MAYO","JUNIO","JULIO","AGOSTO","SEPTIEMBRE","OCTUBRE","NOVIEMBRE","DICIEMBRE"}, 0), 1,2,3,4,5,6,7,8,9,10,11,12), A1150)</f>
        <v>44800</v>
      </c>
      <c r="H1150">
        <v>42</v>
      </c>
      <c r="I1150">
        <v>48000</v>
      </c>
      <c r="J1150" s="1">
        <f t="shared" si="35"/>
        <v>44615</v>
      </c>
      <c r="K1150">
        <f t="shared" si="34"/>
        <v>11.25</v>
      </c>
    </row>
    <row r="1151" spans="1:11" x14ac:dyDescent="0.25">
      <c r="A1151">
        <v>28</v>
      </c>
      <c r="B1151" t="s">
        <v>17</v>
      </c>
      <c r="C1151">
        <v>2022</v>
      </c>
      <c r="D1151">
        <v>85</v>
      </c>
      <c r="E1151" t="s">
        <v>9</v>
      </c>
      <c r="F1151">
        <v>48.125</v>
      </c>
      <c r="G1151" s="1">
        <f>DATE(C1151, CHOOSE(MATCH(UPPER(B1151), {"ENERO","FEBRERO","MARZO","ABRIL","MAYO","JUNIO","JULIO","AGOSTO","SEPTIEMBRE","OCTUBRE","NOVIEMBRE","DICIEMBRE"}, 0), 1,2,3,4,5,6,7,8,9,10,11,12), A1151)</f>
        <v>44801</v>
      </c>
      <c r="H1151">
        <v>36.875</v>
      </c>
      <c r="I1151">
        <v>48000</v>
      </c>
      <c r="J1151" s="1">
        <f t="shared" si="35"/>
        <v>44616</v>
      </c>
      <c r="K1151">
        <f t="shared" si="34"/>
        <v>10.25</v>
      </c>
    </row>
    <row r="1152" spans="1:11" x14ac:dyDescent="0.25">
      <c r="A1152">
        <v>29</v>
      </c>
      <c r="B1152" t="s">
        <v>17</v>
      </c>
      <c r="C1152">
        <v>2022</v>
      </c>
      <c r="D1152">
        <v>48.125</v>
      </c>
      <c r="E1152">
        <v>90</v>
      </c>
      <c r="F1152">
        <v>124.5</v>
      </c>
      <c r="G1152" s="1">
        <f>DATE(C1152, CHOOSE(MATCH(UPPER(B1152), {"ENERO","FEBRERO","MARZO","ABRIL","MAYO","JUNIO","JULIO","AGOSTO","SEPTIEMBRE","OCTUBRE","NOVIEMBRE","DICIEMBRE"}, 0), 1,2,3,4,5,6,7,8,9,10,11,12), A1152)</f>
        <v>44802</v>
      </c>
      <c r="H1152">
        <v>13.625</v>
      </c>
      <c r="I1152">
        <v>48000</v>
      </c>
      <c r="J1152" s="1">
        <f t="shared" si="35"/>
        <v>44617</v>
      </c>
      <c r="K1152">
        <f t="shared" si="34"/>
        <v>22.875</v>
      </c>
    </row>
    <row r="1153" spans="1:11" x14ac:dyDescent="0.25">
      <c r="A1153">
        <v>30</v>
      </c>
      <c r="B1153" t="s">
        <v>17</v>
      </c>
      <c r="C1153">
        <v>2022</v>
      </c>
      <c r="D1153">
        <v>124.5</v>
      </c>
      <c r="E1153" t="s">
        <v>9</v>
      </c>
      <c r="F1153">
        <v>111.125</v>
      </c>
      <c r="G1153" s="1">
        <f>DATE(C1153, CHOOSE(MATCH(UPPER(B1153), {"ENERO","FEBRERO","MARZO","ABRIL","MAYO","JUNIO","JULIO","AGOSTO","SEPTIEMBRE","OCTUBRE","NOVIEMBRE","DICIEMBRE"}, 0), 1,2,3,4,5,6,7,8,9,10,11,12), A1153)</f>
        <v>44803</v>
      </c>
      <c r="H1153">
        <v>13.375</v>
      </c>
      <c r="I1153">
        <v>48000</v>
      </c>
      <c r="J1153" s="1">
        <f t="shared" si="35"/>
        <v>44618</v>
      </c>
      <c r="K1153">
        <f t="shared" si="34"/>
        <v>27.25</v>
      </c>
    </row>
    <row r="1154" spans="1:11" x14ac:dyDescent="0.25">
      <c r="A1154">
        <v>31</v>
      </c>
      <c r="B1154" t="s">
        <v>17</v>
      </c>
      <c r="C1154">
        <v>2022</v>
      </c>
      <c r="D1154">
        <v>111.125</v>
      </c>
      <c r="E1154" t="s">
        <v>9</v>
      </c>
      <c r="F1154">
        <v>87.5</v>
      </c>
      <c r="G1154" s="1">
        <f>DATE(C1154, CHOOSE(MATCH(UPPER(B1154), {"ENERO","FEBRERO","MARZO","ABRIL","MAYO","JUNIO","JULIO","AGOSTO","SEPTIEMBRE","OCTUBRE","NOVIEMBRE","DICIEMBRE"}, 0), 1,2,3,4,5,6,7,8,9,10,11,12), A1154)</f>
        <v>44804</v>
      </c>
      <c r="H1154">
        <v>23.625</v>
      </c>
      <c r="I1154">
        <v>48000</v>
      </c>
      <c r="J1154" s="1">
        <f t="shared" si="35"/>
        <v>44619</v>
      </c>
      <c r="K1154">
        <f t="shared" ref="K1154:K1217" si="36">VLOOKUP(J1154, G:H, 2, FALSE)</f>
        <v>36.75</v>
      </c>
    </row>
    <row r="1155" spans="1:11" x14ac:dyDescent="0.25">
      <c r="A1155">
        <v>1</v>
      </c>
      <c r="B1155" t="s">
        <v>10</v>
      </c>
      <c r="C1155">
        <v>2022</v>
      </c>
      <c r="D1155">
        <v>87.5</v>
      </c>
      <c r="E1155">
        <v>90</v>
      </c>
      <c r="F1155">
        <v>155.625</v>
      </c>
      <c r="G1155" s="1">
        <f>DATE(C1155, CHOOSE(MATCH(UPPER(B1155), {"ENERO","FEBRERO","MARZO","ABRIL","MAYO","JUNIO","JULIO","AGOSTO","SEPTIEMBRE","OCTUBRE","NOVIEMBRE","DICIEMBRE"}, 0), 1,2,3,4,5,6,7,8,9,10,11,12), A1155)</f>
        <v>44805</v>
      </c>
      <c r="H1155">
        <v>21.875</v>
      </c>
      <c r="I1155">
        <v>48000</v>
      </c>
      <c r="J1155" s="1">
        <f t="shared" si="35"/>
        <v>44620</v>
      </c>
      <c r="K1155">
        <f t="shared" si="36"/>
        <v>9.875</v>
      </c>
    </row>
    <row r="1156" spans="1:11" x14ac:dyDescent="0.25">
      <c r="A1156">
        <v>2</v>
      </c>
      <c r="B1156" t="s">
        <v>10</v>
      </c>
      <c r="C1156">
        <v>2022</v>
      </c>
      <c r="D1156">
        <v>155.625</v>
      </c>
      <c r="E1156" t="s">
        <v>9</v>
      </c>
      <c r="F1156">
        <v>137.75</v>
      </c>
      <c r="G1156" s="1">
        <f>DATE(C1156, CHOOSE(MATCH(UPPER(B1156), {"ENERO","FEBRERO","MARZO","ABRIL","MAYO","JUNIO","JULIO","AGOSTO","SEPTIEMBRE","OCTUBRE","NOVIEMBRE","DICIEMBRE"}, 0), 1,2,3,4,5,6,7,8,9,10,11,12), A1156)</f>
        <v>44806</v>
      </c>
      <c r="H1156">
        <v>17.875</v>
      </c>
      <c r="I1156">
        <v>48000</v>
      </c>
      <c r="J1156" s="1">
        <f t="shared" ref="J1156:J1219" si="37">DATE(2019,1,1) + ROW()-1</f>
        <v>44621</v>
      </c>
      <c r="K1156">
        <f t="shared" si="36"/>
        <v>10.375</v>
      </c>
    </row>
    <row r="1157" spans="1:11" x14ac:dyDescent="0.25">
      <c r="A1157">
        <v>3</v>
      </c>
      <c r="B1157" t="s">
        <v>10</v>
      </c>
      <c r="C1157">
        <v>2022</v>
      </c>
      <c r="D1157">
        <v>137.75</v>
      </c>
      <c r="E1157" t="s">
        <v>9</v>
      </c>
      <c r="F1157">
        <v>95.25</v>
      </c>
      <c r="G1157" s="1">
        <f>DATE(C1157, CHOOSE(MATCH(UPPER(B1157), {"ENERO","FEBRERO","MARZO","ABRIL","MAYO","JUNIO","JULIO","AGOSTO","SEPTIEMBRE","OCTUBRE","NOVIEMBRE","DICIEMBRE"}, 0), 1,2,3,4,5,6,7,8,9,10,11,12), A1157)</f>
        <v>44807</v>
      </c>
      <c r="H1157">
        <v>42.5</v>
      </c>
      <c r="I1157">
        <v>48000</v>
      </c>
      <c r="J1157" s="1">
        <f t="shared" si="37"/>
        <v>44622</v>
      </c>
      <c r="K1157">
        <f t="shared" si="36"/>
        <v>19.375</v>
      </c>
    </row>
    <row r="1158" spans="1:11" x14ac:dyDescent="0.25">
      <c r="A1158">
        <v>4</v>
      </c>
      <c r="B1158" t="s">
        <v>10</v>
      </c>
      <c r="C1158">
        <v>2022</v>
      </c>
      <c r="D1158">
        <v>95.25</v>
      </c>
      <c r="E1158" t="s">
        <v>9</v>
      </c>
      <c r="F1158">
        <v>63.375</v>
      </c>
      <c r="G1158" s="1">
        <f>DATE(C1158, CHOOSE(MATCH(UPPER(B1158), {"ENERO","FEBRERO","MARZO","ABRIL","MAYO","JUNIO","JULIO","AGOSTO","SEPTIEMBRE","OCTUBRE","NOVIEMBRE","DICIEMBRE"}, 0), 1,2,3,4,5,6,7,8,9,10,11,12), A1158)</f>
        <v>44808</v>
      </c>
      <c r="H1158">
        <v>31.875</v>
      </c>
      <c r="I1158">
        <v>48000</v>
      </c>
      <c r="J1158" s="1">
        <f t="shared" si="37"/>
        <v>44623</v>
      </c>
      <c r="K1158">
        <f t="shared" si="36"/>
        <v>20</v>
      </c>
    </row>
    <row r="1159" spans="1:11" x14ac:dyDescent="0.25">
      <c r="A1159">
        <v>5</v>
      </c>
      <c r="B1159" t="s">
        <v>10</v>
      </c>
      <c r="C1159">
        <v>2022</v>
      </c>
      <c r="D1159">
        <v>63.375</v>
      </c>
      <c r="E1159">
        <v>100</v>
      </c>
      <c r="F1159">
        <v>152.875</v>
      </c>
      <c r="G1159" s="1">
        <f>DATE(C1159, CHOOSE(MATCH(UPPER(B1159), {"ENERO","FEBRERO","MARZO","ABRIL","MAYO","JUNIO","JULIO","AGOSTO","SEPTIEMBRE","OCTUBRE","NOVIEMBRE","DICIEMBRE"}, 0), 1,2,3,4,5,6,7,8,9,10,11,12), A1159)</f>
        <v>44809</v>
      </c>
      <c r="H1159">
        <v>10.5</v>
      </c>
      <c r="I1159">
        <v>48000</v>
      </c>
      <c r="J1159" s="1">
        <f t="shared" si="37"/>
        <v>44624</v>
      </c>
      <c r="K1159">
        <f t="shared" si="36"/>
        <v>24.625</v>
      </c>
    </row>
    <row r="1160" spans="1:11" x14ac:dyDescent="0.25">
      <c r="A1160">
        <v>6</v>
      </c>
      <c r="B1160" t="s">
        <v>10</v>
      </c>
      <c r="C1160">
        <v>2022</v>
      </c>
      <c r="D1160">
        <v>152.875</v>
      </c>
      <c r="E1160" t="s">
        <v>9</v>
      </c>
      <c r="F1160">
        <v>141.875</v>
      </c>
      <c r="G1160" s="1">
        <f>DATE(C1160, CHOOSE(MATCH(UPPER(B1160), {"ENERO","FEBRERO","MARZO","ABRIL","MAYO","JUNIO","JULIO","AGOSTO","SEPTIEMBRE","OCTUBRE","NOVIEMBRE","DICIEMBRE"}, 0), 1,2,3,4,5,6,7,8,9,10,11,12), A1160)</f>
        <v>44810</v>
      </c>
      <c r="H1160">
        <v>11</v>
      </c>
      <c r="I1160">
        <v>52000</v>
      </c>
      <c r="J1160" s="1">
        <f t="shared" si="37"/>
        <v>44625</v>
      </c>
      <c r="K1160">
        <f t="shared" si="36"/>
        <v>37.375</v>
      </c>
    </row>
    <row r="1161" spans="1:11" x14ac:dyDescent="0.25">
      <c r="A1161">
        <v>7</v>
      </c>
      <c r="B1161" t="s">
        <v>10</v>
      </c>
      <c r="C1161">
        <v>2022</v>
      </c>
      <c r="D1161">
        <v>141.875</v>
      </c>
      <c r="E1161" t="s">
        <v>9</v>
      </c>
      <c r="F1161">
        <v>119.375</v>
      </c>
      <c r="G1161" s="1">
        <f>DATE(C1161, CHOOSE(MATCH(UPPER(B1161), {"ENERO","FEBRERO","MARZO","ABRIL","MAYO","JUNIO","JULIO","AGOSTO","SEPTIEMBRE","OCTUBRE","NOVIEMBRE","DICIEMBRE"}, 0), 1,2,3,4,5,6,7,8,9,10,11,12), A1161)</f>
        <v>44811</v>
      </c>
      <c r="H1161">
        <v>22.5</v>
      </c>
      <c r="I1161">
        <v>52000</v>
      </c>
      <c r="J1161" s="1">
        <f t="shared" si="37"/>
        <v>44626</v>
      </c>
      <c r="K1161">
        <f t="shared" si="36"/>
        <v>35.375</v>
      </c>
    </row>
    <row r="1162" spans="1:11" x14ac:dyDescent="0.25">
      <c r="A1162">
        <v>8</v>
      </c>
      <c r="B1162" t="s">
        <v>10</v>
      </c>
      <c r="C1162">
        <v>2022</v>
      </c>
      <c r="D1162">
        <v>119.375</v>
      </c>
      <c r="E1162" t="s">
        <v>9</v>
      </c>
      <c r="F1162">
        <v>100.75</v>
      </c>
      <c r="G1162" s="1">
        <f>DATE(C1162, CHOOSE(MATCH(UPPER(B1162), {"ENERO","FEBRERO","MARZO","ABRIL","MAYO","JUNIO","JULIO","AGOSTO","SEPTIEMBRE","OCTUBRE","NOVIEMBRE","DICIEMBRE"}, 0), 1,2,3,4,5,6,7,8,9,10,11,12), A1162)</f>
        <v>44812</v>
      </c>
      <c r="H1162">
        <v>18.625</v>
      </c>
      <c r="I1162">
        <v>52000</v>
      </c>
      <c r="J1162" s="1">
        <f t="shared" si="37"/>
        <v>44627</v>
      </c>
      <c r="K1162">
        <f t="shared" si="36"/>
        <v>15.875</v>
      </c>
    </row>
    <row r="1163" spans="1:11" x14ac:dyDescent="0.25">
      <c r="A1163">
        <v>9</v>
      </c>
      <c r="B1163" t="s">
        <v>10</v>
      </c>
      <c r="C1163">
        <v>2022</v>
      </c>
      <c r="D1163">
        <v>100.75</v>
      </c>
      <c r="E1163" t="s">
        <v>9</v>
      </c>
      <c r="F1163">
        <v>77.375</v>
      </c>
      <c r="G1163" s="1">
        <f>DATE(C1163, CHOOSE(MATCH(UPPER(B1163), {"ENERO","FEBRERO","MARZO","ABRIL","MAYO","JUNIO","JULIO","AGOSTO","SEPTIEMBRE","OCTUBRE","NOVIEMBRE","DICIEMBRE"}, 0), 1,2,3,4,5,6,7,8,9,10,11,12), A1163)</f>
        <v>44813</v>
      </c>
      <c r="H1163">
        <v>23.375</v>
      </c>
      <c r="I1163">
        <v>52000</v>
      </c>
      <c r="J1163" s="1">
        <f t="shared" si="37"/>
        <v>44628</v>
      </c>
      <c r="K1163">
        <f t="shared" si="36"/>
        <v>18.125</v>
      </c>
    </row>
    <row r="1164" spans="1:11" x14ac:dyDescent="0.25">
      <c r="A1164">
        <v>10</v>
      </c>
      <c r="B1164" t="s">
        <v>10</v>
      </c>
      <c r="C1164">
        <v>2022</v>
      </c>
      <c r="D1164">
        <v>77.375</v>
      </c>
      <c r="E1164">
        <v>90</v>
      </c>
      <c r="F1164">
        <v>122.75</v>
      </c>
      <c r="G1164" s="1">
        <f>DATE(C1164, CHOOSE(MATCH(UPPER(B1164), {"ENERO","FEBRERO","MARZO","ABRIL","MAYO","JUNIO","JULIO","AGOSTO","SEPTIEMBRE","OCTUBRE","NOVIEMBRE","DICIEMBRE"}, 0), 1,2,3,4,5,6,7,8,9,10,11,12), A1164)</f>
        <v>44814</v>
      </c>
      <c r="H1164">
        <v>44.625</v>
      </c>
      <c r="I1164">
        <v>52000</v>
      </c>
      <c r="J1164" s="1">
        <f t="shared" si="37"/>
        <v>44629</v>
      </c>
      <c r="K1164">
        <f t="shared" si="36"/>
        <v>18.5</v>
      </c>
    </row>
    <row r="1165" spans="1:11" x14ac:dyDescent="0.25">
      <c r="A1165">
        <v>11</v>
      </c>
      <c r="B1165" t="s">
        <v>10</v>
      </c>
      <c r="C1165">
        <v>2022</v>
      </c>
      <c r="D1165">
        <v>122.75</v>
      </c>
      <c r="E1165" t="s">
        <v>9</v>
      </c>
      <c r="F1165">
        <v>74.75</v>
      </c>
      <c r="G1165" s="1">
        <f>DATE(C1165, CHOOSE(MATCH(UPPER(B1165), {"ENERO","FEBRERO","MARZO","ABRIL","MAYO","JUNIO","JULIO","AGOSTO","SEPTIEMBRE","OCTUBRE","NOVIEMBRE","DICIEMBRE"}, 0), 1,2,3,4,5,6,7,8,9,10,11,12), A1165)</f>
        <v>44815</v>
      </c>
      <c r="H1165">
        <v>48</v>
      </c>
      <c r="I1165">
        <v>52000</v>
      </c>
      <c r="J1165" s="1">
        <f t="shared" si="37"/>
        <v>44630</v>
      </c>
      <c r="K1165">
        <f t="shared" si="36"/>
        <v>13.5</v>
      </c>
    </row>
    <row r="1166" spans="1:11" x14ac:dyDescent="0.25">
      <c r="A1166">
        <v>12</v>
      </c>
      <c r="B1166" t="s">
        <v>10</v>
      </c>
      <c r="C1166">
        <v>2022</v>
      </c>
      <c r="D1166">
        <v>74.75</v>
      </c>
      <c r="E1166">
        <v>60</v>
      </c>
      <c r="F1166">
        <v>128.375</v>
      </c>
      <c r="G1166" s="1">
        <f>DATE(C1166, CHOOSE(MATCH(UPPER(B1166), {"ENERO","FEBRERO","MARZO","ABRIL","MAYO","JUNIO","JULIO","AGOSTO","SEPTIEMBRE","OCTUBRE","NOVIEMBRE","DICIEMBRE"}, 0), 1,2,3,4,5,6,7,8,9,10,11,12), A1166)</f>
        <v>44816</v>
      </c>
      <c r="H1166">
        <v>6.375</v>
      </c>
      <c r="I1166">
        <v>52000</v>
      </c>
      <c r="J1166" s="1">
        <f t="shared" si="37"/>
        <v>44631</v>
      </c>
      <c r="K1166">
        <f t="shared" si="36"/>
        <v>25</v>
      </c>
    </row>
    <row r="1167" spans="1:11" x14ac:dyDescent="0.25">
      <c r="A1167">
        <v>13</v>
      </c>
      <c r="B1167" t="s">
        <v>10</v>
      </c>
      <c r="C1167">
        <v>2022</v>
      </c>
      <c r="D1167">
        <v>128.375</v>
      </c>
      <c r="E1167" t="s">
        <v>9</v>
      </c>
      <c r="F1167">
        <v>97.25</v>
      </c>
      <c r="G1167" s="1">
        <f>DATE(C1167, CHOOSE(MATCH(UPPER(B1167), {"ENERO","FEBRERO","MARZO","ABRIL","MAYO","JUNIO","JULIO","AGOSTO","SEPTIEMBRE","OCTUBRE","NOVIEMBRE","DICIEMBRE"}, 0), 1,2,3,4,5,6,7,8,9,10,11,12), A1167)</f>
        <v>44817</v>
      </c>
      <c r="H1167">
        <v>31.125</v>
      </c>
      <c r="I1167">
        <v>52000</v>
      </c>
      <c r="J1167" s="1">
        <f t="shared" si="37"/>
        <v>44632</v>
      </c>
      <c r="K1167">
        <f t="shared" si="36"/>
        <v>43.625</v>
      </c>
    </row>
    <row r="1168" spans="1:11" x14ac:dyDescent="0.25">
      <c r="A1168">
        <v>14</v>
      </c>
      <c r="B1168" t="s">
        <v>10</v>
      </c>
      <c r="C1168">
        <v>2022</v>
      </c>
      <c r="D1168">
        <v>97.25</v>
      </c>
      <c r="E1168" t="s">
        <v>9</v>
      </c>
      <c r="F1168">
        <v>72.75</v>
      </c>
      <c r="G1168" s="1">
        <f>DATE(C1168, CHOOSE(MATCH(UPPER(B1168), {"ENERO","FEBRERO","MARZO","ABRIL","MAYO","JUNIO","JULIO","AGOSTO","SEPTIEMBRE","OCTUBRE","NOVIEMBRE","DICIEMBRE"}, 0), 1,2,3,4,5,6,7,8,9,10,11,12), A1168)</f>
        <v>44818</v>
      </c>
      <c r="H1168">
        <v>24.5</v>
      </c>
      <c r="I1168">
        <v>52000</v>
      </c>
      <c r="J1168" s="1">
        <f t="shared" si="37"/>
        <v>44633</v>
      </c>
      <c r="K1168">
        <f t="shared" si="36"/>
        <v>38.125</v>
      </c>
    </row>
    <row r="1169" spans="1:11" x14ac:dyDescent="0.25">
      <c r="A1169">
        <v>15</v>
      </c>
      <c r="B1169" t="s">
        <v>10</v>
      </c>
      <c r="C1169">
        <v>2022</v>
      </c>
      <c r="D1169">
        <v>72.75</v>
      </c>
      <c r="E1169">
        <v>100</v>
      </c>
      <c r="F1169">
        <v>157.25</v>
      </c>
      <c r="G1169" s="1">
        <f>DATE(C1169, CHOOSE(MATCH(UPPER(B1169), {"ENERO","FEBRERO","MARZO","ABRIL","MAYO","JUNIO","JULIO","AGOSTO","SEPTIEMBRE","OCTUBRE","NOVIEMBRE","DICIEMBRE"}, 0), 1,2,3,4,5,6,7,8,9,10,11,12), A1169)</f>
        <v>44819</v>
      </c>
      <c r="H1169">
        <v>15.5</v>
      </c>
      <c r="I1169">
        <v>52000</v>
      </c>
      <c r="J1169" s="1">
        <f t="shared" si="37"/>
        <v>44634</v>
      </c>
      <c r="K1169">
        <f t="shared" si="36"/>
        <v>8.625</v>
      </c>
    </row>
    <row r="1170" spans="1:11" x14ac:dyDescent="0.25">
      <c r="A1170">
        <v>16</v>
      </c>
      <c r="B1170" t="s">
        <v>10</v>
      </c>
      <c r="C1170">
        <v>2022</v>
      </c>
      <c r="D1170">
        <v>157.25</v>
      </c>
      <c r="E1170" t="s">
        <v>9</v>
      </c>
      <c r="F1170">
        <v>133.5</v>
      </c>
      <c r="G1170" s="1">
        <f>DATE(C1170, CHOOSE(MATCH(UPPER(B1170), {"ENERO","FEBRERO","MARZO","ABRIL","MAYO","JUNIO","JULIO","AGOSTO","SEPTIEMBRE","OCTUBRE","NOVIEMBRE","DICIEMBRE"}, 0), 1,2,3,4,5,6,7,8,9,10,11,12), A1170)</f>
        <v>44820</v>
      </c>
      <c r="H1170">
        <v>23.75</v>
      </c>
      <c r="I1170">
        <v>52000</v>
      </c>
      <c r="J1170" s="1">
        <f t="shared" si="37"/>
        <v>44635</v>
      </c>
      <c r="K1170">
        <f t="shared" si="36"/>
        <v>10.75</v>
      </c>
    </row>
    <row r="1171" spans="1:11" x14ac:dyDescent="0.25">
      <c r="A1171">
        <v>17</v>
      </c>
      <c r="B1171" t="s">
        <v>10</v>
      </c>
      <c r="C1171">
        <v>2022</v>
      </c>
      <c r="D1171">
        <v>133.5</v>
      </c>
      <c r="E1171" t="s">
        <v>9</v>
      </c>
      <c r="F1171">
        <v>84.875</v>
      </c>
      <c r="G1171" s="1">
        <f>DATE(C1171, CHOOSE(MATCH(UPPER(B1171), {"ENERO","FEBRERO","MARZO","ABRIL","MAYO","JUNIO","JULIO","AGOSTO","SEPTIEMBRE","OCTUBRE","NOVIEMBRE","DICIEMBRE"}, 0), 1,2,3,4,5,6,7,8,9,10,11,12), A1171)</f>
        <v>44821</v>
      </c>
      <c r="H1171">
        <v>48.625</v>
      </c>
      <c r="I1171">
        <v>52000</v>
      </c>
      <c r="J1171" s="1">
        <f t="shared" si="37"/>
        <v>44636</v>
      </c>
      <c r="K1171">
        <f t="shared" si="36"/>
        <v>16.375</v>
      </c>
    </row>
    <row r="1172" spans="1:11" x14ac:dyDescent="0.25">
      <c r="A1172">
        <v>18</v>
      </c>
      <c r="B1172" t="s">
        <v>10</v>
      </c>
      <c r="C1172">
        <v>2022</v>
      </c>
      <c r="D1172">
        <v>84.875</v>
      </c>
      <c r="E1172" t="s">
        <v>9</v>
      </c>
      <c r="F1172">
        <v>28.125</v>
      </c>
      <c r="G1172" s="1">
        <f>DATE(C1172, CHOOSE(MATCH(UPPER(B1172), {"ENERO","FEBRERO","MARZO","ABRIL","MAYO","JUNIO","JULIO","AGOSTO","SEPTIEMBRE","OCTUBRE","NOVIEMBRE","DICIEMBRE"}, 0), 1,2,3,4,5,6,7,8,9,10,11,12), A1172)</f>
        <v>44822</v>
      </c>
      <c r="H1172">
        <v>56.75</v>
      </c>
      <c r="I1172">
        <v>52000</v>
      </c>
      <c r="J1172" s="1">
        <f t="shared" si="37"/>
        <v>44637</v>
      </c>
      <c r="K1172">
        <f t="shared" si="36"/>
        <v>12.5</v>
      </c>
    </row>
    <row r="1173" spans="1:11" x14ac:dyDescent="0.25">
      <c r="A1173">
        <v>19</v>
      </c>
      <c r="B1173" t="s">
        <v>10</v>
      </c>
      <c r="C1173">
        <v>2022</v>
      </c>
      <c r="D1173">
        <v>28.125</v>
      </c>
      <c r="E1173">
        <v>100</v>
      </c>
      <c r="F1173">
        <v>117</v>
      </c>
      <c r="G1173" s="1">
        <f>DATE(C1173, CHOOSE(MATCH(UPPER(B1173), {"ENERO","FEBRERO","MARZO","ABRIL","MAYO","JUNIO","JULIO","AGOSTO","SEPTIEMBRE","OCTUBRE","NOVIEMBRE","DICIEMBRE"}, 0), 1,2,3,4,5,6,7,8,9,10,11,12), A1173)</f>
        <v>44823</v>
      </c>
      <c r="H1173">
        <v>11.125</v>
      </c>
      <c r="I1173">
        <v>52000</v>
      </c>
      <c r="J1173" s="1">
        <f t="shared" si="37"/>
        <v>44638</v>
      </c>
      <c r="K1173">
        <f t="shared" si="36"/>
        <v>27.5</v>
      </c>
    </row>
    <row r="1174" spans="1:11" x14ac:dyDescent="0.25">
      <c r="A1174">
        <v>20</v>
      </c>
      <c r="B1174" t="s">
        <v>10</v>
      </c>
      <c r="C1174">
        <v>2022</v>
      </c>
      <c r="D1174">
        <v>117</v>
      </c>
      <c r="E1174" t="s">
        <v>9</v>
      </c>
      <c r="F1174">
        <v>107.625</v>
      </c>
      <c r="G1174" s="1">
        <f>DATE(C1174, CHOOSE(MATCH(UPPER(B1174), {"ENERO","FEBRERO","MARZO","ABRIL","MAYO","JUNIO","JULIO","AGOSTO","SEPTIEMBRE","OCTUBRE","NOVIEMBRE","DICIEMBRE"}, 0), 1,2,3,4,5,6,7,8,9,10,11,12), A1174)</f>
        <v>44824</v>
      </c>
      <c r="H1174">
        <v>9.375</v>
      </c>
      <c r="I1174">
        <v>52000</v>
      </c>
      <c r="J1174" s="1">
        <f t="shared" si="37"/>
        <v>44639</v>
      </c>
      <c r="K1174">
        <f t="shared" si="36"/>
        <v>30.75</v>
      </c>
    </row>
    <row r="1175" spans="1:11" x14ac:dyDescent="0.25">
      <c r="A1175">
        <v>21</v>
      </c>
      <c r="B1175" t="s">
        <v>10</v>
      </c>
      <c r="C1175">
        <v>2022</v>
      </c>
      <c r="D1175">
        <v>107.625</v>
      </c>
      <c r="E1175">
        <v>50</v>
      </c>
      <c r="F1175">
        <v>145</v>
      </c>
      <c r="G1175" s="1">
        <f>DATE(C1175, CHOOSE(MATCH(UPPER(B1175), {"ENERO","FEBRERO","MARZO","ABRIL","MAYO","JUNIO","JULIO","AGOSTO","SEPTIEMBRE","OCTUBRE","NOVIEMBRE","DICIEMBRE"}, 0), 1,2,3,4,5,6,7,8,9,10,11,12), A1175)</f>
        <v>44825</v>
      </c>
      <c r="H1175">
        <v>12.625</v>
      </c>
      <c r="I1175">
        <v>52000</v>
      </c>
      <c r="J1175" s="1">
        <f t="shared" si="37"/>
        <v>44640</v>
      </c>
      <c r="K1175">
        <f t="shared" si="36"/>
        <v>43</v>
      </c>
    </row>
    <row r="1176" spans="1:11" x14ac:dyDescent="0.25">
      <c r="A1176">
        <v>22</v>
      </c>
      <c r="B1176" t="s">
        <v>10</v>
      </c>
      <c r="C1176">
        <v>2022</v>
      </c>
      <c r="D1176">
        <v>145</v>
      </c>
      <c r="E1176" t="s">
        <v>9</v>
      </c>
      <c r="F1176">
        <v>126.625</v>
      </c>
      <c r="G1176" s="1">
        <f>DATE(C1176, CHOOSE(MATCH(UPPER(B1176), {"ENERO","FEBRERO","MARZO","ABRIL","MAYO","JUNIO","JULIO","AGOSTO","SEPTIEMBRE","OCTUBRE","NOVIEMBRE","DICIEMBRE"}, 0), 1,2,3,4,5,6,7,8,9,10,11,12), A1176)</f>
        <v>44826</v>
      </c>
      <c r="H1176">
        <v>18.375</v>
      </c>
      <c r="I1176">
        <v>52000</v>
      </c>
      <c r="J1176" s="1">
        <f t="shared" si="37"/>
        <v>44641</v>
      </c>
      <c r="K1176">
        <f t="shared" si="36"/>
        <v>29.625</v>
      </c>
    </row>
    <row r="1177" spans="1:11" x14ac:dyDescent="0.25">
      <c r="A1177">
        <v>23</v>
      </c>
      <c r="B1177" t="s">
        <v>10</v>
      </c>
      <c r="C1177">
        <v>2022</v>
      </c>
      <c r="D1177">
        <v>126.625</v>
      </c>
      <c r="E1177" t="s">
        <v>9</v>
      </c>
      <c r="F1177">
        <v>98.5</v>
      </c>
      <c r="G1177" s="1">
        <f>DATE(C1177, CHOOSE(MATCH(UPPER(B1177), {"ENERO","FEBRERO","MARZO","ABRIL","MAYO","JUNIO","JULIO","AGOSTO","SEPTIEMBRE","OCTUBRE","NOVIEMBRE","DICIEMBRE"}, 0), 1,2,3,4,5,6,7,8,9,10,11,12), A1177)</f>
        <v>44827</v>
      </c>
      <c r="H1177">
        <v>28.125</v>
      </c>
      <c r="I1177">
        <v>52000</v>
      </c>
      <c r="J1177" s="1">
        <f t="shared" si="37"/>
        <v>44642</v>
      </c>
      <c r="K1177">
        <f t="shared" si="36"/>
        <v>16.375</v>
      </c>
    </row>
    <row r="1178" spans="1:11" x14ac:dyDescent="0.25">
      <c r="A1178">
        <v>24</v>
      </c>
      <c r="B1178" t="s">
        <v>10</v>
      </c>
      <c r="C1178">
        <v>2022</v>
      </c>
      <c r="D1178">
        <v>98.5</v>
      </c>
      <c r="E1178">
        <v>70</v>
      </c>
      <c r="F1178">
        <v>123.375</v>
      </c>
      <c r="G1178" s="1">
        <f>DATE(C1178, CHOOSE(MATCH(UPPER(B1178), {"ENERO","FEBRERO","MARZO","ABRIL","MAYO","JUNIO","JULIO","AGOSTO","SEPTIEMBRE","OCTUBRE","NOVIEMBRE","DICIEMBRE"}, 0), 1,2,3,4,5,6,7,8,9,10,11,12), A1178)</f>
        <v>44828</v>
      </c>
      <c r="H1178">
        <v>45.125</v>
      </c>
      <c r="I1178">
        <v>52000</v>
      </c>
      <c r="J1178" s="1">
        <f t="shared" si="37"/>
        <v>44643</v>
      </c>
      <c r="K1178">
        <f t="shared" si="36"/>
        <v>12.5</v>
      </c>
    </row>
    <row r="1179" spans="1:11" x14ac:dyDescent="0.25">
      <c r="A1179">
        <v>25</v>
      </c>
      <c r="B1179" t="s">
        <v>10</v>
      </c>
      <c r="C1179">
        <v>2022</v>
      </c>
      <c r="D1179">
        <v>123.375</v>
      </c>
      <c r="E1179" t="s">
        <v>9</v>
      </c>
      <c r="F1179">
        <v>83.75</v>
      </c>
      <c r="G1179" s="1">
        <f>DATE(C1179, CHOOSE(MATCH(UPPER(B1179), {"ENERO","FEBRERO","MARZO","ABRIL","MAYO","JUNIO","JULIO","AGOSTO","SEPTIEMBRE","OCTUBRE","NOVIEMBRE","DICIEMBRE"}, 0), 1,2,3,4,5,6,7,8,9,10,11,12), A1179)</f>
        <v>44829</v>
      </c>
      <c r="H1179">
        <v>39.625</v>
      </c>
      <c r="I1179">
        <v>52000</v>
      </c>
      <c r="J1179" s="1">
        <f t="shared" si="37"/>
        <v>44644</v>
      </c>
      <c r="K1179">
        <f t="shared" si="36"/>
        <v>12.5</v>
      </c>
    </row>
    <row r="1180" spans="1:11" x14ac:dyDescent="0.25">
      <c r="A1180">
        <v>26</v>
      </c>
      <c r="B1180" t="s">
        <v>10</v>
      </c>
      <c r="C1180">
        <v>2022</v>
      </c>
      <c r="D1180">
        <v>83.75</v>
      </c>
      <c r="E1180">
        <v>70</v>
      </c>
      <c r="F1180">
        <v>141.75</v>
      </c>
      <c r="G1180" s="1">
        <f>DATE(C1180, CHOOSE(MATCH(UPPER(B1180), {"ENERO","FEBRERO","MARZO","ABRIL","MAYO","JUNIO","JULIO","AGOSTO","SEPTIEMBRE","OCTUBRE","NOVIEMBRE","DICIEMBRE"}, 0), 1,2,3,4,5,6,7,8,9,10,11,12), A1180)</f>
        <v>44830</v>
      </c>
      <c r="H1180">
        <v>12</v>
      </c>
      <c r="I1180">
        <v>52000</v>
      </c>
      <c r="J1180" s="1">
        <f t="shared" si="37"/>
        <v>44645</v>
      </c>
      <c r="K1180">
        <f t="shared" si="36"/>
        <v>20.25</v>
      </c>
    </row>
    <row r="1181" spans="1:11" x14ac:dyDescent="0.25">
      <c r="A1181">
        <v>27</v>
      </c>
      <c r="B1181" t="s">
        <v>10</v>
      </c>
      <c r="C1181">
        <v>2022</v>
      </c>
      <c r="D1181">
        <v>141.75</v>
      </c>
      <c r="E1181" t="s">
        <v>9</v>
      </c>
      <c r="F1181">
        <v>120.75</v>
      </c>
      <c r="G1181" s="1">
        <f>DATE(C1181, CHOOSE(MATCH(UPPER(B1181), {"ENERO","FEBRERO","MARZO","ABRIL","MAYO","JUNIO","JULIO","AGOSTO","SEPTIEMBRE","OCTUBRE","NOVIEMBRE","DICIEMBRE"}, 0), 1,2,3,4,5,6,7,8,9,10,11,12), A1181)</f>
        <v>44831</v>
      </c>
      <c r="H1181">
        <v>21</v>
      </c>
      <c r="I1181">
        <v>52000</v>
      </c>
      <c r="J1181" s="1">
        <f t="shared" si="37"/>
        <v>44646</v>
      </c>
      <c r="K1181">
        <f t="shared" si="36"/>
        <v>30.25</v>
      </c>
    </row>
    <row r="1182" spans="1:11" x14ac:dyDescent="0.25">
      <c r="A1182">
        <v>28</v>
      </c>
      <c r="B1182" t="s">
        <v>10</v>
      </c>
      <c r="C1182">
        <v>2022</v>
      </c>
      <c r="D1182">
        <v>120.75</v>
      </c>
      <c r="E1182" t="s">
        <v>9</v>
      </c>
      <c r="F1182">
        <v>100.375</v>
      </c>
      <c r="G1182" s="1">
        <f>DATE(C1182, CHOOSE(MATCH(UPPER(B1182), {"ENERO","FEBRERO","MARZO","ABRIL","MAYO","JUNIO","JULIO","AGOSTO","SEPTIEMBRE","OCTUBRE","NOVIEMBRE","DICIEMBRE"}, 0), 1,2,3,4,5,6,7,8,9,10,11,12), A1182)</f>
        <v>44832</v>
      </c>
      <c r="H1182">
        <v>20.375</v>
      </c>
      <c r="I1182">
        <v>52000</v>
      </c>
      <c r="J1182" s="1">
        <f t="shared" si="37"/>
        <v>44647</v>
      </c>
      <c r="K1182">
        <f t="shared" si="36"/>
        <v>33.5</v>
      </c>
    </row>
    <row r="1183" spans="1:11" x14ac:dyDescent="0.25">
      <c r="A1183">
        <v>29</v>
      </c>
      <c r="B1183" t="s">
        <v>10</v>
      </c>
      <c r="C1183">
        <v>2022</v>
      </c>
      <c r="D1183">
        <v>100.375</v>
      </c>
      <c r="E1183" t="s">
        <v>9</v>
      </c>
      <c r="F1183">
        <v>84.375</v>
      </c>
      <c r="G1183" s="1">
        <f>DATE(C1183, CHOOSE(MATCH(UPPER(B1183), {"ENERO","FEBRERO","MARZO","ABRIL","MAYO","JUNIO","JULIO","AGOSTO","SEPTIEMBRE","OCTUBRE","NOVIEMBRE","DICIEMBRE"}, 0), 1,2,3,4,5,6,7,8,9,10,11,12), A1183)</f>
        <v>44833</v>
      </c>
      <c r="H1183">
        <v>16</v>
      </c>
      <c r="I1183">
        <v>52000</v>
      </c>
      <c r="J1183" s="1">
        <f t="shared" si="37"/>
        <v>44648</v>
      </c>
      <c r="K1183">
        <f t="shared" si="36"/>
        <v>13.625</v>
      </c>
    </row>
    <row r="1184" spans="1:11" x14ac:dyDescent="0.25">
      <c r="A1184">
        <v>30</v>
      </c>
      <c r="B1184" t="s">
        <v>10</v>
      </c>
      <c r="C1184">
        <v>2022</v>
      </c>
      <c r="D1184">
        <v>84.375</v>
      </c>
      <c r="E1184" t="s">
        <v>9</v>
      </c>
      <c r="F1184">
        <v>56</v>
      </c>
      <c r="G1184" s="1">
        <f>DATE(C1184, CHOOSE(MATCH(UPPER(B1184), {"ENERO","FEBRERO","MARZO","ABRIL","MAYO","JUNIO","JULIO","AGOSTO","SEPTIEMBRE","OCTUBRE","NOVIEMBRE","DICIEMBRE"}, 0), 1,2,3,4,5,6,7,8,9,10,11,12), A1184)</f>
        <v>44834</v>
      </c>
      <c r="H1184">
        <v>28.375</v>
      </c>
      <c r="I1184">
        <v>52000</v>
      </c>
      <c r="J1184" s="1">
        <f t="shared" si="37"/>
        <v>44649</v>
      </c>
      <c r="K1184">
        <f t="shared" si="36"/>
        <v>11.5</v>
      </c>
    </row>
    <row r="1185" spans="1:11" x14ac:dyDescent="0.25">
      <c r="A1185">
        <v>1</v>
      </c>
      <c r="B1185" t="s">
        <v>19</v>
      </c>
      <c r="C1185">
        <v>2022</v>
      </c>
      <c r="D1185">
        <v>104</v>
      </c>
      <c r="E1185" t="s">
        <v>9</v>
      </c>
      <c r="F1185">
        <v>91.5</v>
      </c>
      <c r="G1185" s="1">
        <f>DATE(C1185, CHOOSE(MATCH(UPPER(B1185), {"ENERO","FEBRERO","MARZO","ABRIL","MAYO","JUNIO","JULIO","AGOSTO","SEPTIEMBRE","OCTUBRE","NOVIEMBRE","DICIEMBRE"}, 0), 1,2,3,4,5,6,7,8,9,10,11,12), A1185)</f>
        <v>44866</v>
      </c>
      <c r="H1185">
        <v>12.5</v>
      </c>
      <c r="I1185">
        <v>52000</v>
      </c>
      <c r="J1185" s="1">
        <f t="shared" si="37"/>
        <v>44650</v>
      </c>
      <c r="K1185">
        <f t="shared" si="36"/>
        <v>15.375</v>
      </c>
    </row>
    <row r="1186" spans="1:11" x14ac:dyDescent="0.25">
      <c r="A1186">
        <v>2</v>
      </c>
      <c r="B1186" t="s">
        <v>19</v>
      </c>
      <c r="C1186">
        <v>2022</v>
      </c>
      <c r="D1186">
        <v>91.5</v>
      </c>
      <c r="E1186">
        <v>50</v>
      </c>
      <c r="F1186">
        <v>124.25</v>
      </c>
      <c r="G1186" s="1">
        <f>DATE(C1186, CHOOSE(MATCH(UPPER(B1186), {"ENERO","FEBRERO","MARZO","ABRIL","MAYO","JUNIO","JULIO","AGOSTO","SEPTIEMBRE","OCTUBRE","NOVIEMBRE","DICIEMBRE"}, 0), 1,2,3,4,5,6,7,8,9,10,11,12), A1186)</f>
        <v>44867</v>
      </c>
      <c r="H1186">
        <v>17.25</v>
      </c>
      <c r="I1186">
        <v>52000</v>
      </c>
      <c r="J1186" s="1">
        <f t="shared" si="37"/>
        <v>44651</v>
      </c>
      <c r="K1186">
        <f t="shared" si="36"/>
        <v>14.125</v>
      </c>
    </row>
    <row r="1187" spans="1:11" x14ac:dyDescent="0.25">
      <c r="A1187">
        <v>3</v>
      </c>
      <c r="B1187" t="s">
        <v>19</v>
      </c>
      <c r="C1187">
        <v>2022</v>
      </c>
      <c r="D1187">
        <v>124.25</v>
      </c>
      <c r="E1187" t="s">
        <v>9</v>
      </c>
      <c r="F1187">
        <v>107.125</v>
      </c>
      <c r="G1187" s="1">
        <f>DATE(C1187, CHOOSE(MATCH(UPPER(B1187), {"ENERO","FEBRERO","MARZO","ABRIL","MAYO","JUNIO","JULIO","AGOSTO","SEPTIEMBRE","OCTUBRE","NOVIEMBRE","DICIEMBRE"}, 0), 1,2,3,4,5,6,7,8,9,10,11,12), A1187)</f>
        <v>44868</v>
      </c>
      <c r="H1187">
        <v>17.125</v>
      </c>
      <c r="I1187">
        <v>52000</v>
      </c>
      <c r="J1187" s="1">
        <f t="shared" si="37"/>
        <v>44652</v>
      </c>
      <c r="K1187">
        <f t="shared" si="36"/>
        <v>26.375</v>
      </c>
    </row>
    <row r="1188" spans="1:11" x14ac:dyDescent="0.25">
      <c r="A1188">
        <v>4</v>
      </c>
      <c r="B1188" t="s">
        <v>19</v>
      </c>
      <c r="C1188">
        <v>2022</v>
      </c>
      <c r="D1188">
        <v>107.125</v>
      </c>
      <c r="E1188" t="s">
        <v>9</v>
      </c>
      <c r="F1188">
        <v>80.875</v>
      </c>
      <c r="G1188" s="1">
        <f>DATE(C1188, CHOOSE(MATCH(UPPER(B1188), {"ENERO","FEBRERO","MARZO","ABRIL","MAYO","JUNIO","JULIO","AGOSTO","SEPTIEMBRE","OCTUBRE","NOVIEMBRE","DICIEMBRE"}, 0), 1,2,3,4,5,6,7,8,9,10,11,12), A1188)</f>
        <v>44869</v>
      </c>
      <c r="H1188">
        <v>26.25</v>
      </c>
      <c r="I1188">
        <v>52000</v>
      </c>
      <c r="J1188" s="1">
        <f t="shared" si="37"/>
        <v>44653</v>
      </c>
      <c r="K1188">
        <f t="shared" si="36"/>
        <v>32.25</v>
      </c>
    </row>
    <row r="1189" spans="1:11" x14ac:dyDescent="0.25">
      <c r="A1189">
        <v>5</v>
      </c>
      <c r="B1189" t="s">
        <v>19</v>
      </c>
      <c r="C1189">
        <v>2022</v>
      </c>
      <c r="D1189">
        <v>80.875</v>
      </c>
      <c r="E1189">
        <v>60</v>
      </c>
      <c r="F1189">
        <v>97</v>
      </c>
      <c r="G1189" s="1">
        <f>DATE(C1189, CHOOSE(MATCH(UPPER(B1189), {"ENERO","FEBRERO","MARZO","ABRIL","MAYO","JUNIO","JULIO","AGOSTO","SEPTIEMBRE","OCTUBRE","NOVIEMBRE","DICIEMBRE"}, 0), 1,2,3,4,5,6,7,8,9,10,11,12), A1189)</f>
        <v>44870</v>
      </c>
      <c r="H1189">
        <v>43.875</v>
      </c>
      <c r="I1189">
        <v>52000</v>
      </c>
      <c r="J1189" s="1">
        <f t="shared" si="37"/>
        <v>44654</v>
      </c>
      <c r="K1189">
        <f t="shared" si="36"/>
        <v>39</v>
      </c>
    </row>
    <row r="1190" spans="1:11" x14ac:dyDescent="0.25">
      <c r="A1190">
        <v>6</v>
      </c>
      <c r="B1190" t="s">
        <v>19</v>
      </c>
      <c r="C1190">
        <v>2022</v>
      </c>
      <c r="D1190">
        <v>97</v>
      </c>
      <c r="E1190" t="s">
        <v>9</v>
      </c>
      <c r="F1190">
        <v>55.5</v>
      </c>
      <c r="G1190" s="1">
        <f>DATE(C1190, CHOOSE(MATCH(UPPER(B1190), {"ENERO","FEBRERO","MARZO","ABRIL","MAYO","JUNIO","JULIO","AGOSTO","SEPTIEMBRE","OCTUBRE","NOVIEMBRE","DICIEMBRE"}, 0), 1,2,3,4,5,6,7,8,9,10,11,12), A1190)</f>
        <v>44871</v>
      </c>
      <c r="H1190">
        <v>41.5</v>
      </c>
      <c r="I1190">
        <v>52000</v>
      </c>
      <c r="J1190" s="1">
        <f t="shared" si="37"/>
        <v>44655</v>
      </c>
      <c r="K1190">
        <f t="shared" si="36"/>
        <v>12.5</v>
      </c>
    </row>
    <row r="1191" spans="1:11" x14ac:dyDescent="0.25">
      <c r="A1191">
        <v>7</v>
      </c>
      <c r="B1191" t="s">
        <v>19</v>
      </c>
      <c r="C1191">
        <v>2022</v>
      </c>
      <c r="D1191">
        <v>55.5</v>
      </c>
      <c r="E1191">
        <v>90</v>
      </c>
      <c r="F1191">
        <v>109.125</v>
      </c>
      <c r="G1191" s="1">
        <f>DATE(C1191, CHOOSE(MATCH(UPPER(B1191), {"ENERO","FEBRERO","MARZO","ABRIL","MAYO","JUNIO","JULIO","AGOSTO","SEPTIEMBRE","OCTUBRE","NOVIEMBRE","DICIEMBRE"}, 0), 1,2,3,4,5,6,7,8,9,10,11,12), A1191)</f>
        <v>44872</v>
      </c>
      <c r="H1191">
        <v>36.375</v>
      </c>
      <c r="I1191">
        <v>52000</v>
      </c>
      <c r="J1191" s="1">
        <f t="shared" si="37"/>
        <v>44656</v>
      </c>
      <c r="K1191">
        <f t="shared" si="36"/>
        <v>9.875</v>
      </c>
    </row>
    <row r="1192" spans="1:11" x14ac:dyDescent="0.25">
      <c r="A1192">
        <v>8</v>
      </c>
      <c r="B1192" t="s">
        <v>19</v>
      </c>
      <c r="C1192">
        <v>2022</v>
      </c>
      <c r="D1192">
        <v>109.125</v>
      </c>
      <c r="E1192" t="s">
        <v>9</v>
      </c>
      <c r="F1192">
        <v>99</v>
      </c>
      <c r="G1192" s="1">
        <f>DATE(C1192, CHOOSE(MATCH(UPPER(B1192), {"ENERO","FEBRERO","MARZO","ABRIL","MAYO","JUNIO","JULIO","AGOSTO","SEPTIEMBRE","OCTUBRE","NOVIEMBRE","DICIEMBRE"}, 0), 1,2,3,4,5,6,7,8,9,10,11,12), A1192)</f>
        <v>44873</v>
      </c>
      <c r="H1192">
        <v>10.125</v>
      </c>
      <c r="I1192">
        <v>52000</v>
      </c>
      <c r="J1192" s="1">
        <f t="shared" si="37"/>
        <v>44657</v>
      </c>
      <c r="K1192">
        <f t="shared" si="36"/>
        <v>13.25</v>
      </c>
    </row>
    <row r="1193" spans="1:11" x14ac:dyDescent="0.25">
      <c r="A1193">
        <v>9</v>
      </c>
      <c r="B1193" t="s">
        <v>19</v>
      </c>
      <c r="C1193">
        <v>2022</v>
      </c>
      <c r="D1193">
        <v>99</v>
      </c>
      <c r="E1193">
        <v>60</v>
      </c>
      <c r="F1193">
        <v>140.125</v>
      </c>
      <c r="G1193" s="1">
        <f>DATE(C1193, CHOOSE(MATCH(UPPER(B1193), {"ENERO","FEBRERO","MARZO","ABRIL","MAYO","JUNIO","JULIO","AGOSTO","SEPTIEMBRE","OCTUBRE","NOVIEMBRE","DICIEMBRE"}, 0), 1,2,3,4,5,6,7,8,9,10,11,12), A1193)</f>
        <v>44874</v>
      </c>
      <c r="H1193">
        <v>18.875</v>
      </c>
      <c r="I1193">
        <v>52000</v>
      </c>
      <c r="J1193" s="1">
        <f t="shared" si="37"/>
        <v>44658</v>
      </c>
      <c r="K1193">
        <f t="shared" si="36"/>
        <v>14.875</v>
      </c>
    </row>
    <row r="1194" spans="1:11" x14ac:dyDescent="0.25">
      <c r="A1194">
        <v>10</v>
      </c>
      <c r="B1194" t="s">
        <v>19</v>
      </c>
      <c r="C1194">
        <v>2022</v>
      </c>
      <c r="D1194">
        <v>140.125</v>
      </c>
      <c r="E1194" t="s">
        <v>9</v>
      </c>
      <c r="F1194">
        <v>122.875</v>
      </c>
      <c r="G1194" s="1">
        <f>DATE(C1194, CHOOSE(MATCH(UPPER(B1194), {"ENERO","FEBRERO","MARZO","ABRIL","MAYO","JUNIO","JULIO","AGOSTO","SEPTIEMBRE","OCTUBRE","NOVIEMBRE","DICIEMBRE"}, 0), 1,2,3,4,5,6,7,8,9,10,11,12), A1194)</f>
        <v>44875</v>
      </c>
      <c r="H1194">
        <v>17.25</v>
      </c>
      <c r="I1194">
        <v>52000</v>
      </c>
      <c r="J1194" s="1">
        <f t="shared" si="37"/>
        <v>44659</v>
      </c>
      <c r="K1194">
        <f t="shared" si="36"/>
        <v>23.25</v>
      </c>
    </row>
    <row r="1195" spans="1:11" x14ac:dyDescent="0.25">
      <c r="A1195">
        <v>11</v>
      </c>
      <c r="B1195" t="s">
        <v>19</v>
      </c>
      <c r="C1195">
        <v>2022</v>
      </c>
      <c r="D1195">
        <v>122.875</v>
      </c>
      <c r="E1195" t="s">
        <v>9</v>
      </c>
      <c r="F1195">
        <v>99.25</v>
      </c>
      <c r="G1195" s="1">
        <f>DATE(C1195, CHOOSE(MATCH(UPPER(B1195), {"ENERO","FEBRERO","MARZO","ABRIL","MAYO","JUNIO","JULIO","AGOSTO","SEPTIEMBRE","OCTUBRE","NOVIEMBRE","DICIEMBRE"}, 0), 1,2,3,4,5,6,7,8,9,10,11,12), A1195)</f>
        <v>44876</v>
      </c>
      <c r="H1195">
        <v>23.625</v>
      </c>
      <c r="I1195">
        <v>52000</v>
      </c>
      <c r="J1195" s="1">
        <f t="shared" si="37"/>
        <v>44660</v>
      </c>
      <c r="K1195">
        <f t="shared" si="36"/>
        <v>41.75</v>
      </c>
    </row>
    <row r="1196" spans="1:11" x14ac:dyDescent="0.25">
      <c r="A1196">
        <v>12</v>
      </c>
      <c r="B1196" t="s">
        <v>19</v>
      </c>
      <c r="C1196">
        <v>2022</v>
      </c>
      <c r="D1196">
        <v>99.25</v>
      </c>
      <c r="E1196">
        <v>60</v>
      </c>
      <c r="F1196">
        <v>112.5</v>
      </c>
      <c r="G1196" s="1">
        <f>DATE(C1196, CHOOSE(MATCH(UPPER(B1196), {"ENERO","FEBRERO","MARZO","ABRIL","MAYO","JUNIO","JULIO","AGOSTO","SEPTIEMBRE","OCTUBRE","NOVIEMBRE","DICIEMBRE"}, 0), 1,2,3,4,5,6,7,8,9,10,11,12), A1196)</f>
        <v>44877</v>
      </c>
      <c r="H1196">
        <v>46.75</v>
      </c>
      <c r="I1196">
        <v>52000</v>
      </c>
      <c r="J1196" s="1">
        <f t="shared" si="37"/>
        <v>44661</v>
      </c>
      <c r="K1196">
        <f t="shared" si="36"/>
        <v>44.5</v>
      </c>
    </row>
    <row r="1197" spans="1:11" x14ac:dyDescent="0.25">
      <c r="A1197">
        <v>13</v>
      </c>
      <c r="B1197" t="s">
        <v>19</v>
      </c>
      <c r="C1197">
        <v>2022</v>
      </c>
      <c r="D1197">
        <v>112.5</v>
      </c>
      <c r="E1197" t="s">
        <v>9</v>
      </c>
      <c r="F1197">
        <v>63</v>
      </c>
      <c r="G1197" s="1">
        <f>DATE(C1197, CHOOSE(MATCH(UPPER(B1197), {"ENERO","FEBRERO","MARZO","ABRIL","MAYO","JUNIO","JULIO","AGOSTO","SEPTIEMBRE","OCTUBRE","NOVIEMBRE","DICIEMBRE"}, 0), 1,2,3,4,5,6,7,8,9,10,11,12), A1197)</f>
        <v>44878</v>
      </c>
      <c r="H1197">
        <v>49.5</v>
      </c>
      <c r="I1197">
        <v>52000</v>
      </c>
      <c r="J1197" s="1">
        <f t="shared" si="37"/>
        <v>44662</v>
      </c>
      <c r="K1197">
        <f t="shared" si="36"/>
        <v>22.875</v>
      </c>
    </row>
    <row r="1198" spans="1:11" x14ac:dyDescent="0.25">
      <c r="A1198">
        <v>14</v>
      </c>
      <c r="B1198" t="s">
        <v>19</v>
      </c>
      <c r="C1198">
        <v>2022</v>
      </c>
      <c r="D1198">
        <v>63</v>
      </c>
      <c r="E1198">
        <v>80</v>
      </c>
      <c r="F1198">
        <v>97.875</v>
      </c>
      <c r="G1198" s="1">
        <f>DATE(C1198, CHOOSE(MATCH(UPPER(B1198), {"ENERO","FEBRERO","MARZO","ABRIL","MAYO","JUNIO","JULIO","AGOSTO","SEPTIEMBRE","OCTUBRE","NOVIEMBRE","DICIEMBRE"}, 0), 1,2,3,4,5,6,7,8,9,10,11,12), A1198)</f>
        <v>44879</v>
      </c>
      <c r="H1198">
        <v>45.125</v>
      </c>
      <c r="I1198">
        <v>52000</v>
      </c>
      <c r="J1198" s="1">
        <f t="shared" si="37"/>
        <v>44663</v>
      </c>
      <c r="K1198">
        <f t="shared" si="36"/>
        <v>37</v>
      </c>
    </row>
    <row r="1199" spans="1:11" x14ac:dyDescent="0.25">
      <c r="A1199">
        <v>15</v>
      </c>
      <c r="B1199" t="s">
        <v>19</v>
      </c>
      <c r="C1199">
        <v>2022</v>
      </c>
      <c r="D1199">
        <v>97.875</v>
      </c>
      <c r="E1199" t="s">
        <v>9</v>
      </c>
      <c r="F1199">
        <v>83.75</v>
      </c>
      <c r="G1199" s="1">
        <f>DATE(C1199, CHOOSE(MATCH(UPPER(B1199), {"ENERO","FEBRERO","MARZO","ABRIL","MAYO","JUNIO","JULIO","AGOSTO","SEPTIEMBRE","OCTUBRE","NOVIEMBRE","DICIEMBRE"}, 0), 1,2,3,4,5,6,7,8,9,10,11,12), A1199)</f>
        <v>44880</v>
      </c>
      <c r="H1199">
        <v>14.125</v>
      </c>
      <c r="I1199">
        <v>52000</v>
      </c>
      <c r="J1199" s="1">
        <f t="shared" si="37"/>
        <v>44664</v>
      </c>
      <c r="K1199">
        <f t="shared" si="36"/>
        <v>23.375</v>
      </c>
    </row>
    <row r="1200" spans="1:11" x14ac:dyDescent="0.25">
      <c r="A1200">
        <v>16</v>
      </c>
      <c r="B1200" t="s">
        <v>19</v>
      </c>
      <c r="C1200">
        <v>2022</v>
      </c>
      <c r="D1200">
        <v>83.75</v>
      </c>
      <c r="E1200">
        <v>70</v>
      </c>
      <c r="F1200">
        <v>132</v>
      </c>
      <c r="G1200" s="1">
        <f>DATE(C1200, CHOOSE(MATCH(UPPER(B1200), {"ENERO","FEBRERO","MARZO","ABRIL","MAYO","JUNIO","JULIO","AGOSTO","SEPTIEMBRE","OCTUBRE","NOVIEMBRE","DICIEMBRE"}, 0), 1,2,3,4,5,6,7,8,9,10,11,12), A1200)</f>
        <v>44881</v>
      </c>
      <c r="H1200">
        <v>21.75</v>
      </c>
      <c r="I1200">
        <v>52000</v>
      </c>
      <c r="J1200" s="1">
        <f t="shared" si="37"/>
        <v>44665</v>
      </c>
      <c r="K1200">
        <f t="shared" si="36"/>
        <v>35</v>
      </c>
    </row>
    <row r="1201" spans="1:11" x14ac:dyDescent="0.25">
      <c r="A1201">
        <v>17</v>
      </c>
      <c r="B1201" t="s">
        <v>19</v>
      </c>
      <c r="C1201">
        <v>2022</v>
      </c>
      <c r="D1201">
        <v>132</v>
      </c>
      <c r="E1201" t="s">
        <v>9</v>
      </c>
      <c r="F1201">
        <v>113.875</v>
      </c>
      <c r="G1201" s="1">
        <f>DATE(C1201, CHOOSE(MATCH(UPPER(B1201), {"ENERO","FEBRERO","MARZO","ABRIL","MAYO","JUNIO","JULIO","AGOSTO","SEPTIEMBRE","OCTUBRE","NOVIEMBRE","DICIEMBRE"}, 0), 1,2,3,4,5,6,7,8,9,10,11,12), A1201)</f>
        <v>44882</v>
      </c>
      <c r="H1201">
        <v>18.125</v>
      </c>
      <c r="I1201">
        <v>52000</v>
      </c>
      <c r="J1201" s="1">
        <f t="shared" si="37"/>
        <v>44666</v>
      </c>
      <c r="K1201">
        <f t="shared" si="36"/>
        <v>36.375</v>
      </c>
    </row>
    <row r="1202" spans="1:11" x14ac:dyDescent="0.25">
      <c r="A1202">
        <v>18</v>
      </c>
      <c r="B1202" t="s">
        <v>19</v>
      </c>
      <c r="C1202">
        <v>2022</v>
      </c>
      <c r="D1202">
        <v>113.875</v>
      </c>
      <c r="E1202" t="s">
        <v>9</v>
      </c>
      <c r="F1202">
        <v>86.375</v>
      </c>
      <c r="G1202" s="1">
        <f>DATE(C1202, CHOOSE(MATCH(UPPER(B1202), {"ENERO","FEBRERO","MARZO","ABRIL","MAYO","JUNIO","JULIO","AGOSTO","SEPTIEMBRE","OCTUBRE","NOVIEMBRE","DICIEMBRE"}, 0), 1,2,3,4,5,6,7,8,9,10,11,12), A1202)</f>
        <v>44883</v>
      </c>
      <c r="H1202">
        <v>27.5</v>
      </c>
      <c r="I1202">
        <v>52000</v>
      </c>
      <c r="J1202" s="1">
        <f t="shared" si="37"/>
        <v>44667</v>
      </c>
      <c r="K1202">
        <f t="shared" si="36"/>
        <v>30.125</v>
      </c>
    </row>
    <row r="1203" spans="1:11" x14ac:dyDescent="0.25">
      <c r="A1203">
        <v>19</v>
      </c>
      <c r="B1203" t="s">
        <v>19</v>
      </c>
      <c r="C1203">
        <v>2022</v>
      </c>
      <c r="D1203">
        <v>86.375</v>
      </c>
      <c r="E1203">
        <v>70</v>
      </c>
      <c r="F1203">
        <v>113.125</v>
      </c>
      <c r="G1203" s="1">
        <f>DATE(C1203, CHOOSE(MATCH(UPPER(B1203), {"ENERO","FEBRERO","MARZO","ABRIL","MAYO","JUNIO","JULIO","AGOSTO","SEPTIEMBRE","OCTUBRE","NOVIEMBRE","DICIEMBRE"}, 0), 1,2,3,4,5,6,7,8,9,10,11,12), A1203)</f>
        <v>44884</v>
      </c>
      <c r="H1203">
        <v>43.25</v>
      </c>
      <c r="I1203">
        <v>52000</v>
      </c>
      <c r="J1203" s="1">
        <f t="shared" si="37"/>
        <v>44668</v>
      </c>
      <c r="K1203">
        <f t="shared" si="36"/>
        <v>39</v>
      </c>
    </row>
    <row r="1204" spans="1:11" x14ac:dyDescent="0.25">
      <c r="A1204">
        <v>20</v>
      </c>
      <c r="B1204" t="s">
        <v>19</v>
      </c>
      <c r="C1204">
        <v>2022</v>
      </c>
      <c r="D1204">
        <v>113.125</v>
      </c>
      <c r="E1204" t="s">
        <v>9</v>
      </c>
      <c r="F1204">
        <v>61.25</v>
      </c>
      <c r="G1204" s="1">
        <f>DATE(C1204, CHOOSE(MATCH(UPPER(B1204), {"ENERO","FEBRERO","MARZO","ABRIL","MAYO","JUNIO","JULIO","AGOSTO","SEPTIEMBRE","OCTUBRE","NOVIEMBRE","DICIEMBRE"}, 0), 1,2,3,4,5,6,7,8,9,10,11,12), A1204)</f>
        <v>44885</v>
      </c>
      <c r="H1204">
        <v>51.875</v>
      </c>
      <c r="I1204">
        <v>52000</v>
      </c>
      <c r="J1204" s="1">
        <f t="shared" si="37"/>
        <v>44669</v>
      </c>
      <c r="K1204">
        <f t="shared" si="36"/>
        <v>12</v>
      </c>
    </row>
    <row r="1205" spans="1:11" x14ac:dyDescent="0.25">
      <c r="A1205">
        <v>21</v>
      </c>
      <c r="B1205" t="s">
        <v>19</v>
      </c>
      <c r="C1205">
        <v>2022</v>
      </c>
      <c r="D1205">
        <v>61.25</v>
      </c>
      <c r="E1205">
        <v>70</v>
      </c>
      <c r="F1205">
        <v>121</v>
      </c>
      <c r="G1205" s="1">
        <f>DATE(C1205, CHOOSE(MATCH(UPPER(B1205), {"ENERO","FEBRERO","MARZO","ABRIL","MAYO","JUNIO","JULIO","AGOSTO","SEPTIEMBRE","OCTUBRE","NOVIEMBRE","DICIEMBRE"}, 0), 1,2,3,4,5,6,7,8,9,10,11,12), A1205)</f>
        <v>44886</v>
      </c>
      <c r="H1205">
        <v>10.25</v>
      </c>
      <c r="I1205">
        <v>52000</v>
      </c>
      <c r="J1205" s="1">
        <f t="shared" si="37"/>
        <v>44670</v>
      </c>
      <c r="K1205">
        <f t="shared" si="36"/>
        <v>9.875</v>
      </c>
    </row>
    <row r="1206" spans="1:11" x14ac:dyDescent="0.25">
      <c r="A1206">
        <v>22</v>
      </c>
      <c r="B1206" t="s">
        <v>19</v>
      </c>
      <c r="C1206">
        <v>2022</v>
      </c>
      <c r="D1206">
        <v>121</v>
      </c>
      <c r="E1206" t="s">
        <v>9</v>
      </c>
      <c r="F1206">
        <v>106.125</v>
      </c>
      <c r="G1206" s="1">
        <f>DATE(C1206, CHOOSE(MATCH(UPPER(B1206), {"ENERO","FEBRERO","MARZO","ABRIL","MAYO","JUNIO","JULIO","AGOSTO","SEPTIEMBRE","OCTUBRE","NOVIEMBRE","DICIEMBRE"}, 0), 1,2,3,4,5,6,7,8,9,10,11,12), A1206)</f>
        <v>44887</v>
      </c>
      <c r="H1206">
        <v>14.875</v>
      </c>
      <c r="I1206">
        <v>52000</v>
      </c>
      <c r="J1206" s="1">
        <f t="shared" si="37"/>
        <v>44671</v>
      </c>
      <c r="K1206">
        <f t="shared" si="36"/>
        <v>16.375</v>
      </c>
    </row>
    <row r="1207" spans="1:11" x14ac:dyDescent="0.25">
      <c r="A1207">
        <v>23</v>
      </c>
      <c r="B1207" t="s">
        <v>19</v>
      </c>
      <c r="C1207">
        <v>2022</v>
      </c>
      <c r="D1207">
        <v>106.125</v>
      </c>
      <c r="E1207">
        <v>100</v>
      </c>
      <c r="F1207">
        <v>190.25</v>
      </c>
      <c r="G1207" s="1">
        <f>DATE(C1207, CHOOSE(MATCH(UPPER(B1207), {"ENERO","FEBRERO","MARZO","ABRIL","MAYO","JUNIO","JULIO","AGOSTO","SEPTIEMBRE","OCTUBRE","NOVIEMBRE","DICIEMBRE"}, 0), 1,2,3,4,5,6,7,8,9,10,11,12), A1207)</f>
        <v>44888</v>
      </c>
      <c r="H1207">
        <v>15.875</v>
      </c>
      <c r="I1207">
        <v>52000</v>
      </c>
      <c r="J1207" s="1">
        <f t="shared" si="37"/>
        <v>44672</v>
      </c>
      <c r="K1207">
        <f t="shared" si="36"/>
        <v>14.5</v>
      </c>
    </row>
    <row r="1208" spans="1:11" x14ac:dyDescent="0.25">
      <c r="A1208">
        <v>24</v>
      </c>
      <c r="B1208" t="s">
        <v>19</v>
      </c>
      <c r="C1208">
        <v>2022</v>
      </c>
      <c r="D1208">
        <v>190.25</v>
      </c>
      <c r="E1208" t="s">
        <v>9</v>
      </c>
      <c r="F1208">
        <v>176.375</v>
      </c>
      <c r="G1208" s="1">
        <f>DATE(C1208, CHOOSE(MATCH(UPPER(B1208), {"ENERO","FEBRERO","MARZO","ABRIL","MAYO","JUNIO","JULIO","AGOSTO","SEPTIEMBRE","OCTUBRE","NOVIEMBRE","DICIEMBRE"}, 0), 1,2,3,4,5,6,7,8,9,10,11,12), A1208)</f>
        <v>44889</v>
      </c>
      <c r="H1208">
        <v>13.875</v>
      </c>
      <c r="I1208">
        <v>52000</v>
      </c>
      <c r="J1208" s="1">
        <f t="shared" si="37"/>
        <v>44673</v>
      </c>
      <c r="K1208">
        <f t="shared" si="36"/>
        <v>24.75</v>
      </c>
    </row>
    <row r="1209" spans="1:11" x14ac:dyDescent="0.25">
      <c r="A1209">
        <v>25</v>
      </c>
      <c r="B1209" t="s">
        <v>19</v>
      </c>
      <c r="C1209">
        <v>2022</v>
      </c>
      <c r="D1209">
        <v>176.375</v>
      </c>
      <c r="E1209" t="s">
        <v>9</v>
      </c>
      <c r="F1209">
        <v>135.75</v>
      </c>
      <c r="G1209" s="1">
        <f>DATE(C1209, CHOOSE(MATCH(UPPER(B1209), {"ENERO","FEBRERO","MARZO","ABRIL","MAYO","JUNIO","JULIO","AGOSTO","SEPTIEMBRE","OCTUBRE","NOVIEMBRE","DICIEMBRE"}, 0), 1,2,3,4,5,6,7,8,9,10,11,12), A1209)</f>
        <v>44890</v>
      </c>
      <c r="H1209">
        <v>40.625</v>
      </c>
      <c r="I1209">
        <v>52000</v>
      </c>
      <c r="J1209" s="1">
        <f t="shared" si="37"/>
        <v>44674</v>
      </c>
      <c r="K1209">
        <f t="shared" si="36"/>
        <v>36.25</v>
      </c>
    </row>
    <row r="1210" spans="1:11" x14ac:dyDescent="0.25">
      <c r="A1210">
        <v>26</v>
      </c>
      <c r="B1210" t="s">
        <v>19</v>
      </c>
      <c r="C1210">
        <v>2022</v>
      </c>
      <c r="D1210">
        <v>135.75</v>
      </c>
      <c r="E1210" t="s">
        <v>9</v>
      </c>
      <c r="F1210">
        <v>95.625</v>
      </c>
      <c r="G1210" s="1">
        <f>DATE(C1210, CHOOSE(MATCH(UPPER(B1210), {"ENERO","FEBRERO","MARZO","ABRIL","MAYO","JUNIO","JULIO","AGOSTO","SEPTIEMBRE","OCTUBRE","NOVIEMBRE","DICIEMBRE"}, 0), 1,2,3,4,5,6,7,8,9,10,11,12), A1210)</f>
        <v>44891</v>
      </c>
      <c r="H1210">
        <v>40.125</v>
      </c>
      <c r="I1210">
        <v>52000</v>
      </c>
      <c r="J1210" s="1">
        <f t="shared" si="37"/>
        <v>44675</v>
      </c>
      <c r="K1210">
        <f t="shared" si="36"/>
        <v>45.5</v>
      </c>
    </row>
    <row r="1211" spans="1:11" x14ac:dyDescent="0.25">
      <c r="A1211">
        <v>27</v>
      </c>
      <c r="B1211" t="s">
        <v>19</v>
      </c>
      <c r="C1211">
        <v>2022</v>
      </c>
      <c r="D1211">
        <v>95.625</v>
      </c>
      <c r="E1211" t="s">
        <v>9</v>
      </c>
      <c r="F1211">
        <v>57.75</v>
      </c>
      <c r="G1211" s="1">
        <f>DATE(C1211, CHOOSE(MATCH(UPPER(B1211), {"ENERO","FEBRERO","MARZO","ABRIL","MAYO","JUNIO","JULIO","AGOSTO","SEPTIEMBRE","OCTUBRE","NOVIEMBRE","DICIEMBRE"}, 0), 1,2,3,4,5,6,7,8,9,10,11,12), A1211)</f>
        <v>44892</v>
      </c>
      <c r="H1211">
        <v>37.875</v>
      </c>
      <c r="I1211">
        <v>52000</v>
      </c>
      <c r="J1211" s="1">
        <f t="shared" si="37"/>
        <v>44676</v>
      </c>
      <c r="K1211">
        <f t="shared" si="36"/>
        <v>12.25</v>
      </c>
    </row>
    <row r="1212" spans="1:11" x14ac:dyDescent="0.25">
      <c r="A1212">
        <v>28</v>
      </c>
      <c r="B1212" t="s">
        <v>19</v>
      </c>
      <c r="C1212">
        <v>2022</v>
      </c>
      <c r="D1212">
        <v>57.75</v>
      </c>
      <c r="E1212">
        <v>70</v>
      </c>
      <c r="F1212">
        <v>121</v>
      </c>
      <c r="G1212" s="1">
        <f>DATE(C1212, CHOOSE(MATCH(UPPER(B1212), {"ENERO","FEBRERO","MARZO","ABRIL","MAYO","JUNIO","JULIO","AGOSTO","SEPTIEMBRE","OCTUBRE","NOVIEMBRE","DICIEMBRE"}, 0), 1,2,3,4,5,6,7,8,9,10,11,12), A1212)</f>
        <v>44893</v>
      </c>
      <c r="H1212">
        <v>6.75</v>
      </c>
      <c r="I1212">
        <v>52000</v>
      </c>
      <c r="J1212" s="1">
        <f t="shared" si="37"/>
        <v>44677</v>
      </c>
      <c r="K1212">
        <f t="shared" si="36"/>
        <v>10.375</v>
      </c>
    </row>
    <row r="1213" spans="1:11" x14ac:dyDescent="0.25">
      <c r="A1213">
        <v>29</v>
      </c>
      <c r="B1213" t="s">
        <v>19</v>
      </c>
      <c r="C1213">
        <v>2022</v>
      </c>
      <c r="D1213">
        <v>121</v>
      </c>
      <c r="E1213" t="s">
        <v>9</v>
      </c>
      <c r="F1213">
        <v>106.875</v>
      </c>
      <c r="G1213" s="1">
        <f>DATE(C1213, CHOOSE(MATCH(UPPER(B1213), {"ENERO","FEBRERO","MARZO","ABRIL","MAYO","JUNIO","JULIO","AGOSTO","SEPTIEMBRE","OCTUBRE","NOVIEMBRE","DICIEMBRE"}, 0), 1,2,3,4,5,6,7,8,9,10,11,12), A1213)</f>
        <v>44894</v>
      </c>
      <c r="H1213">
        <v>14.125</v>
      </c>
      <c r="I1213">
        <v>52000</v>
      </c>
      <c r="J1213" s="1">
        <f t="shared" si="37"/>
        <v>44678</v>
      </c>
      <c r="K1213">
        <f t="shared" si="36"/>
        <v>14.125</v>
      </c>
    </row>
    <row r="1214" spans="1:11" x14ac:dyDescent="0.25">
      <c r="A1214">
        <v>30</v>
      </c>
      <c r="B1214" t="s">
        <v>19</v>
      </c>
      <c r="C1214">
        <v>2022</v>
      </c>
      <c r="D1214">
        <v>106.875</v>
      </c>
      <c r="E1214">
        <v>30</v>
      </c>
      <c r="F1214">
        <v>118.75</v>
      </c>
      <c r="G1214" s="1">
        <f>DATE(C1214, CHOOSE(MATCH(UPPER(B1214), {"ENERO","FEBRERO","MARZO","ABRIL","MAYO","JUNIO","JULIO","AGOSTO","SEPTIEMBRE","OCTUBRE","NOVIEMBRE","DICIEMBRE"}, 0), 1,2,3,4,5,6,7,8,9,10,11,12), A1214)</f>
        <v>44895</v>
      </c>
      <c r="H1214">
        <v>18.125</v>
      </c>
      <c r="I1214">
        <v>52000</v>
      </c>
      <c r="J1214" s="1">
        <f t="shared" si="37"/>
        <v>44679</v>
      </c>
      <c r="K1214">
        <f t="shared" si="36"/>
        <v>13.75</v>
      </c>
    </row>
    <row r="1215" spans="1:11" x14ac:dyDescent="0.25">
      <c r="A1215">
        <v>1</v>
      </c>
      <c r="B1215" t="s">
        <v>20</v>
      </c>
      <c r="C1215">
        <v>2022</v>
      </c>
      <c r="D1215">
        <v>118.75</v>
      </c>
      <c r="E1215" t="s">
        <v>9</v>
      </c>
      <c r="F1215">
        <v>102.25</v>
      </c>
      <c r="G1215" s="1">
        <f>DATE(C1215, CHOOSE(MATCH(UPPER(B1215), {"ENERO","FEBRERO","MARZO","ABRIL","MAYO","JUNIO","JULIO","AGOSTO","SEPTIEMBRE","OCTUBRE","NOVIEMBRE","DICIEMBRE"}, 0), 1,2,3,4,5,6,7,8,9,10,11,12), A1215)</f>
        <v>44896</v>
      </c>
      <c r="H1215">
        <v>16.5</v>
      </c>
      <c r="I1215">
        <v>52000</v>
      </c>
      <c r="J1215" s="1">
        <f t="shared" si="37"/>
        <v>44680</v>
      </c>
      <c r="K1215">
        <f t="shared" si="36"/>
        <v>22</v>
      </c>
    </row>
    <row r="1216" spans="1:11" x14ac:dyDescent="0.25">
      <c r="A1216">
        <v>2</v>
      </c>
      <c r="B1216" t="s">
        <v>20</v>
      </c>
      <c r="C1216">
        <v>2022</v>
      </c>
      <c r="D1216">
        <v>102.25</v>
      </c>
      <c r="E1216" t="s">
        <v>9</v>
      </c>
      <c r="F1216">
        <v>83.75</v>
      </c>
      <c r="G1216" s="1">
        <f>DATE(C1216, CHOOSE(MATCH(UPPER(B1216), {"ENERO","FEBRERO","MARZO","ABRIL","MAYO","JUNIO","JULIO","AGOSTO","SEPTIEMBRE","OCTUBRE","NOVIEMBRE","DICIEMBRE"}, 0), 1,2,3,4,5,6,7,8,9,10,11,12), A1216)</f>
        <v>44897</v>
      </c>
      <c r="H1216">
        <v>18.5</v>
      </c>
      <c r="I1216">
        <v>52000</v>
      </c>
      <c r="J1216" s="1">
        <f t="shared" si="37"/>
        <v>44681</v>
      </c>
      <c r="K1216">
        <f t="shared" si="36"/>
        <v>54</v>
      </c>
    </row>
    <row r="1217" spans="1:11" x14ac:dyDescent="0.25">
      <c r="A1217">
        <v>3</v>
      </c>
      <c r="B1217" t="s">
        <v>20</v>
      </c>
      <c r="C1217">
        <v>2022</v>
      </c>
      <c r="D1217">
        <v>83.75</v>
      </c>
      <c r="E1217">
        <v>60</v>
      </c>
      <c r="F1217">
        <v>116</v>
      </c>
      <c r="G1217" s="1">
        <f>DATE(C1217, CHOOSE(MATCH(UPPER(B1217), {"ENERO","FEBRERO","MARZO","ABRIL","MAYO","JUNIO","JULIO","AGOSTO","SEPTIEMBRE","OCTUBRE","NOVIEMBRE","DICIEMBRE"}, 0), 1,2,3,4,5,6,7,8,9,10,11,12), A1217)</f>
        <v>44898</v>
      </c>
      <c r="H1217">
        <v>27.75</v>
      </c>
      <c r="I1217">
        <v>52000</v>
      </c>
      <c r="J1217" s="1">
        <f t="shared" si="37"/>
        <v>44682</v>
      </c>
      <c r="K1217">
        <f t="shared" si="36"/>
        <v>39.75</v>
      </c>
    </row>
    <row r="1218" spans="1:11" x14ac:dyDescent="0.25">
      <c r="A1218">
        <v>4</v>
      </c>
      <c r="B1218" t="s">
        <v>20</v>
      </c>
      <c r="C1218">
        <v>2022</v>
      </c>
      <c r="D1218">
        <v>116</v>
      </c>
      <c r="E1218" t="s">
        <v>9</v>
      </c>
      <c r="F1218">
        <v>90.5</v>
      </c>
      <c r="G1218" s="1">
        <f>DATE(C1218, CHOOSE(MATCH(UPPER(B1218), {"ENERO","FEBRERO","MARZO","ABRIL","MAYO","JUNIO","JULIO","AGOSTO","SEPTIEMBRE","OCTUBRE","NOVIEMBRE","DICIEMBRE"}, 0), 1,2,3,4,5,6,7,8,9,10,11,12), A1218)</f>
        <v>44899</v>
      </c>
      <c r="H1218">
        <v>25.5</v>
      </c>
      <c r="I1218">
        <v>52000</v>
      </c>
      <c r="J1218" s="1">
        <f t="shared" si="37"/>
        <v>44683</v>
      </c>
      <c r="K1218">
        <f t="shared" ref="K1218:K1281" si="38">VLOOKUP(J1218, G:H, 2, FALSE)</f>
        <v>12.75</v>
      </c>
    </row>
    <row r="1219" spans="1:11" x14ac:dyDescent="0.25">
      <c r="A1219">
        <v>5</v>
      </c>
      <c r="B1219" t="s">
        <v>20</v>
      </c>
      <c r="C1219">
        <v>2022</v>
      </c>
      <c r="D1219">
        <v>90.5</v>
      </c>
      <c r="E1219">
        <v>50</v>
      </c>
      <c r="F1219">
        <v>127.125</v>
      </c>
      <c r="G1219" s="1">
        <f>DATE(C1219, CHOOSE(MATCH(UPPER(B1219), {"ENERO","FEBRERO","MARZO","ABRIL","MAYO","JUNIO","JULIO","AGOSTO","SEPTIEMBRE","OCTUBRE","NOVIEMBRE","DICIEMBRE"}, 0), 1,2,3,4,5,6,7,8,9,10,11,12), A1219)</f>
        <v>44900</v>
      </c>
      <c r="H1219">
        <v>13.375</v>
      </c>
      <c r="I1219">
        <v>52000</v>
      </c>
      <c r="J1219" s="1">
        <f t="shared" si="37"/>
        <v>44684</v>
      </c>
      <c r="K1219">
        <f t="shared" si="38"/>
        <v>14.875</v>
      </c>
    </row>
    <row r="1220" spans="1:11" x14ac:dyDescent="0.25">
      <c r="A1220">
        <v>6</v>
      </c>
      <c r="B1220" t="s">
        <v>20</v>
      </c>
      <c r="C1220">
        <v>2022</v>
      </c>
      <c r="D1220">
        <v>127.125</v>
      </c>
      <c r="E1220" t="s">
        <v>9</v>
      </c>
      <c r="F1220">
        <v>111.5</v>
      </c>
      <c r="G1220" s="1">
        <f>DATE(C1220, CHOOSE(MATCH(UPPER(B1220), {"ENERO","FEBRERO","MARZO","ABRIL","MAYO","JUNIO","JULIO","AGOSTO","SEPTIEMBRE","OCTUBRE","NOVIEMBRE","DICIEMBRE"}, 0), 1,2,3,4,5,6,7,8,9,10,11,12), A1220)</f>
        <v>44901</v>
      </c>
      <c r="H1220">
        <v>15.625</v>
      </c>
      <c r="I1220">
        <v>52000</v>
      </c>
      <c r="J1220" s="1">
        <f t="shared" ref="J1220:J1283" si="39">DATE(2019,1,1) + ROW()-1</f>
        <v>44685</v>
      </c>
      <c r="K1220">
        <f t="shared" si="38"/>
        <v>23.125</v>
      </c>
    </row>
    <row r="1221" spans="1:11" x14ac:dyDescent="0.25">
      <c r="A1221">
        <v>7</v>
      </c>
      <c r="B1221" t="s">
        <v>20</v>
      </c>
      <c r="C1221">
        <v>2022</v>
      </c>
      <c r="D1221">
        <v>111.5</v>
      </c>
      <c r="E1221">
        <v>50</v>
      </c>
      <c r="F1221">
        <v>123.875</v>
      </c>
      <c r="G1221" s="1">
        <f>DATE(C1221, CHOOSE(MATCH(UPPER(B1221), {"ENERO","FEBRERO","MARZO","ABRIL","MAYO","JUNIO","JULIO","AGOSTO","SEPTIEMBRE","OCTUBRE","NOVIEMBRE","DICIEMBRE"}, 0), 1,2,3,4,5,6,7,8,9,10,11,12), A1221)</f>
        <v>44902</v>
      </c>
      <c r="H1221">
        <v>37.625</v>
      </c>
      <c r="I1221">
        <v>52000</v>
      </c>
      <c r="J1221" s="1">
        <f t="shared" si="39"/>
        <v>44686</v>
      </c>
      <c r="K1221">
        <f t="shared" si="38"/>
        <v>29.375</v>
      </c>
    </row>
    <row r="1222" spans="1:11" x14ac:dyDescent="0.25">
      <c r="A1222">
        <v>8</v>
      </c>
      <c r="B1222" t="s">
        <v>20</v>
      </c>
      <c r="C1222">
        <v>2022</v>
      </c>
      <c r="D1222">
        <v>123.875</v>
      </c>
      <c r="E1222" t="s">
        <v>9</v>
      </c>
      <c r="F1222">
        <v>75.75</v>
      </c>
      <c r="G1222" s="1">
        <f>DATE(C1222, CHOOSE(MATCH(UPPER(B1222), {"ENERO","FEBRERO","MARZO","ABRIL","MAYO","JUNIO","JULIO","AGOSTO","SEPTIEMBRE","OCTUBRE","NOVIEMBRE","DICIEMBRE"}, 0), 1,2,3,4,5,6,7,8,9,10,11,12), A1222)</f>
        <v>44903</v>
      </c>
      <c r="H1222">
        <v>48.125</v>
      </c>
      <c r="I1222">
        <v>52000</v>
      </c>
      <c r="J1222" s="1">
        <f t="shared" si="39"/>
        <v>44687</v>
      </c>
      <c r="K1222">
        <f t="shared" si="38"/>
        <v>26.875</v>
      </c>
    </row>
    <row r="1223" spans="1:11" x14ac:dyDescent="0.25">
      <c r="A1223">
        <v>9</v>
      </c>
      <c r="B1223" t="s">
        <v>20</v>
      </c>
      <c r="C1223">
        <v>2022</v>
      </c>
      <c r="D1223">
        <v>75.75</v>
      </c>
      <c r="E1223" t="s">
        <v>9</v>
      </c>
      <c r="F1223">
        <v>48.625</v>
      </c>
      <c r="G1223" s="1">
        <f>DATE(C1223, CHOOSE(MATCH(UPPER(B1223), {"ENERO","FEBRERO","MARZO","ABRIL","MAYO","JUNIO","JULIO","AGOSTO","SEPTIEMBRE","OCTUBRE","NOVIEMBRE","DICIEMBRE"}, 0), 1,2,3,4,5,6,7,8,9,10,11,12), A1223)</f>
        <v>44904</v>
      </c>
      <c r="H1223">
        <v>27.125</v>
      </c>
      <c r="I1223">
        <v>52000</v>
      </c>
      <c r="J1223" s="1">
        <f t="shared" si="39"/>
        <v>44688</v>
      </c>
      <c r="K1223">
        <f t="shared" si="38"/>
        <v>40.125</v>
      </c>
    </row>
    <row r="1224" spans="1:11" x14ac:dyDescent="0.25">
      <c r="A1224">
        <v>10</v>
      </c>
      <c r="B1224" t="s">
        <v>20</v>
      </c>
      <c r="C1224">
        <v>2022</v>
      </c>
      <c r="D1224">
        <v>48.625</v>
      </c>
      <c r="E1224">
        <v>80</v>
      </c>
      <c r="F1224">
        <v>63.5</v>
      </c>
      <c r="G1224" s="1">
        <f>DATE(C1224, CHOOSE(MATCH(UPPER(B1224), {"ENERO","FEBRERO","MARZO","ABRIL","MAYO","JUNIO","JULIO","AGOSTO","SEPTIEMBRE","OCTUBRE","NOVIEMBRE","DICIEMBRE"}, 0), 1,2,3,4,5,6,7,8,9,10,11,12), A1224)</f>
        <v>44905</v>
      </c>
      <c r="H1224">
        <v>65.125</v>
      </c>
      <c r="I1224">
        <v>52000</v>
      </c>
      <c r="J1224" s="1">
        <f t="shared" si="39"/>
        <v>44689</v>
      </c>
      <c r="K1224">
        <f t="shared" si="38"/>
        <v>43.875</v>
      </c>
    </row>
    <row r="1225" spans="1:11" x14ac:dyDescent="0.25">
      <c r="A1225">
        <v>11</v>
      </c>
      <c r="B1225" t="s">
        <v>20</v>
      </c>
      <c r="C1225">
        <v>2022</v>
      </c>
      <c r="D1225">
        <v>63.5</v>
      </c>
      <c r="E1225">
        <v>30</v>
      </c>
      <c r="F1225">
        <v>38.375</v>
      </c>
      <c r="G1225" s="1">
        <f>DATE(C1225, CHOOSE(MATCH(UPPER(B1225), {"ENERO","FEBRERO","MARZO","ABRIL","MAYO","JUNIO","JULIO","AGOSTO","SEPTIEMBRE","OCTUBRE","NOVIEMBRE","DICIEMBRE"}, 0), 1,2,3,4,5,6,7,8,9,10,11,12), A1225)</f>
        <v>44906</v>
      </c>
      <c r="H1225">
        <v>55.125</v>
      </c>
      <c r="I1225">
        <v>52000</v>
      </c>
      <c r="J1225" s="1">
        <f t="shared" si="39"/>
        <v>44690</v>
      </c>
      <c r="K1225">
        <f t="shared" si="38"/>
        <v>11.625</v>
      </c>
    </row>
    <row r="1226" spans="1:11" x14ac:dyDescent="0.25">
      <c r="A1226">
        <v>12</v>
      </c>
      <c r="B1226" t="s">
        <v>20</v>
      </c>
      <c r="C1226">
        <v>2022</v>
      </c>
      <c r="D1226">
        <v>38.375</v>
      </c>
      <c r="E1226">
        <v>90</v>
      </c>
      <c r="F1226">
        <v>114.75</v>
      </c>
      <c r="G1226" s="1">
        <f>DATE(C1226, CHOOSE(MATCH(UPPER(B1226), {"ENERO","FEBRERO","MARZO","ABRIL","MAYO","JUNIO","JULIO","AGOSTO","SEPTIEMBRE","OCTUBRE","NOVIEMBRE","DICIEMBRE"}, 0), 1,2,3,4,5,6,7,8,9,10,11,12), A1226)</f>
        <v>44907</v>
      </c>
      <c r="H1226">
        <v>13.625</v>
      </c>
      <c r="I1226">
        <v>52000</v>
      </c>
      <c r="J1226" s="1">
        <f t="shared" si="39"/>
        <v>44691</v>
      </c>
      <c r="K1226">
        <f t="shared" si="38"/>
        <v>12.125</v>
      </c>
    </row>
    <row r="1227" spans="1:11" x14ac:dyDescent="0.25">
      <c r="A1227">
        <v>13</v>
      </c>
      <c r="B1227" t="s">
        <v>20</v>
      </c>
      <c r="C1227">
        <v>2022</v>
      </c>
      <c r="D1227">
        <v>114.75</v>
      </c>
      <c r="E1227" t="s">
        <v>9</v>
      </c>
      <c r="F1227">
        <v>85.75</v>
      </c>
      <c r="G1227" s="1">
        <f>DATE(C1227, CHOOSE(MATCH(UPPER(B1227), {"ENERO","FEBRERO","MARZO","ABRIL","MAYO","JUNIO","JULIO","AGOSTO","SEPTIEMBRE","OCTUBRE","NOVIEMBRE","DICIEMBRE"}, 0), 1,2,3,4,5,6,7,8,9,10,11,12), A1227)</f>
        <v>44908</v>
      </c>
      <c r="H1227">
        <v>29</v>
      </c>
      <c r="I1227">
        <v>52000</v>
      </c>
      <c r="J1227" s="1">
        <f t="shared" si="39"/>
        <v>44692</v>
      </c>
      <c r="K1227">
        <f t="shared" si="38"/>
        <v>23.75</v>
      </c>
    </row>
    <row r="1228" spans="1:11" x14ac:dyDescent="0.25">
      <c r="A1228">
        <v>14</v>
      </c>
      <c r="B1228" t="s">
        <v>20</v>
      </c>
      <c r="C1228">
        <v>2022</v>
      </c>
      <c r="D1228">
        <v>85.75</v>
      </c>
      <c r="E1228">
        <v>80</v>
      </c>
      <c r="F1228">
        <v>139</v>
      </c>
      <c r="G1228" s="1">
        <f>DATE(C1228, CHOOSE(MATCH(UPPER(B1228), {"ENERO","FEBRERO","MARZO","ABRIL","MAYO","JUNIO","JULIO","AGOSTO","SEPTIEMBRE","OCTUBRE","NOVIEMBRE","DICIEMBRE"}, 0), 1,2,3,4,5,6,7,8,9,10,11,12), A1228)</f>
        <v>44909</v>
      </c>
      <c r="H1228">
        <v>26.75</v>
      </c>
      <c r="I1228">
        <v>52000</v>
      </c>
      <c r="J1228" s="1">
        <f t="shared" si="39"/>
        <v>44693</v>
      </c>
      <c r="K1228">
        <f t="shared" si="38"/>
        <v>18.25</v>
      </c>
    </row>
    <row r="1229" spans="1:11" x14ac:dyDescent="0.25">
      <c r="A1229">
        <v>15</v>
      </c>
      <c r="B1229" t="s">
        <v>20</v>
      </c>
      <c r="C1229">
        <v>2022</v>
      </c>
      <c r="D1229">
        <v>139</v>
      </c>
      <c r="E1229" t="s">
        <v>9</v>
      </c>
      <c r="F1229">
        <v>100.125</v>
      </c>
      <c r="G1229" s="1">
        <f>DATE(C1229, CHOOSE(MATCH(UPPER(B1229), {"ENERO","FEBRERO","MARZO","ABRIL","MAYO","JUNIO","JULIO","AGOSTO","SEPTIEMBRE","OCTUBRE","NOVIEMBRE","DICIEMBRE"}, 0), 1,2,3,4,5,6,7,8,9,10,11,12), A1229)</f>
        <v>44910</v>
      </c>
      <c r="H1229">
        <v>38.875</v>
      </c>
      <c r="I1229">
        <v>52000</v>
      </c>
      <c r="J1229" s="1">
        <f t="shared" si="39"/>
        <v>44694</v>
      </c>
      <c r="K1229">
        <f t="shared" si="38"/>
        <v>29.25</v>
      </c>
    </row>
    <row r="1230" spans="1:11" x14ac:dyDescent="0.25">
      <c r="A1230">
        <v>16</v>
      </c>
      <c r="B1230" t="s">
        <v>20</v>
      </c>
      <c r="C1230">
        <v>2022</v>
      </c>
      <c r="D1230">
        <v>100.125</v>
      </c>
      <c r="E1230" t="s">
        <v>9</v>
      </c>
      <c r="F1230">
        <v>66.75</v>
      </c>
      <c r="G1230" s="1">
        <f>DATE(C1230, CHOOSE(MATCH(UPPER(B1230), {"ENERO","FEBRERO","MARZO","ABRIL","MAYO","JUNIO","JULIO","AGOSTO","SEPTIEMBRE","OCTUBRE","NOVIEMBRE","DICIEMBRE"}, 0), 1,2,3,4,5,6,7,8,9,10,11,12), A1230)</f>
        <v>44911</v>
      </c>
      <c r="H1230">
        <v>33.375</v>
      </c>
      <c r="I1230">
        <v>52000</v>
      </c>
      <c r="J1230" s="1">
        <f t="shared" si="39"/>
        <v>44695</v>
      </c>
      <c r="K1230">
        <f t="shared" si="38"/>
        <v>34</v>
      </c>
    </row>
    <row r="1231" spans="1:11" x14ac:dyDescent="0.25">
      <c r="A1231">
        <v>17</v>
      </c>
      <c r="B1231" t="s">
        <v>20</v>
      </c>
      <c r="C1231">
        <v>2022</v>
      </c>
      <c r="D1231">
        <v>66.75</v>
      </c>
      <c r="E1231">
        <v>100</v>
      </c>
      <c r="F1231">
        <v>122.875</v>
      </c>
      <c r="G1231" s="1">
        <f>DATE(C1231, CHOOSE(MATCH(UPPER(B1231), {"ENERO","FEBRERO","MARZO","ABRIL","MAYO","JUNIO","JULIO","AGOSTO","SEPTIEMBRE","OCTUBRE","NOVIEMBRE","DICIEMBRE"}, 0), 1,2,3,4,5,6,7,8,9,10,11,12), A1231)</f>
        <v>44912</v>
      </c>
      <c r="H1231">
        <v>43.875</v>
      </c>
      <c r="I1231">
        <v>52000</v>
      </c>
      <c r="J1231" s="1">
        <f t="shared" si="39"/>
        <v>44696</v>
      </c>
      <c r="K1231">
        <f t="shared" si="38"/>
        <v>41.875</v>
      </c>
    </row>
    <row r="1232" spans="1:11" x14ac:dyDescent="0.25">
      <c r="A1232">
        <v>18</v>
      </c>
      <c r="B1232" t="s">
        <v>20</v>
      </c>
      <c r="C1232">
        <v>2022</v>
      </c>
      <c r="D1232">
        <v>122.875</v>
      </c>
      <c r="E1232" t="s">
        <v>9</v>
      </c>
      <c r="F1232">
        <v>60.125</v>
      </c>
      <c r="G1232" s="1">
        <f>DATE(C1232, CHOOSE(MATCH(UPPER(B1232), {"ENERO","FEBRERO","MARZO","ABRIL","MAYO","JUNIO","JULIO","AGOSTO","SEPTIEMBRE","OCTUBRE","NOVIEMBRE","DICIEMBRE"}, 0), 1,2,3,4,5,6,7,8,9,10,11,12), A1232)</f>
        <v>44913</v>
      </c>
      <c r="H1232">
        <v>62.75</v>
      </c>
      <c r="I1232">
        <v>52000</v>
      </c>
      <c r="J1232" s="1">
        <f t="shared" si="39"/>
        <v>44697</v>
      </c>
      <c r="K1232">
        <f t="shared" si="38"/>
        <v>10.375</v>
      </c>
    </row>
    <row r="1233" spans="1:11" x14ac:dyDescent="0.25">
      <c r="A1233">
        <v>19</v>
      </c>
      <c r="B1233" t="s">
        <v>20</v>
      </c>
      <c r="C1233">
        <v>2022</v>
      </c>
      <c r="D1233">
        <v>60.125</v>
      </c>
      <c r="E1233">
        <v>90</v>
      </c>
      <c r="F1233">
        <v>124.625</v>
      </c>
      <c r="G1233" s="1">
        <f>DATE(C1233, CHOOSE(MATCH(UPPER(B1233), {"ENERO","FEBRERO","MARZO","ABRIL","MAYO","JUNIO","JULIO","AGOSTO","SEPTIEMBRE","OCTUBRE","NOVIEMBRE","DICIEMBRE"}, 0), 1,2,3,4,5,6,7,8,9,10,11,12), A1233)</f>
        <v>44914</v>
      </c>
      <c r="H1233">
        <v>25.5</v>
      </c>
      <c r="I1233">
        <v>52000</v>
      </c>
      <c r="J1233" s="1">
        <f t="shared" si="39"/>
        <v>44698</v>
      </c>
      <c r="K1233">
        <f t="shared" si="38"/>
        <v>11.125</v>
      </c>
    </row>
    <row r="1234" spans="1:11" x14ac:dyDescent="0.25">
      <c r="A1234">
        <v>20</v>
      </c>
      <c r="B1234" t="s">
        <v>20</v>
      </c>
      <c r="C1234">
        <v>2022</v>
      </c>
      <c r="D1234">
        <v>124.625</v>
      </c>
      <c r="E1234" t="s">
        <v>9</v>
      </c>
      <c r="F1234">
        <v>87.625</v>
      </c>
      <c r="G1234" s="1">
        <f>DATE(C1234, CHOOSE(MATCH(UPPER(B1234), {"ENERO","FEBRERO","MARZO","ABRIL","MAYO","JUNIO","JULIO","AGOSTO","SEPTIEMBRE","OCTUBRE","NOVIEMBRE","DICIEMBRE"}, 0), 1,2,3,4,5,6,7,8,9,10,11,12), A1234)</f>
        <v>44915</v>
      </c>
      <c r="H1234">
        <v>37</v>
      </c>
      <c r="I1234">
        <v>52000</v>
      </c>
      <c r="J1234" s="1">
        <f t="shared" si="39"/>
        <v>44699</v>
      </c>
      <c r="K1234">
        <f t="shared" si="38"/>
        <v>21.625</v>
      </c>
    </row>
    <row r="1235" spans="1:11" x14ac:dyDescent="0.25">
      <c r="A1235">
        <v>21</v>
      </c>
      <c r="B1235" t="s">
        <v>20</v>
      </c>
      <c r="C1235">
        <v>2022</v>
      </c>
      <c r="D1235">
        <v>87.625</v>
      </c>
      <c r="E1235">
        <v>70</v>
      </c>
      <c r="F1235">
        <v>112.125</v>
      </c>
      <c r="G1235" s="1">
        <f>DATE(C1235, CHOOSE(MATCH(UPPER(B1235), {"ENERO","FEBRERO","MARZO","ABRIL","MAYO","JUNIO","JULIO","AGOSTO","SEPTIEMBRE","OCTUBRE","NOVIEMBRE","DICIEMBRE"}, 0), 1,2,3,4,5,6,7,8,9,10,11,12), A1235)</f>
        <v>44916</v>
      </c>
      <c r="H1235">
        <v>45.5</v>
      </c>
      <c r="I1235">
        <v>52000</v>
      </c>
      <c r="J1235" s="1">
        <f t="shared" si="39"/>
        <v>44700</v>
      </c>
      <c r="K1235">
        <f t="shared" si="38"/>
        <v>12.75</v>
      </c>
    </row>
    <row r="1236" spans="1:11" x14ac:dyDescent="0.25">
      <c r="A1236">
        <v>22</v>
      </c>
      <c r="B1236" t="s">
        <v>20</v>
      </c>
      <c r="C1236">
        <v>2022</v>
      </c>
      <c r="D1236">
        <v>112.125</v>
      </c>
      <c r="E1236" t="s">
        <v>9</v>
      </c>
      <c r="F1236">
        <v>64.5</v>
      </c>
      <c r="G1236" s="1">
        <f>DATE(C1236, CHOOSE(MATCH(UPPER(B1236), {"ENERO","FEBRERO","MARZO","ABRIL","MAYO","JUNIO","JULIO","AGOSTO","SEPTIEMBRE","OCTUBRE","NOVIEMBRE","DICIEMBRE"}, 0), 1,2,3,4,5,6,7,8,9,10,11,12), A1236)</f>
        <v>44917</v>
      </c>
      <c r="H1236">
        <v>47.625</v>
      </c>
      <c r="I1236">
        <v>52000</v>
      </c>
      <c r="J1236" s="1">
        <f t="shared" si="39"/>
        <v>44701</v>
      </c>
      <c r="K1236">
        <f t="shared" si="38"/>
        <v>27.75</v>
      </c>
    </row>
    <row r="1237" spans="1:11" x14ac:dyDescent="0.25">
      <c r="A1237">
        <v>23</v>
      </c>
      <c r="B1237" t="s">
        <v>20</v>
      </c>
      <c r="C1237">
        <v>2022</v>
      </c>
      <c r="D1237">
        <v>64.5</v>
      </c>
      <c r="E1237">
        <v>100</v>
      </c>
      <c r="F1237">
        <v>121.625</v>
      </c>
      <c r="G1237" s="1">
        <f>DATE(C1237, CHOOSE(MATCH(UPPER(B1237), {"ENERO","FEBRERO","MARZO","ABRIL","MAYO","JUNIO","JULIO","AGOSTO","SEPTIEMBRE","OCTUBRE","NOVIEMBRE","DICIEMBRE"}, 0), 1,2,3,4,5,6,7,8,9,10,11,12), A1237)</f>
        <v>44918</v>
      </c>
      <c r="H1237">
        <v>42.875</v>
      </c>
      <c r="I1237">
        <v>52000</v>
      </c>
      <c r="J1237" s="1">
        <f t="shared" si="39"/>
        <v>44702</v>
      </c>
      <c r="K1237">
        <f t="shared" si="38"/>
        <v>42.375</v>
      </c>
    </row>
    <row r="1238" spans="1:11" x14ac:dyDescent="0.25">
      <c r="A1238">
        <v>24</v>
      </c>
      <c r="B1238" t="s">
        <v>20</v>
      </c>
      <c r="C1238">
        <v>2022</v>
      </c>
      <c r="D1238">
        <v>121.625</v>
      </c>
      <c r="E1238" t="s">
        <v>9</v>
      </c>
      <c r="F1238">
        <v>103.875</v>
      </c>
      <c r="G1238" s="1">
        <f>DATE(C1238, CHOOSE(MATCH(UPPER(B1238), {"ENERO","FEBRERO","MARZO","ABRIL","MAYO","JUNIO","JULIO","AGOSTO","SEPTIEMBRE","OCTUBRE","NOVIEMBRE","DICIEMBRE"}, 0), 1,2,3,4,5,6,7,8,9,10,11,12), A1238)</f>
        <v>44919</v>
      </c>
      <c r="H1238">
        <v>17.75</v>
      </c>
      <c r="I1238">
        <v>52000</v>
      </c>
      <c r="J1238" s="1">
        <f t="shared" si="39"/>
        <v>44703</v>
      </c>
      <c r="K1238">
        <f t="shared" si="38"/>
        <v>55.25</v>
      </c>
    </row>
    <row r="1239" spans="1:11" x14ac:dyDescent="0.25">
      <c r="A1239">
        <v>25</v>
      </c>
      <c r="B1239" t="s">
        <v>20</v>
      </c>
      <c r="C1239">
        <v>2022</v>
      </c>
      <c r="D1239">
        <v>103.875</v>
      </c>
      <c r="E1239" t="s">
        <v>9</v>
      </c>
      <c r="F1239">
        <v>42.75</v>
      </c>
      <c r="G1239" s="1">
        <f>DATE(C1239, CHOOSE(MATCH(UPPER(B1239), {"ENERO","FEBRERO","MARZO","ABRIL","MAYO","JUNIO","JULIO","AGOSTO","SEPTIEMBRE","OCTUBRE","NOVIEMBRE","DICIEMBRE"}, 0), 1,2,3,4,5,6,7,8,9,10,11,12), A1239)</f>
        <v>44920</v>
      </c>
      <c r="H1239">
        <v>61.125</v>
      </c>
      <c r="I1239">
        <v>52000</v>
      </c>
      <c r="J1239" s="1">
        <f t="shared" si="39"/>
        <v>44704</v>
      </c>
      <c r="K1239">
        <f t="shared" si="38"/>
        <v>9.625</v>
      </c>
    </row>
    <row r="1240" spans="1:11" x14ac:dyDescent="0.25">
      <c r="A1240">
        <v>26</v>
      </c>
      <c r="B1240" t="s">
        <v>20</v>
      </c>
      <c r="C1240">
        <v>2022</v>
      </c>
      <c r="D1240">
        <v>42.75</v>
      </c>
      <c r="E1240">
        <v>90</v>
      </c>
      <c r="F1240">
        <v>81</v>
      </c>
      <c r="G1240" s="1">
        <f>DATE(C1240, CHOOSE(MATCH(UPPER(B1240), {"ENERO","FEBRERO","MARZO","ABRIL","MAYO","JUNIO","JULIO","AGOSTO","SEPTIEMBRE","OCTUBRE","NOVIEMBRE","DICIEMBRE"}, 0), 1,2,3,4,5,6,7,8,9,10,11,12), A1240)</f>
        <v>44921</v>
      </c>
      <c r="H1240">
        <v>51.75</v>
      </c>
      <c r="I1240">
        <v>52000</v>
      </c>
      <c r="J1240" s="1">
        <f t="shared" si="39"/>
        <v>44705</v>
      </c>
      <c r="K1240">
        <f t="shared" si="38"/>
        <v>13.25</v>
      </c>
    </row>
    <row r="1241" spans="1:11" x14ac:dyDescent="0.25">
      <c r="A1241">
        <v>27</v>
      </c>
      <c r="B1241" t="s">
        <v>20</v>
      </c>
      <c r="C1241">
        <v>2022</v>
      </c>
      <c r="D1241">
        <v>81</v>
      </c>
      <c r="E1241" t="s">
        <v>9</v>
      </c>
      <c r="F1241">
        <v>44.75</v>
      </c>
      <c r="G1241" s="1">
        <f>DATE(C1241, CHOOSE(MATCH(UPPER(B1241), {"ENERO","FEBRERO","MARZO","ABRIL","MAYO","JUNIO","JULIO","AGOSTO","SEPTIEMBRE","OCTUBRE","NOVIEMBRE","DICIEMBRE"}, 0), 1,2,3,4,5,6,7,8,9,10,11,12), A1241)</f>
        <v>44922</v>
      </c>
      <c r="H1241">
        <v>36.25</v>
      </c>
      <c r="I1241">
        <v>52000</v>
      </c>
      <c r="J1241" s="1">
        <f t="shared" si="39"/>
        <v>44706</v>
      </c>
      <c r="K1241">
        <f t="shared" si="38"/>
        <v>14.625</v>
      </c>
    </row>
    <row r="1242" spans="1:11" x14ac:dyDescent="0.25">
      <c r="A1242">
        <v>28</v>
      </c>
      <c r="B1242" t="s">
        <v>20</v>
      </c>
      <c r="C1242">
        <v>2022</v>
      </c>
      <c r="D1242">
        <v>44.75</v>
      </c>
      <c r="E1242">
        <v>120</v>
      </c>
      <c r="F1242">
        <v>102.25</v>
      </c>
      <c r="G1242" s="1">
        <f>DATE(C1242, CHOOSE(MATCH(UPPER(B1242), {"ENERO","FEBRERO","MARZO","ABRIL","MAYO","JUNIO","JULIO","AGOSTO","SEPTIEMBRE","OCTUBRE","NOVIEMBRE","DICIEMBRE"}, 0), 1,2,3,4,5,6,7,8,9,10,11,12), A1242)</f>
        <v>44923</v>
      </c>
      <c r="H1242">
        <v>62.5</v>
      </c>
      <c r="I1242">
        <v>52000</v>
      </c>
      <c r="J1242" s="1">
        <f t="shared" si="39"/>
        <v>44707</v>
      </c>
      <c r="K1242">
        <f t="shared" si="38"/>
        <v>20.625</v>
      </c>
    </row>
    <row r="1243" spans="1:11" x14ac:dyDescent="0.25">
      <c r="A1243">
        <v>29</v>
      </c>
      <c r="B1243" t="s">
        <v>20</v>
      </c>
      <c r="C1243">
        <v>2022</v>
      </c>
      <c r="D1243">
        <v>102.25</v>
      </c>
      <c r="E1243" t="s">
        <v>9</v>
      </c>
      <c r="F1243">
        <v>64.375</v>
      </c>
      <c r="G1243" s="1">
        <f>DATE(C1243, CHOOSE(MATCH(UPPER(B1243), {"ENERO","FEBRERO","MARZO","ABRIL","MAYO","JUNIO","JULIO","AGOSTO","SEPTIEMBRE","OCTUBRE","NOVIEMBRE","DICIEMBRE"}, 0), 1,2,3,4,5,6,7,8,9,10,11,12), A1243)</f>
        <v>44924</v>
      </c>
      <c r="H1243">
        <v>37.875</v>
      </c>
      <c r="I1243">
        <v>52000</v>
      </c>
      <c r="J1243" s="1">
        <f t="shared" si="39"/>
        <v>44708</v>
      </c>
      <c r="K1243">
        <f t="shared" si="38"/>
        <v>20.25</v>
      </c>
    </row>
    <row r="1244" spans="1:11" x14ac:dyDescent="0.25">
      <c r="A1244">
        <v>30</v>
      </c>
      <c r="B1244" t="s">
        <v>20</v>
      </c>
      <c r="C1244">
        <v>2022</v>
      </c>
      <c r="D1244">
        <v>64.375</v>
      </c>
      <c r="E1244" t="s">
        <v>9</v>
      </c>
      <c r="F1244">
        <v>24.625</v>
      </c>
      <c r="G1244" s="1">
        <f>DATE(C1244, CHOOSE(MATCH(UPPER(B1244), {"ENERO","FEBRERO","MARZO","ABRIL","MAYO","JUNIO","JULIO","AGOSTO","SEPTIEMBRE","OCTUBRE","NOVIEMBRE","DICIEMBRE"}, 0), 1,2,3,4,5,6,7,8,9,10,11,12), A1244)</f>
        <v>44925</v>
      </c>
      <c r="H1244">
        <v>39.75</v>
      </c>
      <c r="I1244">
        <v>52000</v>
      </c>
      <c r="J1244" s="1">
        <f t="shared" si="39"/>
        <v>44709</v>
      </c>
      <c r="K1244">
        <f t="shared" si="38"/>
        <v>46.375</v>
      </c>
    </row>
    <row r="1245" spans="1:11" x14ac:dyDescent="0.25">
      <c r="A1245">
        <v>31</v>
      </c>
      <c r="B1245" t="s">
        <v>20</v>
      </c>
      <c r="C1245">
        <v>2022</v>
      </c>
      <c r="D1245">
        <v>24.625</v>
      </c>
      <c r="E1245">
        <v>120</v>
      </c>
      <c r="F1245">
        <v>115.875</v>
      </c>
      <c r="G1245" s="1">
        <f>DATE(C1245, CHOOSE(MATCH(UPPER(B1245), {"ENERO","FEBRERO","MARZO","ABRIL","MAYO","JUNIO","JULIO","AGOSTO","SEPTIEMBRE","OCTUBRE","NOVIEMBRE","DICIEMBRE"}, 0), 1,2,3,4,5,6,7,8,9,10,11,12), A1245)</f>
        <v>44926</v>
      </c>
      <c r="H1245">
        <v>28.75</v>
      </c>
      <c r="I1245">
        <v>52000</v>
      </c>
      <c r="J1245" s="1">
        <f t="shared" si="39"/>
        <v>44710</v>
      </c>
      <c r="K1245">
        <f t="shared" si="38"/>
        <v>43</v>
      </c>
    </row>
    <row r="1246" spans="1:11" x14ac:dyDescent="0.25">
      <c r="A1246">
        <v>1</v>
      </c>
      <c r="B1246" t="s">
        <v>26</v>
      </c>
      <c r="C1246">
        <v>2023</v>
      </c>
      <c r="D1246">
        <v>115.875</v>
      </c>
      <c r="E1246" t="s">
        <v>9</v>
      </c>
      <c r="F1246">
        <v>50.25</v>
      </c>
      <c r="G1246" s="1">
        <f>DATE(C1246, CHOOSE(MATCH(UPPER(B1246), {"ENERO","FEBRERO","MARZO","ABRIL","MAYO","JUNIO","JULIO","AGOSTO","SEPTIEMBRE","OCTUBRE","NOVIEMBRE","DICIEMBRE"}, 0), 1,2,3,4,5,6,7,8,9,10,11,12), A1246)</f>
        <v>44927</v>
      </c>
      <c r="H1246">
        <v>65.625</v>
      </c>
      <c r="I1246">
        <v>56000</v>
      </c>
      <c r="J1246" s="1">
        <f t="shared" si="39"/>
        <v>44711</v>
      </c>
      <c r="K1246">
        <f t="shared" si="38"/>
        <v>35.125</v>
      </c>
    </row>
    <row r="1247" spans="1:11" x14ac:dyDescent="0.25">
      <c r="A1247">
        <v>2</v>
      </c>
      <c r="B1247" t="s">
        <v>26</v>
      </c>
      <c r="C1247">
        <v>2023</v>
      </c>
      <c r="D1247">
        <v>50.25</v>
      </c>
      <c r="E1247">
        <v>70</v>
      </c>
      <c r="F1247">
        <v>73.5</v>
      </c>
      <c r="G1247" s="1">
        <f>DATE(C1247, CHOOSE(MATCH(UPPER(B1247), {"ENERO","FEBRERO","MARZO","ABRIL","MAYO","JUNIO","JULIO","AGOSTO","SEPTIEMBRE","OCTUBRE","NOVIEMBRE","DICIEMBRE"}, 0), 1,2,3,4,5,6,7,8,9,10,11,12), A1247)</f>
        <v>44928</v>
      </c>
      <c r="H1247">
        <v>46.75</v>
      </c>
      <c r="I1247">
        <v>56000</v>
      </c>
      <c r="J1247" s="1">
        <f t="shared" si="39"/>
        <v>44712</v>
      </c>
      <c r="K1247">
        <f t="shared" si="38"/>
        <v>13.125</v>
      </c>
    </row>
    <row r="1248" spans="1:11" x14ac:dyDescent="0.25">
      <c r="A1248">
        <v>3</v>
      </c>
      <c r="B1248" t="s">
        <v>26</v>
      </c>
      <c r="C1248">
        <v>2023</v>
      </c>
      <c r="D1248">
        <v>73.5</v>
      </c>
      <c r="E1248" t="s">
        <v>9</v>
      </c>
      <c r="F1248">
        <v>24.875</v>
      </c>
      <c r="G1248" s="1">
        <f>DATE(C1248, CHOOSE(MATCH(UPPER(B1248), {"ENERO","FEBRERO","MARZO","ABRIL","MAYO","JUNIO","JULIO","AGOSTO","SEPTIEMBRE","OCTUBRE","NOVIEMBRE","DICIEMBRE"}, 0), 1,2,3,4,5,6,7,8,9,10,11,12), A1248)</f>
        <v>44929</v>
      </c>
      <c r="H1248">
        <v>48.625</v>
      </c>
      <c r="I1248">
        <v>56000</v>
      </c>
      <c r="J1248" s="1">
        <f t="shared" si="39"/>
        <v>44713</v>
      </c>
      <c r="K1248">
        <f t="shared" si="38"/>
        <v>14.375</v>
      </c>
    </row>
    <row r="1249" spans="1:11" x14ac:dyDescent="0.25">
      <c r="A1249">
        <v>4</v>
      </c>
      <c r="B1249" t="s">
        <v>26</v>
      </c>
      <c r="C1249">
        <v>2023</v>
      </c>
      <c r="D1249">
        <v>24.875</v>
      </c>
      <c r="E1249">
        <v>100</v>
      </c>
      <c r="F1249">
        <v>71.375</v>
      </c>
      <c r="G1249" s="1">
        <f>DATE(C1249, CHOOSE(MATCH(UPPER(B1249), {"ENERO","FEBRERO","MARZO","ABRIL","MAYO","JUNIO","JULIO","AGOSTO","SEPTIEMBRE","OCTUBRE","NOVIEMBRE","DICIEMBRE"}, 0), 1,2,3,4,5,6,7,8,9,10,11,12), A1249)</f>
        <v>44930</v>
      </c>
      <c r="H1249">
        <v>53.5</v>
      </c>
      <c r="I1249">
        <v>56000</v>
      </c>
      <c r="J1249" s="1">
        <f t="shared" si="39"/>
        <v>44714</v>
      </c>
      <c r="K1249">
        <f t="shared" si="38"/>
        <v>25.125</v>
      </c>
    </row>
    <row r="1250" spans="1:11" x14ac:dyDescent="0.25">
      <c r="A1250">
        <v>5</v>
      </c>
      <c r="B1250" t="s">
        <v>26</v>
      </c>
      <c r="C1250">
        <v>2023</v>
      </c>
      <c r="D1250">
        <v>71.375</v>
      </c>
      <c r="E1250" t="s">
        <v>9</v>
      </c>
      <c r="F1250">
        <v>30</v>
      </c>
      <c r="G1250" s="1">
        <f>DATE(C1250, CHOOSE(MATCH(UPPER(B1250), {"ENERO","FEBRERO","MARZO","ABRIL","MAYO","JUNIO","JULIO","AGOSTO","SEPTIEMBRE","OCTUBRE","NOVIEMBRE","DICIEMBRE"}, 0), 1,2,3,4,5,6,7,8,9,10,11,12), A1250)</f>
        <v>44931</v>
      </c>
      <c r="H1250">
        <v>41.375</v>
      </c>
      <c r="I1250">
        <v>56000</v>
      </c>
      <c r="J1250" s="1">
        <f t="shared" si="39"/>
        <v>44715</v>
      </c>
      <c r="K1250">
        <f t="shared" si="38"/>
        <v>35.5</v>
      </c>
    </row>
    <row r="1251" spans="1:11" x14ac:dyDescent="0.25">
      <c r="A1251">
        <v>6</v>
      </c>
      <c r="B1251" t="s">
        <v>26</v>
      </c>
      <c r="C1251">
        <v>2023</v>
      </c>
      <c r="D1251">
        <v>30</v>
      </c>
      <c r="E1251">
        <v>40</v>
      </c>
      <c r="F1251">
        <v>36.125</v>
      </c>
      <c r="G1251" s="1">
        <f>DATE(C1251, CHOOSE(MATCH(UPPER(B1251), {"ENERO","FEBRERO","MARZO","ABRIL","MAYO","JUNIO","JULIO","AGOSTO","SEPTIEMBRE","OCTUBRE","NOVIEMBRE","DICIEMBRE"}, 0), 1,2,3,4,5,6,7,8,9,10,11,12), A1251)</f>
        <v>44932</v>
      </c>
      <c r="H1251">
        <v>33.875</v>
      </c>
      <c r="I1251">
        <v>56000</v>
      </c>
      <c r="J1251" s="1">
        <f t="shared" si="39"/>
        <v>44716</v>
      </c>
      <c r="K1251">
        <f t="shared" si="38"/>
        <v>49.75</v>
      </c>
    </row>
    <row r="1252" spans="1:11" x14ac:dyDescent="0.25">
      <c r="A1252">
        <v>7</v>
      </c>
      <c r="B1252" t="s">
        <v>26</v>
      </c>
      <c r="C1252">
        <v>2023</v>
      </c>
      <c r="D1252">
        <v>36.125</v>
      </c>
      <c r="E1252">
        <v>100</v>
      </c>
      <c r="F1252">
        <v>92</v>
      </c>
      <c r="G1252" s="1">
        <f>DATE(C1252, CHOOSE(MATCH(UPPER(B1252), {"ENERO","FEBRERO","MARZO","ABRIL","MAYO","JUNIO","JULIO","AGOSTO","SEPTIEMBRE","OCTUBRE","NOVIEMBRE","DICIEMBRE"}, 0), 1,2,3,4,5,6,7,8,9,10,11,12), A1252)</f>
        <v>44933</v>
      </c>
      <c r="H1252">
        <v>44.125</v>
      </c>
      <c r="I1252">
        <v>56000</v>
      </c>
      <c r="J1252" s="1">
        <f t="shared" si="39"/>
        <v>44717</v>
      </c>
      <c r="K1252">
        <f t="shared" si="38"/>
        <v>42.875</v>
      </c>
    </row>
    <row r="1253" spans="1:11" x14ac:dyDescent="0.25">
      <c r="A1253">
        <v>8</v>
      </c>
      <c r="B1253" t="s">
        <v>26</v>
      </c>
      <c r="C1253">
        <v>2023</v>
      </c>
      <c r="D1253">
        <v>92</v>
      </c>
      <c r="E1253" t="s">
        <v>9</v>
      </c>
      <c r="F1253">
        <v>39.25</v>
      </c>
      <c r="G1253" s="1">
        <f>DATE(C1253, CHOOSE(MATCH(UPPER(B1253), {"ENERO","FEBRERO","MARZO","ABRIL","MAYO","JUNIO","JULIO","AGOSTO","SEPTIEMBRE","OCTUBRE","NOVIEMBRE","DICIEMBRE"}, 0), 1,2,3,4,5,6,7,8,9,10,11,12), A1253)</f>
        <v>44934</v>
      </c>
      <c r="H1253">
        <v>52.75</v>
      </c>
      <c r="I1253">
        <v>56000</v>
      </c>
      <c r="J1253" s="1">
        <f t="shared" si="39"/>
        <v>44718</v>
      </c>
      <c r="K1253">
        <f t="shared" si="38"/>
        <v>12.625</v>
      </c>
    </row>
    <row r="1254" spans="1:11" x14ac:dyDescent="0.25">
      <c r="A1254">
        <v>9</v>
      </c>
      <c r="B1254" t="s">
        <v>26</v>
      </c>
      <c r="C1254">
        <v>2023</v>
      </c>
      <c r="D1254">
        <v>39.25</v>
      </c>
      <c r="E1254">
        <v>60</v>
      </c>
      <c r="F1254">
        <v>61.125</v>
      </c>
      <c r="G1254" s="1">
        <f>DATE(C1254, CHOOSE(MATCH(UPPER(B1254), {"ENERO","FEBRERO","MARZO","ABRIL","MAYO","JUNIO","JULIO","AGOSTO","SEPTIEMBRE","OCTUBRE","NOVIEMBRE","DICIEMBRE"}, 0), 1,2,3,4,5,6,7,8,9,10,11,12), A1254)</f>
        <v>44935</v>
      </c>
      <c r="H1254">
        <v>38.125</v>
      </c>
      <c r="I1254">
        <v>56000</v>
      </c>
      <c r="J1254" s="1">
        <f t="shared" si="39"/>
        <v>44719</v>
      </c>
      <c r="K1254">
        <f t="shared" si="38"/>
        <v>8.375</v>
      </c>
    </row>
    <row r="1255" spans="1:11" x14ac:dyDescent="0.25">
      <c r="A1255">
        <v>10</v>
      </c>
      <c r="B1255" t="s">
        <v>26</v>
      </c>
      <c r="C1255">
        <v>2023</v>
      </c>
      <c r="D1255">
        <v>61.125</v>
      </c>
      <c r="E1255" t="s">
        <v>9</v>
      </c>
      <c r="F1255">
        <v>30.5</v>
      </c>
      <c r="G1255" s="1">
        <f>DATE(C1255, CHOOSE(MATCH(UPPER(B1255), {"ENERO","FEBRERO","MARZO","ABRIL","MAYO","JUNIO","JULIO","AGOSTO","SEPTIEMBRE","OCTUBRE","NOVIEMBRE","DICIEMBRE"}, 0), 1,2,3,4,5,6,7,8,9,10,11,12), A1255)</f>
        <v>44936</v>
      </c>
      <c r="H1255">
        <v>30.625</v>
      </c>
      <c r="I1255">
        <v>56000</v>
      </c>
      <c r="J1255" s="1">
        <f t="shared" si="39"/>
        <v>44720</v>
      </c>
      <c r="K1255">
        <f t="shared" si="38"/>
        <v>22.75</v>
      </c>
    </row>
    <row r="1256" spans="1:11" x14ac:dyDescent="0.25">
      <c r="A1256">
        <v>11</v>
      </c>
      <c r="B1256" t="s">
        <v>26</v>
      </c>
      <c r="C1256">
        <v>2023</v>
      </c>
      <c r="D1256">
        <v>30.5</v>
      </c>
      <c r="E1256">
        <v>110</v>
      </c>
      <c r="F1256">
        <v>98.75</v>
      </c>
      <c r="G1256" s="1">
        <f>DATE(C1256, CHOOSE(MATCH(UPPER(B1256), {"ENERO","FEBRERO","MARZO","ABRIL","MAYO","JUNIO","JULIO","AGOSTO","SEPTIEMBRE","OCTUBRE","NOVIEMBRE","DICIEMBRE"}, 0), 1,2,3,4,5,6,7,8,9,10,11,12), A1256)</f>
        <v>44937</v>
      </c>
      <c r="H1256">
        <v>41.75</v>
      </c>
      <c r="I1256">
        <v>56000</v>
      </c>
      <c r="J1256" s="1">
        <f t="shared" si="39"/>
        <v>44721</v>
      </c>
      <c r="K1256">
        <f t="shared" si="38"/>
        <v>12.625</v>
      </c>
    </row>
    <row r="1257" spans="1:11" x14ac:dyDescent="0.25">
      <c r="A1257">
        <v>12</v>
      </c>
      <c r="B1257" t="s">
        <v>26</v>
      </c>
      <c r="C1257">
        <v>2023</v>
      </c>
      <c r="D1257">
        <v>98.75</v>
      </c>
      <c r="E1257" t="s">
        <v>9</v>
      </c>
      <c r="F1257">
        <v>76</v>
      </c>
      <c r="G1257" s="1">
        <f>DATE(C1257, CHOOSE(MATCH(UPPER(B1257), {"ENERO","FEBRERO","MARZO","ABRIL","MAYO","JUNIO","JULIO","AGOSTO","SEPTIEMBRE","OCTUBRE","NOVIEMBRE","DICIEMBRE"}, 0), 1,2,3,4,5,6,7,8,9,10,11,12), A1257)</f>
        <v>44938</v>
      </c>
      <c r="H1257">
        <v>22.75</v>
      </c>
      <c r="I1257">
        <v>56000</v>
      </c>
      <c r="J1257" s="1">
        <f t="shared" si="39"/>
        <v>44722</v>
      </c>
      <c r="K1257">
        <f t="shared" si="38"/>
        <v>28</v>
      </c>
    </row>
    <row r="1258" spans="1:11" x14ac:dyDescent="0.25">
      <c r="A1258">
        <v>13</v>
      </c>
      <c r="B1258" t="s">
        <v>26</v>
      </c>
      <c r="C1258">
        <v>2023</v>
      </c>
      <c r="D1258">
        <v>76</v>
      </c>
      <c r="E1258" t="s">
        <v>9</v>
      </c>
      <c r="F1258">
        <v>46.375</v>
      </c>
      <c r="G1258" s="1">
        <f>DATE(C1258, CHOOSE(MATCH(UPPER(B1258), {"ENERO","FEBRERO","MARZO","ABRIL","MAYO","JUNIO","JULIO","AGOSTO","SEPTIEMBRE","OCTUBRE","NOVIEMBRE","DICIEMBRE"}, 0), 1,2,3,4,5,6,7,8,9,10,11,12), A1258)</f>
        <v>44939</v>
      </c>
      <c r="H1258">
        <v>29.625</v>
      </c>
      <c r="I1258">
        <v>56000</v>
      </c>
      <c r="J1258" s="1">
        <f t="shared" si="39"/>
        <v>44723</v>
      </c>
      <c r="K1258">
        <f t="shared" si="38"/>
        <v>46.375</v>
      </c>
    </row>
    <row r="1259" spans="1:11" x14ac:dyDescent="0.25">
      <c r="A1259">
        <v>14</v>
      </c>
      <c r="B1259" t="s">
        <v>26</v>
      </c>
      <c r="C1259">
        <v>2023</v>
      </c>
      <c r="D1259">
        <v>46.375</v>
      </c>
      <c r="E1259">
        <v>120</v>
      </c>
      <c r="F1259">
        <v>113.125</v>
      </c>
      <c r="G1259" s="1">
        <f>DATE(C1259, CHOOSE(MATCH(UPPER(B1259), {"ENERO","FEBRERO","MARZO","ABRIL","MAYO","JUNIO","JULIO","AGOSTO","SEPTIEMBRE","OCTUBRE","NOVIEMBRE","DICIEMBRE"}, 0), 1,2,3,4,5,6,7,8,9,10,11,12), A1259)</f>
        <v>44940</v>
      </c>
      <c r="H1259">
        <v>53.25</v>
      </c>
      <c r="I1259">
        <v>56000</v>
      </c>
      <c r="J1259" s="1">
        <f t="shared" si="39"/>
        <v>44724</v>
      </c>
      <c r="K1259">
        <f t="shared" si="38"/>
        <v>45.75</v>
      </c>
    </row>
    <row r="1260" spans="1:11" x14ac:dyDescent="0.25">
      <c r="A1260">
        <v>15</v>
      </c>
      <c r="B1260" t="s">
        <v>26</v>
      </c>
      <c r="C1260">
        <v>2023</v>
      </c>
      <c r="D1260">
        <v>113.125</v>
      </c>
      <c r="E1260" t="s">
        <v>9</v>
      </c>
      <c r="F1260">
        <v>71.5</v>
      </c>
      <c r="G1260" s="1">
        <f>DATE(C1260, CHOOSE(MATCH(UPPER(B1260), {"ENERO","FEBRERO","MARZO","ABRIL","MAYO","JUNIO","JULIO","AGOSTO","SEPTIEMBRE","OCTUBRE","NOVIEMBRE","DICIEMBRE"}, 0), 1,2,3,4,5,6,7,8,9,10,11,12), A1260)</f>
        <v>44941</v>
      </c>
      <c r="H1260">
        <v>41.625</v>
      </c>
      <c r="I1260">
        <v>56000</v>
      </c>
      <c r="J1260" s="1">
        <f t="shared" si="39"/>
        <v>44725</v>
      </c>
      <c r="K1260">
        <f t="shared" si="38"/>
        <v>13</v>
      </c>
    </row>
    <row r="1261" spans="1:11" x14ac:dyDescent="0.25">
      <c r="A1261">
        <v>16</v>
      </c>
      <c r="B1261" t="s">
        <v>26</v>
      </c>
      <c r="C1261">
        <v>2023</v>
      </c>
      <c r="D1261">
        <v>71.5</v>
      </c>
      <c r="E1261" t="s">
        <v>9</v>
      </c>
      <c r="F1261">
        <v>48.75</v>
      </c>
      <c r="G1261" s="1">
        <f>DATE(C1261, CHOOSE(MATCH(UPPER(B1261), {"ENERO","FEBRERO","MARZO","ABRIL","MAYO","JUNIO","JULIO","AGOSTO","SEPTIEMBRE","OCTUBRE","NOVIEMBRE","DICIEMBRE"}, 0), 1,2,3,4,5,6,7,8,9,10,11,12), A1261)</f>
        <v>44942</v>
      </c>
      <c r="H1261">
        <v>22.75</v>
      </c>
      <c r="I1261">
        <v>56000</v>
      </c>
      <c r="J1261" s="1">
        <f t="shared" si="39"/>
        <v>44726</v>
      </c>
      <c r="K1261">
        <f t="shared" si="38"/>
        <v>19.625</v>
      </c>
    </row>
    <row r="1262" spans="1:11" x14ac:dyDescent="0.25">
      <c r="A1262">
        <v>17</v>
      </c>
      <c r="B1262" t="s">
        <v>26</v>
      </c>
      <c r="C1262">
        <v>2023</v>
      </c>
      <c r="D1262">
        <v>48.75</v>
      </c>
      <c r="E1262">
        <v>110</v>
      </c>
      <c r="F1262">
        <v>128.125</v>
      </c>
      <c r="G1262" s="1">
        <f>DATE(C1262, CHOOSE(MATCH(UPPER(B1262), {"ENERO","FEBRERO","MARZO","ABRIL","MAYO","JUNIO","JULIO","AGOSTO","SEPTIEMBRE","OCTUBRE","NOVIEMBRE","DICIEMBRE"}, 0), 1,2,3,4,5,6,7,8,9,10,11,12), A1262)</f>
        <v>44943</v>
      </c>
      <c r="H1262">
        <v>30.625</v>
      </c>
      <c r="I1262">
        <v>56000</v>
      </c>
      <c r="J1262" s="1">
        <f t="shared" si="39"/>
        <v>44727</v>
      </c>
      <c r="K1262">
        <f t="shared" si="38"/>
        <v>31.75</v>
      </c>
    </row>
    <row r="1263" spans="1:11" x14ac:dyDescent="0.25">
      <c r="A1263">
        <v>18</v>
      </c>
      <c r="B1263" t="s">
        <v>26</v>
      </c>
      <c r="C1263">
        <v>2023</v>
      </c>
      <c r="D1263">
        <v>128.125</v>
      </c>
      <c r="E1263" t="s">
        <v>9</v>
      </c>
      <c r="F1263">
        <v>95.25</v>
      </c>
      <c r="G1263" s="1">
        <f>DATE(C1263, CHOOSE(MATCH(UPPER(B1263), {"ENERO","FEBRERO","MARZO","ABRIL","MAYO","JUNIO","JULIO","AGOSTO","SEPTIEMBRE","OCTUBRE","NOVIEMBRE","DICIEMBRE"}, 0), 1,2,3,4,5,6,7,8,9,10,11,12), A1263)</f>
        <v>44944</v>
      </c>
      <c r="H1263">
        <v>32.875</v>
      </c>
      <c r="I1263">
        <v>56000</v>
      </c>
      <c r="J1263" s="1">
        <f t="shared" si="39"/>
        <v>44728</v>
      </c>
      <c r="K1263">
        <f t="shared" si="38"/>
        <v>17.875</v>
      </c>
    </row>
    <row r="1264" spans="1:11" x14ac:dyDescent="0.25">
      <c r="A1264">
        <v>19</v>
      </c>
      <c r="B1264" t="s">
        <v>26</v>
      </c>
      <c r="C1264">
        <v>2023</v>
      </c>
      <c r="D1264">
        <v>95.25</v>
      </c>
      <c r="E1264">
        <v>80</v>
      </c>
      <c r="F1264">
        <v>154</v>
      </c>
      <c r="G1264" s="1">
        <f>DATE(C1264, CHOOSE(MATCH(UPPER(B1264), {"ENERO","FEBRERO","MARZO","ABRIL","MAYO","JUNIO","JULIO","AGOSTO","SEPTIEMBRE","OCTUBRE","NOVIEMBRE","DICIEMBRE"}, 0), 1,2,3,4,5,6,7,8,9,10,11,12), A1264)</f>
        <v>44945</v>
      </c>
      <c r="H1264">
        <v>21.25</v>
      </c>
      <c r="I1264">
        <v>56000</v>
      </c>
      <c r="J1264" s="1">
        <f t="shared" si="39"/>
        <v>44729</v>
      </c>
      <c r="K1264">
        <f t="shared" si="38"/>
        <v>35.75</v>
      </c>
    </row>
    <row r="1265" spans="1:11" x14ac:dyDescent="0.25">
      <c r="A1265">
        <v>20</v>
      </c>
      <c r="B1265" t="s">
        <v>26</v>
      </c>
      <c r="C1265">
        <v>2023</v>
      </c>
      <c r="D1265">
        <v>154</v>
      </c>
      <c r="E1265" t="s">
        <v>9</v>
      </c>
      <c r="F1265">
        <v>124</v>
      </c>
      <c r="G1265" s="1">
        <f>DATE(C1265, CHOOSE(MATCH(UPPER(B1265), {"ENERO","FEBRERO","MARZO","ABRIL","MAYO","JUNIO","JULIO","AGOSTO","SEPTIEMBRE","OCTUBRE","NOVIEMBRE","DICIEMBRE"}, 0), 1,2,3,4,5,6,7,8,9,10,11,12), A1265)</f>
        <v>44946</v>
      </c>
      <c r="H1265">
        <v>30</v>
      </c>
      <c r="I1265">
        <v>56000</v>
      </c>
      <c r="J1265" s="1">
        <f t="shared" si="39"/>
        <v>44730</v>
      </c>
      <c r="K1265">
        <f t="shared" si="38"/>
        <v>58.5</v>
      </c>
    </row>
    <row r="1266" spans="1:11" x14ac:dyDescent="0.25">
      <c r="A1266">
        <v>21</v>
      </c>
      <c r="B1266" t="s">
        <v>26</v>
      </c>
      <c r="C1266">
        <v>2023</v>
      </c>
      <c r="D1266">
        <v>124</v>
      </c>
      <c r="E1266">
        <v>60</v>
      </c>
      <c r="F1266">
        <v>130.875</v>
      </c>
      <c r="G1266" s="1">
        <f>DATE(C1266, CHOOSE(MATCH(UPPER(B1266), {"ENERO","FEBRERO","MARZO","ABRIL","MAYO","JUNIO","JULIO","AGOSTO","SEPTIEMBRE","OCTUBRE","NOVIEMBRE","DICIEMBRE"}, 0), 1,2,3,4,5,6,7,8,9,10,11,12), A1266)</f>
        <v>44947</v>
      </c>
      <c r="H1266">
        <v>53.125</v>
      </c>
      <c r="I1266">
        <v>56000</v>
      </c>
      <c r="J1266" s="1">
        <f t="shared" si="39"/>
        <v>44731</v>
      </c>
      <c r="K1266">
        <f t="shared" si="38"/>
        <v>35.875</v>
      </c>
    </row>
    <row r="1267" spans="1:11" x14ac:dyDescent="0.25">
      <c r="A1267">
        <v>22</v>
      </c>
      <c r="B1267" t="s">
        <v>26</v>
      </c>
      <c r="C1267">
        <v>2023</v>
      </c>
      <c r="D1267">
        <v>130.875</v>
      </c>
      <c r="E1267" t="s">
        <v>9</v>
      </c>
      <c r="F1267">
        <v>82.75</v>
      </c>
      <c r="G1267" s="1">
        <f>DATE(C1267, CHOOSE(MATCH(UPPER(B1267), {"ENERO","FEBRERO","MARZO","ABRIL","MAYO","JUNIO","JULIO","AGOSTO","SEPTIEMBRE","OCTUBRE","NOVIEMBRE","DICIEMBRE"}, 0), 1,2,3,4,5,6,7,8,9,10,11,12), A1267)</f>
        <v>44948</v>
      </c>
      <c r="H1267">
        <v>48.125</v>
      </c>
      <c r="I1267">
        <v>56000</v>
      </c>
      <c r="J1267" s="1">
        <f t="shared" si="39"/>
        <v>44732</v>
      </c>
      <c r="K1267">
        <f t="shared" si="38"/>
        <v>49.5</v>
      </c>
    </row>
    <row r="1268" spans="1:11" x14ac:dyDescent="0.25">
      <c r="A1268">
        <v>23</v>
      </c>
      <c r="B1268" t="s">
        <v>26</v>
      </c>
      <c r="C1268">
        <v>2023</v>
      </c>
      <c r="D1268">
        <v>82.75</v>
      </c>
      <c r="E1268" t="s">
        <v>9</v>
      </c>
      <c r="F1268">
        <v>70.125</v>
      </c>
      <c r="G1268" s="1">
        <f>DATE(C1268, CHOOSE(MATCH(UPPER(B1268), {"ENERO","FEBRERO","MARZO","ABRIL","MAYO","JUNIO","JULIO","AGOSTO","SEPTIEMBRE","OCTUBRE","NOVIEMBRE","DICIEMBRE"}, 0), 1,2,3,4,5,6,7,8,9,10,11,12), A1268)</f>
        <v>44949</v>
      </c>
      <c r="H1268">
        <v>12.625</v>
      </c>
      <c r="I1268">
        <v>56000</v>
      </c>
      <c r="J1268" s="1">
        <f t="shared" si="39"/>
        <v>44733</v>
      </c>
      <c r="K1268">
        <f t="shared" si="38"/>
        <v>15.75</v>
      </c>
    </row>
    <row r="1269" spans="1:11" x14ac:dyDescent="0.25">
      <c r="A1269">
        <v>24</v>
      </c>
      <c r="B1269" t="s">
        <v>26</v>
      </c>
      <c r="C1269">
        <v>2023</v>
      </c>
      <c r="D1269">
        <v>70.125</v>
      </c>
      <c r="E1269">
        <v>80</v>
      </c>
      <c r="F1269">
        <v>137.375</v>
      </c>
      <c r="G1269" s="1">
        <f>DATE(C1269, CHOOSE(MATCH(UPPER(B1269), {"ENERO","FEBRERO","MARZO","ABRIL","MAYO","JUNIO","JULIO","AGOSTO","SEPTIEMBRE","OCTUBRE","NOVIEMBRE","DICIEMBRE"}, 0), 1,2,3,4,5,6,7,8,9,10,11,12), A1269)</f>
        <v>44950</v>
      </c>
      <c r="H1269">
        <v>12.75</v>
      </c>
      <c r="I1269">
        <v>56000</v>
      </c>
      <c r="J1269" s="1">
        <f t="shared" si="39"/>
        <v>44734</v>
      </c>
      <c r="K1269">
        <f t="shared" si="38"/>
        <v>22.75</v>
      </c>
    </row>
    <row r="1270" spans="1:11" x14ac:dyDescent="0.25">
      <c r="A1270">
        <v>25</v>
      </c>
      <c r="B1270" t="s">
        <v>26</v>
      </c>
      <c r="C1270">
        <v>2023</v>
      </c>
      <c r="D1270">
        <v>137.375</v>
      </c>
      <c r="E1270" t="s">
        <v>9</v>
      </c>
      <c r="F1270">
        <v>118.75</v>
      </c>
      <c r="G1270" s="1">
        <f>DATE(C1270, CHOOSE(MATCH(UPPER(B1270), {"ENERO","FEBRERO","MARZO","ABRIL","MAYO","JUNIO","JULIO","AGOSTO","SEPTIEMBRE","OCTUBRE","NOVIEMBRE","DICIEMBRE"}, 0), 1,2,3,4,5,6,7,8,9,10,11,12), A1270)</f>
        <v>44951</v>
      </c>
      <c r="H1270">
        <v>18.625</v>
      </c>
      <c r="I1270">
        <v>56000</v>
      </c>
      <c r="J1270" s="1">
        <f t="shared" si="39"/>
        <v>44735</v>
      </c>
      <c r="K1270">
        <f t="shared" si="38"/>
        <v>22</v>
      </c>
    </row>
    <row r="1271" spans="1:11" x14ac:dyDescent="0.25">
      <c r="A1271">
        <v>26</v>
      </c>
      <c r="B1271" t="s">
        <v>26</v>
      </c>
      <c r="C1271">
        <v>2023</v>
      </c>
      <c r="D1271">
        <v>118.75</v>
      </c>
      <c r="E1271" t="s">
        <v>9</v>
      </c>
      <c r="F1271">
        <v>99.5</v>
      </c>
      <c r="G1271" s="1">
        <f>DATE(C1271, CHOOSE(MATCH(UPPER(B1271), {"ENERO","FEBRERO","MARZO","ABRIL","MAYO","JUNIO","JULIO","AGOSTO","SEPTIEMBRE","OCTUBRE","NOVIEMBRE","DICIEMBRE"}, 0), 1,2,3,4,5,6,7,8,9,10,11,12), A1271)</f>
        <v>44952</v>
      </c>
      <c r="H1271">
        <v>19.25</v>
      </c>
      <c r="I1271">
        <v>56000</v>
      </c>
      <c r="J1271" s="1">
        <f t="shared" si="39"/>
        <v>44736</v>
      </c>
      <c r="K1271">
        <f t="shared" si="38"/>
        <v>26.5</v>
      </c>
    </row>
    <row r="1272" spans="1:11" x14ac:dyDescent="0.25">
      <c r="A1272">
        <v>27</v>
      </c>
      <c r="B1272" t="s">
        <v>26</v>
      </c>
      <c r="C1272">
        <v>2023</v>
      </c>
      <c r="D1272">
        <v>99.5</v>
      </c>
      <c r="E1272" t="s">
        <v>9</v>
      </c>
      <c r="F1272">
        <v>72.125</v>
      </c>
      <c r="G1272" s="1">
        <f>DATE(C1272, CHOOSE(MATCH(UPPER(B1272), {"ENERO","FEBRERO","MARZO","ABRIL","MAYO","JUNIO","JULIO","AGOSTO","SEPTIEMBRE","OCTUBRE","NOVIEMBRE","DICIEMBRE"}, 0), 1,2,3,4,5,6,7,8,9,10,11,12), A1272)</f>
        <v>44953</v>
      </c>
      <c r="H1272">
        <v>27.375</v>
      </c>
      <c r="I1272">
        <v>56000</v>
      </c>
      <c r="J1272" s="1">
        <f t="shared" si="39"/>
        <v>44737</v>
      </c>
      <c r="K1272">
        <f t="shared" si="38"/>
        <v>36.5</v>
      </c>
    </row>
    <row r="1273" spans="1:11" x14ac:dyDescent="0.25">
      <c r="A1273">
        <v>28</v>
      </c>
      <c r="B1273" t="s">
        <v>26</v>
      </c>
      <c r="C1273">
        <v>2023</v>
      </c>
      <c r="D1273">
        <v>72.125</v>
      </c>
      <c r="E1273">
        <v>80</v>
      </c>
      <c r="F1273">
        <v>111.5</v>
      </c>
      <c r="G1273" s="1">
        <f>DATE(C1273, CHOOSE(MATCH(UPPER(B1273), {"ENERO","FEBRERO","MARZO","ABRIL","MAYO","JUNIO","JULIO","AGOSTO","SEPTIEMBRE","OCTUBRE","NOVIEMBRE","DICIEMBRE"}, 0), 1,2,3,4,5,6,7,8,9,10,11,12), A1273)</f>
        <v>44954</v>
      </c>
      <c r="H1273">
        <v>40.625</v>
      </c>
      <c r="I1273">
        <v>56000</v>
      </c>
      <c r="J1273" s="1">
        <f t="shared" si="39"/>
        <v>44738</v>
      </c>
      <c r="K1273">
        <f t="shared" si="38"/>
        <v>39.125</v>
      </c>
    </row>
    <row r="1274" spans="1:11" x14ac:dyDescent="0.25">
      <c r="A1274">
        <v>29</v>
      </c>
      <c r="B1274" t="s">
        <v>26</v>
      </c>
      <c r="C1274">
        <v>2023</v>
      </c>
      <c r="D1274">
        <v>111.5</v>
      </c>
      <c r="E1274" t="s">
        <v>9</v>
      </c>
      <c r="F1274">
        <v>65.625</v>
      </c>
      <c r="G1274" s="1">
        <f>DATE(C1274, CHOOSE(MATCH(UPPER(B1274), {"ENERO","FEBRERO","MARZO","ABRIL","MAYO","JUNIO","JULIO","AGOSTO","SEPTIEMBRE","OCTUBRE","NOVIEMBRE","DICIEMBRE"}, 0), 1,2,3,4,5,6,7,8,9,10,11,12), A1274)</f>
        <v>44955</v>
      </c>
      <c r="H1274">
        <v>45.875</v>
      </c>
      <c r="I1274">
        <v>56000</v>
      </c>
      <c r="J1274" s="1">
        <f t="shared" si="39"/>
        <v>44739</v>
      </c>
      <c r="K1274">
        <f t="shared" si="38"/>
        <v>36.375</v>
      </c>
    </row>
    <row r="1275" spans="1:11" x14ac:dyDescent="0.25">
      <c r="A1275">
        <v>30</v>
      </c>
      <c r="B1275" t="s">
        <v>26</v>
      </c>
      <c r="C1275">
        <v>2023</v>
      </c>
      <c r="D1275">
        <v>65.625</v>
      </c>
      <c r="E1275" t="s">
        <v>9</v>
      </c>
      <c r="F1275">
        <v>50.875</v>
      </c>
      <c r="G1275" s="1">
        <f>DATE(C1275, CHOOSE(MATCH(UPPER(B1275), {"ENERO","FEBRERO","MARZO","ABRIL","MAYO","JUNIO","JULIO","AGOSTO","SEPTIEMBRE","OCTUBRE","NOVIEMBRE","DICIEMBRE"}, 0), 1,2,3,4,5,6,7,8,9,10,11,12), A1275)</f>
        <v>44956</v>
      </c>
      <c r="H1275">
        <v>14.75</v>
      </c>
      <c r="I1275">
        <v>56000</v>
      </c>
      <c r="J1275" s="1">
        <f t="shared" si="39"/>
        <v>44740</v>
      </c>
      <c r="K1275">
        <f t="shared" si="38"/>
        <v>16.25</v>
      </c>
    </row>
    <row r="1276" spans="1:11" x14ac:dyDescent="0.25">
      <c r="A1276">
        <v>31</v>
      </c>
      <c r="B1276" t="s">
        <v>26</v>
      </c>
      <c r="C1276">
        <v>2023</v>
      </c>
      <c r="D1276">
        <v>50.875</v>
      </c>
      <c r="E1276">
        <v>100</v>
      </c>
      <c r="F1276">
        <v>134.75</v>
      </c>
      <c r="G1276" s="1">
        <f>DATE(C1276, CHOOSE(MATCH(UPPER(B1276), {"ENERO","FEBRERO","MARZO","ABRIL","MAYO","JUNIO","JULIO","AGOSTO","SEPTIEMBRE","OCTUBRE","NOVIEMBRE","DICIEMBRE"}, 0), 1,2,3,4,5,6,7,8,9,10,11,12), A1276)</f>
        <v>44957</v>
      </c>
      <c r="H1276">
        <v>16.125</v>
      </c>
      <c r="I1276">
        <v>56000</v>
      </c>
      <c r="J1276" s="1">
        <f t="shared" si="39"/>
        <v>44741</v>
      </c>
      <c r="K1276">
        <f t="shared" si="38"/>
        <v>34.625</v>
      </c>
    </row>
    <row r="1277" spans="1:11" x14ac:dyDescent="0.25">
      <c r="A1277">
        <v>1</v>
      </c>
      <c r="B1277" t="s">
        <v>27</v>
      </c>
      <c r="C1277">
        <v>2023</v>
      </c>
      <c r="D1277">
        <v>134.75</v>
      </c>
      <c r="E1277" t="s">
        <v>9</v>
      </c>
      <c r="F1277">
        <v>113.875</v>
      </c>
      <c r="G1277" s="1">
        <f>DATE(C1277, CHOOSE(MATCH(UPPER(B1277), {"ENERO","FEBRERO","MARZO","ABRIL","MAYO","JUNIO","JULIO","AGOSTO","SEPTIEMBRE","OCTUBRE","NOVIEMBRE","DICIEMBRE"}, 0), 1,2,3,4,5,6,7,8,9,10,11,12), A1277)</f>
        <v>44958</v>
      </c>
      <c r="H1277">
        <v>20.875</v>
      </c>
      <c r="I1277">
        <v>56000</v>
      </c>
      <c r="J1277" s="1">
        <f t="shared" si="39"/>
        <v>44742</v>
      </c>
      <c r="K1277">
        <f t="shared" si="38"/>
        <v>27.125</v>
      </c>
    </row>
    <row r="1278" spans="1:11" x14ac:dyDescent="0.25">
      <c r="A1278">
        <v>2</v>
      </c>
      <c r="B1278" t="s">
        <v>27</v>
      </c>
      <c r="C1278">
        <v>2023</v>
      </c>
      <c r="D1278">
        <v>113.875</v>
      </c>
      <c r="E1278" t="s">
        <v>9</v>
      </c>
      <c r="F1278">
        <v>98</v>
      </c>
      <c r="G1278" s="1">
        <f>DATE(C1278, CHOOSE(MATCH(UPPER(B1278), {"ENERO","FEBRERO","MARZO","ABRIL","MAYO","JUNIO","JULIO","AGOSTO","SEPTIEMBRE","OCTUBRE","NOVIEMBRE","DICIEMBRE"}, 0), 1,2,3,4,5,6,7,8,9,10,11,12), A1278)</f>
        <v>44959</v>
      </c>
      <c r="H1278">
        <v>15.875</v>
      </c>
      <c r="I1278">
        <v>56000</v>
      </c>
      <c r="J1278" s="1">
        <f t="shared" si="39"/>
        <v>44743</v>
      </c>
      <c r="K1278">
        <f t="shared" si="38"/>
        <v>33.75</v>
      </c>
    </row>
    <row r="1279" spans="1:11" x14ac:dyDescent="0.25">
      <c r="A1279">
        <v>3</v>
      </c>
      <c r="B1279" t="s">
        <v>27</v>
      </c>
      <c r="C1279">
        <v>2023</v>
      </c>
      <c r="D1279">
        <v>98</v>
      </c>
      <c r="E1279">
        <v>110</v>
      </c>
      <c r="F1279">
        <v>175</v>
      </c>
      <c r="G1279" s="1">
        <f>DATE(C1279, CHOOSE(MATCH(UPPER(B1279), {"ENERO","FEBRERO","MARZO","ABRIL","MAYO","JUNIO","JULIO","AGOSTO","SEPTIEMBRE","OCTUBRE","NOVIEMBRE","DICIEMBRE"}, 0), 1,2,3,4,5,6,7,8,9,10,11,12), A1279)</f>
        <v>44960</v>
      </c>
      <c r="H1279">
        <v>33</v>
      </c>
      <c r="I1279">
        <v>56000</v>
      </c>
      <c r="J1279" s="1">
        <f t="shared" si="39"/>
        <v>44744</v>
      </c>
      <c r="K1279">
        <f t="shared" si="38"/>
        <v>52.375</v>
      </c>
    </row>
    <row r="1280" spans="1:11" x14ac:dyDescent="0.25">
      <c r="A1280">
        <v>4</v>
      </c>
      <c r="B1280" t="s">
        <v>27</v>
      </c>
      <c r="C1280">
        <v>2023</v>
      </c>
      <c r="D1280">
        <v>175</v>
      </c>
      <c r="E1280" t="s">
        <v>9</v>
      </c>
      <c r="F1280">
        <v>135.125</v>
      </c>
      <c r="G1280" s="1">
        <f>DATE(C1280, CHOOSE(MATCH(UPPER(B1280), {"ENERO","FEBRERO","MARZO","ABRIL","MAYO","JUNIO","JULIO","AGOSTO","SEPTIEMBRE","OCTUBRE","NOVIEMBRE","DICIEMBRE"}, 0), 1,2,3,4,5,6,7,8,9,10,11,12), A1280)</f>
        <v>44961</v>
      </c>
      <c r="H1280">
        <v>39.875</v>
      </c>
      <c r="I1280">
        <v>56000</v>
      </c>
      <c r="J1280" s="1">
        <f t="shared" si="39"/>
        <v>44745</v>
      </c>
      <c r="K1280">
        <f t="shared" si="38"/>
        <v>40.5</v>
      </c>
    </row>
    <row r="1281" spans="1:11" x14ac:dyDescent="0.25">
      <c r="A1281">
        <v>5</v>
      </c>
      <c r="B1281" t="s">
        <v>27</v>
      </c>
      <c r="C1281">
        <v>2023</v>
      </c>
      <c r="D1281">
        <v>135.125</v>
      </c>
      <c r="E1281" t="s">
        <v>9</v>
      </c>
      <c r="F1281">
        <v>97.625</v>
      </c>
      <c r="G1281" s="1">
        <f>DATE(C1281, CHOOSE(MATCH(UPPER(B1281), {"ENERO","FEBRERO","MARZO","ABRIL","MAYO","JUNIO","JULIO","AGOSTO","SEPTIEMBRE","OCTUBRE","NOVIEMBRE","DICIEMBRE"}, 0), 1,2,3,4,5,6,7,8,9,10,11,12), A1281)</f>
        <v>44962</v>
      </c>
      <c r="H1281">
        <v>37.5</v>
      </c>
      <c r="I1281">
        <v>56000</v>
      </c>
      <c r="J1281" s="1">
        <f t="shared" si="39"/>
        <v>44746</v>
      </c>
      <c r="K1281">
        <f t="shared" si="38"/>
        <v>36.75</v>
      </c>
    </row>
    <row r="1282" spans="1:11" x14ac:dyDescent="0.25">
      <c r="A1282">
        <v>6</v>
      </c>
      <c r="B1282" t="s">
        <v>27</v>
      </c>
      <c r="C1282">
        <v>2023</v>
      </c>
      <c r="D1282">
        <v>97.625</v>
      </c>
      <c r="E1282" t="s">
        <v>9</v>
      </c>
      <c r="F1282">
        <v>86.625</v>
      </c>
      <c r="G1282" s="1">
        <f>DATE(C1282, CHOOSE(MATCH(UPPER(B1282), {"ENERO","FEBRERO","MARZO","ABRIL","MAYO","JUNIO","JULIO","AGOSTO","SEPTIEMBRE","OCTUBRE","NOVIEMBRE","DICIEMBRE"}, 0), 1,2,3,4,5,6,7,8,9,10,11,12), A1282)</f>
        <v>44963</v>
      </c>
      <c r="H1282">
        <v>11</v>
      </c>
      <c r="I1282">
        <v>56000</v>
      </c>
      <c r="J1282" s="1">
        <f t="shared" si="39"/>
        <v>44747</v>
      </c>
      <c r="K1282">
        <f t="shared" ref="K1282:K1345" si="40">VLOOKUP(J1282, G:H, 2, FALSE)</f>
        <v>12.875</v>
      </c>
    </row>
    <row r="1283" spans="1:11" x14ac:dyDescent="0.25">
      <c r="A1283">
        <v>7</v>
      </c>
      <c r="B1283" t="s">
        <v>27</v>
      </c>
      <c r="C1283">
        <v>2023</v>
      </c>
      <c r="D1283">
        <v>86.625</v>
      </c>
      <c r="E1283">
        <v>90</v>
      </c>
      <c r="F1283">
        <v>169</v>
      </c>
      <c r="G1283" s="1">
        <f>DATE(C1283, CHOOSE(MATCH(UPPER(B1283), {"ENERO","FEBRERO","MARZO","ABRIL","MAYO","JUNIO","JULIO","AGOSTO","SEPTIEMBRE","OCTUBRE","NOVIEMBRE","DICIEMBRE"}, 0), 1,2,3,4,5,6,7,8,9,10,11,12), A1283)</f>
        <v>44964</v>
      </c>
      <c r="H1283">
        <v>7.625</v>
      </c>
      <c r="I1283">
        <v>56000</v>
      </c>
      <c r="J1283" s="1">
        <f t="shared" si="39"/>
        <v>44748</v>
      </c>
      <c r="K1283">
        <f t="shared" si="40"/>
        <v>38.875</v>
      </c>
    </row>
    <row r="1284" spans="1:11" x14ac:dyDescent="0.25">
      <c r="A1284">
        <v>8</v>
      </c>
      <c r="B1284" t="s">
        <v>27</v>
      </c>
      <c r="C1284">
        <v>2023</v>
      </c>
      <c r="D1284">
        <v>169</v>
      </c>
      <c r="E1284" t="s">
        <v>9</v>
      </c>
      <c r="F1284">
        <v>149.625</v>
      </c>
      <c r="G1284" s="1">
        <f>DATE(C1284, CHOOSE(MATCH(UPPER(B1284), {"ENERO","FEBRERO","MARZO","ABRIL","MAYO","JUNIO","JULIO","AGOSTO","SEPTIEMBRE","OCTUBRE","NOVIEMBRE","DICIEMBRE"}, 0), 1,2,3,4,5,6,7,8,9,10,11,12), A1284)</f>
        <v>44965</v>
      </c>
      <c r="H1284">
        <v>19.375</v>
      </c>
      <c r="I1284">
        <v>56000</v>
      </c>
      <c r="J1284" s="1">
        <f t="shared" ref="J1284:J1347" si="41">DATE(2019,1,1) + ROW()-1</f>
        <v>44749</v>
      </c>
      <c r="K1284">
        <f t="shared" si="40"/>
        <v>30.5</v>
      </c>
    </row>
    <row r="1285" spans="1:11" x14ac:dyDescent="0.25">
      <c r="A1285">
        <v>9</v>
      </c>
      <c r="B1285" t="s">
        <v>27</v>
      </c>
      <c r="C1285">
        <v>2023</v>
      </c>
      <c r="D1285">
        <v>149.625</v>
      </c>
      <c r="E1285" t="s">
        <v>9</v>
      </c>
      <c r="F1285">
        <v>131.375</v>
      </c>
      <c r="G1285" s="1">
        <f>DATE(C1285, CHOOSE(MATCH(UPPER(B1285), {"ENERO","FEBRERO","MARZO","ABRIL","MAYO","JUNIO","JULIO","AGOSTO","SEPTIEMBRE","OCTUBRE","NOVIEMBRE","DICIEMBRE"}, 0), 1,2,3,4,5,6,7,8,9,10,11,12), A1285)</f>
        <v>44966</v>
      </c>
      <c r="H1285">
        <v>18.25</v>
      </c>
      <c r="I1285">
        <v>56000</v>
      </c>
      <c r="J1285" s="1">
        <f t="shared" si="41"/>
        <v>44750</v>
      </c>
      <c r="K1285">
        <f t="shared" si="40"/>
        <v>26.625</v>
      </c>
    </row>
    <row r="1286" spans="1:11" x14ac:dyDescent="0.25">
      <c r="A1286">
        <v>10</v>
      </c>
      <c r="B1286" t="s">
        <v>27</v>
      </c>
      <c r="C1286">
        <v>2023</v>
      </c>
      <c r="D1286">
        <v>131.375</v>
      </c>
      <c r="E1286" t="s">
        <v>9</v>
      </c>
      <c r="F1286">
        <v>105.5</v>
      </c>
      <c r="G1286" s="1">
        <f>DATE(C1286, CHOOSE(MATCH(UPPER(B1286), {"ENERO","FEBRERO","MARZO","ABRIL","MAYO","JUNIO","JULIO","AGOSTO","SEPTIEMBRE","OCTUBRE","NOVIEMBRE","DICIEMBRE"}, 0), 1,2,3,4,5,6,7,8,9,10,11,12), A1286)</f>
        <v>44967</v>
      </c>
      <c r="H1286">
        <v>25.875</v>
      </c>
      <c r="I1286">
        <v>56000</v>
      </c>
      <c r="J1286" s="1">
        <f t="shared" si="41"/>
        <v>44751</v>
      </c>
      <c r="K1286">
        <f t="shared" si="40"/>
        <v>47.375</v>
      </c>
    </row>
    <row r="1287" spans="1:11" x14ac:dyDescent="0.25">
      <c r="A1287">
        <v>11</v>
      </c>
      <c r="B1287" t="s">
        <v>27</v>
      </c>
      <c r="C1287">
        <v>2023</v>
      </c>
      <c r="D1287">
        <v>105.5</v>
      </c>
      <c r="E1287">
        <v>70</v>
      </c>
      <c r="F1287">
        <v>134.25</v>
      </c>
      <c r="G1287" s="1">
        <f>DATE(C1287, CHOOSE(MATCH(UPPER(B1287), {"ENERO","FEBRERO","MARZO","ABRIL","MAYO","JUNIO","JULIO","AGOSTO","SEPTIEMBRE","OCTUBRE","NOVIEMBRE","DICIEMBRE"}, 0), 1,2,3,4,5,6,7,8,9,10,11,12), A1287)</f>
        <v>44968</v>
      </c>
      <c r="H1287">
        <v>41.25</v>
      </c>
      <c r="I1287">
        <v>56000</v>
      </c>
      <c r="J1287" s="1">
        <f t="shared" si="41"/>
        <v>44752</v>
      </c>
      <c r="K1287">
        <f t="shared" si="40"/>
        <v>47.5</v>
      </c>
    </row>
    <row r="1288" spans="1:11" x14ac:dyDescent="0.25">
      <c r="A1288">
        <v>12</v>
      </c>
      <c r="B1288" t="s">
        <v>27</v>
      </c>
      <c r="C1288">
        <v>2023</v>
      </c>
      <c r="D1288">
        <v>134.25</v>
      </c>
      <c r="E1288" t="s">
        <v>9</v>
      </c>
      <c r="F1288">
        <v>106.125</v>
      </c>
      <c r="G1288" s="1">
        <f>DATE(C1288, CHOOSE(MATCH(UPPER(B1288), {"ENERO","FEBRERO","MARZO","ABRIL","MAYO","JUNIO","JULIO","AGOSTO","SEPTIEMBRE","OCTUBRE","NOVIEMBRE","DICIEMBRE"}, 0), 1,2,3,4,5,6,7,8,9,10,11,12), A1288)</f>
        <v>44969</v>
      </c>
      <c r="H1288">
        <v>28.125</v>
      </c>
      <c r="I1288">
        <v>56000</v>
      </c>
      <c r="J1288" s="1">
        <f t="shared" si="41"/>
        <v>44753</v>
      </c>
      <c r="K1288">
        <f t="shared" si="40"/>
        <v>14</v>
      </c>
    </row>
    <row r="1289" spans="1:11" x14ac:dyDescent="0.25">
      <c r="A1289">
        <v>13</v>
      </c>
      <c r="B1289" t="s">
        <v>27</v>
      </c>
      <c r="C1289">
        <v>2023</v>
      </c>
      <c r="D1289">
        <v>106.125</v>
      </c>
      <c r="E1289" t="s">
        <v>9</v>
      </c>
      <c r="F1289">
        <v>72.25</v>
      </c>
      <c r="G1289" s="1">
        <f>DATE(C1289, CHOOSE(MATCH(UPPER(B1289), {"ENERO","FEBRERO","MARZO","ABRIL","MAYO","JUNIO","JULIO","AGOSTO","SEPTIEMBRE","OCTUBRE","NOVIEMBRE","DICIEMBRE"}, 0), 1,2,3,4,5,6,7,8,9,10,11,12), A1289)</f>
        <v>44970</v>
      </c>
      <c r="H1289">
        <v>33.875</v>
      </c>
      <c r="I1289">
        <v>56000</v>
      </c>
      <c r="J1289" s="1">
        <f t="shared" si="41"/>
        <v>44754</v>
      </c>
      <c r="K1289">
        <f t="shared" si="40"/>
        <v>21.75</v>
      </c>
    </row>
    <row r="1290" spans="1:11" x14ac:dyDescent="0.25">
      <c r="A1290">
        <v>14</v>
      </c>
      <c r="B1290" t="s">
        <v>27</v>
      </c>
      <c r="C1290">
        <v>2023</v>
      </c>
      <c r="D1290">
        <v>72.25</v>
      </c>
      <c r="E1290">
        <v>90</v>
      </c>
      <c r="F1290">
        <v>147.375</v>
      </c>
      <c r="G1290" s="1">
        <f>DATE(C1290, CHOOSE(MATCH(UPPER(B1290), {"ENERO","FEBRERO","MARZO","ABRIL","MAYO","JUNIO","JULIO","AGOSTO","SEPTIEMBRE","OCTUBRE","NOVIEMBRE","DICIEMBRE"}, 0), 1,2,3,4,5,6,7,8,9,10,11,12), A1290)</f>
        <v>44971</v>
      </c>
      <c r="H1290">
        <v>14.875</v>
      </c>
      <c r="I1290">
        <v>56000</v>
      </c>
      <c r="J1290" s="1">
        <f t="shared" si="41"/>
        <v>44755</v>
      </c>
      <c r="K1290">
        <f t="shared" si="40"/>
        <v>34.75</v>
      </c>
    </row>
    <row r="1291" spans="1:11" x14ac:dyDescent="0.25">
      <c r="A1291">
        <v>15</v>
      </c>
      <c r="B1291" t="s">
        <v>27</v>
      </c>
      <c r="C1291">
        <v>2023</v>
      </c>
      <c r="D1291">
        <v>147.375</v>
      </c>
      <c r="E1291" t="s">
        <v>9</v>
      </c>
      <c r="F1291">
        <v>126</v>
      </c>
      <c r="G1291" s="1">
        <f>DATE(C1291, CHOOSE(MATCH(UPPER(B1291), {"ENERO","FEBRERO","MARZO","ABRIL","MAYO","JUNIO","JULIO","AGOSTO","SEPTIEMBRE","OCTUBRE","NOVIEMBRE","DICIEMBRE"}, 0), 1,2,3,4,5,6,7,8,9,10,11,12), A1291)</f>
        <v>44972</v>
      </c>
      <c r="H1291">
        <v>21.375</v>
      </c>
      <c r="I1291">
        <v>56000</v>
      </c>
      <c r="J1291" s="1">
        <f t="shared" si="41"/>
        <v>44756</v>
      </c>
      <c r="K1291">
        <f t="shared" si="40"/>
        <v>17.5</v>
      </c>
    </row>
    <row r="1292" spans="1:11" x14ac:dyDescent="0.25">
      <c r="A1292">
        <v>16</v>
      </c>
      <c r="B1292" t="s">
        <v>27</v>
      </c>
      <c r="C1292">
        <v>2023</v>
      </c>
      <c r="D1292">
        <v>126</v>
      </c>
      <c r="E1292" t="s">
        <v>9</v>
      </c>
      <c r="F1292">
        <v>106.25</v>
      </c>
      <c r="G1292" s="1">
        <f>DATE(C1292, CHOOSE(MATCH(UPPER(B1292), {"ENERO","FEBRERO","MARZO","ABRIL","MAYO","JUNIO","JULIO","AGOSTO","SEPTIEMBRE","OCTUBRE","NOVIEMBRE","DICIEMBRE"}, 0), 1,2,3,4,5,6,7,8,9,10,11,12), A1292)</f>
        <v>44973</v>
      </c>
      <c r="H1292">
        <v>19.75</v>
      </c>
      <c r="I1292">
        <v>56000</v>
      </c>
      <c r="J1292" s="1">
        <f t="shared" si="41"/>
        <v>44757</v>
      </c>
      <c r="K1292">
        <f t="shared" si="40"/>
        <v>33.25</v>
      </c>
    </row>
    <row r="1293" spans="1:11" x14ac:dyDescent="0.25">
      <c r="A1293">
        <v>17</v>
      </c>
      <c r="B1293" t="s">
        <v>27</v>
      </c>
      <c r="C1293">
        <v>2023</v>
      </c>
      <c r="D1293">
        <v>106.25</v>
      </c>
      <c r="E1293" t="s">
        <v>9</v>
      </c>
      <c r="F1293">
        <v>83.125</v>
      </c>
      <c r="G1293" s="1">
        <f>DATE(C1293, CHOOSE(MATCH(UPPER(B1293), {"ENERO","FEBRERO","MARZO","ABRIL","MAYO","JUNIO","JULIO","AGOSTO","SEPTIEMBRE","OCTUBRE","NOVIEMBRE","DICIEMBRE"}, 0), 1,2,3,4,5,6,7,8,9,10,11,12), A1293)</f>
        <v>44974</v>
      </c>
      <c r="H1293">
        <v>23.125</v>
      </c>
      <c r="I1293">
        <v>56000</v>
      </c>
      <c r="J1293" s="1">
        <f t="shared" si="41"/>
        <v>44758</v>
      </c>
      <c r="K1293">
        <f t="shared" si="40"/>
        <v>34.5</v>
      </c>
    </row>
    <row r="1294" spans="1:11" x14ac:dyDescent="0.25">
      <c r="A1294">
        <v>18</v>
      </c>
      <c r="B1294" t="s">
        <v>27</v>
      </c>
      <c r="C1294">
        <v>2023</v>
      </c>
      <c r="D1294">
        <v>83.125</v>
      </c>
      <c r="E1294">
        <v>70</v>
      </c>
      <c r="F1294">
        <v>118.25</v>
      </c>
      <c r="G1294" s="1">
        <f>DATE(C1294, CHOOSE(MATCH(UPPER(B1294), {"ENERO","FEBRERO","MARZO","ABRIL","MAYO","JUNIO","JULIO","AGOSTO","SEPTIEMBRE","OCTUBRE","NOVIEMBRE","DICIEMBRE"}, 0), 1,2,3,4,5,6,7,8,9,10,11,12), A1294)</f>
        <v>44975</v>
      </c>
      <c r="H1294">
        <v>34.875</v>
      </c>
      <c r="I1294">
        <v>56000</v>
      </c>
      <c r="J1294" s="1">
        <f t="shared" si="41"/>
        <v>44759</v>
      </c>
      <c r="K1294">
        <f t="shared" si="40"/>
        <v>46.625</v>
      </c>
    </row>
    <row r="1295" spans="1:11" x14ac:dyDescent="0.25">
      <c r="A1295">
        <v>19</v>
      </c>
      <c r="B1295" t="s">
        <v>27</v>
      </c>
      <c r="C1295">
        <v>2023</v>
      </c>
      <c r="D1295">
        <v>118.25</v>
      </c>
      <c r="E1295" t="s">
        <v>9</v>
      </c>
      <c r="F1295">
        <v>73.25</v>
      </c>
      <c r="G1295" s="1">
        <f>DATE(C1295, CHOOSE(MATCH(UPPER(B1295), {"ENERO","FEBRERO","MARZO","ABRIL","MAYO","JUNIO","JULIO","AGOSTO","SEPTIEMBRE","OCTUBRE","NOVIEMBRE","DICIEMBRE"}, 0), 1,2,3,4,5,6,7,8,9,10,11,12), A1295)</f>
        <v>44976</v>
      </c>
      <c r="H1295">
        <v>45</v>
      </c>
      <c r="I1295">
        <v>56000</v>
      </c>
      <c r="J1295" s="1">
        <f t="shared" si="41"/>
        <v>44760</v>
      </c>
      <c r="K1295">
        <f t="shared" si="40"/>
        <v>15</v>
      </c>
    </row>
    <row r="1296" spans="1:11" x14ac:dyDescent="0.25">
      <c r="A1296">
        <v>20</v>
      </c>
      <c r="B1296" t="s">
        <v>27</v>
      </c>
      <c r="C1296">
        <v>2023</v>
      </c>
      <c r="D1296">
        <v>73.25</v>
      </c>
      <c r="E1296" t="s">
        <v>9</v>
      </c>
      <c r="F1296">
        <v>61.375</v>
      </c>
      <c r="G1296" s="1">
        <f>DATE(C1296, CHOOSE(MATCH(UPPER(B1296), {"ENERO","FEBRERO","MARZO","ABRIL","MAYO","JUNIO","JULIO","AGOSTO","SEPTIEMBRE","OCTUBRE","NOVIEMBRE","DICIEMBRE"}, 0), 1,2,3,4,5,6,7,8,9,10,11,12), A1296)</f>
        <v>44977</v>
      </c>
      <c r="H1296">
        <v>11.875</v>
      </c>
      <c r="I1296">
        <v>56000</v>
      </c>
      <c r="J1296" s="1">
        <f t="shared" si="41"/>
        <v>44761</v>
      </c>
      <c r="K1296">
        <f t="shared" si="40"/>
        <v>23.625</v>
      </c>
    </row>
    <row r="1297" spans="1:11" x14ac:dyDescent="0.25">
      <c r="A1297">
        <v>21</v>
      </c>
      <c r="B1297" t="s">
        <v>27</v>
      </c>
      <c r="C1297">
        <v>2023</v>
      </c>
      <c r="D1297">
        <v>61.375</v>
      </c>
      <c r="E1297">
        <v>100</v>
      </c>
      <c r="F1297">
        <v>144</v>
      </c>
      <c r="G1297" s="1">
        <f>DATE(C1297, CHOOSE(MATCH(UPPER(B1297), {"ENERO","FEBRERO","MARZO","ABRIL","MAYO","JUNIO","JULIO","AGOSTO","SEPTIEMBRE","OCTUBRE","NOVIEMBRE","DICIEMBRE"}, 0), 1,2,3,4,5,6,7,8,9,10,11,12), A1297)</f>
        <v>44978</v>
      </c>
      <c r="H1297">
        <v>17.375</v>
      </c>
      <c r="I1297">
        <v>56000</v>
      </c>
      <c r="J1297" s="1">
        <f t="shared" si="41"/>
        <v>44762</v>
      </c>
      <c r="K1297">
        <f t="shared" si="40"/>
        <v>39.5</v>
      </c>
    </row>
    <row r="1298" spans="1:11" x14ac:dyDescent="0.25">
      <c r="A1298">
        <v>22</v>
      </c>
      <c r="B1298" t="s">
        <v>27</v>
      </c>
      <c r="C1298">
        <v>2023</v>
      </c>
      <c r="D1298">
        <v>144</v>
      </c>
      <c r="E1298" t="s">
        <v>9</v>
      </c>
      <c r="F1298">
        <v>121</v>
      </c>
      <c r="G1298" s="1">
        <f>DATE(C1298, CHOOSE(MATCH(UPPER(B1298), {"ENERO","FEBRERO","MARZO","ABRIL","MAYO","JUNIO","JULIO","AGOSTO","SEPTIEMBRE","OCTUBRE","NOVIEMBRE","DICIEMBRE"}, 0), 1,2,3,4,5,6,7,8,9,10,11,12), A1298)</f>
        <v>44979</v>
      </c>
      <c r="H1298">
        <v>23</v>
      </c>
      <c r="I1298">
        <v>56000</v>
      </c>
      <c r="J1298" s="1">
        <f t="shared" si="41"/>
        <v>44763</v>
      </c>
      <c r="K1298">
        <f t="shared" si="40"/>
        <v>11.875</v>
      </c>
    </row>
    <row r="1299" spans="1:11" x14ac:dyDescent="0.25">
      <c r="A1299">
        <v>23</v>
      </c>
      <c r="B1299" t="s">
        <v>27</v>
      </c>
      <c r="C1299">
        <v>2023</v>
      </c>
      <c r="D1299">
        <v>121</v>
      </c>
      <c r="E1299" t="s">
        <v>9</v>
      </c>
      <c r="F1299">
        <v>106</v>
      </c>
      <c r="G1299" s="1">
        <f>DATE(C1299, CHOOSE(MATCH(UPPER(B1299), {"ENERO","FEBRERO","MARZO","ABRIL","MAYO","JUNIO","JULIO","AGOSTO","SEPTIEMBRE","OCTUBRE","NOVIEMBRE","DICIEMBRE"}, 0), 1,2,3,4,5,6,7,8,9,10,11,12), A1299)</f>
        <v>44980</v>
      </c>
      <c r="H1299">
        <v>15</v>
      </c>
      <c r="I1299">
        <v>56000</v>
      </c>
      <c r="J1299" s="1">
        <f t="shared" si="41"/>
        <v>44764</v>
      </c>
      <c r="K1299">
        <f t="shared" si="40"/>
        <v>38.625</v>
      </c>
    </row>
    <row r="1300" spans="1:11" x14ac:dyDescent="0.25">
      <c r="A1300">
        <v>24</v>
      </c>
      <c r="B1300" t="s">
        <v>27</v>
      </c>
      <c r="C1300">
        <v>2023</v>
      </c>
      <c r="D1300">
        <v>106</v>
      </c>
      <c r="E1300">
        <v>90</v>
      </c>
      <c r="F1300">
        <v>175.125</v>
      </c>
      <c r="G1300" s="1">
        <f>DATE(C1300, CHOOSE(MATCH(UPPER(B1300), {"ENERO","FEBRERO","MARZO","ABRIL","MAYO","JUNIO","JULIO","AGOSTO","SEPTIEMBRE","OCTUBRE","NOVIEMBRE","DICIEMBRE"}, 0), 1,2,3,4,5,6,7,8,9,10,11,12), A1300)</f>
        <v>44981</v>
      </c>
      <c r="H1300">
        <v>20.875</v>
      </c>
      <c r="I1300">
        <v>56000</v>
      </c>
      <c r="J1300" s="1">
        <f t="shared" si="41"/>
        <v>44765</v>
      </c>
      <c r="K1300">
        <f t="shared" si="40"/>
        <v>36.25</v>
      </c>
    </row>
    <row r="1301" spans="1:11" x14ac:dyDescent="0.25">
      <c r="A1301">
        <v>25</v>
      </c>
      <c r="B1301" t="s">
        <v>27</v>
      </c>
      <c r="C1301">
        <v>2023</v>
      </c>
      <c r="D1301">
        <v>175.125</v>
      </c>
      <c r="E1301" t="s">
        <v>9</v>
      </c>
      <c r="F1301">
        <v>141.375</v>
      </c>
      <c r="G1301" s="1">
        <f>DATE(C1301, CHOOSE(MATCH(UPPER(B1301), {"ENERO","FEBRERO","MARZO","ABRIL","MAYO","JUNIO","JULIO","AGOSTO","SEPTIEMBRE","OCTUBRE","NOVIEMBRE","DICIEMBRE"}, 0), 1,2,3,4,5,6,7,8,9,10,11,12), A1301)</f>
        <v>44982</v>
      </c>
      <c r="H1301">
        <v>33.75</v>
      </c>
      <c r="I1301">
        <v>56000</v>
      </c>
      <c r="J1301" s="1">
        <f t="shared" si="41"/>
        <v>44766</v>
      </c>
      <c r="K1301">
        <f t="shared" si="40"/>
        <v>40.375</v>
      </c>
    </row>
    <row r="1302" spans="1:11" x14ac:dyDescent="0.25">
      <c r="A1302">
        <v>26</v>
      </c>
      <c r="B1302" t="s">
        <v>27</v>
      </c>
      <c r="C1302">
        <v>2023</v>
      </c>
      <c r="D1302">
        <v>141.375</v>
      </c>
      <c r="E1302" t="s">
        <v>9</v>
      </c>
      <c r="F1302">
        <v>103.375</v>
      </c>
      <c r="G1302" s="1">
        <f>DATE(C1302, CHOOSE(MATCH(UPPER(B1302), {"ENERO","FEBRERO","MARZO","ABRIL","MAYO","JUNIO","JULIO","AGOSTO","SEPTIEMBRE","OCTUBRE","NOVIEMBRE","DICIEMBRE"}, 0), 1,2,3,4,5,6,7,8,9,10,11,12), A1302)</f>
        <v>44983</v>
      </c>
      <c r="H1302">
        <v>38</v>
      </c>
      <c r="I1302">
        <v>56000</v>
      </c>
      <c r="J1302" s="1">
        <f t="shared" si="41"/>
        <v>44767</v>
      </c>
      <c r="K1302">
        <f t="shared" si="40"/>
        <v>16.625</v>
      </c>
    </row>
    <row r="1303" spans="1:11" x14ac:dyDescent="0.25">
      <c r="A1303">
        <v>27</v>
      </c>
      <c r="B1303" t="s">
        <v>27</v>
      </c>
      <c r="C1303">
        <v>2023</v>
      </c>
      <c r="D1303">
        <v>103.375</v>
      </c>
      <c r="E1303" t="s">
        <v>9</v>
      </c>
      <c r="F1303">
        <v>91.75</v>
      </c>
      <c r="G1303" s="1">
        <f>DATE(C1303, CHOOSE(MATCH(UPPER(B1303), {"ENERO","FEBRERO","MARZO","ABRIL","MAYO","JUNIO","JULIO","AGOSTO","SEPTIEMBRE","OCTUBRE","NOVIEMBRE","DICIEMBRE"}, 0), 1,2,3,4,5,6,7,8,9,10,11,12), A1303)</f>
        <v>44984</v>
      </c>
      <c r="H1303">
        <v>11.625</v>
      </c>
      <c r="I1303">
        <v>56000</v>
      </c>
      <c r="J1303" s="1">
        <f t="shared" si="41"/>
        <v>44768</v>
      </c>
      <c r="K1303">
        <f t="shared" si="40"/>
        <v>17.125</v>
      </c>
    </row>
    <row r="1304" spans="1:11" x14ac:dyDescent="0.25">
      <c r="A1304">
        <v>28</v>
      </c>
      <c r="B1304" t="s">
        <v>27</v>
      </c>
      <c r="C1304">
        <v>2023</v>
      </c>
      <c r="D1304">
        <v>91.75</v>
      </c>
      <c r="E1304">
        <v>60</v>
      </c>
      <c r="F1304">
        <v>141.375</v>
      </c>
      <c r="G1304" s="1">
        <f>DATE(C1304, CHOOSE(MATCH(UPPER(B1304), {"ENERO","FEBRERO","MARZO","ABRIL","MAYO","JUNIO","JULIO","AGOSTO","SEPTIEMBRE","OCTUBRE","NOVIEMBRE","DICIEMBRE"}, 0), 1,2,3,4,5,6,7,8,9,10,11,12), A1304)</f>
        <v>44985</v>
      </c>
      <c r="H1304">
        <v>10.375</v>
      </c>
      <c r="I1304">
        <v>56000</v>
      </c>
      <c r="J1304" s="1">
        <f t="shared" si="41"/>
        <v>44769</v>
      </c>
      <c r="K1304">
        <f t="shared" si="40"/>
        <v>24.75</v>
      </c>
    </row>
    <row r="1305" spans="1:11" x14ac:dyDescent="0.25">
      <c r="A1305">
        <v>1</v>
      </c>
      <c r="B1305" t="s">
        <v>29</v>
      </c>
      <c r="C1305">
        <v>2023</v>
      </c>
      <c r="D1305">
        <v>28.375</v>
      </c>
      <c r="E1305">
        <v>110</v>
      </c>
      <c r="F1305">
        <v>98.5</v>
      </c>
      <c r="G1305" s="1">
        <f>DATE(C1305, CHOOSE(MATCH(UPPER(B1305), {"ENERO","FEBRERO","MARZO","ABRIL","MAYO","JUNIO","JULIO","AGOSTO","SEPTIEMBRE","OCTUBRE","NOVIEMBRE","DICIEMBRE"}, 0), 1,2,3,4,5,6,7,8,9,10,11,12), A1305)</f>
        <v>45047</v>
      </c>
      <c r="H1305">
        <v>39.875</v>
      </c>
      <c r="I1305">
        <v>56000</v>
      </c>
      <c r="J1305" s="1">
        <f t="shared" si="41"/>
        <v>44770</v>
      </c>
      <c r="K1305">
        <f t="shared" si="40"/>
        <v>16.25</v>
      </c>
    </row>
    <row r="1306" spans="1:11" x14ac:dyDescent="0.25">
      <c r="A1306">
        <v>2</v>
      </c>
      <c r="B1306" t="s">
        <v>29</v>
      </c>
      <c r="C1306">
        <v>2023</v>
      </c>
      <c r="D1306">
        <v>98.5</v>
      </c>
      <c r="E1306" t="s">
        <v>9</v>
      </c>
      <c r="F1306">
        <v>84.25</v>
      </c>
      <c r="G1306" s="1">
        <f>DATE(C1306, CHOOSE(MATCH(UPPER(B1306), {"ENERO","FEBRERO","MARZO","ABRIL","MAYO","JUNIO","JULIO","AGOSTO","SEPTIEMBRE","OCTUBRE","NOVIEMBRE","DICIEMBRE"}, 0), 1,2,3,4,5,6,7,8,9,10,11,12), A1306)</f>
        <v>45048</v>
      </c>
      <c r="H1306">
        <v>14.25</v>
      </c>
      <c r="I1306">
        <v>56000</v>
      </c>
      <c r="J1306" s="1">
        <f t="shared" si="41"/>
        <v>44771</v>
      </c>
      <c r="K1306">
        <f t="shared" si="40"/>
        <v>29</v>
      </c>
    </row>
    <row r="1307" spans="1:11" x14ac:dyDescent="0.25">
      <c r="A1307">
        <v>3</v>
      </c>
      <c r="B1307" t="s">
        <v>29</v>
      </c>
      <c r="C1307">
        <v>2023</v>
      </c>
      <c r="D1307">
        <v>84.25</v>
      </c>
      <c r="E1307" t="s">
        <v>9</v>
      </c>
      <c r="F1307">
        <v>64.75</v>
      </c>
      <c r="G1307" s="1">
        <f>DATE(C1307, CHOOSE(MATCH(UPPER(B1307), {"ENERO","FEBRERO","MARZO","ABRIL","MAYO","JUNIO","JULIO","AGOSTO","SEPTIEMBRE","OCTUBRE","NOVIEMBRE","DICIEMBRE"}, 0), 1,2,3,4,5,6,7,8,9,10,11,12), A1307)</f>
        <v>45049</v>
      </c>
      <c r="H1307">
        <v>19.5</v>
      </c>
      <c r="I1307">
        <v>56000</v>
      </c>
      <c r="J1307" s="1">
        <f t="shared" si="41"/>
        <v>44772</v>
      </c>
      <c r="K1307">
        <f t="shared" si="40"/>
        <v>30.25</v>
      </c>
    </row>
    <row r="1308" spans="1:11" x14ac:dyDescent="0.25">
      <c r="A1308">
        <v>4</v>
      </c>
      <c r="B1308" t="s">
        <v>29</v>
      </c>
      <c r="C1308">
        <v>2023</v>
      </c>
      <c r="D1308">
        <v>64.75</v>
      </c>
      <c r="E1308" t="s">
        <v>9</v>
      </c>
      <c r="F1308">
        <v>50</v>
      </c>
      <c r="G1308" s="1">
        <f>DATE(C1308, CHOOSE(MATCH(UPPER(B1308), {"ENERO","FEBRERO","MARZO","ABRIL","MAYO","JUNIO","JULIO","AGOSTO","SEPTIEMBRE","OCTUBRE","NOVIEMBRE","DICIEMBRE"}, 0), 1,2,3,4,5,6,7,8,9,10,11,12), A1308)</f>
        <v>45050</v>
      </c>
      <c r="H1308">
        <v>14.75</v>
      </c>
      <c r="I1308">
        <v>56000</v>
      </c>
      <c r="J1308" s="1">
        <f t="shared" si="41"/>
        <v>44773</v>
      </c>
      <c r="K1308">
        <f t="shared" si="40"/>
        <v>47.25</v>
      </c>
    </row>
    <row r="1309" spans="1:11" x14ac:dyDescent="0.25">
      <c r="A1309">
        <v>5</v>
      </c>
      <c r="B1309" t="s">
        <v>29</v>
      </c>
      <c r="C1309">
        <v>2023</v>
      </c>
      <c r="D1309">
        <v>50</v>
      </c>
      <c r="E1309" t="s">
        <v>9</v>
      </c>
      <c r="F1309">
        <v>31.625</v>
      </c>
      <c r="G1309" s="1">
        <f>DATE(C1309, CHOOSE(MATCH(UPPER(B1309), {"ENERO","FEBRERO","MARZO","ABRIL","MAYO","JUNIO","JULIO","AGOSTO","SEPTIEMBRE","OCTUBRE","NOVIEMBRE","DICIEMBRE"}, 0), 1,2,3,4,5,6,7,8,9,10,11,12), A1309)</f>
        <v>45051</v>
      </c>
      <c r="H1309">
        <v>18.375</v>
      </c>
      <c r="I1309">
        <v>56000</v>
      </c>
      <c r="J1309" s="1">
        <f t="shared" si="41"/>
        <v>44774</v>
      </c>
      <c r="K1309">
        <f t="shared" si="40"/>
        <v>21.75</v>
      </c>
    </row>
    <row r="1310" spans="1:11" x14ac:dyDescent="0.25">
      <c r="A1310">
        <v>6</v>
      </c>
      <c r="B1310" t="s">
        <v>29</v>
      </c>
      <c r="C1310">
        <v>2023</v>
      </c>
      <c r="D1310">
        <v>31.625</v>
      </c>
      <c r="E1310">
        <v>100</v>
      </c>
      <c r="F1310">
        <v>97.875</v>
      </c>
      <c r="G1310" s="1">
        <f>DATE(C1310, CHOOSE(MATCH(UPPER(B1310), {"ENERO","FEBRERO","MARZO","ABRIL","MAYO","JUNIO","JULIO","AGOSTO","SEPTIEMBRE","OCTUBRE","NOVIEMBRE","DICIEMBRE"}, 0), 1,2,3,4,5,6,7,8,9,10,11,12), A1310)</f>
        <v>45052</v>
      </c>
      <c r="H1310">
        <v>33.75</v>
      </c>
      <c r="I1310">
        <v>56000</v>
      </c>
      <c r="J1310" s="1">
        <f t="shared" si="41"/>
        <v>44775</v>
      </c>
      <c r="K1310">
        <f t="shared" si="40"/>
        <v>15.25</v>
      </c>
    </row>
    <row r="1311" spans="1:11" x14ac:dyDescent="0.25">
      <c r="A1311">
        <v>7</v>
      </c>
      <c r="B1311" t="s">
        <v>29</v>
      </c>
      <c r="C1311">
        <v>2023</v>
      </c>
      <c r="D1311">
        <v>97.875</v>
      </c>
      <c r="E1311" t="s">
        <v>9</v>
      </c>
      <c r="F1311">
        <v>59.875</v>
      </c>
      <c r="G1311" s="1">
        <f>DATE(C1311, CHOOSE(MATCH(UPPER(B1311), {"ENERO","FEBRERO","MARZO","ABRIL","MAYO","JUNIO","JULIO","AGOSTO","SEPTIEMBRE","OCTUBRE","NOVIEMBRE","DICIEMBRE"}, 0), 1,2,3,4,5,6,7,8,9,10,11,12), A1311)</f>
        <v>45053</v>
      </c>
      <c r="H1311">
        <v>38</v>
      </c>
      <c r="I1311">
        <v>56000</v>
      </c>
      <c r="J1311" s="1">
        <f t="shared" si="41"/>
        <v>44776</v>
      </c>
      <c r="K1311">
        <f t="shared" si="40"/>
        <v>26.625</v>
      </c>
    </row>
    <row r="1312" spans="1:11" x14ac:dyDescent="0.25">
      <c r="A1312">
        <v>8</v>
      </c>
      <c r="B1312" t="s">
        <v>29</v>
      </c>
      <c r="C1312">
        <v>2023</v>
      </c>
      <c r="D1312">
        <v>59.875</v>
      </c>
      <c r="E1312" t="s">
        <v>9</v>
      </c>
      <c r="F1312">
        <v>50.25</v>
      </c>
      <c r="G1312" s="1">
        <f>DATE(C1312, CHOOSE(MATCH(UPPER(B1312), {"ENERO","FEBRERO","MARZO","ABRIL","MAYO","JUNIO","JULIO","AGOSTO","SEPTIEMBRE","OCTUBRE","NOVIEMBRE","DICIEMBRE"}, 0), 1,2,3,4,5,6,7,8,9,10,11,12), A1312)</f>
        <v>45054</v>
      </c>
      <c r="H1312">
        <v>9.625</v>
      </c>
      <c r="I1312">
        <v>56000</v>
      </c>
      <c r="J1312" s="1">
        <f t="shared" si="41"/>
        <v>44777</v>
      </c>
      <c r="K1312">
        <f t="shared" si="40"/>
        <v>16.125</v>
      </c>
    </row>
    <row r="1313" spans="1:11" x14ac:dyDescent="0.25">
      <c r="A1313">
        <v>9</v>
      </c>
      <c r="B1313" t="s">
        <v>29</v>
      </c>
      <c r="C1313">
        <v>2023</v>
      </c>
      <c r="D1313">
        <v>50.25</v>
      </c>
      <c r="E1313">
        <v>120.75</v>
      </c>
      <c r="F1313">
        <v>161.375</v>
      </c>
      <c r="G1313" s="1">
        <f>DATE(C1313, CHOOSE(MATCH(UPPER(B1313), {"ENERO","FEBRERO","MARZO","ABRIL","MAYO","JUNIO","JULIO","AGOSTO","SEPTIEMBRE","OCTUBRE","NOVIEMBRE","DICIEMBRE"}, 0), 1,2,3,4,5,6,7,8,9,10,11,12), A1313)</f>
        <v>45055</v>
      </c>
      <c r="H1313">
        <v>9.625</v>
      </c>
      <c r="I1313">
        <v>56000</v>
      </c>
      <c r="J1313" s="1">
        <f t="shared" si="41"/>
        <v>44778</v>
      </c>
      <c r="K1313">
        <f t="shared" si="40"/>
        <v>21.75</v>
      </c>
    </row>
    <row r="1314" spans="1:11" x14ac:dyDescent="0.25">
      <c r="A1314">
        <v>10</v>
      </c>
      <c r="B1314" t="s">
        <v>29</v>
      </c>
      <c r="C1314">
        <v>2023</v>
      </c>
      <c r="D1314">
        <v>161.375</v>
      </c>
      <c r="E1314" t="s">
        <v>9</v>
      </c>
      <c r="F1314">
        <v>144.75</v>
      </c>
      <c r="G1314" s="1">
        <f>DATE(C1314, CHOOSE(MATCH(UPPER(B1314), {"ENERO","FEBRERO","MARZO","ABRIL","MAYO","JUNIO","JULIO","AGOSTO","SEPTIEMBRE","OCTUBRE","NOVIEMBRE","DICIEMBRE"}, 0), 1,2,3,4,5,6,7,8,9,10,11,12), A1314)</f>
        <v>45056</v>
      </c>
      <c r="H1314">
        <v>16.625</v>
      </c>
      <c r="I1314">
        <v>56000</v>
      </c>
      <c r="J1314" s="1">
        <f t="shared" si="41"/>
        <v>44779</v>
      </c>
      <c r="K1314">
        <f t="shared" si="40"/>
        <v>37.625</v>
      </c>
    </row>
    <row r="1315" spans="1:11" x14ac:dyDescent="0.25">
      <c r="A1315">
        <v>11</v>
      </c>
      <c r="B1315" t="s">
        <v>29</v>
      </c>
      <c r="C1315">
        <v>2023</v>
      </c>
      <c r="D1315">
        <v>144.75</v>
      </c>
      <c r="E1315">
        <v>30</v>
      </c>
      <c r="F1315">
        <v>156.25</v>
      </c>
      <c r="G1315" s="1">
        <f>DATE(C1315, CHOOSE(MATCH(UPPER(B1315), {"ENERO","FEBRERO","MARZO","ABRIL","MAYO","JUNIO","JULIO","AGOSTO","SEPTIEMBRE","OCTUBRE","NOVIEMBRE","DICIEMBRE"}, 0), 1,2,3,4,5,6,7,8,9,10,11,12), A1315)</f>
        <v>45057</v>
      </c>
      <c r="H1315">
        <v>18.5</v>
      </c>
      <c r="I1315">
        <v>56000</v>
      </c>
      <c r="J1315" s="1">
        <f t="shared" si="41"/>
        <v>44780</v>
      </c>
      <c r="K1315">
        <f t="shared" si="40"/>
        <v>38.25</v>
      </c>
    </row>
    <row r="1316" spans="1:11" x14ac:dyDescent="0.25">
      <c r="A1316">
        <v>12</v>
      </c>
      <c r="B1316" t="s">
        <v>29</v>
      </c>
      <c r="C1316">
        <v>2023</v>
      </c>
      <c r="D1316">
        <v>156.25</v>
      </c>
      <c r="E1316" t="s">
        <v>9</v>
      </c>
      <c r="F1316">
        <v>127.25</v>
      </c>
      <c r="G1316" s="1">
        <f>DATE(C1316, CHOOSE(MATCH(UPPER(B1316), {"ENERO","FEBRERO","MARZO","ABRIL","MAYO","JUNIO","JULIO","AGOSTO","SEPTIEMBRE","OCTUBRE","NOVIEMBRE","DICIEMBRE"}, 0), 1,2,3,4,5,6,7,8,9,10,11,12), A1316)</f>
        <v>45058</v>
      </c>
      <c r="H1316">
        <v>29</v>
      </c>
      <c r="I1316">
        <v>56000</v>
      </c>
      <c r="J1316" s="1">
        <f t="shared" si="41"/>
        <v>44781</v>
      </c>
      <c r="K1316">
        <f t="shared" si="40"/>
        <v>15.875</v>
      </c>
    </row>
    <row r="1317" spans="1:11" x14ac:dyDescent="0.25">
      <c r="A1317">
        <v>13</v>
      </c>
      <c r="B1317" t="s">
        <v>29</v>
      </c>
      <c r="C1317">
        <v>2023</v>
      </c>
      <c r="D1317">
        <v>127.25</v>
      </c>
      <c r="E1317" t="s">
        <v>9</v>
      </c>
      <c r="F1317">
        <v>82.625</v>
      </c>
      <c r="G1317" s="1">
        <f>DATE(C1317, CHOOSE(MATCH(UPPER(B1317), {"ENERO","FEBRERO","MARZO","ABRIL","MAYO","JUNIO","JULIO","AGOSTO","SEPTIEMBRE","OCTUBRE","NOVIEMBRE","DICIEMBRE"}, 0), 1,2,3,4,5,6,7,8,9,10,11,12), A1317)</f>
        <v>45059</v>
      </c>
      <c r="H1317">
        <v>44.625</v>
      </c>
      <c r="I1317">
        <v>56000</v>
      </c>
      <c r="J1317" s="1">
        <f t="shared" si="41"/>
        <v>44782</v>
      </c>
      <c r="K1317">
        <f t="shared" si="40"/>
        <v>20.125</v>
      </c>
    </row>
    <row r="1318" spans="1:11" x14ac:dyDescent="0.25">
      <c r="A1318">
        <v>14</v>
      </c>
      <c r="B1318" t="s">
        <v>29</v>
      </c>
      <c r="C1318">
        <v>2023</v>
      </c>
      <c r="D1318">
        <v>82.625</v>
      </c>
      <c r="E1318" t="s">
        <v>9</v>
      </c>
      <c r="F1318">
        <v>44.75</v>
      </c>
      <c r="G1318" s="1">
        <f>DATE(C1318, CHOOSE(MATCH(UPPER(B1318), {"ENERO","FEBRERO","MARZO","ABRIL","MAYO","JUNIO","JULIO","AGOSTO","SEPTIEMBRE","OCTUBRE","NOVIEMBRE","DICIEMBRE"}, 0), 1,2,3,4,5,6,7,8,9,10,11,12), A1318)</f>
        <v>45060</v>
      </c>
      <c r="H1318">
        <v>37.875</v>
      </c>
      <c r="I1318">
        <v>56000</v>
      </c>
      <c r="J1318" s="1">
        <f t="shared" si="41"/>
        <v>44783</v>
      </c>
      <c r="K1318">
        <f t="shared" si="40"/>
        <v>23.625</v>
      </c>
    </row>
    <row r="1319" spans="1:11" x14ac:dyDescent="0.25">
      <c r="A1319">
        <v>15</v>
      </c>
      <c r="B1319" t="s">
        <v>29</v>
      </c>
      <c r="C1319">
        <v>2023</v>
      </c>
      <c r="D1319">
        <v>44.75</v>
      </c>
      <c r="E1319" t="s">
        <v>9</v>
      </c>
      <c r="F1319">
        <v>25.5</v>
      </c>
      <c r="G1319" s="1">
        <f>DATE(C1319, CHOOSE(MATCH(UPPER(B1319), {"ENERO","FEBRERO","MARZO","ABRIL","MAYO","JUNIO","JULIO","AGOSTO","SEPTIEMBRE","OCTUBRE","NOVIEMBRE","DICIEMBRE"}, 0), 1,2,3,4,5,6,7,8,9,10,11,12), A1319)</f>
        <v>45061</v>
      </c>
      <c r="H1319">
        <v>19.25</v>
      </c>
      <c r="I1319">
        <v>56000</v>
      </c>
      <c r="J1319" s="1">
        <f t="shared" si="41"/>
        <v>44784</v>
      </c>
      <c r="K1319">
        <f t="shared" si="40"/>
        <v>17.5</v>
      </c>
    </row>
    <row r="1320" spans="1:11" x14ac:dyDescent="0.25">
      <c r="A1320">
        <v>16</v>
      </c>
      <c r="B1320" t="s">
        <v>29</v>
      </c>
      <c r="C1320">
        <v>2023</v>
      </c>
      <c r="D1320">
        <v>25.5</v>
      </c>
      <c r="E1320">
        <v>98</v>
      </c>
      <c r="F1320">
        <v>121.625</v>
      </c>
      <c r="G1320" s="1">
        <f>DATE(C1320, CHOOSE(MATCH(UPPER(B1320), {"ENERO","FEBRERO","MARZO","ABRIL","MAYO","JUNIO","JULIO","AGOSTO","SEPTIEMBRE","OCTUBRE","NOVIEMBRE","DICIEMBRE"}, 0), 1,2,3,4,5,6,7,8,9,10,11,12), A1320)</f>
        <v>45062</v>
      </c>
      <c r="H1320">
        <v>1.875</v>
      </c>
      <c r="I1320">
        <v>56000</v>
      </c>
      <c r="J1320" s="1">
        <f t="shared" si="41"/>
        <v>44785</v>
      </c>
      <c r="K1320">
        <f t="shared" si="40"/>
        <v>30.5</v>
      </c>
    </row>
    <row r="1321" spans="1:11" x14ac:dyDescent="0.25">
      <c r="A1321">
        <v>17</v>
      </c>
      <c r="B1321" t="s">
        <v>29</v>
      </c>
      <c r="C1321">
        <v>2023</v>
      </c>
      <c r="D1321">
        <v>121.625</v>
      </c>
      <c r="E1321" t="s">
        <v>9</v>
      </c>
      <c r="F1321">
        <v>97.5</v>
      </c>
      <c r="G1321" s="1">
        <f>DATE(C1321, CHOOSE(MATCH(UPPER(B1321), {"ENERO","FEBRERO","MARZO","ABRIL","MAYO","JUNIO","JULIO","AGOSTO","SEPTIEMBRE","OCTUBRE","NOVIEMBRE","DICIEMBRE"}, 0), 1,2,3,4,5,6,7,8,9,10,11,12), A1321)</f>
        <v>45063</v>
      </c>
      <c r="H1321">
        <v>24.125</v>
      </c>
      <c r="I1321">
        <v>56000</v>
      </c>
      <c r="J1321" s="1">
        <f t="shared" si="41"/>
        <v>44786</v>
      </c>
      <c r="K1321">
        <f t="shared" si="40"/>
        <v>31.5</v>
      </c>
    </row>
    <row r="1322" spans="1:11" x14ac:dyDescent="0.25">
      <c r="A1322">
        <v>18</v>
      </c>
      <c r="B1322" t="s">
        <v>29</v>
      </c>
      <c r="C1322">
        <v>2023</v>
      </c>
      <c r="D1322">
        <v>97.5</v>
      </c>
      <c r="E1322" t="s">
        <v>9</v>
      </c>
      <c r="F1322">
        <v>86</v>
      </c>
      <c r="G1322" s="1">
        <f>DATE(C1322, CHOOSE(MATCH(UPPER(B1322), {"ENERO","FEBRERO","MARZO","ABRIL","MAYO","JUNIO","JULIO","AGOSTO","SEPTIEMBRE","OCTUBRE","NOVIEMBRE","DICIEMBRE"}, 0), 1,2,3,4,5,6,7,8,9,10,11,12), A1322)</f>
        <v>45064</v>
      </c>
      <c r="H1322">
        <v>11.5</v>
      </c>
      <c r="I1322">
        <v>56000</v>
      </c>
      <c r="J1322" s="1">
        <f t="shared" si="41"/>
        <v>44787</v>
      </c>
      <c r="K1322">
        <f t="shared" si="40"/>
        <v>39.75</v>
      </c>
    </row>
    <row r="1323" spans="1:11" x14ac:dyDescent="0.25">
      <c r="A1323">
        <v>19</v>
      </c>
      <c r="B1323" t="s">
        <v>29</v>
      </c>
      <c r="C1323">
        <v>2023</v>
      </c>
      <c r="D1323">
        <v>86</v>
      </c>
      <c r="E1323" t="s">
        <v>9</v>
      </c>
      <c r="F1323">
        <v>63.75</v>
      </c>
      <c r="G1323" s="1">
        <f>DATE(C1323, CHOOSE(MATCH(UPPER(B1323), {"ENERO","FEBRERO","MARZO","ABRIL","MAYO","JUNIO","JULIO","AGOSTO","SEPTIEMBRE","OCTUBRE","NOVIEMBRE","DICIEMBRE"}, 0), 1,2,3,4,5,6,7,8,9,10,11,12), A1323)</f>
        <v>45065</v>
      </c>
      <c r="H1323">
        <v>22.25</v>
      </c>
      <c r="I1323">
        <v>56000</v>
      </c>
      <c r="J1323" s="1">
        <f t="shared" si="41"/>
        <v>44788</v>
      </c>
      <c r="K1323">
        <f t="shared" si="40"/>
        <v>39.875</v>
      </c>
    </row>
    <row r="1324" spans="1:11" x14ac:dyDescent="0.25">
      <c r="A1324">
        <v>20</v>
      </c>
      <c r="B1324" t="s">
        <v>29</v>
      </c>
      <c r="C1324">
        <v>2023</v>
      </c>
      <c r="D1324">
        <v>63.75</v>
      </c>
      <c r="E1324">
        <v>90</v>
      </c>
      <c r="F1324">
        <v>112.5</v>
      </c>
      <c r="G1324" s="1">
        <f>DATE(C1324, CHOOSE(MATCH(UPPER(B1324), {"ENERO","FEBRERO","MARZO","ABRIL","MAYO","JUNIO","JULIO","AGOSTO","SEPTIEMBRE","OCTUBRE","NOVIEMBRE","DICIEMBRE"}, 0), 1,2,3,4,5,6,7,8,9,10,11,12), A1324)</f>
        <v>45066</v>
      </c>
      <c r="H1324">
        <v>41.25</v>
      </c>
      <c r="I1324">
        <v>56000</v>
      </c>
      <c r="J1324" s="1">
        <f t="shared" si="41"/>
        <v>44789</v>
      </c>
      <c r="K1324">
        <f t="shared" si="40"/>
        <v>14</v>
      </c>
    </row>
    <row r="1325" spans="1:11" x14ac:dyDescent="0.25">
      <c r="A1325">
        <v>21</v>
      </c>
      <c r="B1325" t="s">
        <v>29</v>
      </c>
      <c r="C1325">
        <v>2023</v>
      </c>
      <c r="D1325">
        <v>112.5</v>
      </c>
      <c r="E1325" t="s">
        <v>9</v>
      </c>
      <c r="F1325">
        <v>71.875</v>
      </c>
      <c r="G1325" s="1">
        <f>DATE(C1325, CHOOSE(MATCH(UPPER(B1325), {"ENERO","FEBRERO","MARZO","ABRIL","MAYO","JUNIO","JULIO","AGOSTO","SEPTIEMBRE","OCTUBRE","NOVIEMBRE","DICIEMBRE"}, 0), 1,2,3,4,5,6,7,8,9,10,11,12), A1325)</f>
        <v>45067</v>
      </c>
      <c r="H1325">
        <v>40.625</v>
      </c>
      <c r="I1325">
        <v>56000</v>
      </c>
      <c r="J1325" s="1">
        <f t="shared" si="41"/>
        <v>44790</v>
      </c>
      <c r="K1325">
        <f t="shared" si="40"/>
        <v>20.625</v>
      </c>
    </row>
    <row r="1326" spans="1:11" x14ac:dyDescent="0.25">
      <c r="A1326">
        <v>22</v>
      </c>
      <c r="B1326" t="s">
        <v>29</v>
      </c>
      <c r="C1326">
        <v>2023</v>
      </c>
      <c r="D1326">
        <v>71.875</v>
      </c>
      <c r="E1326" t="s">
        <v>9</v>
      </c>
      <c r="F1326">
        <v>35.375</v>
      </c>
      <c r="G1326" s="1">
        <f>DATE(C1326, CHOOSE(MATCH(UPPER(B1326), {"ENERO","FEBRERO","MARZO","ABRIL","MAYO","JUNIO","JULIO","AGOSTO","SEPTIEMBRE","OCTUBRE","NOVIEMBRE","DICIEMBRE"}, 0), 1,2,3,4,5,6,7,8,9,10,11,12), A1326)</f>
        <v>45068</v>
      </c>
      <c r="H1326">
        <v>36.5</v>
      </c>
      <c r="I1326">
        <v>56000</v>
      </c>
      <c r="J1326" s="1">
        <f t="shared" si="41"/>
        <v>44791</v>
      </c>
      <c r="K1326">
        <f t="shared" si="40"/>
        <v>21.875</v>
      </c>
    </row>
    <row r="1327" spans="1:11" x14ac:dyDescent="0.25">
      <c r="A1327">
        <v>23</v>
      </c>
      <c r="B1327" t="s">
        <v>29</v>
      </c>
      <c r="C1327">
        <v>2023</v>
      </c>
      <c r="D1327">
        <v>35.375</v>
      </c>
      <c r="E1327">
        <v>89</v>
      </c>
      <c r="F1327">
        <v>117.625</v>
      </c>
      <c r="G1327" s="1">
        <f>DATE(C1327, CHOOSE(MATCH(UPPER(B1327), {"ENERO","FEBRERO","MARZO","ABRIL","MAYO","JUNIO","JULIO","AGOSTO","SEPTIEMBRE","OCTUBRE","NOVIEMBRE","DICIEMBRE"}, 0), 1,2,3,4,5,6,7,8,9,10,11,12), A1327)</f>
        <v>45069</v>
      </c>
      <c r="H1327">
        <v>6.75</v>
      </c>
      <c r="I1327">
        <v>56000</v>
      </c>
      <c r="J1327" s="1">
        <f t="shared" si="41"/>
        <v>44792</v>
      </c>
      <c r="K1327">
        <f t="shared" si="40"/>
        <v>33.5</v>
      </c>
    </row>
    <row r="1328" spans="1:11" x14ac:dyDescent="0.25">
      <c r="A1328">
        <v>24</v>
      </c>
      <c r="B1328" t="s">
        <v>29</v>
      </c>
      <c r="C1328">
        <v>2023</v>
      </c>
      <c r="D1328">
        <v>117.625</v>
      </c>
      <c r="E1328" t="s">
        <v>9</v>
      </c>
      <c r="F1328">
        <v>92.125</v>
      </c>
      <c r="G1328" s="1">
        <f>DATE(C1328, CHOOSE(MATCH(UPPER(B1328), {"ENERO","FEBRERO","MARZO","ABRIL","MAYO","JUNIO","JULIO","AGOSTO","SEPTIEMBRE","OCTUBRE","NOVIEMBRE","DICIEMBRE"}, 0), 1,2,3,4,5,6,7,8,9,10,11,12), A1328)</f>
        <v>45070</v>
      </c>
      <c r="H1328">
        <v>25.5</v>
      </c>
      <c r="I1328">
        <v>56000</v>
      </c>
      <c r="J1328" s="1">
        <f t="shared" si="41"/>
        <v>44793</v>
      </c>
      <c r="K1328">
        <f t="shared" si="40"/>
        <v>46.125</v>
      </c>
    </row>
    <row r="1329" spans="1:11" x14ac:dyDescent="0.25">
      <c r="A1329">
        <v>25</v>
      </c>
      <c r="B1329" t="s">
        <v>29</v>
      </c>
      <c r="C1329">
        <v>2023</v>
      </c>
      <c r="D1329">
        <v>92.125</v>
      </c>
      <c r="E1329" t="s">
        <v>9</v>
      </c>
      <c r="F1329">
        <v>74.375</v>
      </c>
      <c r="G1329" s="1">
        <f>DATE(C1329, CHOOSE(MATCH(UPPER(B1329), {"ENERO","FEBRERO","MARZO","ABRIL","MAYO","JUNIO","JULIO","AGOSTO","SEPTIEMBRE","OCTUBRE","NOVIEMBRE","DICIEMBRE"}, 0), 1,2,3,4,5,6,7,8,9,10,11,12), A1329)</f>
        <v>45071</v>
      </c>
      <c r="H1329">
        <v>17.75</v>
      </c>
      <c r="I1329">
        <v>56000</v>
      </c>
      <c r="J1329" s="1">
        <f t="shared" si="41"/>
        <v>44794</v>
      </c>
      <c r="K1329">
        <f t="shared" si="40"/>
        <v>37.75</v>
      </c>
    </row>
    <row r="1330" spans="1:11" x14ac:dyDescent="0.25">
      <c r="A1330">
        <v>26</v>
      </c>
      <c r="B1330" t="s">
        <v>29</v>
      </c>
      <c r="C1330">
        <v>2023</v>
      </c>
      <c r="D1330">
        <v>74.375</v>
      </c>
      <c r="E1330" t="s">
        <v>9</v>
      </c>
      <c r="F1330">
        <v>39</v>
      </c>
      <c r="G1330" s="1">
        <f>DATE(C1330, CHOOSE(MATCH(UPPER(B1330), {"ENERO","FEBRERO","MARZO","ABRIL","MAYO","JUNIO","JULIO","AGOSTO","SEPTIEMBRE","OCTUBRE","NOVIEMBRE","DICIEMBRE"}, 0), 1,2,3,4,5,6,7,8,9,10,11,12), A1330)</f>
        <v>45072</v>
      </c>
      <c r="H1330">
        <v>35.375</v>
      </c>
      <c r="I1330">
        <v>56000</v>
      </c>
      <c r="J1330" s="1">
        <f t="shared" si="41"/>
        <v>44795</v>
      </c>
      <c r="K1330">
        <f t="shared" si="40"/>
        <v>13.375</v>
      </c>
    </row>
    <row r="1331" spans="1:11" x14ac:dyDescent="0.25">
      <c r="A1331">
        <v>27</v>
      </c>
      <c r="B1331" t="s">
        <v>29</v>
      </c>
      <c r="C1331">
        <v>2023</v>
      </c>
      <c r="D1331">
        <v>39</v>
      </c>
      <c r="E1331">
        <v>110</v>
      </c>
      <c r="F1331">
        <v>101.125</v>
      </c>
      <c r="G1331" s="1">
        <f>DATE(C1331, CHOOSE(MATCH(UPPER(B1331), {"ENERO","FEBRERO","MARZO","ABRIL","MAYO","JUNIO","JULIO","AGOSTO","SEPTIEMBRE","OCTUBRE","NOVIEMBRE","DICIEMBRE"}, 0), 1,2,3,4,5,6,7,8,9,10,11,12), A1331)</f>
        <v>45073</v>
      </c>
      <c r="H1331">
        <v>47.875</v>
      </c>
      <c r="I1331">
        <v>56000</v>
      </c>
      <c r="J1331" s="1">
        <f t="shared" si="41"/>
        <v>44796</v>
      </c>
      <c r="K1331">
        <f t="shared" si="40"/>
        <v>15.5</v>
      </c>
    </row>
    <row r="1332" spans="1:11" x14ac:dyDescent="0.25">
      <c r="A1332">
        <v>28</v>
      </c>
      <c r="B1332" t="s">
        <v>29</v>
      </c>
      <c r="C1332">
        <v>2023</v>
      </c>
      <c r="D1332">
        <v>101.125</v>
      </c>
      <c r="E1332" t="s">
        <v>9</v>
      </c>
      <c r="F1332">
        <v>64.375</v>
      </c>
      <c r="G1332" s="1">
        <f>DATE(C1332, CHOOSE(MATCH(UPPER(B1332), {"ENERO","FEBRERO","MARZO","ABRIL","MAYO","JUNIO","JULIO","AGOSTO","SEPTIEMBRE","OCTUBRE","NOVIEMBRE","DICIEMBRE"}, 0), 1,2,3,4,5,6,7,8,9,10,11,12), A1332)</f>
        <v>45074</v>
      </c>
      <c r="H1332">
        <v>36.75</v>
      </c>
      <c r="I1332">
        <v>56000</v>
      </c>
      <c r="J1332" s="1">
        <f t="shared" si="41"/>
        <v>44797</v>
      </c>
      <c r="K1332">
        <f t="shared" si="40"/>
        <v>17.125</v>
      </c>
    </row>
    <row r="1333" spans="1:11" x14ac:dyDescent="0.25">
      <c r="A1333">
        <v>29</v>
      </c>
      <c r="B1333" t="s">
        <v>29</v>
      </c>
      <c r="C1333">
        <v>2023</v>
      </c>
      <c r="D1333">
        <v>64.375</v>
      </c>
      <c r="E1333" t="s">
        <v>9</v>
      </c>
      <c r="F1333">
        <v>54.375</v>
      </c>
      <c r="G1333" s="1">
        <f>DATE(C1333, CHOOSE(MATCH(UPPER(B1333), {"ENERO","FEBRERO","MARZO","ABRIL","MAYO","JUNIO","JULIO","AGOSTO","SEPTIEMBRE","OCTUBRE","NOVIEMBRE","DICIEMBRE"}, 0), 1,2,3,4,5,6,7,8,9,10,11,12), A1333)</f>
        <v>45075</v>
      </c>
      <c r="H1333">
        <v>10</v>
      </c>
      <c r="I1333">
        <v>56000</v>
      </c>
      <c r="J1333" s="1">
        <f t="shared" si="41"/>
        <v>44798</v>
      </c>
      <c r="K1333">
        <f t="shared" si="40"/>
        <v>20.5</v>
      </c>
    </row>
    <row r="1334" spans="1:11" x14ac:dyDescent="0.25">
      <c r="A1334">
        <v>30</v>
      </c>
      <c r="B1334" t="s">
        <v>29</v>
      </c>
      <c r="C1334">
        <v>2023</v>
      </c>
      <c r="D1334">
        <v>54.375</v>
      </c>
      <c r="E1334">
        <v>60</v>
      </c>
      <c r="F1334">
        <v>105.5</v>
      </c>
      <c r="G1334" s="1">
        <f>DATE(C1334, CHOOSE(MATCH(UPPER(B1334), {"ENERO","FEBRERO","MARZO","ABRIL","MAYO","JUNIO","JULIO","AGOSTO","SEPTIEMBRE","OCTUBRE","NOVIEMBRE","DICIEMBRE"}, 0), 1,2,3,4,5,6,7,8,9,10,11,12), A1334)</f>
        <v>45076</v>
      </c>
      <c r="H1334">
        <v>8.875</v>
      </c>
      <c r="I1334">
        <v>56000</v>
      </c>
      <c r="J1334" s="1">
        <f t="shared" si="41"/>
        <v>44799</v>
      </c>
      <c r="K1334">
        <f t="shared" si="40"/>
        <v>39.625</v>
      </c>
    </row>
    <row r="1335" spans="1:11" x14ac:dyDescent="0.25">
      <c r="A1335">
        <v>31</v>
      </c>
      <c r="B1335" t="s">
        <v>29</v>
      </c>
      <c r="C1335">
        <v>2023</v>
      </c>
      <c r="D1335">
        <v>105.5</v>
      </c>
      <c r="E1335" t="s">
        <v>9</v>
      </c>
      <c r="F1335">
        <v>81.625</v>
      </c>
      <c r="G1335" s="1">
        <f>DATE(C1335, CHOOSE(MATCH(UPPER(B1335), {"ENERO","FEBRERO","MARZO","ABRIL","MAYO","JUNIO","JULIO","AGOSTO","SEPTIEMBRE","OCTUBRE","NOVIEMBRE","DICIEMBRE"}, 0), 1,2,3,4,5,6,7,8,9,10,11,12), A1335)</f>
        <v>45077</v>
      </c>
      <c r="H1335">
        <v>23.875</v>
      </c>
      <c r="I1335">
        <v>56000</v>
      </c>
      <c r="J1335" s="1">
        <f t="shared" si="41"/>
        <v>44800</v>
      </c>
      <c r="K1335">
        <f t="shared" si="40"/>
        <v>42</v>
      </c>
    </row>
    <row r="1336" spans="1:11" x14ac:dyDescent="0.25">
      <c r="A1336">
        <v>1</v>
      </c>
      <c r="B1336" t="s">
        <v>30</v>
      </c>
      <c r="C1336">
        <v>2023</v>
      </c>
      <c r="D1336">
        <v>81.625</v>
      </c>
      <c r="E1336" t="s">
        <v>9</v>
      </c>
      <c r="F1336">
        <v>63.25</v>
      </c>
      <c r="G1336" s="1">
        <f>DATE(C1336, CHOOSE(MATCH(UPPER(B1336), {"ENERO","FEBRERO","MARZO","ABRIL","MAYO","JUNIO","JULIO","AGOSTO","SEPTIEMBRE","OCTUBRE","NOVIEMBRE","DICIEMBRE"}, 0), 1,2,3,4,5,6,7,8,9,10,11,12), A1336)</f>
        <v>45078</v>
      </c>
      <c r="H1336">
        <v>18.375</v>
      </c>
      <c r="I1336">
        <v>56000</v>
      </c>
      <c r="J1336" s="1">
        <f t="shared" si="41"/>
        <v>44801</v>
      </c>
      <c r="K1336">
        <f t="shared" si="40"/>
        <v>36.875</v>
      </c>
    </row>
    <row r="1337" spans="1:11" x14ac:dyDescent="0.25">
      <c r="A1337">
        <v>2</v>
      </c>
      <c r="B1337" t="s">
        <v>30</v>
      </c>
      <c r="C1337">
        <v>2023</v>
      </c>
      <c r="D1337">
        <v>63.25</v>
      </c>
      <c r="E1337" t="s">
        <v>9</v>
      </c>
      <c r="F1337">
        <v>32</v>
      </c>
      <c r="G1337" s="1">
        <f>DATE(C1337, CHOOSE(MATCH(UPPER(B1337), {"ENERO","FEBRERO","MARZO","ABRIL","MAYO","JUNIO","JULIO","AGOSTO","SEPTIEMBRE","OCTUBRE","NOVIEMBRE","DICIEMBRE"}, 0), 1,2,3,4,5,6,7,8,9,10,11,12), A1337)</f>
        <v>45079</v>
      </c>
      <c r="H1337">
        <v>31.25</v>
      </c>
      <c r="I1337">
        <v>56000</v>
      </c>
      <c r="J1337" s="1">
        <f t="shared" si="41"/>
        <v>44802</v>
      </c>
      <c r="K1337">
        <f t="shared" si="40"/>
        <v>13.625</v>
      </c>
    </row>
    <row r="1338" spans="1:11" x14ac:dyDescent="0.25">
      <c r="A1338">
        <v>3</v>
      </c>
      <c r="B1338" t="s">
        <v>30</v>
      </c>
      <c r="C1338">
        <v>2023</v>
      </c>
      <c r="D1338">
        <v>32</v>
      </c>
      <c r="E1338">
        <v>120</v>
      </c>
      <c r="F1338">
        <v>116.875</v>
      </c>
      <c r="G1338" s="1">
        <f>DATE(C1338, CHOOSE(MATCH(UPPER(B1338), {"ENERO","FEBRERO","MARZO","ABRIL","MAYO","JUNIO","JULIO","AGOSTO","SEPTIEMBRE","OCTUBRE","NOVIEMBRE","DICIEMBRE"}, 0), 1,2,3,4,5,6,7,8,9,10,11,12), A1338)</f>
        <v>45080</v>
      </c>
      <c r="H1338">
        <v>35.125</v>
      </c>
      <c r="I1338">
        <v>56000</v>
      </c>
      <c r="J1338" s="1">
        <f t="shared" si="41"/>
        <v>44803</v>
      </c>
      <c r="K1338">
        <f t="shared" si="40"/>
        <v>13.375</v>
      </c>
    </row>
    <row r="1339" spans="1:11" x14ac:dyDescent="0.25">
      <c r="A1339">
        <v>4</v>
      </c>
      <c r="B1339" t="s">
        <v>30</v>
      </c>
      <c r="C1339">
        <v>2023</v>
      </c>
      <c r="D1339">
        <v>116.875</v>
      </c>
      <c r="E1339">
        <v>50</v>
      </c>
      <c r="F1339">
        <v>116.5</v>
      </c>
      <c r="G1339" s="1">
        <f>DATE(C1339, CHOOSE(MATCH(UPPER(B1339), {"ENERO","FEBRERO","MARZO","ABRIL","MAYO","JUNIO","JULIO","AGOSTO","SEPTIEMBRE","OCTUBRE","NOVIEMBRE","DICIEMBRE"}, 0), 1,2,3,4,5,6,7,8,9,10,11,12), A1339)</f>
        <v>45081</v>
      </c>
      <c r="H1339">
        <v>50.375</v>
      </c>
      <c r="I1339">
        <v>56000</v>
      </c>
      <c r="J1339" s="1">
        <f t="shared" si="41"/>
        <v>44804</v>
      </c>
      <c r="K1339">
        <f t="shared" si="40"/>
        <v>23.625</v>
      </c>
    </row>
    <row r="1340" spans="1:11" x14ac:dyDescent="0.25">
      <c r="A1340">
        <v>5</v>
      </c>
      <c r="B1340" t="s">
        <v>30</v>
      </c>
      <c r="C1340">
        <v>2023</v>
      </c>
      <c r="D1340">
        <v>116.5</v>
      </c>
      <c r="E1340" t="s">
        <v>9</v>
      </c>
      <c r="F1340">
        <v>101.125</v>
      </c>
      <c r="G1340" s="1">
        <f>DATE(C1340, CHOOSE(MATCH(UPPER(B1340), {"ENERO","FEBRERO","MARZO","ABRIL","MAYO","JUNIO","JULIO","AGOSTO","SEPTIEMBRE","OCTUBRE","NOVIEMBRE","DICIEMBRE"}, 0), 1,2,3,4,5,6,7,8,9,10,11,12), A1340)</f>
        <v>45082</v>
      </c>
      <c r="H1340">
        <v>15.375</v>
      </c>
      <c r="I1340">
        <v>56000</v>
      </c>
      <c r="J1340" s="1">
        <f t="shared" si="41"/>
        <v>44805</v>
      </c>
      <c r="K1340">
        <f t="shared" si="40"/>
        <v>21.875</v>
      </c>
    </row>
    <row r="1341" spans="1:11" x14ac:dyDescent="0.25">
      <c r="A1341">
        <v>6</v>
      </c>
      <c r="B1341" t="s">
        <v>30</v>
      </c>
      <c r="C1341">
        <v>2023</v>
      </c>
      <c r="D1341">
        <v>101.125</v>
      </c>
      <c r="E1341" t="s">
        <v>9</v>
      </c>
      <c r="F1341">
        <v>85.75</v>
      </c>
      <c r="G1341" s="1">
        <f>DATE(C1341, CHOOSE(MATCH(UPPER(B1341), {"ENERO","FEBRERO","MARZO","ABRIL","MAYO","JUNIO","JULIO","AGOSTO","SEPTIEMBRE","OCTUBRE","NOVIEMBRE","DICIEMBRE"}, 0), 1,2,3,4,5,6,7,8,9,10,11,12), A1341)</f>
        <v>45083</v>
      </c>
      <c r="H1341">
        <v>15.375</v>
      </c>
      <c r="I1341">
        <v>56000</v>
      </c>
      <c r="J1341" s="1">
        <f t="shared" si="41"/>
        <v>44806</v>
      </c>
      <c r="K1341">
        <f t="shared" si="40"/>
        <v>17.875</v>
      </c>
    </row>
    <row r="1342" spans="1:11" x14ac:dyDescent="0.25">
      <c r="A1342">
        <v>7</v>
      </c>
      <c r="B1342" t="s">
        <v>30</v>
      </c>
      <c r="C1342">
        <v>2023</v>
      </c>
      <c r="D1342">
        <v>85.75</v>
      </c>
      <c r="E1342" t="s">
        <v>9</v>
      </c>
      <c r="F1342">
        <v>60.75</v>
      </c>
      <c r="G1342" s="1">
        <f>DATE(C1342, CHOOSE(MATCH(UPPER(B1342), {"ENERO","FEBRERO","MARZO","ABRIL","MAYO","JUNIO","JULIO","AGOSTO","SEPTIEMBRE","OCTUBRE","NOVIEMBRE","DICIEMBRE"}, 0), 1,2,3,4,5,6,7,8,9,10,11,12), A1342)</f>
        <v>45084</v>
      </c>
      <c r="H1342">
        <v>25</v>
      </c>
      <c r="I1342">
        <v>56000</v>
      </c>
      <c r="J1342" s="1">
        <f t="shared" si="41"/>
        <v>44807</v>
      </c>
      <c r="K1342">
        <f t="shared" si="40"/>
        <v>42.5</v>
      </c>
    </row>
    <row r="1343" spans="1:11" x14ac:dyDescent="0.25">
      <c r="A1343">
        <v>8</v>
      </c>
      <c r="B1343" t="s">
        <v>30</v>
      </c>
      <c r="C1343">
        <v>2023</v>
      </c>
      <c r="D1343">
        <v>60.75</v>
      </c>
      <c r="E1343" t="s">
        <v>9</v>
      </c>
      <c r="F1343">
        <v>48</v>
      </c>
      <c r="G1343" s="1">
        <f>DATE(C1343, CHOOSE(MATCH(UPPER(B1343), {"ENERO","FEBRERO","MARZO","ABRIL","MAYO","JUNIO","JULIO","AGOSTO","SEPTIEMBRE","OCTUBRE","NOVIEMBRE","DICIEMBRE"}, 0), 1,2,3,4,5,6,7,8,9,10,11,12), A1343)</f>
        <v>45085</v>
      </c>
      <c r="H1343">
        <v>12.75</v>
      </c>
      <c r="I1343">
        <v>56000</v>
      </c>
      <c r="J1343" s="1">
        <f t="shared" si="41"/>
        <v>44808</v>
      </c>
      <c r="K1343">
        <f t="shared" si="40"/>
        <v>31.875</v>
      </c>
    </row>
    <row r="1344" spans="1:11" x14ac:dyDescent="0.25">
      <c r="A1344">
        <v>9</v>
      </c>
      <c r="B1344" t="s">
        <v>30</v>
      </c>
      <c r="C1344">
        <v>2023</v>
      </c>
      <c r="D1344">
        <v>48</v>
      </c>
      <c r="E1344">
        <v>170</v>
      </c>
      <c r="F1344">
        <v>187.375</v>
      </c>
      <c r="G1344" s="1">
        <f>DATE(C1344, CHOOSE(MATCH(UPPER(B1344), {"ENERO","FEBRERO","MARZO","ABRIL","MAYO","JUNIO","JULIO","AGOSTO","SEPTIEMBRE","OCTUBRE","NOVIEMBRE","DICIEMBRE"}, 0), 1,2,3,4,5,6,7,8,9,10,11,12), A1344)</f>
        <v>45086</v>
      </c>
      <c r="H1344">
        <v>30.625</v>
      </c>
      <c r="I1344">
        <v>56000</v>
      </c>
      <c r="J1344" s="1">
        <f t="shared" si="41"/>
        <v>44809</v>
      </c>
      <c r="K1344">
        <f t="shared" si="40"/>
        <v>10.5</v>
      </c>
    </row>
    <row r="1345" spans="1:11" x14ac:dyDescent="0.25">
      <c r="A1345">
        <v>10</v>
      </c>
      <c r="B1345" t="s">
        <v>30</v>
      </c>
      <c r="C1345">
        <v>2023</v>
      </c>
      <c r="D1345">
        <v>187.375</v>
      </c>
      <c r="E1345" t="s">
        <v>9</v>
      </c>
      <c r="F1345">
        <v>153.25</v>
      </c>
      <c r="G1345" s="1">
        <f>DATE(C1345, CHOOSE(MATCH(UPPER(B1345), {"ENERO","FEBRERO","MARZO","ABRIL","MAYO","JUNIO","JULIO","AGOSTO","SEPTIEMBRE","OCTUBRE","NOVIEMBRE","DICIEMBRE"}, 0), 1,2,3,4,5,6,7,8,9,10,11,12), A1345)</f>
        <v>45087</v>
      </c>
      <c r="H1345">
        <v>34.125</v>
      </c>
      <c r="I1345">
        <v>56000</v>
      </c>
      <c r="J1345" s="1">
        <f t="shared" si="41"/>
        <v>44810</v>
      </c>
      <c r="K1345">
        <f t="shared" si="40"/>
        <v>11</v>
      </c>
    </row>
    <row r="1346" spans="1:11" x14ac:dyDescent="0.25">
      <c r="A1346">
        <v>11</v>
      </c>
      <c r="B1346" t="s">
        <v>30</v>
      </c>
      <c r="C1346">
        <v>2023</v>
      </c>
      <c r="D1346">
        <v>153.25</v>
      </c>
      <c r="E1346" t="s">
        <v>9</v>
      </c>
      <c r="F1346">
        <v>95.375</v>
      </c>
      <c r="G1346" s="1">
        <f>DATE(C1346, CHOOSE(MATCH(UPPER(B1346), {"ENERO","FEBRERO","MARZO","ABRIL","MAYO","JUNIO","JULIO","AGOSTO","SEPTIEMBRE","OCTUBRE","NOVIEMBRE","DICIEMBRE"}, 0), 1,2,3,4,5,6,7,8,9,10,11,12), A1346)</f>
        <v>45088</v>
      </c>
      <c r="H1346">
        <v>57.875</v>
      </c>
      <c r="I1346">
        <v>56000</v>
      </c>
      <c r="J1346" s="1">
        <f t="shared" si="41"/>
        <v>44811</v>
      </c>
      <c r="K1346">
        <f t="shared" ref="K1346:K1409" si="42">VLOOKUP(J1346, G:H, 2, FALSE)</f>
        <v>22.5</v>
      </c>
    </row>
    <row r="1347" spans="1:11" x14ac:dyDescent="0.25">
      <c r="A1347">
        <v>12</v>
      </c>
      <c r="B1347" t="s">
        <v>30</v>
      </c>
      <c r="C1347">
        <v>2023</v>
      </c>
      <c r="D1347">
        <v>95.375</v>
      </c>
      <c r="E1347">
        <v>30</v>
      </c>
      <c r="F1347">
        <v>93.5</v>
      </c>
      <c r="G1347" s="1">
        <f>DATE(C1347, CHOOSE(MATCH(UPPER(B1347), {"ENERO","FEBRERO","MARZO","ABRIL","MAYO","JUNIO","JULIO","AGOSTO","SEPTIEMBRE","OCTUBRE","NOVIEMBRE","DICIEMBRE"}, 0), 1,2,3,4,5,6,7,8,9,10,11,12), A1347)</f>
        <v>45089</v>
      </c>
      <c r="H1347">
        <v>31.875</v>
      </c>
      <c r="I1347">
        <v>56000</v>
      </c>
      <c r="J1347" s="1">
        <f t="shared" si="41"/>
        <v>44812</v>
      </c>
      <c r="K1347">
        <f t="shared" si="42"/>
        <v>18.625</v>
      </c>
    </row>
    <row r="1348" spans="1:11" x14ac:dyDescent="0.25">
      <c r="A1348">
        <v>13</v>
      </c>
      <c r="B1348" t="s">
        <v>30</v>
      </c>
      <c r="C1348">
        <v>2023</v>
      </c>
      <c r="D1348">
        <v>93.5</v>
      </c>
      <c r="E1348" t="s">
        <v>9</v>
      </c>
      <c r="F1348">
        <v>81.875</v>
      </c>
      <c r="G1348" s="1">
        <f>DATE(C1348, CHOOSE(MATCH(UPPER(B1348), {"ENERO","FEBRERO","MARZO","ABRIL","MAYO","JUNIO","JULIO","AGOSTO","SEPTIEMBRE","OCTUBRE","NOVIEMBRE","DICIEMBRE"}, 0), 1,2,3,4,5,6,7,8,9,10,11,12), A1348)</f>
        <v>45090</v>
      </c>
      <c r="H1348">
        <v>11.625</v>
      </c>
      <c r="I1348">
        <v>56000</v>
      </c>
      <c r="J1348" s="1">
        <f t="shared" ref="J1348:J1411" si="43">DATE(2019,1,1) + ROW()-1</f>
        <v>44813</v>
      </c>
      <c r="K1348">
        <f t="shared" si="42"/>
        <v>23.375</v>
      </c>
    </row>
    <row r="1349" spans="1:11" x14ac:dyDescent="0.25">
      <c r="A1349">
        <v>14</v>
      </c>
      <c r="B1349" t="s">
        <v>30</v>
      </c>
      <c r="C1349">
        <v>2023</v>
      </c>
      <c r="D1349">
        <v>81.875</v>
      </c>
      <c r="E1349" t="s">
        <v>9</v>
      </c>
      <c r="F1349">
        <v>55.875</v>
      </c>
      <c r="G1349" s="1">
        <f>DATE(C1349, CHOOSE(MATCH(UPPER(B1349), {"ENERO","FEBRERO","MARZO","ABRIL","MAYO","JUNIO","JULIO","AGOSTO","SEPTIEMBRE","OCTUBRE","NOVIEMBRE","DICIEMBRE"}, 0), 1,2,3,4,5,6,7,8,9,10,11,12), A1349)</f>
        <v>45091</v>
      </c>
      <c r="H1349">
        <v>26</v>
      </c>
      <c r="I1349">
        <v>56000</v>
      </c>
      <c r="J1349" s="1">
        <f t="shared" si="43"/>
        <v>44814</v>
      </c>
      <c r="K1349">
        <f t="shared" si="42"/>
        <v>44.625</v>
      </c>
    </row>
    <row r="1350" spans="1:11" x14ac:dyDescent="0.25">
      <c r="A1350">
        <v>15</v>
      </c>
      <c r="B1350" t="s">
        <v>30</v>
      </c>
      <c r="C1350">
        <v>2023</v>
      </c>
      <c r="D1350">
        <v>55.875</v>
      </c>
      <c r="E1350">
        <v>150</v>
      </c>
      <c r="F1350">
        <v>185.625</v>
      </c>
      <c r="G1350" s="1">
        <f>DATE(C1350, CHOOSE(MATCH(UPPER(B1350), {"ENERO","FEBRERO","MARZO","ABRIL","MAYO","JUNIO","JULIO","AGOSTO","SEPTIEMBRE","OCTUBRE","NOVIEMBRE","DICIEMBRE"}, 0), 1,2,3,4,5,6,7,8,9,10,11,12), A1350)</f>
        <v>45092</v>
      </c>
      <c r="H1350">
        <v>20.25</v>
      </c>
      <c r="I1350">
        <v>56000</v>
      </c>
      <c r="J1350" s="1">
        <f t="shared" si="43"/>
        <v>44815</v>
      </c>
      <c r="K1350">
        <f t="shared" si="42"/>
        <v>48</v>
      </c>
    </row>
    <row r="1351" spans="1:11" x14ac:dyDescent="0.25">
      <c r="A1351">
        <v>16</v>
      </c>
      <c r="B1351" t="s">
        <v>30</v>
      </c>
      <c r="C1351">
        <v>2023</v>
      </c>
      <c r="D1351">
        <v>185.625</v>
      </c>
      <c r="E1351" t="s">
        <v>9</v>
      </c>
      <c r="F1351">
        <v>160.375</v>
      </c>
      <c r="G1351" s="1">
        <f>DATE(C1351, CHOOSE(MATCH(UPPER(B1351), {"ENERO","FEBRERO","MARZO","ABRIL","MAYO","JUNIO","JULIO","AGOSTO","SEPTIEMBRE","OCTUBRE","NOVIEMBRE","DICIEMBRE"}, 0), 1,2,3,4,5,6,7,8,9,10,11,12), A1351)</f>
        <v>45093</v>
      </c>
      <c r="H1351">
        <v>25.25</v>
      </c>
      <c r="I1351">
        <v>56000</v>
      </c>
      <c r="J1351" s="1">
        <f t="shared" si="43"/>
        <v>44816</v>
      </c>
      <c r="K1351">
        <f t="shared" si="42"/>
        <v>6.375</v>
      </c>
    </row>
    <row r="1352" spans="1:11" x14ac:dyDescent="0.25">
      <c r="A1352">
        <v>17</v>
      </c>
      <c r="B1352" t="s">
        <v>30</v>
      </c>
      <c r="C1352">
        <v>2023</v>
      </c>
      <c r="D1352">
        <v>160.375</v>
      </c>
      <c r="E1352" t="s">
        <v>9</v>
      </c>
      <c r="F1352">
        <v>121</v>
      </c>
      <c r="G1352" s="1">
        <f>DATE(C1352, CHOOSE(MATCH(UPPER(B1352), {"ENERO","FEBRERO","MARZO","ABRIL","MAYO","JUNIO","JULIO","AGOSTO","SEPTIEMBRE","OCTUBRE","NOVIEMBRE","DICIEMBRE"}, 0), 1,2,3,4,5,6,7,8,9,10,11,12), A1352)</f>
        <v>45094</v>
      </c>
      <c r="H1352">
        <v>39.375</v>
      </c>
      <c r="I1352">
        <v>56000</v>
      </c>
      <c r="J1352" s="1">
        <f t="shared" si="43"/>
        <v>44817</v>
      </c>
      <c r="K1352">
        <f t="shared" si="42"/>
        <v>31.125</v>
      </c>
    </row>
    <row r="1353" spans="1:11" x14ac:dyDescent="0.25">
      <c r="A1353">
        <v>18</v>
      </c>
      <c r="B1353" t="s">
        <v>30</v>
      </c>
      <c r="C1353">
        <v>2023</v>
      </c>
      <c r="D1353">
        <v>121</v>
      </c>
      <c r="E1353" t="s">
        <v>9</v>
      </c>
      <c r="F1353">
        <v>73</v>
      </c>
      <c r="G1353" s="1">
        <f>DATE(C1353, CHOOSE(MATCH(UPPER(B1353), {"ENERO","FEBRERO","MARZO","ABRIL","MAYO","JUNIO","JULIO","AGOSTO","SEPTIEMBRE","OCTUBRE","NOVIEMBRE","DICIEMBRE"}, 0), 1,2,3,4,5,6,7,8,9,10,11,12), A1353)</f>
        <v>45095</v>
      </c>
      <c r="H1353">
        <v>48</v>
      </c>
      <c r="I1353">
        <v>56000</v>
      </c>
      <c r="J1353" s="1">
        <f t="shared" si="43"/>
        <v>44818</v>
      </c>
      <c r="K1353">
        <f t="shared" si="42"/>
        <v>24.5</v>
      </c>
    </row>
    <row r="1354" spans="1:11" x14ac:dyDescent="0.25">
      <c r="A1354">
        <v>19</v>
      </c>
      <c r="B1354" t="s">
        <v>30</v>
      </c>
      <c r="C1354">
        <v>2023</v>
      </c>
      <c r="D1354">
        <v>73</v>
      </c>
      <c r="E1354">
        <v>55</v>
      </c>
      <c r="F1354">
        <v>86.25</v>
      </c>
      <c r="G1354" s="1">
        <f>DATE(C1354, CHOOSE(MATCH(UPPER(B1354), {"ENERO","FEBRERO","MARZO","ABRIL","MAYO","JUNIO","JULIO","AGOSTO","SEPTIEMBRE","OCTUBRE","NOVIEMBRE","DICIEMBRE"}, 0), 1,2,3,4,5,6,7,8,9,10,11,12), A1354)</f>
        <v>45096</v>
      </c>
      <c r="H1354">
        <v>41.75</v>
      </c>
      <c r="I1354">
        <v>56000</v>
      </c>
      <c r="J1354" s="1">
        <f t="shared" si="43"/>
        <v>44819</v>
      </c>
      <c r="K1354">
        <f t="shared" si="42"/>
        <v>15.5</v>
      </c>
    </row>
    <row r="1355" spans="1:11" x14ac:dyDescent="0.25">
      <c r="A1355">
        <v>20</v>
      </c>
      <c r="B1355" t="s">
        <v>30</v>
      </c>
      <c r="C1355">
        <v>2023</v>
      </c>
      <c r="D1355">
        <v>86.25</v>
      </c>
      <c r="E1355" t="s">
        <v>9</v>
      </c>
      <c r="F1355">
        <v>66.875</v>
      </c>
      <c r="G1355" s="1">
        <f>DATE(C1355, CHOOSE(MATCH(UPPER(B1355), {"ENERO","FEBRERO","MARZO","ABRIL","MAYO","JUNIO","JULIO","AGOSTO","SEPTIEMBRE","OCTUBRE","NOVIEMBRE","DICIEMBRE"}, 0), 1,2,3,4,5,6,7,8,9,10,11,12), A1355)</f>
        <v>45097</v>
      </c>
      <c r="H1355">
        <v>19.375</v>
      </c>
      <c r="I1355">
        <v>56000</v>
      </c>
      <c r="J1355" s="1">
        <f t="shared" si="43"/>
        <v>44820</v>
      </c>
      <c r="K1355">
        <f t="shared" si="42"/>
        <v>23.75</v>
      </c>
    </row>
    <row r="1356" spans="1:11" x14ac:dyDescent="0.25">
      <c r="A1356">
        <v>21</v>
      </c>
      <c r="B1356" t="s">
        <v>30</v>
      </c>
      <c r="C1356">
        <v>2023</v>
      </c>
      <c r="D1356">
        <v>66.875</v>
      </c>
      <c r="E1356" t="s">
        <v>9</v>
      </c>
      <c r="F1356">
        <v>35.125</v>
      </c>
      <c r="G1356" s="1">
        <f>DATE(C1356, CHOOSE(MATCH(UPPER(B1356), {"ENERO","FEBRERO","MARZO","ABRIL","MAYO","JUNIO","JULIO","AGOSTO","SEPTIEMBRE","OCTUBRE","NOVIEMBRE","DICIEMBRE"}, 0), 1,2,3,4,5,6,7,8,9,10,11,12), A1356)</f>
        <v>45098</v>
      </c>
      <c r="H1356">
        <v>31.75</v>
      </c>
      <c r="I1356">
        <v>56000</v>
      </c>
      <c r="J1356" s="1">
        <f t="shared" si="43"/>
        <v>44821</v>
      </c>
      <c r="K1356">
        <f t="shared" si="42"/>
        <v>48.625</v>
      </c>
    </row>
    <row r="1357" spans="1:11" x14ac:dyDescent="0.25">
      <c r="A1357">
        <v>22</v>
      </c>
      <c r="B1357" t="s">
        <v>30</v>
      </c>
      <c r="C1357">
        <v>2023</v>
      </c>
      <c r="D1357">
        <v>35.125</v>
      </c>
      <c r="E1357">
        <v>120</v>
      </c>
      <c r="F1357">
        <v>133.5</v>
      </c>
      <c r="G1357" s="1">
        <f>DATE(C1357, CHOOSE(MATCH(UPPER(B1357), {"ENERO","FEBRERO","MARZO","ABRIL","MAYO","JUNIO","JULIO","AGOSTO","SEPTIEMBRE","OCTUBRE","NOVIEMBRE","DICIEMBRE"}, 0), 1,2,3,4,5,6,7,8,9,10,11,12), A1357)</f>
        <v>45099</v>
      </c>
      <c r="H1357">
        <v>21.625</v>
      </c>
      <c r="I1357">
        <v>56000</v>
      </c>
      <c r="J1357" s="1">
        <f t="shared" si="43"/>
        <v>44822</v>
      </c>
      <c r="K1357">
        <f t="shared" si="42"/>
        <v>56.75</v>
      </c>
    </row>
    <row r="1358" spans="1:11" x14ac:dyDescent="0.25">
      <c r="A1358">
        <v>23</v>
      </c>
      <c r="B1358" t="s">
        <v>30</v>
      </c>
      <c r="C1358">
        <v>2023</v>
      </c>
      <c r="D1358">
        <v>133.5</v>
      </c>
      <c r="E1358" t="s">
        <v>9</v>
      </c>
      <c r="F1358">
        <v>106.5</v>
      </c>
      <c r="G1358" s="1">
        <f>DATE(C1358, CHOOSE(MATCH(UPPER(B1358), {"ENERO","FEBRERO","MARZO","ABRIL","MAYO","JUNIO","JULIO","AGOSTO","SEPTIEMBRE","OCTUBRE","NOVIEMBRE","DICIEMBRE"}, 0), 1,2,3,4,5,6,7,8,9,10,11,12), A1358)</f>
        <v>45100</v>
      </c>
      <c r="H1358">
        <v>27</v>
      </c>
      <c r="I1358">
        <v>56000</v>
      </c>
      <c r="J1358" s="1">
        <f t="shared" si="43"/>
        <v>44823</v>
      </c>
      <c r="K1358">
        <f t="shared" si="42"/>
        <v>11.125</v>
      </c>
    </row>
    <row r="1359" spans="1:11" x14ac:dyDescent="0.25">
      <c r="A1359">
        <v>24</v>
      </c>
      <c r="B1359" t="s">
        <v>30</v>
      </c>
      <c r="C1359">
        <v>2023</v>
      </c>
      <c r="D1359">
        <v>106.5</v>
      </c>
      <c r="E1359">
        <v>40</v>
      </c>
      <c r="F1359">
        <v>95.5</v>
      </c>
      <c r="G1359" s="1">
        <f>DATE(C1359, CHOOSE(MATCH(UPPER(B1359), {"ENERO","FEBRERO","MARZO","ABRIL","MAYO","JUNIO","JULIO","AGOSTO","SEPTIEMBRE","OCTUBRE","NOVIEMBRE","DICIEMBRE"}, 0), 1,2,3,4,5,6,7,8,9,10,11,12), A1359)</f>
        <v>45101</v>
      </c>
      <c r="H1359">
        <v>51</v>
      </c>
      <c r="I1359">
        <v>56000</v>
      </c>
      <c r="J1359" s="1">
        <f t="shared" si="43"/>
        <v>44824</v>
      </c>
      <c r="K1359">
        <f t="shared" si="42"/>
        <v>9.375</v>
      </c>
    </row>
    <row r="1360" spans="1:11" x14ac:dyDescent="0.25">
      <c r="A1360">
        <v>25</v>
      </c>
      <c r="B1360" t="s">
        <v>30</v>
      </c>
      <c r="C1360">
        <v>2023</v>
      </c>
      <c r="D1360">
        <v>95.5</v>
      </c>
      <c r="E1360" t="s">
        <v>9</v>
      </c>
      <c r="F1360">
        <v>49.375</v>
      </c>
      <c r="G1360" s="1">
        <f>DATE(C1360, CHOOSE(MATCH(UPPER(B1360), {"ENERO","FEBRERO","MARZO","ABRIL","MAYO","JUNIO","JULIO","AGOSTO","SEPTIEMBRE","OCTUBRE","NOVIEMBRE","DICIEMBRE"}, 0), 1,2,3,4,5,6,7,8,9,10,11,12), A1360)</f>
        <v>45102</v>
      </c>
      <c r="H1360">
        <v>46.125</v>
      </c>
      <c r="I1360">
        <v>56000</v>
      </c>
      <c r="J1360" s="1">
        <f t="shared" si="43"/>
        <v>44825</v>
      </c>
      <c r="K1360">
        <f t="shared" si="42"/>
        <v>12.625</v>
      </c>
    </row>
    <row r="1361" spans="1:11" x14ac:dyDescent="0.25">
      <c r="A1361">
        <v>26</v>
      </c>
      <c r="B1361" t="s">
        <v>30</v>
      </c>
      <c r="C1361">
        <v>2023</v>
      </c>
      <c r="D1361">
        <v>49.375</v>
      </c>
      <c r="E1361" t="s">
        <v>9</v>
      </c>
      <c r="F1361">
        <v>28</v>
      </c>
      <c r="G1361" s="1">
        <f>DATE(C1361, CHOOSE(MATCH(UPPER(B1361), {"ENERO","FEBRERO","MARZO","ABRIL","MAYO","JUNIO","JULIO","AGOSTO","SEPTIEMBRE","OCTUBRE","NOVIEMBRE","DICIEMBRE"}, 0), 1,2,3,4,5,6,7,8,9,10,11,12), A1361)</f>
        <v>45103</v>
      </c>
      <c r="H1361">
        <v>21.375</v>
      </c>
      <c r="I1361">
        <v>56000</v>
      </c>
      <c r="J1361" s="1">
        <f t="shared" si="43"/>
        <v>44826</v>
      </c>
      <c r="K1361">
        <f t="shared" si="42"/>
        <v>18.375</v>
      </c>
    </row>
    <row r="1362" spans="1:11" x14ac:dyDescent="0.25">
      <c r="A1362">
        <v>27</v>
      </c>
      <c r="B1362" t="s">
        <v>30</v>
      </c>
      <c r="C1362">
        <v>2023</v>
      </c>
      <c r="D1362">
        <v>28</v>
      </c>
      <c r="E1362">
        <v>100</v>
      </c>
      <c r="F1362">
        <v>100.75</v>
      </c>
      <c r="G1362" s="1">
        <f>DATE(C1362, CHOOSE(MATCH(UPPER(B1362), {"ENERO","FEBRERO","MARZO","ABRIL","MAYO","JUNIO","JULIO","AGOSTO","SEPTIEMBRE","OCTUBRE","NOVIEMBRE","DICIEMBRE"}, 0), 1,2,3,4,5,6,7,8,9,10,11,12), A1362)</f>
        <v>45104</v>
      </c>
      <c r="H1362">
        <v>27.25</v>
      </c>
      <c r="I1362">
        <v>56000</v>
      </c>
      <c r="J1362" s="1">
        <f t="shared" si="43"/>
        <v>44827</v>
      </c>
      <c r="K1362">
        <f t="shared" si="42"/>
        <v>28.125</v>
      </c>
    </row>
    <row r="1363" spans="1:11" x14ac:dyDescent="0.25">
      <c r="A1363">
        <v>28</v>
      </c>
      <c r="B1363" t="s">
        <v>30</v>
      </c>
      <c r="C1363">
        <v>2023</v>
      </c>
      <c r="D1363">
        <v>100.75</v>
      </c>
      <c r="E1363" t="s">
        <v>9</v>
      </c>
      <c r="F1363">
        <v>73</v>
      </c>
      <c r="G1363" s="1">
        <f>DATE(C1363, CHOOSE(MATCH(UPPER(B1363), {"ENERO","FEBRERO","MARZO","ABRIL","MAYO","JUNIO","JULIO","AGOSTO","SEPTIEMBRE","OCTUBRE","NOVIEMBRE","DICIEMBRE"}, 0), 1,2,3,4,5,6,7,8,9,10,11,12), A1363)</f>
        <v>45105</v>
      </c>
      <c r="H1363">
        <v>27.75</v>
      </c>
      <c r="I1363">
        <v>56000</v>
      </c>
      <c r="J1363" s="1">
        <f t="shared" si="43"/>
        <v>44828</v>
      </c>
      <c r="K1363">
        <f t="shared" si="42"/>
        <v>45.125</v>
      </c>
    </row>
    <row r="1364" spans="1:11" x14ac:dyDescent="0.25">
      <c r="A1364">
        <v>29</v>
      </c>
      <c r="B1364" t="s">
        <v>30</v>
      </c>
      <c r="C1364">
        <v>2023</v>
      </c>
      <c r="D1364">
        <v>73</v>
      </c>
      <c r="E1364" t="s">
        <v>9</v>
      </c>
      <c r="F1364">
        <v>40.375</v>
      </c>
      <c r="G1364" s="1">
        <f>DATE(C1364, CHOOSE(MATCH(UPPER(B1364), {"ENERO","FEBRERO","MARZO","ABRIL","MAYO","JUNIO","JULIO","AGOSTO","SEPTIEMBRE","OCTUBRE","NOVIEMBRE","DICIEMBRE"}, 0), 1,2,3,4,5,6,7,8,9,10,11,12), A1364)</f>
        <v>45106</v>
      </c>
      <c r="H1364">
        <v>32.625</v>
      </c>
      <c r="I1364">
        <v>56000</v>
      </c>
      <c r="J1364" s="1">
        <f t="shared" si="43"/>
        <v>44829</v>
      </c>
      <c r="K1364">
        <f t="shared" si="42"/>
        <v>39.625</v>
      </c>
    </row>
    <row r="1365" spans="1:11" x14ac:dyDescent="0.25">
      <c r="A1365">
        <v>30</v>
      </c>
      <c r="B1365" t="s">
        <v>30</v>
      </c>
      <c r="C1365">
        <v>2023</v>
      </c>
      <c r="D1365">
        <v>40.375</v>
      </c>
      <c r="E1365">
        <v>20</v>
      </c>
      <c r="F1365">
        <v>33.375</v>
      </c>
      <c r="G1365" s="1">
        <f>DATE(C1365, CHOOSE(MATCH(UPPER(B1365), {"ENERO","FEBRERO","MARZO","ABRIL","MAYO","JUNIO","JULIO","AGOSTO","SEPTIEMBRE","OCTUBRE","NOVIEMBRE","DICIEMBRE"}, 0), 1,2,3,4,5,6,7,8,9,10,11,12), A1365)</f>
        <v>45107</v>
      </c>
      <c r="H1365">
        <v>27</v>
      </c>
      <c r="I1365">
        <v>56000</v>
      </c>
      <c r="J1365" s="1">
        <f t="shared" si="43"/>
        <v>44830</v>
      </c>
      <c r="K1365">
        <f t="shared" si="42"/>
        <v>12</v>
      </c>
    </row>
    <row r="1366" spans="1:11" x14ac:dyDescent="0.25">
      <c r="A1366">
        <v>31</v>
      </c>
      <c r="B1366" t="s">
        <v>30</v>
      </c>
      <c r="C1366">
        <v>2023</v>
      </c>
      <c r="D1366">
        <v>33.375</v>
      </c>
      <c r="E1366" t="s">
        <v>9</v>
      </c>
      <c r="F1366" t="s">
        <v>9</v>
      </c>
      <c r="G1366" s="1">
        <f>DATE(C1366, CHOOSE(MATCH(UPPER(B1366), {"ENERO","FEBRERO","MARZO","ABRIL","MAYO","JUNIO","JULIO","AGOSTO","SEPTIEMBRE","OCTUBRE","NOVIEMBRE","DICIEMBRE"}, 0), 1,2,3,4,5,6,7,8,9,10,11,12), A1366)</f>
        <v>45108</v>
      </c>
      <c r="H1366">
        <v>33.375</v>
      </c>
      <c r="I1366">
        <v>56000</v>
      </c>
      <c r="J1366" s="1">
        <f t="shared" si="43"/>
        <v>44831</v>
      </c>
      <c r="K1366">
        <f t="shared" si="42"/>
        <v>21</v>
      </c>
    </row>
    <row r="1367" spans="1:11" x14ac:dyDescent="0.25">
      <c r="A1367">
        <v>1</v>
      </c>
      <c r="B1367" t="s">
        <v>31</v>
      </c>
      <c r="C1367">
        <v>2023</v>
      </c>
      <c r="D1367">
        <v>33.375</v>
      </c>
      <c r="E1367">
        <v>90</v>
      </c>
      <c r="F1367">
        <v>91.75</v>
      </c>
      <c r="G1367" s="1">
        <f>DATE(C1367, CHOOSE(MATCH(UPPER(B1367), {"ENERO","FEBRERO","MARZO","ABRIL","MAYO","JUNIO","JULIO","AGOSTO","SEPTIEMBRE","OCTUBRE","NOVIEMBRE","DICIEMBRE"}, 0), 1,2,3,4,5,6,7,8,9,10,11,12), A1367)</f>
        <v>45108</v>
      </c>
      <c r="H1367">
        <v>31.625</v>
      </c>
      <c r="I1367">
        <v>56000</v>
      </c>
      <c r="J1367" s="1">
        <f t="shared" si="43"/>
        <v>44832</v>
      </c>
      <c r="K1367">
        <f t="shared" si="42"/>
        <v>20.375</v>
      </c>
    </row>
    <row r="1368" spans="1:11" x14ac:dyDescent="0.25">
      <c r="A1368">
        <v>2</v>
      </c>
      <c r="B1368" t="s">
        <v>31</v>
      </c>
      <c r="C1368">
        <v>2023</v>
      </c>
      <c r="D1368">
        <v>91.75</v>
      </c>
      <c r="E1368" t="s">
        <v>9</v>
      </c>
      <c r="F1368">
        <v>47.625</v>
      </c>
      <c r="G1368" s="1">
        <f>DATE(C1368, CHOOSE(MATCH(UPPER(B1368), {"ENERO","FEBRERO","MARZO","ABRIL","MAYO","JUNIO","JULIO","AGOSTO","SEPTIEMBRE","OCTUBRE","NOVIEMBRE","DICIEMBRE"}, 0), 1,2,3,4,5,6,7,8,9,10,11,12), A1368)</f>
        <v>45109</v>
      </c>
      <c r="H1368">
        <v>44.125</v>
      </c>
      <c r="I1368">
        <v>56000</v>
      </c>
      <c r="J1368" s="1">
        <f t="shared" si="43"/>
        <v>44833</v>
      </c>
      <c r="K1368">
        <f t="shared" si="42"/>
        <v>16</v>
      </c>
    </row>
    <row r="1369" spans="1:11" x14ac:dyDescent="0.25">
      <c r="A1369">
        <v>3</v>
      </c>
      <c r="B1369" t="s">
        <v>31</v>
      </c>
      <c r="C1369">
        <v>2023</v>
      </c>
      <c r="D1369">
        <v>47.625</v>
      </c>
      <c r="E1369">
        <v>60</v>
      </c>
      <c r="F1369">
        <v>66.875</v>
      </c>
      <c r="G1369" s="1">
        <f>DATE(C1369, CHOOSE(MATCH(UPPER(B1369), {"ENERO","FEBRERO","MARZO","ABRIL","MAYO","JUNIO","JULIO","AGOSTO","SEPTIEMBRE","OCTUBRE","NOVIEMBRE","DICIEMBRE"}, 0), 1,2,3,4,5,6,7,8,9,10,11,12), A1369)</f>
        <v>45110</v>
      </c>
      <c r="H1369">
        <v>40.75</v>
      </c>
      <c r="I1369">
        <v>56000</v>
      </c>
      <c r="J1369" s="1">
        <f t="shared" si="43"/>
        <v>44834</v>
      </c>
      <c r="K1369">
        <f t="shared" si="42"/>
        <v>28.375</v>
      </c>
    </row>
    <row r="1370" spans="1:11" x14ac:dyDescent="0.25">
      <c r="A1370">
        <v>4</v>
      </c>
      <c r="B1370" t="s">
        <v>31</v>
      </c>
      <c r="C1370">
        <v>2023</v>
      </c>
      <c r="D1370">
        <v>66.875</v>
      </c>
      <c r="E1370" t="s">
        <v>9</v>
      </c>
      <c r="F1370">
        <v>45.375</v>
      </c>
      <c r="G1370" s="1">
        <f>DATE(C1370, CHOOSE(MATCH(UPPER(B1370), {"ENERO","FEBRERO","MARZO","ABRIL","MAYO","JUNIO","JULIO","AGOSTO","SEPTIEMBRE","OCTUBRE","NOVIEMBRE","DICIEMBRE"}, 0), 1,2,3,4,5,6,7,8,9,10,11,12), A1370)</f>
        <v>45111</v>
      </c>
      <c r="H1370">
        <v>21.5</v>
      </c>
      <c r="I1370">
        <v>56000</v>
      </c>
      <c r="J1370" s="1">
        <f t="shared" si="43"/>
        <v>44835</v>
      </c>
      <c r="K1370" t="e">
        <f t="shared" si="42"/>
        <v>#N/A</v>
      </c>
    </row>
    <row r="1371" spans="1:11" x14ac:dyDescent="0.25">
      <c r="A1371">
        <v>5</v>
      </c>
      <c r="B1371" t="s">
        <v>31</v>
      </c>
      <c r="C1371">
        <v>2023</v>
      </c>
      <c r="D1371">
        <v>45.375</v>
      </c>
      <c r="E1371" t="s">
        <v>9</v>
      </c>
      <c r="F1371">
        <v>14.75</v>
      </c>
      <c r="G1371" s="1">
        <f>DATE(C1371, CHOOSE(MATCH(UPPER(B1371), {"ENERO","FEBRERO","MARZO","ABRIL","MAYO","JUNIO","JULIO","AGOSTO","SEPTIEMBRE","OCTUBRE","NOVIEMBRE","DICIEMBRE"}, 0), 1,2,3,4,5,6,7,8,9,10,11,12), A1371)</f>
        <v>45112</v>
      </c>
      <c r="H1371">
        <v>30.625</v>
      </c>
      <c r="I1371">
        <v>56000</v>
      </c>
      <c r="J1371" s="1">
        <f t="shared" si="43"/>
        <v>44836</v>
      </c>
      <c r="K1371" t="e">
        <f t="shared" si="42"/>
        <v>#N/A</v>
      </c>
    </row>
    <row r="1372" spans="1:11" x14ac:dyDescent="0.25">
      <c r="A1372">
        <v>6</v>
      </c>
      <c r="B1372" t="s">
        <v>31</v>
      </c>
      <c r="C1372">
        <v>2023</v>
      </c>
      <c r="D1372">
        <v>14.75</v>
      </c>
      <c r="E1372">
        <v>70</v>
      </c>
      <c r="F1372">
        <v>60.875</v>
      </c>
      <c r="G1372" s="1">
        <f>DATE(C1372, CHOOSE(MATCH(UPPER(B1372), {"ENERO","FEBRERO","MARZO","ABRIL","MAYO","JUNIO","JULIO","AGOSTO","SEPTIEMBRE","OCTUBRE","NOVIEMBRE","DICIEMBRE"}, 0), 1,2,3,4,5,6,7,8,9,10,11,12), A1372)</f>
        <v>45113</v>
      </c>
      <c r="H1372">
        <v>23.875</v>
      </c>
      <c r="I1372">
        <v>56000</v>
      </c>
      <c r="J1372" s="1">
        <f t="shared" si="43"/>
        <v>44837</v>
      </c>
      <c r="K1372" t="e">
        <f t="shared" si="42"/>
        <v>#N/A</v>
      </c>
    </row>
    <row r="1373" spans="1:11" x14ac:dyDescent="0.25">
      <c r="A1373">
        <v>7</v>
      </c>
      <c r="B1373" t="s">
        <v>31</v>
      </c>
      <c r="C1373">
        <v>2023</v>
      </c>
      <c r="D1373">
        <v>60.875</v>
      </c>
      <c r="E1373" t="s">
        <v>9</v>
      </c>
      <c r="F1373">
        <v>36.5</v>
      </c>
      <c r="G1373" s="1">
        <f>DATE(C1373, CHOOSE(MATCH(UPPER(B1373), {"ENERO","FEBRERO","MARZO","ABRIL","MAYO","JUNIO","JULIO","AGOSTO","SEPTIEMBRE","OCTUBRE","NOVIEMBRE","DICIEMBRE"}, 0), 1,2,3,4,5,6,7,8,9,10,11,12), A1373)</f>
        <v>45114</v>
      </c>
      <c r="H1373">
        <v>24.375</v>
      </c>
      <c r="I1373">
        <v>56000</v>
      </c>
      <c r="J1373" s="1">
        <f t="shared" si="43"/>
        <v>44838</v>
      </c>
      <c r="K1373" t="e">
        <f t="shared" si="42"/>
        <v>#N/A</v>
      </c>
    </row>
    <row r="1374" spans="1:11" x14ac:dyDescent="0.25">
      <c r="A1374">
        <v>8</v>
      </c>
      <c r="B1374" t="s">
        <v>31</v>
      </c>
      <c r="C1374">
        <v>2023</v>
      </c>
      <c r="D1374">
        <v>36.5</v>
      </c>
      <c r="E1374">
        <v>90</v>
      </c>
      <c r="F1374">
        <v>80.375</v>
      </c>
      <c r="G1374" s="1">
        <f>DATE(C1374, CHOOSE(MATCH(UPPER(B1374), {"ENERO","FEBRERO","MARZO","ABRIL","MAYO","JUNIO","JULIO","AGOSTO","SEPTIEMBRE","OCTUBRE","NOVIEMBRE","DICIEMBRE"}, 0), 1,2,3,4,5,6,7,8,9,10,11,12), A1374)</f>
        <v>45115</v>
      </c>
      <c r="H1374">
        <v>46.125</v>
      </c>
      <c r="I1374">
        <v>56000</v>
      </c>
      <c r="J1374" s="1">
        <f t="shared" si="43"/>
        <v>44839</v>
      </c>
      <c r="K1374" t="e">
        <f t="shared" si="42"/>
        <v>#N/A</v>
      </c>
    </row>
    <row r="1375" spans="1:11" x14ac:dyDescent="0.25">
      <c r="A1375">
        <v>9</v>
      </c>
      <c r="B1375" t="s">
        <v>31</v>
      </c>
      <c r="C1375">
        <v>2023</v>
      </c>
      <c r="D1375">
        <v>80.375</v>
      </c>
      <c r="E1375" t="s">
        <v>9</v>
      </c>
      <c r="F1375">
        <v>29.875</v>
      </c>
      <c r="G1375" s="1">
        <f>DATE(C1375, CHOOSE(MATCH(UPPER(B1375), {"ENERO","FEBRERO","MARZO","ABRIL","MAYO","JUNIO","JULIO","AGOSTO","SEPTIEMBRE","OCTUBRE","NOVIEMBRE","DICIEMBRE"}, 0), 1,2,3,4,5,6,7,8,9,10,11,12), A1375)</f>
        <v>45116</v>
      </c>
      <c r="H1375">
        <v>50.5</v>
      </c>
      <c r="I1375">
        <v>56000</v>
      </c>
      <c r="J1375" s="1">
        <f t="shared" si="43"/>
        <v>44840</v>
      </c>
      <c r="K1375" t="e">
        <f t="shared" si="42"/>
        <v>#N/A</v>
      </c>
    </row>
    <row r="1376" spans="1:11" x14ac:dyDescent="0.25">
      <c r="A1376">
        <v>10</v>
      </c>
      <c r="B1376" t="s">
        <v>31</v>
      </c>
      <c r="C1376">
        <v>2023</v>
      </c>
      <c r="D1376">
        <v>29.875</v>
      </c>
      <c r="E1376">
        <v>100</v>
      </c>
      <c r="F1376">
        <v>112.375</v>
      </c>
      <c r="G1376" s="1">
        <f>DATE(C1376, CHOOSE(MATCH(UPPER(B1376), {"ENERO","FEBRERO","MARZO","ABRIL","MAYO","JUNIO","JULIO","AGOSTO","SEPTIEMBRE","OCTUBRE","NOVIEMBRE","DICIEMBRE"}, 0), 1,2,3,4,5,6,7,8,9,10,11,12), A1376)</f>
        <v>45117</v>
      </c>
      <c r="H1376">
        <v>17.5</v>
      </c>
      <c r="I1376">
        <v>56000</v>
      </c>
      <c r="J1376" s="1">
        <f t="shared" si="43"/>
        <v>44841</v>
      </c>
      <c r="K1376" t="e">
        <f t="shared" si="42"/>
        <v>#N/A</v>
      </c>
    </row>
    <row r="1377" spans="1:11" x14ac:dyDescent="0.25">
      <c r="A1377">
        <v>11</v>
      </c>
      <c r="B1377" t="s">
        <v>31</v>
      </c>
      <c r="C1377">
        <v>2023</v>
      </c>
      <c r="D1377">
        <v>112.375</v>
      </c>
      <c r="E1377" t="s">
        <v>9</v>
      </c>
      <c r="F1377">
        <v>94.625</v>
      </c>
      <c r="G1377" s="1">
        <f>DATE(C1377, CHOOSE(MATCH(UPPER(B1377), {"ENERO","FEBRERO","MARZO","ABRIL","MAYO","JUNIO","JULIO","AGOSTO","SEPTIEMBRE","OCTUBRE","NOVIEMBRE","DICIEMBRE"}, 0), 1,2,3,4,5,6,7,8,9,10,11,12), A1377)</f>
        <v>45118</v>
      </c>
      <c r="H1377">
        <v>17.75</v>
      </c>
      <c r="I1377">
        <v>56000</v>
      </c>
      <c r="J1377" s="1">
        <f t="shared" si="43"/>
        <v>44842</v>
      </c>
      <c r="K1377" t="e">
        <f t="shared" si="42"/>
        <v>#N/A</v>
      </c>
    </row>
    <row r="1378" spans="1:11" x14ac:dyDescent="0.25">
      <c r="A1378">
        <v>12</v>
      </c>
      <c r="B1378" t="s">
        <v>31</v>
      </c>
      <c r="C1378">
        <v>2023</v>
      </c>
      <c r="D1378">
        <v>94.625</v>
      </c>
      <c r="E1378" t="s">
        <v>9</v>
      </c>
      <c r="F1378">
        <v>60.25</v>
      </c>
      <c r="G1378" s="1">
        <f>DATE(C1378, CHOOSE(MATCH(UPPER(B1378), {"ENERO","FEBRERO","MARZO","ABRIL","MAYO","JUNIO","JULIO","AGOSTO","SEPTIEMBRE","OCTUBRE","NOVIEMBRE","DICIEMBRE"}, 0), 1,2,3,4,5,6,7,8,9,10,11,12), A1378)</f>
        <v>45119</v>
      </c>
      <c r="H1378">
        <v>34.375</v>
      </c>
      <c r="I1378">
        <v>56000</v>
      </c>
      <c r="J1378" s="1">
        <f t="shared" si="43"/>
        <v>44843</v>
      </c>
      <c r="K1378" t="e">
        <f t="shared" si="42"/>
        <v>#N/A</v>
      </c>
    </row>
    <row r="1379" spans="1:11" x14ac:dyDescent="0.25">
      <c r="A1379">
        <v>13</v>
      </c>
      <c r="B1379" t="s">
        <v>31</v>
      </c>
      <c r="C1379">
        <v>2023</v>
      </c>
      <c r="D1379">
        <v>60.25</v>
      </c>
      <c r="E1379" t="s">
        <v>9</v>
      </c>
      <c r="F1379">
        <v>41.375</v>
      </c>
      <c r="G1379" s="1">
        <f>DATE(C1379, CHOOSE(MATCH(UPPER(B1379), {"ENERO","FEBRERO","MARZO","ABRIL","MAYO","JUNIO","JULIO","AGOSTO","SEPTIEMBRE","OCTUBRE","NOVIEMBRE","DICIEMBRE"}, 0), 1,2,3,4,5,6,7,8,9,10,11,12), A1379)</f>
        <v>45120</v>
      </c>
      <c r="H1379">
        <v>18.875</v>
      </c>
      <c r="I1379">
        <v>56000</v>
      </c>
      <c r="J1379" s="1">
        <f t="shared" si="43"/>
        <v>44844</v>
      </c>
      <c r="K1379" t="e">
        <f t="shared" si="42"/>
        <v>#N/A</v>
      </c>
    </row>
    <row r="1380" spans="1:11" x14ac:dyDescent="0.25">
      <c r="A1380">
        <v>14</v>
      </c>
      <c r="B1380" t="s">
        <v>31</v>
      </c>
      <c r="C1380">
        <v>2023</v>
      </c>
      <c r="D1380">
        <v>41.375</v>
      </c>
      <c r="E1380">
        <v>100</v>
      </c>
      <c r="F1380">
        <v>118.25</v>
      </c>
      <c r="G1380" s="1">
        <f>DATE(C1380, CHOOSE(MATCH(UPPER(B1380), {"ENERO","FEBRERO","MARZO","ABRIL","MAYO","JUNIO","JULIO","AGOSTO","SEPTIEMBRE","OCTUBRE","NOVIEMBRE","DICIEMBRE"}, 0), 1,2,3,4,5,6,7,8,9,10,11,12), A1380)</f>
        <v>45121</v>
      </c>
      <c r="H1380">
        <v>23.125</v>
      </c>
      <c r="I1380">
        <v>56000</v>
      </c>
      <c r="J1380" s="1">
        <f t="shared" si="43"/>
        <v>44845</v>
      </c>
      <c r="K1380" t="e">
        <f t="shared" si="42"/>
        <v>#N/A</v>
      </c>
    </row>
    <row r="1381" spans="1:11" x14ac:dyDescent="0.25">
      <c r="A1381">
        <v>15</v>
      </c>
      <c r="B1381" t="s">
        <v>31</v>
      </c>
      <c r="C1381">
        <v>2023</v>
      </c>
      <c r="D1381">
        <v>118.25</v>
      </c>
      <c r="E1381" t="s">
        <v>9</v>
      </c>
      <c r="F1381">
        <v>88.875</v>
      </c>
      <c r="G1381" s="1">
        <f>DATE(C1381, CHOOSE(MATCH(UPPER(B1381), {"ENERO","FEBRERO","MARZO","ABRIL","MAYO","JUNIO","JULIO","AGOSTO","SEPTIEMBRE","OCTUBRE","NOVIEMBRE","DICIEMBRE"}, 0), 1,2,3,4,5,6,7,8,9,10,11,12), A1381)</f>
        <v>45122</v>
      </c>
      <c r="H1381">
        <v>29.375</v>
      </c>
      <c r="I1381">
        <v>56000</v>
      </c>
      <c r="J1381" s="1">
        <f t="shared" si="43"/>
        <v>44846</v>
      </c>
      <c r="K1381" t="e">
        <f t="shared" si="42"/>
        <v>#N/A</v>
      </c>
    </row>
    <row r="1382" spans="1:11" x14ac:dyDescent="0.25">
      <c r="A1382">
        <v>16</v>
      </c>
      <c r="B1382" t="s">
        <v>31</v>
      </c>
      <c r="C1382">
        <v>2023</v>
      </c>
      <c r="D1382">
        <v>88.875</v>
      </c>
      <c r="E1382" t="s">
        <v>9</v>
      </c>
      <c r="F1382">
        <v>47.875</v>
      </c>
      <c r="G1382" s="1">
        <f>DATE(C1382, CHOOSE(MATCH(UPPER(B1382), {"ENERO","FEBRERO","MARZO","ABRIL","MAYO","JUNIO","JULIO","AGOSTO","SEPTIEMBRE","OCTUBRE","NOVIEMBRE","DICIEMBRE"}, 0), 1,2,3,4,5,6,7,8,9,10,11,12), A1382)</f>
        <v>45123</v>
      </c>
      <c r="H1382">
        <v>41</v>
      </c>
      <c r="I1382">
        <v>56000</v>
      </c>
      <c r="J1382" s="1">
        <f t="shared" si="43"/>
        <v>44847</v>
      </c>
      <c r="K1382" t="e">
        <f t="shared" si="42"/>
        <v>#N/A</v>
      </c>
    </row>
    <row r="1383" spans="1:11" x14ac:dyDescent="0.25">
      <c r="A1383">
        <v>17</v>
      </c>
      <c r="B1383" t="s">
        <v>31</v>
      </c>
      <c r="C1383">
        <v>2023</v>
      </c>
      <c r="D1383">
        <v>47.875</v>
      </c>
      <c r="E1383">
        <v>100</v>
      </c>
      <c r="F1383">
        <v>136</v>
      </c>
      <c r="G1383" s="1">
        <f>DATE(C1383, CHOOSE(MATCH(UPPER(B1383), {"ENERO","FEBRERO","MARZO","ABRIL","MAYO","JUNIO","JULIO","AGOSTO","SEPTIEMBRE","OCTUBRE","NOVIEMBRE","DICIEMBRE"}, 0), 1,2,3,4,5,6,7,8,9,10,11,12), A1383)</f>
        <v>45124</v>
      </c>
      <c r="H1383">
        <v>11.875</v>
      </c>
      <c r="I1383">
        <v>56000</v>
      </c>
      <c r="J1383" s="1">
        <f t="shared" si="43"/>
        <v>44848</v>
      </c>
      <c r="K1383" t="e">
        <f t="shared" si="42"/>
        <v>#N/A</v>
      </c>
    </row>
    <row r="1384" spans="1:11" x14ac:dyDescent="0.25">
      <c r="A1384">
        <v>18</v>
      </c>
      <c r="B1384" t="s">
        <v>31</v>
      </c>
      <c r="C1384">
        <v>2023</v>
      </c>
      <c r="D1384">
        <v>136</v>
      </c>
      <c r="E1384" t="s">
        <v>9</v>
      </c>
      <c r="F1384">
        <v>120.875</v>
      </c>
      <c r="G1384" s="1">
        <f>DATE(C1384, CHOOSE(MATCH(UPPER(B1384), {"ENERO","FEBRERO","MARZO","ABRIL","MAYO","JUNIO","JULIO","AGOSTO","SEPTIEMBRE","OCTUBRE","NOVIEMBRE","DICIEMBRE"}, 0), 1,2,3,4,5,6,7,8,9,10,11,12), A1384)</f>
        <v>45125</v>
      </c>
      <c r="H1384">
        <v>15.125</v>
      </c>
      <c r="I1384">
        <v>56000</v>
      </c>
      <c r="J1384" s="1">
        <f t="shared" si="43"/>
        <v>44849</v>
      </c>
      <c r="K1384" t="e">
        <f t="shared" si="42"/>
        <v>#N/A</v>
      </c>
    </row>
    <row r="1385" spans="1:11" x14ac:dyDescent="0.25">
      <c r="A1385">
        <v>19</v>
      </c>
      <c r="B1385" t="s">
        <v>31</v>
      </c>
      <c r="C1385">
        <v>2023</v>
      </c>
      <c r="D1385">
        <v>120.875</v>
      </c>
      <c r="E1385">
        <v>60</v>
      </c>
      <c r="F1385">
        <v>149.875</v>
      </c>
      <c r="G1385" s="1">
        <f>DATE(C1385, CHOOSE(MATCH(UPPER(B1385), {"ENERO","FEBRERO","MARZO","ABRIL","MAYO","JUNIO","JULIO","AGOSTO","SEPTIEMBRE","OCTUBRE","NOVIEMBRE","DICIEMBRE"}, 0), 1,2,3,4,5,6,7,8,9,10,11,12), A1385)</f>
        <v>45126</v>
      </c>
      <c r="H1385">
        <v>31</v>
      </c>
      <c r="I1385">
        <v>56000</v>
      </c>
      <c r="J1385" s="1">
        <f t="shared" si="43"/>
        <v>44850</v>
      </c>
      <c r="K1385" t="e">
        <f t="shared" si="42"/>
        <v>#N/A</v>
      </c>
    </row>
    <row r="1386" spans="1:11" x14ac:dyDescent="0.25">
      <c r="A1386">
        <v>20</v>
      </c>
      <c r="B1386" t="s">
        <v>31</v>
      </c>
      <c r="C1386">
        <v>2023</v>
      </c>
      <c r="D1386">
        <v>149.875</v>
      </c>
      <c r="E1386" t="s">
        <v>9</v>
      </c>
      <c r="F1386">
        <v>92.625</v>
      </c>
      <c r="G1386" s="1">
        <f>DATE(C1386, CHOOSE(MATCH(UPPER(B1386), {"ENERO","FEBRERO","MARZO","ABRIL","MAYO","JUNIO","JULIO","AGOSTO","SEPTIEMBRE","OCTUBRE","NOVIEMBRE","DICIEMBRE"}, 0), 1,2,3,4,5,6,7,8,9,10,11,12), A1386)</f>
        <v>45127</v>
      </c>
      <c r="H1386">
        <v>57.25</v>
      </c>
      <c r="I1386">
        <v>56000</v>
      </c>
      <c r="J1386" s="1">
        <f t="shared" si="43"/>
        <v>44851</v>
      </c>
      <c r="K1386" t="e">
        <f t="shared" si="42"/>
        <v>#N/A</v>
      </c>
    </row>
    <row r="1387" spans="1:11" x14ac:dyDescent="0.25">
      <c r="A1387">
        <v>21</v>
      </c>
      <c r="B1387" t="s">
        <v>31</v>
      </c>
      <c r="C1387">
        <v>2023</v>
      </c>
      <c r="D1387">
        <v>92.625</v>
      </c>
      <c r="E1387" t="s">
        <v>9</v>
      </c>
      <c r="F1387">
        <v>59.375</v>
      </c>
      <c r="G1387" s="1">
        <f>DATE(C1387, CHOOSE(MATCH(UPPER(B1387), {"ENERO","FEBRERO","MARZO","ABRIL","MAYO","JUNIO","JULIO","AGOSTO","SEPTIEMBRE","OCTUBRE","NOVIEMBRE","DICIEMBRE"}, 0), 1,2,3,4,5,6,7,8,9,10,11,12), A1387)</f>
        <v>45128</v>
      </c>
      <c r="H1387">
        <v>33.25</v>
      </c>
      <c r="I1387">
        <v>56000</v>
      </c>
      <c r="J1387" s="1">
        <f t="shared" si="43"/>
        <v>44852</v>
      </c>
      <c r="K1387" t="e">
        <f t="shared" si="42"/>
        <v>#N/A</v>
      </c>
    </row>
    <row r="1388" spans="1:11" x14ac:dyDescent="0.25">
      <c r="A1388">
        <v>22</v>
      </c>
      <c r="B1388" t="s">
        <v>31</v>
      </c>
      <c r="C1388">
        <v>2023</v>
      </c>
      <c r="D1388">
        <v>59.375</v>
      </c>
      <c r="E1388">
        <v>90</v>
      </c>
      <c r="F1388">
        <v>102.875</v>
      </c>
      <c r="G1388" s="1">
        <f>DATE(C1388, CHOOSE(MATCH(UPPER(B1388), {"ENERO","FEBRERO","MARZO","ABRIL","MAYO","JUNIO","JULIO","AGOSTO","SEPTIEMBRE","OCTUBRE","NOVIEMBRE","DICIEMBRE"}, 0), 1,2,3,4,5,6,7,8,9,10,11,12), A1388)</f>
        <v>45129</v>
      </c>
      <c r="H1388">
        <v>46.5</v>
      </c>
      <c r="I1388">
        <v>56000</v>
      </c>
      <c r="J1388" s="1">
        <f t="shared" si="43"/>
        <v>44853</v>
      </c>
      <c r="K1388" t="e">
        <f t="shared" si="42"/>
        <v>#N/A</v>
      </c>
    </row>
    <row r="1389" spans="1:11" x14ac:dyDescent="0.25">
      <c r="A1389">
        <v>23</v>
      </c>
      <c r="B1389" t="s">
        <v>31</v>
      </c>
      <c r="C1389">
        <v>2023</v>
      </c>
      <c r="D1389">
        <v>102.875</v>
      </c>
      <c r="E1389" t="s">
        <v>9</v>
      </c>
      <c r="F1389">
        <v>55.875</v>
      </c>
      <c r="G1389" s="1">
        <f>DATE(C1389, CHOOSE(MATCH(UPPER(B1389), {"ENERO","FEBRERO","MARZO","ABRIL","MAYO","JUNIO","JULIO","AGOSTO","SEPTIEMBRE","OCTUBRE","NOVIEMBRE","DICIEMBRE"}, 0), 1,2,3,4,5,6,7,8,9,10,11,12), A1389)</f>
        <v>45130</v>
      </c>
      <c r="H1389">
        <v>47</v>
      </c>
      <c r="I1389">
        <v>56000</v>
      </c>
      <c r="J1389" s="1">
        <f t="shared" si="43"/>
        <v>44854</v>
      </c>
      <c r="K1389" t="e">
        <f t="shared" si="42"/>
        <v>#N/A</v>
      </c>
    </row>
    <row r="1390" spans="1:11" x14ac:dyDescent="0.25">
      <c r="A1390">
        <v>24</v>
      </c>
      <c r="B1390" t="s">
        <v>31</v>
      </c>
      <c r="C1390">
        <v>2023</v>
      </c>
      <c r="D1390">
        <v>55.875</v>
      </c>
      <c r="E1390">
        <v>90</v>
      </c>
      <c r="F1390">
        <v>133.5</v>
      </c>
      <c r="G1390" s="1">
        <f>DATE(C1390, CHOOSE(MATCH(UPPER(B1390), {"ENERO","FEBRERO","MARZO","ABRIL","MAYO","JUNIO","JULIO","AGOSTO","SEPTIEMBRE","OCTUBRE","NOVIEMBRE","DICIEMBRE"}, 0), 1,2,3,4,5,6,7,8,9,10,11,12), A1390)</f>
        <v>45131</v>
      </c>
      <c r="H1390">
        <v>12.375</v>
      </c>
      <c r="I1390">
        <v>56000</v>
      </c>
      <c r="J1390" s="1">
        <f t="shared" si="43"/>
        <v>44855</v>
      </c>
      <c r="K1390" t="e">
        <f t="shared" si="42"/>
        <v>#N/A</v>
      </c>
    </row>
    <row r="1391" spans="1:11" x14ac:dyDescent="0.25">
      <c r="A1391">
        <v>25</v>
      </c>
      <c r="B1391" t="s">
        <v>31</v>
      </c>
      <c r="C1391">
        <v>2023</v>
      </c>
      <c r="D1391">
        <v>133.5</v>
      </c>
      <c r="E1391" t="s">
        <v>9</v>
      </c>
      <c r="F1391">
        <v>111.375</v>
      </c>
      <c r="G1391" s="1">
        <f>DATE(C1391, CHOOSE(MATCH(UPPER(B1391), {"ENERO","FEBRERO","MARZO","ABRIL","MAYO","JUNIO","JULIO","AGOSTO","SEPTIEMBRE","OCTUBRE","NOVIEMBRE","DICIEMBRE"}, 0), 1,2,3,4,5,6,7,8,9,10,11,12), A1391)</f>
        <v>45132</v>
      </c>
      <c r="H1391">
        <v>22.125</v>
      </c>
      <c r="I1391">
        <v>56000</v>
      </c>
      <c r="J1391" s="1">
        <f t="shared" si="43"/>
        <v>44856</v>
      </c>
      <c r="K1391" t="e">
        <f t="shared" si="42"/>
        <v>#N/A</v>
      </c>
    </row>
    <row r="1392" spans="1:11" x14ac:dyDescent="0.25">
      <c r="A1392">
        <v>26</v>
      </c>
      <c r="B1392" t="s">
        <v>31</v>
      </c>
      <c r="C1392">
        <v>2023</v>
      </c>
      <c r="D1392">
        <v>111.375</v>
      </c>
      <c r="E1392" t="s">
        <v>9</v>
      </c>
      <c r="F1392">
        <v>77</v>
      </c>
      <c r="G1392" s="1">
        <f>DATE(C1392, CHOOSE(MATCH(UPPER(B1392), {"ENERO","FEBRERO","MARZO","ABRIL","MAYO","JUNIO","JULIO","AGOSTO","SEPTIEMBRE","OCTUBRE","NOVIEMBRE","DICIEMBRE"}, 0), 1,2,3,4,5,6,7,8,9,10,11,12), A1392)</f>
        <v>45133</v>
      </c>
      <c r="H1392">
        <v>34.375</v>
      </c>
      <c r="I1392">
        <v>56000</v>
      </c>
      <c r="J1392" s="1">
        <f t="shared" si="43"/>
        <v>44857</v>
      </c>
      <c r="K1392" t="e">
        <f t="shared" si="42"/>
        <v>#N/A</v>
      </c>
    </row>
    <row r="1393" spans="1:11" x14ac:dyDescent="0.25">
      <c r="A1393">
        <v>27</v>
      </c>
      <c r="B1393" t="s">
        <v>31</v>
      </c>
      <c r="C1393">
        <v>2023</v>
      </c>
      <c r="D1393">
        <v>77</v>
      </c>
      <c r="E1393" t="s">
        <v>9</v>
      </c>
      <c r="F1393">
        <v>58.125</v>
      </c>
      <c r="G1393" s="1">
        <f>DATE(C1393, CHOOSE(MATCH(UPPER(B1393), {"ENERO","FEBRERO","MARZO","ABRIL","MAYO","JUNIO","JULIO","AGOSTO","SEPTIEMBRE","OCTUBRE","NOVIEMBRE","DICIEMBRE"}, 0), 1,2,3,4,5,6,7,8,9,10,11,12), A1393)</f>
        <v>45134</v>
      </c>
      <c r="H1393">
        <v>18.875</v>
      </c>
      <c r="I1393">
        <v>56000</v>
      </c>
      <c r="J1393" s="1">
        <f t="shared" si="43"/>
        <v>44858</v>
      </c>
      <c r="K1393" t="e">
        <f t="shared" si="42"/>
        <v>#N/A</v>
      </c>
    </row>
    <row r="1394" spans="1:11" x14ac:dyDescent="0.25">
      <c r="A1394">
        <v>28</v>
      </c>
      <c r="B1394" t="s">
        <v>31</v>
      </c>
      <c r="C1394">
        <v>2023</v>
      </c>
      <c r="D1394">
        <v>58.125</v>
      </c>
      <c r="E1394" t="s">
        <v>9</v>
      </c>
      <c r="F1394">
        <v>37.875</v>
      </c>
      <c r="G1394" s="1">
        <f>DATE(C1394, CHOOSE(MATCH(UPPER(B1394), {"ENERO","FEBRERO","MARZO","ABRIL","MAYO","JUNIO","JULIO","AGOSTO","SEPTIEMBRE","OCTUBRE","NOVIEMBRE","DICIEMBRE"}, 0), 1,2,3,4,5,6,7,8,9,10,11,12), A1394)</f>
        <v>45135</v>
      </c>
      <c r="H1394">
        <v>20.25</v>
      </c>
      <c r="I1394">
        <v>56000</v>
      </c>
      <c r="J1394" s="1">
        <f t="shared" si="43"/>
        <v>44859</v>
      </c>
      <c r="K1394" t="e">
        <f t="shared" si="42"/>
        <v>#N/A</v>
      </c>
    </row>
    <row r="1395" spans="1:11" x14ac:dyDescent="0.25">
      <c r="A1395">
        <v>29</v>
      </c>
      <c r="B1395" t="s">
        <v>31</v>
      </c>
      <c r="C1395">
        <v>2023</v>
      </c>
      <c r="D1395">
        <v>37.875</v>
      </c>
      <c r="E1395">
        <v>80</v>
      </c>
      <c r="F1395">
        <v>89.75</v>
      </c>
      <c r="G1395" s="1">
        <f>DATE(C1395, CHOOSE(MATCH(UPPER(B1395), {"ENERO","FEBRERO","MARZO","ABRIL","MAYO","JUNIO","JULIO","AGOSTO","SEPTIEMBRE","OCTUBRE","NOVIEMBRE","DICIEMBRE"}, 0), 1,2,3,4,5,6,7,8,9,10,11,12), A1395)</f>
        <v>45136</v>
      </c>
      <c r="H1395">
        <v>28.125</v>
      </c>
      <c r="I1395">
        <v>56000</v>
      </c>
      <c r="J1395" s="1">
        <f t="shared" si="43"/>
        <v>44860</v>
      </c>
      <c r="K1395" t="e">
        <f t="shared" si="42"/>
        <v>#N/A</v>
      </c>
    </row>
    <row r="1396" spans="1:11" x14ac:dyDescent="0.25">
      <c r="A1396">
        <v>30</v>
      </c>
      <c r="B1396" t="s">
        <v>31</v>
      </c>
      <c r="C1396">
        <v>2023</v>
      </c>
      <c r="D1396">
        <v>89.75</v>
      </c>
      <c r="E1396" t="s">
        <v>9</v>
      </c>
      <c r="F1396">
        <v>45.625</v>
      </c>
      <c r="G1396" s="1">
        <f>DATE(C1396, CHOOSE(MATCH(UPPER(B1396), {"ENERO","FEBRERO","MARZO","ABRIL","MAYO","JUNIO","JULIO","AGOSTO","SEPTIEMBRE","OCTUBRE","NOVIEMBRE","DICIEMBRE"}, 0), 1,2,3,4,5,6,7,8,9,10,11,12), A1396)</f>
        <v>45137</v>
      </c>
      <c r="H1396">
        <v>44.125</v>
      </c>
      <c r="I1396">
        <v>56000</v>
      </c>
      <c r="J1396" s="1">
        <f t="shared" si="43"/>
        <v>44861</v>
      </c>
      <c r="K1396" t="e">
        <f t="shared" si="42"/>
        <v>#N/A</v>
      </c>
    </row>
    <row r="1397" spans="1:11" x14ac:dyDescent="0.25">
      <c r="A1397">
        <v>31</v>
      </c>
      <c r="B1397" t="s">
        <v>31</v>
      </c>
      <c r="C1397">
        <v>2023</v>
      </c>
      <c r="D1397">
        <v>45.625</v>
      </c>
      <c r="E1397">
        <v>60</v>
      </c>
      <c r="F1397">
        <v>90.25</v>
      </c>
      <c r="G1397" s="1">
        <f>DATE(C1397, CHOOSE(MATCH(UPPER(B1397), {"ENERO","FEBRERO","MARZO","ABRIL","MAYO","JUNIO","JULIO","AGOSTO","SEPTIEMBRE","OCTUBRE","NOVIEMBRE","DICIEMBRE"}, 0), 1,2,3,4,5,6,7,8,9,10,11,12), A1397)</f>
        <v>45138</v>
      </c>
      <c r="H1397">
        <v>15.375</v>
      </c>
      <c r="I1397">
        <v>56000</v>
      </c>
      <c r="J1397" s="1">
        <f t="shared" si="43"/>
        <v>44862</v>
      </c>
      <c r="K1397" t="e">
        <f t="shared" si="42"/>
        <v>#N/A</v>
      </c>
    </row>
    <row r="1398" spans="1:11" x14ac:dyDescent="0.25">
      <c r="A1398">
        <v>1</v>
      </c>
      <c r="B1398" t="s">
        <v>32</v>
      </c>
      <c r="C1398">
        <v>2023</v>
      </c>
      <c r="D1398">
        <v>90.25</v>
      </c>
      <c r="E1398" t="s">
        <v>9</v>
      </c>
      <c r="F1398">
        <v>83</v>
      </c>
      <c r="G1398" s="1">
        <f>DATE(C1398, CHOOSE(MATCH(UPPER(B1398), {"ENERO","FEBRERO","MARZO","ABRIL","MAYO","JUNIO","JULIO","AGOSTO","SEPTIEMBRE","OCTUBRE","NOVIEMBRE","DICIEMBRE"}, 0), 1,2,3,4,5,6,7,8,9,10,11,12), A1398)</f>
        <v>45139</v>
      </c>
      <c r="H1398">
        <v>7.25</v>
      </c>
      <c r="I1398">
        <v>56000</v>
      </c>
      <c r="J1398" s="1">
        <f t="shared" si="43"/>
        <v>44863</v>
      </c>
      <c r="K1398" t="e">
        <f t="shared" si="42"/>
        <v>#N/A</v>
      </c>
    </row>
    <row r="1399" spans="1:11" x14ac:dyDescent="0.25">
      <c r="A1399">
        <v>2</v>
      </c>
      <c r="B1399" t="s">
        <v>32</v>
      </c>
      <c r="C1399">
        <v>2023</v>
      </c>
      <c r="D1399">
        <v>83</v>
      </c>
      <c r="E1399">
        <v>60</v>
      </c>
      <c r="F1399">
        <v>113.5</v>
      </c>
      <c r="G1399" s="1">
        <f>DATE(C1399, CHOOSE(MATCH(UPPER(B1399), {"ENERO","FEBRERO","MARZO","ABRIL","MAYO","JUNIO","JULIO","AGOSTO","SEPTIEMBRE","OCTUBRE","NOVIEMBRE","DICIEMBRE"}, 0), 1,2,3,4,5,6,7,8,9,10,11,12), A1399)</f>
        <v>45140</v>
      </c>
      <c r="H1399">
        <v>29.5</v>
      </c>
      <c r="I1399">
        <v>56000</v>
      </c>
      <c r="J1399" s="1">
        <f t="shared" si="43"/>
        <v>44864</v>
      </c>
      <c r="K1399" t="e">
        <f t="shared" si="42"/>
        <v>#N/A</v>
      </c>
    </row>
    <row r="1400" spans="1:11" x14ac:dyDescent="0.25">
      <c r="A1400">
        <v>3</v>
      </c>
      <c r="B1400" t="s">
        <v>32</v>
      </c>
      <c r="C1400">
        <v>2023</v>
      </c>
      <c r="D1400">
        <v>113.5</v>
      </c>
      <c r="E1400" t="s">
        <v>9</v>
      </c>
      <c r="F1400">
        <v>92.5</v>
      </c>
      <c r="G1400" s="1">
        <f>DATE(C1400, CHOOSE(MATCH(UPPER(B1400), {"ENERO","FEBRERO","MARZO","ABRIL","MAYO","JUNIO","JULIO","AGOSTO","SEPTIEMBRE","OCTUBRE","NOVIEMBRE","DICIEMBRE"}, 0), 1,2,3,4,5,6,7,8,9,10,11,12), A1400)</f>
        <v>45141</v>
      </c>
      <c r="H1400">
        <v>21</v>
      </c>
      <c r="I1400">
        <v>56000</v>
      </c>
      <c r="J1400" s="1">
        <f t="shared" si="43"/>
        <v>44865</v>
      </c>
      <c r="K1400" t="e">
        <f t="shared" si="42"/>
        <v>#N/A</v>
      </c>
    </row>
    <row r="1401" spans="1:11" x14ac:dyDescent="0.25">
      <c r="A1401">
        <v>4</v>
      </c>
      <c r="B1401" t="s">
        <v>32</v>
      </c>
      <c r="C1401">
        <v>2023</v>
      </c>
      <c r="D1401">
        <v>92.5</v>
      </c>
      <c r="E1401" t="s">
        <v>9</v>
      </c>
      <c r="F1401">
        <v>63.375</v>
      </c>
      <c r="G1401" s="1">
        <f>DATE(C1401, CHOOSE(MATCH(UPPER(B1401), {"ENERO","FEBRERO","MARZO","ABRIL","MAYO","JUNIO","JULIO","AGOSTO","SEPTIEMBRE","OCTUBRE","NOVIEMBRE","DICIEMBRE"}, 0), 1,2,3,4,5,6,7,8,9,10,11,12), A1401)</f>
        <v>45142</v>
      </c>
      <c r="H1401">
        <v>29.125</v>
      </c>
      <c r="I1401">
        <v>56000</v>
      </c>
      <c r="J1401" s="1">
        <f t="shared" si="43"/>
        <v>44866</v>
      </c>
      <c r="K1401">
        <f t="shared" si="42"/>
        <v>12.5</v>
      </c>
    </row>
    <row r="1402" spans="1:11" x14ac:dyDescent="0.25">
      <c r="A1402">
        <v>5</v>
      </c>
      <c r="B1402" t="s">
        <v>32</v>
      </c>
      <c r="C1402">
        <v>2023</v>
      </c>
      <c r="D1402">
        <v>63.375</v>
      </c>
      <c r="E1402">
        <v>120</v>
      </c>
      <c r="F1402">
        <v>146.75</v>
      </c>
      <c r="G1402" s="1">
        <f>DATE(C1402, CHOOSE(MATCH(UPPER(B1402), {"ENERO","FEBRERO","MARZO","ABRIL","MAYO","JUNIO","JULIO","AGOSTO","SEPTIEMBRE","OCTUBRE","NOVIEMBRE","DICIEMBRE"}, 0), 1,2,3,4,5,6,7,8,9,10,11,12), A1402)</f>
        <v>45143</v>
      </c>
      <c r="H1402">
        <v>36.625</v>
      </c>
      <c r="I1402">
        <v>56000</v>
      </c>
      <c r="J1402" s="1">
        <f t="shared" si="43"/>
        <v>44867</v>
      </c>
      <c r="K1402">
        <f t="shared" si="42"/>
        <v>17.25</v>
      </c>
    </row>
    <row r="1403" spans="1:11" x14ac:dyDescent="0.25">
      <c r="A1403">
        <v>6</v>
      </c>
      <c r="B1403" t="s">
        <v>32</v>
      </c>
      <c r="C1403">
        <v>2023</v>
      </c>
      <c r="D1403">
        <v>146.75</v>
      </c>
      <c r="E1403" t="s">
        <v>9</v>
      </c>
      <c r="F1403">
        <v>106.5</v>
      </c>
      <c r="G1403" s="1">
        <f>DATE(C1403, CHOOSE(MATCH(UPPER(B1403), {"ENERO","FEBRERO","MARZO","ABRIL","MAYO","JUNIO","JULIO","AGOSTO","SEPTIEMBRE","OCTUBRE","NOVIEMBRE","DICIEMBRE"}, 0), 1,2,3,4,5,6,7,8,9,10,11,12), A1403)</f>
        <v>45144</v>
      </c>
      <c r="H1403">
        <v>40.25</v>
      </c>
      <c r="I1403">
        <v>56000</v>
      </c>
      <c r="J1403" s="1">
        <f t="shared" si="43"/>
        <v>44868</v>
      </c>
      <c r="K1403">
        <f t="shared" si="42"/>
        <v>17.125</v>
      </c>
    </row>
    <row r="1404" spans="1:11" x14ac:dyDescent="0.25">
      <c r="A1404">
        <v>7</v>
      </c>
      <c r="B1404" t="s">
        <v>32</v>
      </c>
      <c r="C1404">
        <v>2023</v>
      </c>
      <c r="D1404">
        <v>106.5</v>
      </c>
      <c r="E1404" t="s">
        <v>9</v>
      </c>
      <c r="F1404">
        <v>68</v>
      </c>
      <c r="G1404" s="1">
        <f>DATE(C1404, CHOOSE(MATCH(UPPER(B1404), {"ENERO","FEBRERO","MARZO","ABRIL","MAYO","JUNIO","JULIO","AGOSTO","SEPTIEMBRE","OCTUBRE","NOVIEMBRE","DICIEMBRE"}, 0), 1,2,3,4,5,6,7,8,9,10,11,12), A1404)</f>
        <v>45145</v>
      </c>
      <c r="H1404">
        <v>38.5</v>
      </c>
      <c r="I1404">
        <v>56000</v>
      </c>
      <c r="J1404" s="1">
        <f t="shared" si="43"/>
        <v>44869</v>
      </c>
      <c r="K1404">
        <f t="shared" si="42"/>
        <v>26.25</v>
      </c>
    </row>
    <row r="1405" spans="1:11" x14ac:dyDescent="0.25">
      <c r="A1405">
        <v>8</v>
      </c>
      <c r="B1405" t="s">
        <v>32</v>
      </c>
      <c r="C1405">
        <v>2023</v>
      </c>
      <c r="D1405">
        <v>68</v>
      </c>
      <c r="E1405">
        <v>71.25</v>
      </c>
      <c r="F1405">
        <v>129.875</v>
      </c>
      <c r="G1405" s="1">
        <f>DATE(C1405, CHOOSE(MATCH(UPPER(B1405), {"ENERO","FEBRERO","MARZO","ABRIL","MAYO","JUNIO","JULIO","AGOSTO","SEPTIEMBRE","OCTUBRE","NOVIEMBRE","DICIEMBRE"}, 0), 1,2,3,4,5,6,7,8,9,10,11,12), A1405)</f>
        <v>45146</v>
      </c>
      <c r="H1405">
        <v>9.375</v>
      </c>
      <c r="I1405">
        <v>56000</v>
      </c>
      <c r="J1405" s="1">
        <f t="shared" si="43"/>
        <v>44870</v>
      </c>
      <c r="K1405">
        <f t="shared" si="42"/>
        <v>43.875</v>
      </c>
    </row>
    <row r="1406" spans="1:11" x14ac:dyDescent="0.25">
      <c r="A1406">
        <v>9</v>
      </c>
      <c r="B1406" t="s">
        <v>32</v>
      </c>
      <c r="C1406">
        <v>2023</v>
      </c>
      <c r="D1406">
        <v>129.875</v>
      </c>
      <c r="E1406" t="s">
        <v>9</v>
      </c>
      <c r="F1406">
        <v>101.625</v>
      </c>
      <c r="G1406" s="1">
        <f>DATE(C1406, CHOOSE(MATCH(UPPER(B1406), {"ENERO","FEBRERO","MARZO","ABRIL","MAYO","JUNIO","JULIO","AGOSTO","SEPTIEMBRE","OCTUBRE","NOVIEMBRE","DICIEMBRE"}, 0), 1,2,3,4,5,6,7,8,9,10,11,12), A1406)</f>
        <v>45147</v>
      </c>
      <c r="H1406">
        <v>28.25</v>
      </c>
      <c r="I1406">
        <v>56000</v>
      </c>
      <c r="J1406" s="1">
        <f t="shared" si="43"/>
        <v>44871</v>
      </c>
      <c r="K1406">
        <f t="shared" si="42"/>
        <v>41.5</v>
      </c>
    </row>
    <row r="1407" spans="1:11" x14ac:dyDescent="0.25">
      <c r="A1407">
        <v>10</v>
      </c>
      <c r="B1407" t="s">
        <v>32</v>
      </c>
      <c r="C1407">
        <v>2023</v>
      </c>
      <c r="D1407">
        <v>101.625</v>
      </c>
      <c r="E1407" t="s">
        <v>9</v>
      </c>
      <c r="F1407">
        <v>92.25</v>
      </c>
      <c r="G1407" s="1">
        <f>DATE(C1407, CHOOSE(MATCH(UPPER(B1407), {"ENERO","FEBRERO","MARZO","ABRIL","MAYO","JUNIO","JULIO","AGOSTO","SEPTIEMBRE","OCTUBRE","NOVIEMBRE","DICIEMBRE"}, 0), 1,2,3,4,5,6,7,8,9,10,11,12), A1407)</f>
        <v>45148</v>
      </c>
      <c r="H1407">
        <v>9.375</v>
      </c>
      <c r="I1407">
        <v>56000</v>
      </c>
      <c r="J1407" s="1">
        <f t="shared" si="43"/>
        <v>44872</v>
      </c>
      <c r="K1407">
        <f t="shared" si="42"/>
        <v>36.375</v>
      </c>
    </row>
    <row r="1408" spans="1:11" x14ac:dyDescent="0.25">
      <c r="A1408">
        <v>11</v>
      </c>
      <c r="B1408" t="s">
        <v>32</v>
      </c>
      <c r="C1408">
        <v>2023</v>
      </c>
      <c r="D1408">
        <v>92.25</v>
      </c>
      <c r="E1408" t="s">
        <v>9</v>
      </c>
      <c r="F1408">
        <v>72.125</v>
      </c>
      <c r="G1408" s="1">
        <f>DATE(C1408, CHOOSE(MATCH(UPPER(B1408), {"ENERO","FEBRERO","MARZO","ABRIL","MAYO","JUNIO","JULIO","AGOSTO","SEPTIEMBRE","OCTUBRE","NOVIEMBRE","DICIEMBRE"}, 0), 1,2,3,4,5,6,7,8,9,10,11,12), A1408)</f>
        <v>45149</v>
      </c>
      <c r="H1408">
        <v>20.125</v>
      </c>
      <c r="I1408">
        <v>56000</v>
      </c>
      <c r="J1408" s="1">
        <f t="shared" si="43"/>
        <v>44873</v>
      </c>
      <c r="K1408">
        <f t="shared" si="42"/>
        <v>10.125</v>
      </c>
    </row>
    <row r="1409" spans="1:11" x14ac:dyDescent="0.25">
      <c r="A1409">
        <v>12</v>
      </c>
      <c r="B1409" t="s">
        <v>32</v>
      </c>
      <c r="C1409">
        <v>2023</v>
      </c>
      <c r="D1409">
        <v>72.125</v>
      </c>
      <c r="E1409">
        <v>110</v>
      </c>
      <c r="F1409">
        <v>149.875</v>
      </c>
      <c r="G1409" s="1">
        <f>DATE(C1409, CHOOSE(MATCH(UPPER(B1409), {"ENERO","FEBRERO","MARZO","ABRIL","MAYO","JUNIO","JULIO","AGOSTO","SEPTIEMBRE","OCTUBRE","NOVIEMBRE","DICIEMBRE"}, 0), 1,2,3,4,5,6,7,8,9,10,11,12), A1409)</f>
        <v>45150</v>
      </c>
      <c r="H1409">
        <v>32.25</v>
      </c>
      <c r="I1409">
        <v>56000</v>
      </c>
      <c r="J1409" s="1">
        <f t="shared" si="43"/>
        <v>44874</v>
      </c>
      <c r="K1409">
        <f t="shared" si="42"/>
        <v>18.875</v>
      </c>
    </row>
    <row r="1410" spans="1:11" x14ac:dyDescent="0.25">
      <c r="A1410">
        <v>13</v>
      </c>
      <c r="B1410" t="s">
        <v>32</v>
      </c>
      <c r="C1410">
        <v>2023</v>
      </c>
      <c r="D1410">
        <v>149.875</v>
      </c>
      <c r="E1410" t="s">
        <v>9</v>
      </c>
      <c r="F1410">
        <v>115.375</v>
      </c>
      <c r="G1410" s="1">
        <f>DATE(C1410, CHOOSE(MATCH(UPPER(B1410), {"ENERO","FEBRERO","MARZO","ABRIL","MAYO","JUNIO","JULIO","AGOSTO","SEPTIEMBRE","OCTUBRE","NOVIEMBRE","DICIEMBRE"}, 0), 1,2,3,4,5,6,7,8,9,10,11,12), A1410)</f>
        <v>45151</v>
      </c>
      <c r="H1410">
        <v>34.5</v>
      </c>
      <c r="I1410">
        <v>56000</v>
      </c>
      <c r="J1410" s="1">
        <f t="shared" si="43"/>
        <v>44875</v>
      </c>
      <c r="K1410">
        <f t="shared" ref="K1410:K1473" si="44">VLOOKUP(J1410, G:H, 2, FALSE)</f>
        <v>17.25</v>
      </c>
    </row>
    <row r="1411" spans="1:11" x14ac:dyDescent="0.25">
      <c r="A1411">
        <v>14</v>
      </c>
      <c r="B1411" t="s">
        <v>32</v>
      </c>
      <c r="C1411">
        <v>2023</v>
      </c>
      <c r="D1411">
        <v>115.375</v>
      </c>
      <c r="E1411">
        <v>100</v>
      </c>
      <c r="F1411">
        <v>204.875</v>
      </c>
      <c r="G1411" s="1">
        <f>DATE(C1411, CHOOSE(MATCH(UPPER(B1411), {"ENERO","FEBRERO","MARZO","ABRIL","MAYO","JUNIO","JULIO","AGOSTO","SEPTIEMBRE","OCTUBRE","NOVIEMBRE","DICIEMBRE"}, 0), 1,2,3,4,5,6,7,8,9,10,11,12), A1411)</f>
        <v>45152</v>
      </c>
      <c r="H1411">
        <v>10.5</v>
      </c>
      <c r="I1411">
        <v>56000</v>
      </c>
      <c r="J1411" s="1">
        <f t="shared" si="43"/>
        <v>44876</v>
      </c>
      <c r="K1411">
        <f t="shared" si="44"/>
        <v>23.625</v>
      </c>
    </row>
    <row r="1412" spans="1:11" x14ac:dyDescent="0.25">
      <c r="A1412">
        <v>15</v>
      </c>
      <c r="B1412" t="s">
        <v>32</v>
      </c>
      <c r="C1412">
        <v>2023</v>
      </c>
      <c r="D1412">
        <v>204.875</v>
      </c>
      <c r="E1412">
        <v>-31.25</v>
      </c>
      <c r="F1412">
        <v>165.875</v>
      </c>
      <c r="G1412" s="1">
        <f>DATE(C1412, CHOOSE(MATCH(UPPER(B1412), {"ENERO","FEBRERO","MARZO","ABRIL","MAYO","JUNIO","JULIO","AGOSTO","SEPTIEMBRE","OCTUBRE","NOVIEMBRE","DICIEMBRE"}, 0), 1,2,3,4,5,6,7,8,9,10,11,12), A1412)</f>
        <v>45153</v>
      </c>
      <c r="H1412">
        <v>7.75</v>
      </c>
      <c r="I1412">
        <v>56000</v>
      </c>
      <c r="J1412" s="1">
        <f t="shared" ref="J1412:J1475" si="45">DATE(2019,1,1) + ROW()-1</f>
        <v>44877</v>
      </c>
      <c r="K1412">
        <f t="shared" si="44"/>
        <v>46.75</v>
      </c>
    </row>
    <row r="1413" spans="1:11" x14ac:dyDescent="0.25">
      <c r="A1413">
        <v>16</v>
      </c>
      <c r="B1413" t="s">
        <v>32</v>
      </c>
      <c r="C1413">
        <v>2023</v>
      </c>
      <c r="D1413">
        <v>165.875</v>
      </c>
      <c r="E1413" t="s">
        <v>9</v>
      </c>
      <c r="F1413">
        <v>149.75</v>
      </c>
      <c r="G1413" s="1">
        <f>DATE(C1413, CHOOSE(MATCH(UPPER(B1413), {"ENERO","FEBRERO","MARZO","ABRIL","MAYO","JUNIO","JULIO","AGOSTO","SEPTIEMBRE","OCTUBRE","NOVIEMBRE","DICIEMBRE"}, 0), 1,2,3,4,5,6,7,8,9,10,11,12), A1413)</f>
        <v>45154</v>
      </c>
      <c r="H1413">
        <v>16.125</v>
      </c>
      <c r="I1413">
        <v>56000</v>
      </c>
      <c r="J1413" s="1">
        <f t="shared" si="45"/>
        <v>44878</v>
      </c>
      <c r="K1413">
        <f t="shared" si="44"/>
        <v>49.5</v>
      </c>
    </row>
    <row r="1414" spans="1:11" x14ac:dyDescent="0.25">
      <c r="A1414">
        <v>17</v>
      </c>
      <c r="B1414" t="s">
        <v>32</v>
      </c>
      <c r="C1414">
        <v>2023</v>
      </c>
      <c r="D1414">
        <v>149.75</v>
      </c>
      <c r="E1414" t="s">
        <v>9</v>
      </c>
      <c r="F1414">
        <v>133.875</v>
      </c>
      <c r="G1414" s="1">
        <f>DATE(C1414, CHOOSE(MATCH(UPPER(B1414), {"ENERO","FEBRERO","MARZO","ABRIL","MAYO","JUNIO","JULIO","AGOSTO","SEPTIEMBRE","OCTUBRE","NOVIEMBRE","DICIEMBRE"}, 0), 1,2,3,4,5,6,7,8,9,10,11,12), A1414)</f>
        <v>45155</v>
      </c>
      <c r="H1414">
        <v>15.875</v>
      </c>
      <c r="I1414">
        <v>56000</v>
      </c>
      <c r="J1414" s="1">
        <f t="shared" si="45"/>
        <v>44879</v>
      </c>
      <c r="K1414">
        <f t="shared" si="44"/>
        <v>45.125</v>
      </c>
    </row>
    <row r="1415" spans="1:11" x14ac:dyDescent="0.25">
      <c r="A1415">
        <v>18</v>
      </c>
      <c r="B1415" t="s">
        <v>32</v>
      </c>
      <c r="C1415">
        <v>2023</v>
      </c>
      <c r="D1415">
        <v>133.875</v>
      </c>
      <c r="E1415" t="s">
        <v>9</v>
      </c>
      <c r="F1415">
        <v>112.25</v>
      </c>
      <c r="G1415" s="1">
        <f>DATE(C1415, CHOOSE(MATCH(UPPER(B1415), {"ENERO","FEBRERO","MARZO","ABRIL","MAYO","JUNIO","JULIO","AGOSTO","SEPTIEMBRE","OCTUBRE","NOVIEMBRE","DICIEMBRE"}, 0), 1,2,3,4,5,6,7,8,9,10,11,12), A1415)</f>
        <v>45156</v>
      </c>
      <c r="H1415">
        <v>21.625</v>
      </c>
      <c r="I1415">
        <v>56000</v>
      </c>
      <c r="J1415" s="1">
        <f t="shared" si="45"/>
        <v>44880</v>
      </c>
      <c r="K1415">
        <f t="shared" si="44"/>
        <v>14.125</v>
      </c>
    </row>
    <row r="1416" spans="1:11" x14ac:dyDescent="0.25">
      <c r="A1416">
        <v>19</v>
      </c>
      <c r="B1416" t="s">
        <v>32</v>
      </c>
      <c r="C1416">
        <v>2023</v>
      </c>
      <c r="D1416">
        <v>112.25</v>
      </c>
      <c r="E1416">
        <v>100</v>
      </c>
      <c r="F1416">
        <v>165.75</v>
      </c>
      <c r="G1416" s="1">
        <f>DATE(C1416, CHOOSE(MATCH(UPPER(B1416), {"ENERO","FEBRERO","MARZO","ABRIL","MAYO","JUNIO","JULIO","AGOSTO","SEPTIEMBRE","OCTUBRE","NOVIEMBRE","DICIEMBRE"}, 0), 1,2,3,4,5,6,7,8,9,10,11,12), A1416)</f>
        <v>45157</v>
      </c>
      <c r="H1416">
        <v>46.5</v>
      </c>
      <c r="I1416">
        <v>56000</v>
      </c>
      <c r="J1416" s="1">
        <f t="shared" si="45"/>
        <v>44881</v>
      </c>
      <c r="K1416">
        <f t="shared" si="44"/>
        <v>21.75</v>
      </c>
    </row>
    <row r="1417" spans="1:11" x14ac:dyDescent="0.25">
      <c r="A1417">
        <v>20</v>
      </c>
      <c r="B1417" t="s">
        <v>32</v>
      </c>
      <c r="C1417">
        <v>2023</v>
      </c>
      <c r="D1417">
        <v>165.75</v>
      </c>
      <c r="E1417" t="s">
        <v>9</v>
      </c>
      <c r="F1417">
        <v>122</v>
      </c>
      <c r="G1417" s="1">
        <f>DATE(C1417, CHOOSE(MATCH(UPPER(B1417), {"ENERO","FEBRERO","MARZO","ABRIL","MAYO","JUNIO","JULIO","AGOSTO","SEPTIEMBRE","OCTUBRE","NOVIEMBRE","DICIEMBRE"}, 0), 1,2,3,4,5,6,7,8,9,10,11,12), A1417)</f>
        <v>45158</v>
      </c>
      <c r="H1417">
        <v>43.75</v>
      </c>
      <c r="I1417">
        <v>56000</v>
      </c>
      <c r="J1417" s="1">
        <f t="shared" si="45"/>
        <v>44882</v>
      </c>
      <c r="K1417">
        <f t="shared" si="44"/>
        <v>18.125</v>
      </c>
    </row>
    <row r="1418" spans="1:11" x14ac:dyDescent="0.25">
      <c r="A1418">
        <v>21</v>
      </c>
      <c r="B1418" t="s">
        <v>32</v>
      </c>
      <c r="C1418">
        <v>2023</v>
      </c>
      <c r="D1418">
        <v>122</v>
      </c>
      <c r="E1418" t="s">
        <v>9</v>
      </c>
      <c r="F1418">
        <v>94.375</v>
      </c>
      <c r="G1418" s="1">
        <f>DATE(C1418, CHOOSE(MATCH(UPPER(B1418), {"ENERO","FEBRERO","MARZO","ABRIL","MAYO","JUNIO","JULIO","AGOSTO","SEPTIEMBRE","OCTUBRE","NOVIEMBRE","DICIEMBRE"}, 0), 1,2,3,4,5,6,7,8,9,10,11,12), A1418)</f>
        <v>45159</v>
      </c>
      <c r="H1418">
        <v>27.625</v>
      </c>
      <c r="I1418">
        <v>56000</v>
      </c>
      <c r="J1418" s="1">
        <f t="shared" si="45"/>
        <v>44883</v>
      </c>
      <c r="K1418">
        <f t="shared" si="44"/>
        <v>27.5</v>
      </c>
    </row>
    <row r="1419" spans="1:11" x14ac:dyDescent="0.25">
      <c r="A1419">
        <v>22</v>
      </c>
      <c r="B1419" t="s">
        <v>32</v>
      </c>
      <c r="C1419">
        <v>2023</v>
      </c>
      <c r="D1419">
        <v>94.375</v>
      </c>
      <c r="E1419">
        <v>-28.5</v>
      </c>
      <c r="F1419">
        <v>60.75</v>
      </c>
      <c r="G1419" s="1">
        <f>DATE(C1419, CHOOSE(MATCH(UPPER(B1419), {"ENERO","FEBRERO","MARZO","ABRIL","MAYO","JUNIO","JULIO","AGOSTO","SEPTIEMBRE","OCTUBRE","NOVIEMBRE","DICIEMBRE"}, 0), 1,2,3,4,5,6,7,8,9,10,11,12), A1419)</f>
        <v>45160</v>
      </c>
      <c r="H1419">
        <v>5.125</v>
      </c>
      <c r="I1419">
        <v>56000</v>
      </c>
      <c r="J1419" s="1">
        <f t="shared" si="45"/>
        <v>44884</v>
      </c>
      <c r="K1419">
        <f t="shared" si="44"/>
        <v>43.25</v>
      </c>
    </row>
    <row r="1420" spans="1:11" x14ac:dyDescent="0.25">
      <c r="A1420">
        <v>23</v>
      </c>
      <c r="B1420" t="s">
        <v>32</v>
      </c>
      <c r="C1420">
        <v>2023</v>
      </c>
      <c r="D1420">
        <v>60.75</v>
      </c>
      <c r="E1420" t="s">
        <v>9</v>
      </c>
      <c r="F1420">
        <v>41.125</v>
      </c>
      <c r="G1420" s="1">
        <f>DATE(C1420, CHOOSE(MATCH(UPPER(B1420), {"ENERO","FEBRERO","MARZO","ABRIL","MAYO","JUNIO","JULIO","AGOSTO","SEPTIEMBRE","OCTUBRE","NOVIEMBRE","DICIEMBRE"}, 0), 1,2,3,4,5,6,7,8,9,10,11,12), A1420)</f>
        <v>45161</v>
      </c>
      <c r="H1420">
        <v>19.625</v>
      </c>
      <c r="I1420">
        <v>56000</v>
      </c>
      <c r="J1420" s="1">
        <f t="shared" si="45"/>
        <v>44885</v>
      </c>
      <c r="K1420">
        <f t="shared" si="44"/>
        <v>51.875</v>
      </c>
    </row>
    <row r="1421" spans="1:11" x14ac:dyDescent="0.25">
      <c r="A1421">
        <v>24</v>
      </c>
      <c r="B1421" t="s">
        <v>32</v>
      </c>
      <c r="C1421">
        <v>2023</v>
      </c>
      <c r="D1421">
        <v>41.125</v>
      </c>
      <c r="E1421">
        <v>60</v>
      </c>
      <c r="F1421">
        <v>84.25</v>
      </c>
      <c r="G1421" s="1">
        <f>DATE(C1421, CHOOSE(MATCH(UPPER(B1421), {"ENERO","FEBRERO","MARZO","ABRIL","MAYO","JUNIO","JULIO","AGOSTO","SEPTIEMBRE","OCTUBRE","NOVIEMBRE","DICIEMBRE"}, 0), 1,2,3,4,5,6,7,8,9,10,11,12), A1421)</f>
        <v>45162</v>
      </c>
      <c r="H1421">
        <v>16.875</v>
      </c>
      <c r="I1421">
        <v>56000</v>
      </c>
      <c r="J1421" s="1">
        <f t="shared" si="45"/>
        <v>44886</v>
      </c>
      <c r="K1421">
        <f t="shared" si="44"/>
        <v>10.25</v>
      </c>
    </row>
    <row r="1422" spans="1:11" x14ac:dyDescent="0.25">
      <c r="A1422">
        <v>25</v>
      </c>
      <c r="B1422" t="s">
        <v>32</v>
      </c>
      <c r="C1422">
        <v>2023</v>
      </c>
      <c r="D1422">
        <v>84.25</v>
      </c>
      <c r="E1422" t="s">
        <v>9</v>
      </c>
      <c r="F1422">
        <v>62.5</v>
      </c>
      <c r="G1422" s="1">
        <f>DATE(C1422, CHOOSE(MATCH(UPPER(B1422), {"ENERO","FEBRERO","MARZO","ABRIL","MAYO","JUNIO","JULIO","AGOSTO","SEPTIEMBRE","OCTUBRE","NOVIEMBRE","DICIEMBRE"}, 0), 1,2,3,4,5,6,7,8,9,10,11,12), A1422)</f>
        <v>45163</v>
      </c>
      <c r="H1422">
        <v>21.75</v>
      </c>
      <c r="I1422">
        <v>56000</v>
      </c>
      <c r="J1422" s="1">
        <f t="shared" si="45"/>
        <v>44887</v>
      </c>
      <c r="K1422">
        <f t="shared" si="44"/>
        <v>14.875</v>
      </c>
    </row>
    <row r="1423" spans="1:11" x14ac:dyDescent="0.25">
      <c r="A1423">
        <v>26</v>
      </c>
      <c r="B1423" t="s">
        <v>32</v>
      </c>
      <c r="C1423">
        <v>2023</v>
      </c>
      <c r="D1423">
        <v>62.5</v>
      </c>
      <c r="E1423">
        <v>80</v>
      </c>
      <c r="F1423">
        <v>116.75</v>
      </c>
      <c r="G1423" s="1">
        <f>DATE(C1423, CHOOSE(MATCH(UPPER(B1423), {"ENERO","FEBRERO","MARZO","ABRIL","MAYO","JUNIO","JULIO","AGOSTO","SEPTIEMBRE","OCTUBRE","NOVIEMBRE","DICIEMBRE"}, 0), 1,2,3,4,5,6,7,8,9,10,11,12), A1423)</f>
        <v>45164</v>
      </c>
      <c r="H1423">
        <v>25.75</v>
      </c>
      <c r="I1423">
        <v>56000</v>
      </c>
      <c r="J1423" s="1">
        <f t="shared" si="45"/>
        <v>44888</v>
      </c>
      <c r="K1423">
        <f t="shared" si="44"/>
        <v>15.875</v>
      </c>
    </row>
    <row r="1424" spans="1:11" x14ac:dyDescent="0.25">
      <c r="A1424">
        <v>27</v>
      </c>
      <c r="B1424" t="s">
        <v>32</v>
      </c>
      <c r="C1424">
        <v>2023</v>
      </c>
      <c r="D1424">
        <v>116.75</v>
      </c>
      <c r="E1424" t="s">
        <v>9</v>
      </c>
      <c r="F1424">
        <v>82</v>
      </c>
      <c r="G1424" s="1">
        <f>DATE(C1424, CHOOSE(MATCH(UPPER(B1424), {"ENERO","FEBRERO","MARZO","ABRIL","MAYO","JUNIO","JULIO","AGOSTO","SEPTIEMBRE","OCTUBRE","NOVIEMBRE","DICIEMBRE"}, 0), 1,2,3,4,5,6,7,8,9,10,11,12), A1424)</f>
        <v>45165</v>
      </c>
      <c r="H1424">
        <v>34.75</v>
      </c>
      <c r="I1424">
        <v>56000</v>
      </c>
      <c r="J1424" s="1">
        <f t="shared" si="45"/>
        <v>44889</v>
      </c>
      <c r="K1424">
        <f t="shared" si="44"/>
        <v>13.875</v>
      </c>
    </row>
    <row r="1425" spans="1:11" x14ac:dyDescent="0.25">
      <c r="A1425">
        <v>28</v>
      </c>
      <c r="B1425" t="s">
        <v>32</v>
      </c>
      <c r="C1425">
        <v>2023</v>
      </c>
      <c r="D1425">
        <v>82</v>
      </c>
      <c r="E1425">
        <v>100</v>
      </c>
      <c r="F1425">
        <v>166.75</v>
      </c>
      <c r="G1425" s="1">
        <f>DATE(C1425, CHOOSE(MATCH(UPPER(B1425), {"ENERO","FEBRERO","MARZO","ABRIL","MAYO","JUNIO","JULIO","AGOSTO","SEPTIEMBRE","OCTUBRE","NOVIEMBRE","DICIEMBRE"}, 0), 1,2,3,4,5,6,7,8,9,10,11,12), A1425)</f>
        <v>45166</v>
      </c>
      <c r="H1425">
        <v>15.25</v>
      </c>
      <c r="I1425">
        <v>56000</v>
      </c>
      <c r="J1425" s="1">
        <f t="shared" si="45"/>
        <v>44890</v>
      </c>
      <c r="K1425">
        <f t="shared" si="44"/>
        <v>40.625</v>
      </c>
    </row>
    <row r="1426" spans="1:11" x14ac:dyDescent="0.25">
      <c r="A1426">
        <v>29</v>
      </c>
      <c r="B1426" t="s">
        <v>32</v>
      </c>
      <c r="C1426">
        <v>2023</v>
      </c>
      <c r="D1426">
        <v>166.75</v>
      </c>
      <c r="E1426">
        <v>-30.5</v>
      </c>
      <c r="F1426">
        <v>128</v>
      </c>
      <c r="G1426" s="1">
        <f>DATE(C1426, CHOOSE(MATCH(UPPER(B1426), {"ENERO","FEBRERO","MARZO","ABRIL","MAYO","JUNIO","JULIO","AGOSTO","SEPTIEMBRE","OCTUBRE","NOVIEMBRE","DICIEMBRE"}, 0), 1,2,3,4,5,6,7,8,9,10,11,12), A1426)</f>
        <v>45167</v>
      </c>
      <c r="H1426">
        <v>8.25</v>
      </c>
      <c r="I1426">
        <v>56000</v>
      </c>
      <c r="J1426" s="1">
        <f t="shared" si="45"/>
        <v>44891</v>
      </c>
      <c r="K1426">
        <f t="shared" si="44"/>
        <v>40.125</v>
      </c>
    </row>
    <row r="1427" spans="1:11" x14ac:dyDescent="0.25">
      <c r="A1427">
        <v>30</v>
      </c>
      <c r="B1427" t="s">
        <v>32</v>
      </c>
      <c r="C1427">
        <v>2023</v>
      </c>
      <c r="D1427">
        <v>128</v>
      </c>
      <c r="E1427" t="s">
        <v>9</v>
      </c>
      <c r="F1427">
        <v>111.5</v>
      </c>
      <c r="G1427" s="1">
        <f>DATE(C1427, CHOOSE(MATCH(UPPER(B1427), {"ENERO","FEBRERO","MARZO","ABRIL","MAYO","JUNIO","JULIO","AGOSTO","SEPTIEMBRE","OCTUBRE","NOVIEMBRE","DICIEMBRE"}, 0), 1,2,3,4,5,6,7,8,9,10,11,12), A1427)</f>
        <v>45168</v>
      </c>
      <c r="H1427">
        <v>16.5</v>
      </c>
      <c r="I1427">
        <v>56000</v>
      </c>
      <c r="J1427" s="1">
        <f t="shared" si="45"/>
        <v>44892</v>
      </c>
      <c r="K1427">
        <f t="shared" si="44"/>
        <v>37.875</v>
      </c>
    </row>
    <row r="1428" spans="1:11" x14ac:dyDescent="0.25">
      <c r="A1428">
        <v>31</v>
      </c>
      <c r="B1428" t="s">
        <v>32</v>
      </c>
      <c r="C1428">
        <v>2023</v>
      </c>
      <c r="D1428">
        <v>111.5</v>
      </c>
      <c r="E1428" t="s">
        <v>9</v>
      </c>
      <c r="F1428">
        <v>95.375</v>
      </c>
      <c r="G1428" s="1">
        <f>DATE(C1428, CHOOSE(MATCH(UPPER(B1428), {"ENERO","FEBRERO","MARZO","ABRIL","MAYO","JUNIO","JULIO","AGOSTO","SEPTIEMBRE","OCTUBRE","NOVIEMBRE","DICIEMBRE"}, 0), 1,2,3,4,5,6,7,8,9,10,11,12), A1428)</f>
        <v>45169</v>
      </c>
      <c r="H1428">
        <v>16.125</v>
      </c>
      <c r="I1428">
        <v>56000</v>
      </c>
      <c r="J1428" s="1">
        <f t="shared" si="45"/>
        <v>44893</v>
      </c>
      <c r="K1428">
        <f t="shared" si="44"/>
        <v>6.75</v>
      </c>
    </row>
    <row r="1429" spans="1:11" x14ac:dyDescent="0.25">
      <c r="A1429">
        <v>1</v>
      </c>
      <c r="B1429" t="s">
        <v>33</v>
      </c>
      <c r="C1429">
        <v>2023</v>
      </c>
      <c r="D1429">
        <v>102.25</v>
      </c>
      <c r="E1429" t="s">
        <v>9</v>
      </c>
      <c r="F1429">
        <v>82.875</v>
      </c>
      <c r="G1429" s="1">
        <f>DATE(C1429, CHOOSE(MATCH(UPPER(B1429), {"ENERO","FEBRERO","MARZO","ABRIL","MAYO","JUNIO","JULIO","AGOSTO","SEPTIEMBRE","OCTUBRE","NOVIEMBRE","DICIEMBRE"}, 0), 1,2,3,4,5,6,7,8,9,10,11,12), A1429)</f>
        <v>45231</v>
      </c>
      <c r="H1429">
        <v>19.375</v>
      </c>
      <c r="I1429">
        <v>64000</v>
      </c>
      <c r="J1429" s="1">
        <f t="shared" si="45"/>
        <v>44894</v>
      </c>
      <c r="K1429">
        <f t="shared" si="44"/>
        <v>14.125</v>
      </c>
    </row>
    <row r="1430" spans="1:11" x14ac:dyDescent="0.25">
      <c r="A1430">
        <v>2</v>
      </c>
      <c r="B1430" t="s">
        <v>33</v>
      </c>
      <c r="C1430">
        <v>2023</v>
      </c>
      <c r="D1430">
        <v>82.875</v>
      </c>
      <c r="E1430" t="s">
        <v>9</v>
      </c>
      <c r="F1430">
        <v>66.125</v>
      </c>
      <c r="G1430" s="1">
        <f>DATE(C1430, CHOOSE(MATCH(UPPER(B1430), {"ENERO","FEBRERO","MARZO","ABRIL","MAYO","JUNIO","JULIO","AGOSTO","SEPTIEMBRE","OCTUBRE","NOVIEMBRE","DICIEMBRE"}, 0), 1,2,3,4,5,6,7,8,9,10,11,12), A1430)</f>
        <v>45232</v>
      </c>
      <c r="H1430">
        <v>16.75</v>
      </c>
      <c r="I1430">
        <v>64000</v>
      </c>
      <c r="J1430" s="1">
        <f t="shared" si="45"/>
        <v>44895</v>
      </c>
      <c r="K1430">
        <f t="shared" si="44"/>
        <v>18.125</v>
      </c>
    </row>
    <row r="1431" spans="1:11" x14ac:dyDescent="0.25">
      <c r="A1431">
        <v>3</v>
      </c>
      <c r="B1431" t="s">
        <v>33</v>
      </c>
      <c r="C1431">
        <v>2023</v>
      </c>
      <c r="D1431">
        <v>66.125</v>
      </c>
      <c r="E1431" t="s">
        <v>9</v>
      </c>
      <c r="F1431">
        <v>40.75</v>
      </c>
      <c r="G1431" s="1">
        <f>DATE(C1431, CHOOSE(MATCH(UPPER(B1431), {"ENERO","FEBRERO","MARZO","ABRIL","MAYO","JUNIO","JULIO","AGOSTO","SEPTIEMBRE","OCTUBRE","NOVIEMBRE","DICIEMBRE"}, 0), 1,2,3,4,5,6,7,8,9,10,11,12), A1431)</f>
        <v>45233</v>
      </c>
      <c r="H1431">
        <v>25.375</v>
      </c>
      <c r="I1431">
        <v>64000</v>
      </c>
      <c r="J1431" s="1">
        <f t="shared" si="45"/>
        <v>44896</v>
      </c>
      <c r="K1431">
        <f t="shared" si="44"/>
        <v>16.5</v>
      </c>
    </row>
    <row r="1432" spans="1:11" x14ac:dyDescent="0.25">
      <c r="A1432">
        <v>4</v>
      </c>
      <c r="B1432" t="s">
        <v>33</v>
      </c>
      <c r="C1432">
        <v>2023</v>
      </c>
      <c r="D1432">
        <v>40.75</v>
      </c>
      <c r="E1432">
        <v>100</v>
      </c>
      <c r="F1432">
        <v>108.375</v>
      </c>
      <c r="G1432" s="1">
        <f>DATE(C1432, CHOOSE(MATCH(UPPER(B1432), {"ENERO","FEBRERO","MARZO","ABRIL","MAYO","JUNIO","JULIO","AGOSTO","SEPTIEMBRE","OCTUBRE","NOVIEMBRE","DICIEMBRE"}, 0), 1,2,3,4,5,6,7,8,9,10,11,12), A1432)</f>
        <v>45234</v>
      </c>
      <c r="H1432">
        <v>32.375</v>
      </c>
      <c r="I1432">
        <v>64000</v>
      </c>
      <c r="J1432" s="1">
        <f t="shared" si="45"/>
        <v>44897</v>
      </c>
      <c r="K1432">
        <f t="shared" si="44"/>
        <v>18.5</v>
      </c>
    </row>
    <row r="1433" spans="1:11" x14ac:dyDescent="0.25">
      <c r="A1433">
        <v>5</v>
      </c>
      <c r="B1433" t="s">
        <v>33</v>
      </c>
      <c r="C1433">
        <v>2023</v>
      </c>
      <c r="D1433">
        <v>108.375</v>
      </c>
      <c r="E1433" t="s">
        <v>9</v>
      </c>
      <c r="F1433">
        <v>71.375</v>
      </c>
      <c r="G1433" s="1">
        <f>DATE(C1433, CHOOSE(MATCH(UPPER(B1433), {"ENERO","FEBRERO","MARZO","ABRIL","MAYO","JUNIO","JULIO","AGOSTO","SEPTIEMBRE","OCTUBRE","NOVIEMBRE","DICIEMBRE"}, 0), 1,2,3,4,5,6,7,8,9,10,11,12), A1433)</f>
        <v>45235</v>
      </c>
      <c r="H1433">
        <v>37</v>
      </c>
      <c r="I1433">
        <v>64000</v>
      </c>
      <c r="J1433" s="1">
        <f t="shared" si="45"/>
        <v>44898</v>
      </c>
      <c r="K1433">
        <f t="shared" si="44"/>
        <v>27.75</v>
      </c>
    </row>
    <row r="1434" spans="1:11" x14ac:dyDescent="0.25">
      <c r="A1434">
        <v>6</v>
      </c>
      <c r="B1434" t="s">
        <v>33</v>
      </c>
      <c r="C1434">
        <v>2023</v>
      </c>
      <c r="D1434">
        <v>71.375</v>
      </c>
      <c r="E1434">
        <v>90</v>
      </c>
      <c r="F1434">
        <v>130.625</v>
      </c>
      <c r="G1434" s="1">
        <f>DATE(C1434, CHOOSE(MATCH(UPPER(B1434), {"ENERO","FEBRERO","MARZO","ABRIL","MAYO","JUNIO","JULIO","AGOSTO","SEPTIEMBRE","OCTUBRE","NOVIEMBRE","DICIEMBRE"}, 0), 1,2,3,4,5,6,7,8,9,10,11,12), A1434)</f>
        <v>45236</v>
      </c>
      <c r="H1434">
        <v>30.75</v>
      </c>
      <c r="I1434">
        <v>64000</v>
      </c>
      <c r="J1434" s="1">
        <f t="shared" si="45"/>
        <v>44899</v>
      </c>
      <c r="K1434">
        <f t="shared" si="44"/>
        <v>25.5</v>
      </c>
    </row>
    <row r="1435" spans="1:11" x14ac:dyDescent="0.25">
      <c r="A1435">
        <v>7</v>
      </c>
      <c r="B1435" t="s">
        <v>33</v>
      </c>
      <c r="C1435">
        <v>2023</v>
      </c>
      <c r="D1435">
        <v>130.625</v>
      </c>
      <c r="E1435" t="s">
        <v>9</v>
      </c>
      <c r="F1435">
        <v>122.25</v>
      </c>
      <c r="G1435" s="1">
        <f>DATE(C1435, CHOOSE(MATCH(UPPER(B1435), {"ENERO","FEBRERO","MARZO","ABRIL","MAYO","JUNIO","JULIO","AGOSTO","SEPTIEMBRE","OCTUBRE","NOVIEMBRE","DICIEMBRE"}, 0), 1,2,3,4,5,6,7,8,9,10,11,12), A1435)</f>
        <v>45237</v>
      </c>
      <c r="H1435">
        <v>8.375</v>
      </c>
      <c r="I1435">
        <v>64000</v>
      </c>
      <c r="J1435" s="1">
        <f t="shared" si="45"/>
        <v>44900</v>
      </c>
      <c r="K1435">
        <f t="shared" si="44"/>
        <v>13.375</v>
      </c>
    </row>
    <row r="1436" spans="1:11" x14ac:dyDescent="0.25">
      <c r="A1436">
        <v>8</v>
      </c>
      <c r="B1436" t="s">
        <v>33</v>
      </c>
      <c r="C1436">
        <v>2023</v>
      </c>
      <c r="D1436">
        <v>122.25</v>
      </c>
      <c r="E1436" t="s">
        <v>9</v>
      </c>
      <c r="F1436">
        <v>112.25</v>
      </c>
      <c r="G1436" s="1">
        <f>DATE(C1436, CHOOSE(MATCH(UPPER(B1436), {"ENERO","FEBRERO","MARZO","ABRIL","MAYO","JUNIO","JULIO","AGOSTO","SEPTIEMBRE","OCTUBRE","NOVIEMBRE","DICIEMBRE"}, 0), 1,2,3,4,5,6,7,8,9,10,11,12), A1436)</f>
        <v>45238</v>
      </c>
      <c r="H1436">
        <v>10</v>
      </c>
      <c r="I1436">
        <v>64000</v>
      </c>
      <c r="J1436" s="1">
        <f t="shared" si="45"/>
        <v>44901</v>
      </c>
      <c r="K1436">
        <f t="shared" si="44"/>
        <v>15.625</v>
      </c>
    </row>
    <row r="1437" spans="1:11" x14ac:dyDescent="0.25">
      <c r="A1437">
        <v>9</v>
      </c>
      <c r="B1437" t="s">
        <v>33</v>
      </c>
      <c r="C1437">
        <v>2023</v>
      </c>
      <c r="D1437">
        <v>112.25</v>
      </c>
      <c r="E1437" t="s">
        <v>9</v>
      </c>
      <c r="F1437">
        <v>100.875</v>
      </c>
      <c r="G1437" s="1">
        <f>DATE(C1437, CHOOSE(MATCH(UPPER(B1437), {"ENERO","FEBRERO","MARZO","ABRIL","MAYO","JUNIO","JULIO","AGOSTO","SEPTIEMBRE","OCTUBRE","NOVIEMBRE","DICIEMBRE"}, 0), 1,2,3,4,5,6,7,8,9,10,11,12), A1437)</f>
        <v>45239</v>
      </c>
      <c r="H1437">
        <v>11.375</v>
      </c>
      <c r="I1437">
        <v>64000</v>
      </c>
      <c r="J1437" s="1">
        <f t="shared" si="45"/>
        <v>44902</v>
      </c>
      <c r="K1437">
        <f t="shared" si="44"/>
        <v>37.625</v>
      </c>
    </row>
    <row r="1438" spans="1:11" x14ac:dyDescent="0.25">
      <c r="A1438">
        <v>10</v>
      </c>
      <c r="B1438" t="s">
        <v>33</v>
      </c>
      <c r="C1438">
        <v>2023</v>
      </c>
      <c r="D1438">
        <v>100.875</v>
      </c>
      <c r="E1438" t="s">
        <v>9</v>
      </c>
      <c r="F1438">
        <v>75.375</v>
      </c>
      <c r="G1438" s="1">
        <f>DATE(C1438, CHOOSE(MATCH(UPPER(B1438), {"ENERO","FEBRERO","MARZO","ABRIL","MAYO","JUNIO","JULIO","AGOSTO","SEPTIEMBRE","OCTUBRE","NOVIEMBRE","DICIEMBRE"}, 0), 1,2,3,4,5,6,7,8,9,10,11,12), A1438)</f>
        <v>45240</v>
      </c>
      <c r="H1438">
        <v>25.5</v>
      </c>
      <c r="I1438">
        <v>64000</v>
      </c>
      <c r="J1438" s="1">
        <f t="shared" si="45"/>
        <v>44903</v>
      </c>
      <c r="K1438">
        <f t="shared" si="44"/>
        <v>48.125</v>
      </c>
    </row>
    <row r="1439" spans="1:11" x14ac:dyDescent="0.25">
      <c r="A1439">
        <v>11</v>
      </c>
      <c r="B1439" t="s">
        <v>33</v>
      </c>
      <c r="C1439">
        <v>2023</v>
      </c>
      <c r="D1439">
        <v>75.375</v>
      </c>
      <c r="E1439" t="s">
        <v>9</v>
      </c>
      <c r="F1439">
        <v>40</v>
      </c>
      <c r="G1439" s="1">
        <f>DATE(C1439, CHOOSE(MATCH(UPPER(B1439), {"ENERO","FEBRERO","MARZO","ABRIL","MAYO","JUNIO","JULIO","AGOSTO","SEPTIEMBRE","OCTUBRE","NOVIEMBRE","DICIEMBRE"}, 0), 1,2,3,4,5,6,7,8,9,10,11,12), A1439)</f>
        <v>45241</v>
      </c>
      <c r="H1439">
        <v>35.375</v>
      </c>
      <c r="I1439">
        <v>64000</v>
      </c>
      <c r="J1439" s="1">
        <f t="shared" si="45"/>
        <v>44904</v>
      </c>
      <c r="K1439">
        <f t="shared" si="44"/>
        <v>27.125</v>
      </c>
    </row>
    <row r="1440" spans="1:11" x14ac:dyDescent="0.25">
      <c r="A1440">
        <v>12</v>
      </c>
      <c r="B1440" t="s">
        <v>33</v>
      </c>
      <c r="C1440">
        <v>2023</v>
      </c>
      <c r="D1440">
        <v>40</v>
      </c>
      <c r="E1440">
        <v>120</v>
      </c>
      <c r="F1440">
        <v>123.75</v>
      </c>
      <c r="G1440" s="1">
        <f>DATE(C1440, CHOOSE(MATCH(UPPER(B1440), {"ENERO","FEBRERO","MARZO","ABRIL","MAYO","JUNIO","JULIO","AGOSTO","SEPTIEMBRE","OCTUBRE","NOVIEMBRE","DICIEMBRE"}, 0), 1,2,3,4,5,6,7,8,9,10,11,12), A1440)</f>
        <v>45242</v>
      </c>
      <c r="H1440">
        <v>36.25</v>
      </c>
      <c r="I1440">
        <v>64000</v>
      </c>
      <c r="J1440" s="1">
        <f t="shared" si="45"/>
        <v>44905</v>
      </c>
      <c r="K1440">
        <f t="shared" si="44"/>
        <v>65.125</v>
      </c>
    </row>
    <row r="1441" spans="1:11" x14ac:dyDescent="0.25">
      <c r="A1441">
        <v>13</v>
      </c>
      <c r="B1441" t="s">
        <v>33</v>
      </c>
      <c r="C1441">
        <v>2023</v>
      </c>
      <c r="D1441">
        <v>123.75</v>
      </c>
      <c r="E1441" t="s">
        <v>9</v>
      </c>
      <c r="F1441">
        <v>90.75</v>
      </c>
      <c r="G1441" s="1">
        <f>DATE(C1441, CHOOSE(MATCH(UPPER(B1441), {"ENERO","FEBRERO","MARZO","ABRIL","MAYO","JUNIO","JULIO","AGOSTO","SEPTIEMBRE","OCTUBRE","NOVIEMBRE","DICIEMBRE"}, 0), 1,2,3,4,5,6,7,8,9,10,11,12), A1441)</f>
        <v>45243</v>
      </c>
      <c r="H1441">
        <v>33</v>
      </c>
      <c r="I1441">
        <v>64000</v>
      </c>
      <c r="J1441" s="1">
        <f t="shared" si="45"/>
        <v>44906</v>
      </c>
      <c r="K1441">
        <f t="shared" si="44"/>
        <v>55.125</v>
      </c>
    </row>
    <row r="1442" spans="1:11" x14ac:dyDescent="0.25">
      <c r="A1442">
        <v>14</v>
      </c>
      <c r="B1442" t="s">
        <v>33</v>
      </c>
      <c r="C1442">
        <v>2023</v>
      </c>
      <c r="D1442">
        <v>90.75</v>
      </c>
      <c r="E1442" t="s">
        <v>9</v>
      </c>
      <c r="F1442">
        <v>78.75</v>
      </c>
      <c r="G1442" s="1">
        <f>DATE(C1442, CHOOSE(MATCH(UPPER(B1442), {"ENERO","FEBRERO","MARZO","ABRIL","MAYO","JUNIO","JULIO","AGOSTO","SEPTIEMBRE","OCTUBRE","NOVIEMBRE","DICIEMBRE"}, 0), 1,2,3,4,5,6,7,8,9,10,11,12), A1442)</f>
        <v>45244</v>
      </c>
      <c r="H1442">
        <v>12</v>
      </c>
      <c r="I1442">
        <v>64000</v>
      </c>
      <c r="J1442" s="1">
        <f t="shared" si="45"/>
        <v>44907</v>
      </c>
      <c r="K1442">
        <f t="shared" si="44"/>
        <v>13.625</v>
      </c>
    </row>
    <row r="1443" spans="1:11" x14ac:dyDescent="0.25">
      <c r="A1443">
        <v>15</v>
      </c>
      <c r="B1443" t="s">
        <v>33</v>
      </c>
      <c r="C1443">
        <v>2023</v>
      </c>
      <c r="D1443">
        <v>78.75</v>
      </c>
      <c r="E1443" t="s">
        <v>9</v>
      </c>
      <c r="F1443">
        <v>62.5</v>
      </c>
      <c r="G1443" s="1">
        <f>DATE(C1443, CHOOSE(MATCH(UPPER(B1443), {"ENERO","FEBRERO","MARZO","ABRIL","MAYO","JUNIO","JULIO","AGOSTO","SEPTIEMBRE","OCTUBRE","NOVIEMBRE","DICIEMBRE"}, 0), 1,2,3,4,5,6,7,8,9,10,11,12), A1443)</f>
        <v>45245</v>
      </c>
      <c r="H1443">
        <v>16.25</v>
      </c>
      <c r="I1443">
        <v>64000</v>
      </c>
      <c r="J1443" s="1">
        <f t="shared" si="45"/>
        <v>44908</v>
      </c>
      <c r="K1443">
        <f t="shared" si="44"/>
        <v>29</v>
      </c>
    </row>
    <row r="1444" spans="1:11" x14ac:dyDescent="0.25">
      <c r="A1444">
        <v>16</v>
      </c>
      <c r="B1444" t="s">
        <v>33</v>
      </c>
      <c r="C1444">
        <v>2023</v>
      </c>
      <c r="D1444">
        <v>62.5</v>
      </c>
      <c r="E1444" t="s">
        <v>9</v>
      </c>
      <c r="F1444">
        <v>40</v>
      </c>
      <c r="G1444" s="1">
        <f>DATE(C1444, CHOOSE(MATCH(UPPER(B1444), {"ENERO","FEBRERO","MARZO","ABRIL","MAYO","JUNIO","JULIO","AGOSTO","SEPTIEMBRE","OCTUBRE","NOVIEMBRE","DICIEMBRE"}, 0), 1,2,3,4,5,6,7,8,9,10,11,12), A1444)</f>
        <v>45246</v>
      </c>
      <c r="H1444">
        <v>22.5</v>
      </c>
      <c r="I1444">
        <v>64000</v>
      </c>
      <c r="J1444" s="1">
        <f t="shared" si="45"/>
        <v>44909</v>
      </c>
      <c r="K1444">
        <f t="shared" si="44"/>
        <v>26.75</v>
      </c>
    </row>
    <row r="1445" spans="1:11" x14ac:dyDescent="0.25">
      <c r="A1445">
        <v>17</v>
      </c>
      <c r="B1445" t="s">
        <v>33</v>
      </c>
      <c r="C1445">
        <v>2023</v>
      </c>
      <c r="D1445">
        <v>40</v>
      </c>
      <c r="E1445">
        <v>60</v>
      </c>
      <c r="F1445">
        <v>80.25</v>
      </c>
      <c r="G1445" s="1">
        <f>DATE(C1445, CHOOSE(MATCH(UPPER(B1445), {"ENERO","FEBRERO","MARZO","ABRIL","MAYO","JUNIO","JULIO","AGOSTO","SEPTIEMBRE","OCTUBRE","NOVIEMBRE","DICIEMBRE"}, 0), 1,2,3,4,5,6,7,8,9,10,11,12), A1445)</f>
        <v>45247</v>
      </c>
      <c r="H1445">
        <v>19.75</v>
      </c>
      <c r="I1445">
        <v>64000</v>
      </c>
      <c r="J1445" s="1">
        <f t="shared" si="45"/>
        <v>44910</v>
      </c>
      <c r="K1445">
        <f t="shared" si="44"/>
        <v>38.875</v>
      </c>
    </row>
    <row r="1446" spans="1:11" x14ac:dyDescent="0.25">
      <c r="A1446">
        <v>18</v>
      </c>
      <c r="B1446" t="s">
        <v>33</v>
      </c>
      <c r="C1446">
        <v>2023</v>
      </c>
      <c r="D1446">
        <v>80.25</v>
      </c>
      <c r="E1446" t="s">
        <v>9</v>
      </c>
      <c r="F1446">
        <v>43.5</v>
      </c>
      <c r="G1446" s="1">
        <f>DATE(C1446, CHOOSE(MATCH(UPPER(B1446), {"ENERO","FEBRERO","MARZO","ABRIL","MAYO","JUNIO","JULIO","AGOSTO","SEPTIEMBRE","OCTUBRE","NOVIEMBRE","DICIEMBRE"}, 0), 1,2,3,4,5,6,7,8,9,10,11,12), A1446)</f>
        <v>45248</v>
      </c>
      <c r="H1446">
        <v>36.75</v>
      </c>
      <c r="I1446">
        <v>64000</v>
      </c>
      <c r="J1446" s="1">
        <f t="shared" si="45"/>
        <v>44911</v>
      </c>
      <c r="K1446">
        <f t="shared" si="44"/>
        <v>33.375</v>
      </c>
    </row>
    <row r="1447" spans="1:11" x14ac:dyDescent="0.25">
      <c r="A1447">
        <v>19</v>
      </c>
      <c r="B1447" t="s">
        <v>33</v>
      </c>
      <c r="C1447">
        <v>2023</v>
      </c>
      <c r="D1447">
        <v>43.5</v>
      </c>
      <c r="E1447">
        <v>80</v>
      </c>
      <c r="F1447">
        <v>86.625</v>
      </c>
      <c r="G1447" s="1">
        <f>DATE(C1447, CHOOSE(MATCH(UPPER(B1447), {"ENERO","FEBRERO","MARZO","ABRIL","MAYO","JUNIO","JULIO","AGOSTO","SEPTIEMBRE","OCTUBRE","NOVIEMBRE","DICIEMBRE"}, 0), 1,2,3,4,5,6,7,8,9,10,11,12), A1447)</f>
        <v>45249</v>
      </c>
      <c r="H1447">
        <v>36.875</v>
      </c>
      <c r="I1447">
        <v>64000</v>
      </c>
      <c r="J1447" s="1">
        <f t="shared" si="45"/>
        <v>44912</v>
      </c>
      <c r="K1447">
        <f t="shared" si="44"/>
        <v>43.875</v>
      </c>
    </row>
    <row r="1448" spans="1:11" x14ac:dyDescent="0.25">
      <c r="A1448">
        <v>20</v>
      </c>
      <c r="B1448" t="s">
        <v>33</v>
      </c>
      <c r="C1448">
        <v>2023</v>
      </c>
      <c r="D1448">
        <v>86.625</v>
      </c>
      <c r="E1448" t="s">
        <v>9</v>
      </c>
      <c r="F1448">
        <v>76.25</v>
      </c>
      <c r="G1448" s="1">
        <f>DATE(C1448, CHOOSE(MATCH(UPPER(B1448), {"ENERO","FEBRERO","MARZO","ABRIL","MAYO","JUNIO","JULIO","AGOSTO","SEPTIEMBRE","OCTUBRE","NOVIEMBRE","DICIEMBRE"}, 0), 1,2,3,4,5,6,7,8,9,10,11,12), A1448)</f>
        <v>45250</v>
      </c>
      <c r="H1448">
        <v>10.375</v>
      </c>
      <c r="I1448">
        <v>64000</v>
      </c>
      <c r="J1448" s="1">
        <f t="shared" si="45"/>
        <v>44913</v>
      </c>
      <c r="K1448">
        <f t="shared" si="44"/>
        <v>62.75</v>
      </c>
    </row>
    <row r="1449" spans="1:11" x14ac:dyDescent="0.25">
      <c r="A1449">
        <v>21</v>
      </c>
      <c r="B1449" t="s">
        <v>33</v>
      </c>
      <c r="C1449">
        <v>2023</v>
      </c>
      <c r="D1449">
        <v>76.25</v>
      </c>
      <c r="E1449" t="s">
        <v>9</v>
      </c>
      <c r="F1449">
        <v>57.125</v>
      </c>
      <c r="G1449" s="1">
        <f>DATE(C1449, CHOOSE(MATCH(UPPER(B1449), {"ENERO","FEBRERO","MARZO","ABRIL","MAYO","JUNIO","JULIO","AGOSTO","SEPTIEMBRE","OCTUBRE","NOVIEMBRE","DICIEMBRE"}, 0), 1,2,3,4,5,6,7,8,9,10,11,12), A1449)</f>
        <v>45251</v>
      </c>
      <c r="H1449">
        <v>19.125</v>
      </c>
      <c r="I1449">
        <v>64000</v>
      </c>
      <c r="J1449" s="1">
        <f t="shared" si="45"/>
        <v>44914</v>
      </c>
      <c r="K1449">
        <f t="shared" si="44"/>
        <v>25.5</v>
      </c>
    </row>
    <row r="1450" spans="1:11" x14ac:dyDescent="0.25">
      <c r="A1450">
        <v>22</v>
      </c>
      <c r="B1450" t="s">
        <v>33</v>
      </c>
      <c r="C1450">
        <v>2023</v>
      </c>
      <c r="D1450">
        <v>57.125</v>
      </c>
      <c r="E1450" t="s">
        <v>9</v>
      </c>
      <c r="F1450">
        <v>37.625</v>
      </c>
      <c r="G1450" s="1">
        <f>DATE(C1450, CHOOSE(MATCH(UPPER(B1450), {"ENERO","FEBRERO","MARZO","ABRIL","MAYO","JUNIO","JULIO","AGOSTO","SEPTIEMBRE","OCTUBRE","NOVIEMBRE","DICIEMBRE"}, 0), 1,2,3,4,5,6,7,8,9,10,11,12), A1450)</f>
        <v>45252</v>
      </c>
      <c r="H1450">
        <v>19.5</v>
      </c>
      <c r="I1450">
        <v>64000</v>
      </c>
      <c r="J1450" s="1">
        <f t="shared" si="45"/>
        <v>44915</v>
      </c>
      <c r="K1450">
        <f t="shared" si="44"/>
        <v>37</v>
      </c>
    </row>
    <row r="1451" spans="1:11" x14ac:dyDescent="0.25">
      <c r="A1451">
        <v>23</v>
      </c>
      <c r="B1451" t="s">
        <v>33</v>
      </c>
      <c r="C1451">
        <v>2023</v>
      </c>
      <c r="D1451">
        <v>37.625</v>
      </c>
      <c r="E1451" t="s">
        <v>9</v>
      </c>
      <c r="F1451">
        <v>17.75</v>
      </c>
      <c r="G1451" s="1">
        <f>DATE(C1451, CHOOSE(MATCH(UPPER(B1451), {"ENERO","FEBRERO","MARZO","ABRIL","MAYO","JUNIO","JULIO","AGOSTO","SEPTIEMBRE","OCTUBRE","NOVIEMBRE","DICIEMBRE"}, 0), 1,2,3,4,5,6,7,8,9,10,11,12), A1451)</f>
        <v>45253</v>
      </c>
      <c r="H1451">
        <v>19.875</v>
      </c>
      <c r="I1451">
        <v>64000</v>
      </c>
      <c r="J1451" s="1">
        <f t="shared" si="45"/>
        <v>44916</v>
      </c>
      <c r="K1451">
        <f t="shared" si="44"/>
        <v>45.5</v>
      </c>
    </row>
    <row r="1452" spans="1:11" x14ac:dyDescent="0.25">
      <c r="A1452">
        <v>24</v>
      </c>
      <c r="B1452" t="s">
        <v>33</v>
      </c>
      <c r="C1452">
        <v>2023</v>
      </c>
      <c r="D1452">
        <v>17.75</v>
      </c>
      <c r="E1452">
        <v>120</v>
      </c>
      <c r="F1452" t="s">
        <v>9</v>
      </c>
      <c r="G1452" s="1">
        <f>DATE(C1452, CHOOSE(MATCH(UPPER(B1452), {"ENERO","FEBRERO","MARZO","ABRIL","MAYO","JUNIO","JULIO","AGOSTO","SEPTIEMBRE","OCTUBRE","NOVIEMBRE","DICIEMBRE"}, 0), 1,2,3,4,5,6,7,8,9,10,11,12), A1452)</f>
        <v>45254</v>
      </c>
      <c r="H1452">
        <v>137.75</v>
      </c>
      <c r="I1452">
        <v>64000</v>
      </c>
      <c r="J1452" s="1">
        <f t="shared" si="45"/>
        <v>44917</v>
      </c>
      <c r="K1452">
        <f t="shared" si="44"/>
        <v>47.625</v>
      </c>
    </row>
    <row r="1453" spans="1:11" x14ac:dyDescent="0.25">
      <c r="J1453" s="1">
        <f t="shared" si="45"/>
        <v>44918</v>
      </c>
      <c r="K1453">
        <f t="shared" si="44"/>
        <v>42.875</v>
      </c>
    </row>
    <row r="1454" spans="1:11" x14ac:dyDescent="0.25">
      <c r="J1454" s="1">
        <f t="shared" si="45"/>
        <v>44919</v>
      </c>
      <c r="K1454">
        <f t="shared" si="44"/>
        <v>17.75</v>
      </c>
    </row>
    <row r="1455" spans="1:11" x14ac:dyDescent="0.25">
      <c r="J1455" s="1">
        <f t="shared" si="45"/>
        <v>44920</v>
      </c>
      <c r="K1455">
        <f t="shared" si="44"/>
        <v>61.125</v>
      </c>
    </row>
    <row r="1456" spans="1:11" x14ac:dyDescent="0.25">
      <c r="J1456" s="1">
        <f t="shared" si="45"/>
        <v>44921</v>
      </c>
      <c r="K1456">
        <f t="shared" si="44"/>
        <v>51.75</v>
      </c>
    </row>
    <row r="1457" spans="10:11" x14ac:dyDescent="0.25">
      <c r="J1457" s="1">
        <f t="shared" si="45"/>
        <v>44922</v>
      </c>
      <c r="K1457">
        <f t="shared" si="44"/>
        <v>36.25</v>
      </c>
    </row>
    <row r="1458" spans="10:11" x14ac:dyDescent="0.25">
      <c r="J1458" s="1">
        <f t="shared" si="45"/>
        <v>44923</v>
      </c>
      <c r="K1458">
        <f t="shared" si="44"/>
        <v>62.5</v>
      </c>
    </row>
    <row r="1459" spans="10:11" x14ac:dyDescent="0.25">
      <c r="J1459" s="1">
        <f t="shared" si="45"/>
        <v>44924</v>
      </c>
      <c r="K1459">
        <f t="shared" si="44"/>
        <v>37.875</v>
      </c>
    </row>
    <row r="1460" spans="10:11" x14ac:dyDescent="0.25">
      <c r="J1460" s="1">
        <f t="shared" si="45"/>
        <v>44925</v>
      </c>
      <c r="K1460">
        <f t="shared" si="44"/>
        <v>39.75</v>
      </c>
    </row>
    <row r="1461" spans="10:11" x14ac:dyDescent="0.25">
      <c r="J1461" s="1">
        <f t="shared" si="45"/>
        <v>44926</v>
      </c>
      <c r="K1461">
        <f t="shared" si="44"/>
        <v>28.75</v>
      </c>
    </row>
    <row r="1462" spans="10:11" x14ac:dyDescent="0.25">
      <c r="J1462" s="1">
        <f t="shared" si="45"/>
        <v>44927</v>
      </c>
      <c r="K1462">
        <f t="shared" si="44"/>
        <v>65.625</v>
      </c>
    </row>
    <row r="1463" spans="10:11" x14ac:dyDescent="0.25">
      <c r="J1463" s="1">
        <f t="shared" si="45"/>
        <v>44928</v>
      </c>
      <c r="K1463">
        <f t="shared" si="44"/>
        <v>46.75</v>
      </c>
    </row>
    <row r="1464" spans="10:11" x14ac:dyDescent="0.25">
      <c r="J1464" s="1">
        <f t="shared" si="45"/>
        <v>44929</v>
      </c>
      <c r="K1464">
        <f t="shared" si="44"/>
        <v>48.625</v>
      </c>
    </row>
    <row r="1465" spans="10:11" x14ac:dyDescent="0.25">
      <c r="J1465" s="1">
        <f t="shared" si="45"/>
        <v>44930</v>
      </c>
      <c r="K1465">
        <f t="shared" si="44"/>
        <v>53.5</v>
      </c>
    </row>
    <row r="1466" spans="10:11" x14ac:dyDescent="0.25">
      <c r="J1466" s="1">
        <f t="shared" si="45"/>
        <v>44931</v>
      </c>
      <c r="K1466">
        <f t="shared" si="44"/>
        <v>41.375</v>
      </c>
    </row>
    <row r="1467" spans="10:11" x14ac:dyDescent="0.25">
      <c r="J1467" s="1">
        <f t="shared" si="45"/>
        <v>44932</v>
      </c>
      <c r="K1467">
        <f t="shared" si="44"/>
        <v>33.875</v>
      </c>
    </row>
    <row r="1468" spans="10:11" x14ac:dyDescent="0.25">
      <c r="J1468" s="1">
        <f t="shared" si="45"/>
        <v>44933</v>
      </c>
      <c r="K1468">
        <f t="shared" si="44"/>
        <v>44.125</v>
      </c>
    </row>
    <row r="1469" spans="10:11" x14ac:dyDescent="0.25">
      <c r="J1469" s="1">
        <f t="shared" si="45"/>
        <v>44934</v>
      </c>
      <c r="K1469">
        <f t="shared" si="44"/>
        <v>52.75</v>
      </c>
    </row>
    <row r="1470" spans="10:11" x14ac:dyDescent="0.25">
      <c r="J1470" s="1">
        <f t="shared" si="45"/>
        <v>44935</v>
      </c>
      <c r="K1470">
        <f t="shared" si="44"/>
        <v>38.125</v>
      </c>
    </row>
    <row r="1471" spans="10:11" x14ac:dyDescent="0.25">
      <c r="J1471" s="1">
        <f t="shared" si="45"/>
        <v>44936</v>
      </c>
      <c r="K1471">
        <f t="shared" si="44"/>
        <v>30.625</v>
      </c>
    </row>
    <row r="1472" spans="10:11" x14ac:dyDescent="0.25">
      <c r="J1472" s="1">
        <f t="shared" si="45"/>
        <v>44937</v>
      </c>
      <c r="K1472">
        <f t="shared" si="44"/>
        <v>41.75</v>
      </c>
    </row>
    <row r="1473" spans="10:11" x14ac:dyDescent="0.25">
      <c r="J1473" s="1">
        <f t="shared" si="45"/>
        <v>44938</v>
      </c>
      <c r="K1473">
        <f t="shared" si="44"/>
        <v>22.75</v>
      </c>
    </row>
    <row r="1474" spans="10:11" x14ac:dyDescent="0.25">
      <c r="J1474" s="1">
        <f t="shared" si="45"/>
        <v>44939</v>
      </c>
      <c r="K1474">
        <f t="shared" ref="K1474:K1537" si="46">VLOOKUP(J1474, G:H, 2, FALSE)</f>
        <v>29.625</v>
      </c>
    </row>
    <row r="1475" spans="10:11" x14ac:dyDescent="0.25">
      <c r="J1475" s="1">
        <f t="shared" si="45"/>
        <v>44940</v>
      </c>
      <c r="K1475">
        <f t="shared" si="46"/>
        <v>53.25</v>
      </c>
    </row>
    <row r="1476" spans="10:11" x14ac:dyDescent="0.25">
      <c r="J1476" s="1">
        <f t="shared" ref="J1476:J1539" si="47">DATE(2019,1,1) + ROW()-1</f>
        <v>44941</v>
      </c>
      <c r="K1476">
        <f t="shared" si="46"/>
        <v>41.625</v>
      </c>
    </row>
    <row r="1477" spans="10:11" x14ac:dyDescent="0.25">
      <c r="J1477" s="1">
        <f t="shared" si="47"/>
        <v>44942</v>
      </c>
      <c r="K1477">
        <f t="shared" si="46"/>
        <v>22.75</v>
      </c>
    </row>
    <row r="1478" spans="10:11" x14ac:dyDescent="0.25">
      <c r="J1478" s="1">
        <f t="shared" si="47"/>
        <v>44943</v>
      </c>
      <c r="K1478">
        <f t="shared" si="46"/>
        <v>30.625</v>
      </c>
    </row>
    <row r="1479" spans="10:11" x14ac:dyDescent="0.25">
      <c r="J1479" s="1">
        <f t="shared" si="47"/>
        <v>44944</v>
      </c>
      <c r="K1479">
        <f t="shared" si="46"/>
        <v>32.875</v>
      </c>
    </row>
    <row r="1480" spans="10:11" x14ac:dyDescent="0.25">
      <c r="J1480" s="1">
        <f t="shared" si="47"/>
        <v>44945</v>
      </c>
      <c r="K1480">
        <f t="shared" si="46"/>
        <v>21.25</v>
      </c>
    </row>
    <row r="1481" spans="10:11" x14ac:dyDescent="0.25">
      <c r="J1481" s="1">
        <f t="shared" si="47"/>
        <v>44946</v>
      </c>
      <c r="K1481">
        <f t="shared" si="46"/>
        <v>30</v>
      </c>
    </row>
    <row r="1482" spans="10:11" x14ac:dyDescent="0.25">
      <c r="J1482" s="1">
        <f t="shared" si="47"/>
        <v>44947</v>
      </c>
      <c r="K1482">
        <f t="shared" si="46"/>
        <v>53.125</v>
      </c>
    </row>
    <row r="1483" spans="10:11" x14ac:dyDescent="0.25">
      <c r="J1483" s="1">
        <f t="shared" si="47"/>
        <v>44948</v>
      </c>
      <c r="K1483">
        <f t="shared" si="46"/>
        <v>48.125</v>
      </c>
    </row>
    <row r="1484" spans="10:11" x14ac:dyDescent="0.25">
      <c r="J1484" s="1">
        <f t="shared" si="47"/>
        <v>44949</v>
      </c>
      <c r="K1484">
        <f t="shared" si="46"/>
        <v>12.625</v>
      </c>
    </row>
    <row r="1485" spans="10:11" x14ac:dyDescent="0.25">
      <c r="J1485" s="1">
        <f t="shared" si="47"/>
        <v>44950</v>
      </c>
      <c r="K1485">
        <f t="shared" si="46"/>
        <v>12.75</v>
      </c>
    </row>
    <row r="1486" spans="10:11" x14ac:dyDescent="0.25">
      <c r="J1486" s="1">
        <f t="shared" si="47"/>
        <v>44951</v>
      </c>
      <c r="K1486">
        <f t="shared" si="46"/>
        <v>18.625</v>
      </c>
    </row>
    <row r="1487" spans="10:11" x14ac:dyDescent="0.25">
      <c r="J1487" s="1">
        <f t="shared" si="47"/>
        <v>44952</v>
      </c>
      <c r="K1487">
        <f t="shared" si="46"/>
        <v>19.25</v>
      </c>
    </row>
    <row r="1488" spans="10:11" x14ac:dyDescent="0.25">
      <c r="J1488" s="1">
        <f t="shared" si="47"/>
        <v>44953</v>
      </c>
      <c r="K1488">
        <f t="shared" si="46"/>
        <v>27.375</v>
      </c>
    </row>
    <row r="1489" spans="10:11" x14ac:dyDescent="0.25">
      <c r="J1489" s="1">
        <f t="shared" si="47"/>
        <v>44954</v>
      </c>
      <c r="K1489">
        <f t="shared" si="46"/>
        <v>40.625</v>
      </c>
    </row>
    <row r="1490" spans="10:11" x14ac:dyDescent="0.25">
      <c r="J1490" s="1">
        <f t="shared" si="47"/>
        <v>44955</v>
      </c>
      <c r="K1490">
        <f t="shared" si="46"/>
        <v>45.875</v>
      </c>
    </row>
    <row r="1491" spans="10:11" x14ac:dyDescent="0.25">
      <c r="J1491" s="1">
        <f t="shared" si="47"/>
        <v>44956</v>
      </c>
      <c r="K1491">
        <f t="shared" si="46"/>
        <v>14.75</v>
      </c>
    </row>
    <row r="1492" spans="10:11" x14ac:dyDescent="0.25">
      <c r="J1492" s="1">
        <f t="shared" si="47"/>
        <v>44957</v>
      </c>
      <c r="K1492">
        <f t="shared" si="46"/>
        <v>16.125</v>
      </c>
    </row>
    <row r="1493" spans="10:11" x14ac:dyDescent="0.25">
      <c r="J1493" s="1">
        <f t="shared" si="47"/>
        <v>44958</v>
      </c>
      <c r="K1493">
        <f t="shared" si="46"/>
        <v>20.875</v>
      </c>
    </row>
    <row r="1494" spans="10:11" x14ac:dyDescent="0.25">
      <c r="J1494" s="1">
        <f t="shared" si="47"/>
        <v>44959</v>
      </c>
      <c r="K1494">
        <f t="shared" si="46"/>
        <v>15.875</v>
      </c>
    </row>
    <row r="1495" spans="10:11" x14ac:dyDescent="0.25">
      <c r="J1495" s="1">
        <f t="shared" si="47"/>
        <v>44960</v>
      </c>
      <c r="K1495">
        <f t="shared" si="46"/>
        <v>33</v>
      </c>
    </row>
    <row r="1496" spans="10:11" x14ac:dyDescent="0.25">
      <c r="J1496" s="1">
        <f t="shared" si="47"/>
        <v>44961</v>
      </c>
      <c r="K1496">
        <f t="shared" si="46"/>
        <v>39.875</v>
      </c>
    </row>
    <row r="1497" spans="10:11" x14ac:dyDescent="0.25">
      <c r="J1497" s="1">
        <f t="shared" si="47"/>
        <v>44962</v>
      </c>
      <c r="K1497">
        <f t="shared" si="46"/>
        <v>37.5</v>
      </c>
    </row>
    <row r="1498" spans="10:11" x14ac:dyDescent="0.25">
      <c r="J1498" s="1">
        <f t="shared" si="47"/>
        <v>44963</v>
      </c>
      <c r="K1498">
        <f t="shared" si="46"/>
        <v>11</v>
      </c>
    </row>
    <row r="1499" spans="10:11" x14ac:dyDescent="0.25">
      <c r="J1499" s="1">
        <f t="shared" si="47"/>
        <v>44964</v>
      </c>
      <c r="K1499">
        <f t="shared" si="46"/>
        <v>7.625</v>
      </c>
    </row>
    <row r="1500" spans="10:11" x14ac:dyDescent="0.25">
      <c r="J1500" s="1">
        <f t="shared" si="47"/>
        <v>44965</v>
      </c>
      <c r="K1500">
        <f t="shared" si="46"/>
        <v>19.375</v>
      </c>
    </row>
    <row r="1501" spans="10:11" x14ac:dyDescent="0.25">
      <c r="J1501" s="1">
        <f t="shared" si="47"/>
        <v>44966</v>
      </c>
      <c r="K1501">
        <f t="shared" si="46"/>
        <v>18.25</v>
      </c>
    </row>
    <row r="1502" spans="10:11" x14ac:dyDescent="0.25">
      <c r="J1502" s="1">
        <f t="shared" si="47"/>
        <v>44967</v>
      </c>
      <c r="K1502">
        <f t="shared" si="46"/>
        <v>25.875</v>
      </c>
    </row>
    <row r="1503" spans="10:11" x14ac:dyDescent="0.25">
      <c r="J1503" s="1">
        <f t="shared" si="47"/>
        <v>44968</v>
      </c>
      <c r="K1503">
        <f t="shared" si="46"/>
        <v>41.25</v>
      </c>
    </row>
    <row r="1504" spans="10:11" x14ac:dyDescent="0.25">
      <c r="J1504" s="1">
        <f t="shared" si="47"/>
        <v>44969</v>
      </c>
      <c r="K1504">
        <f t="shared" si="46"/>
        <v>28.125</v>
      </c>
    </row>
    <row r="1505" spans="10:11" x14ac:dyDescent="0.25">
      <c r="J1505" s="1">
        <f t="shared" si="47"/>
        <v>44970</v>
      </c>
      <c r="K1505">
        <f t="shared" si="46"/>
        <v>33.875</v>
      </c>
    </row>
    <row r="1506" spans="10:11" x14ac:dyDescent="0.25">
      <c r="J1506" s="1">
        <f t="shared" si="47"/>
        <v>44971</v>
      </c>
      <c r="K1506">
        <f t="shared" si="46"/>
        <v>14.875</v>
      </c>
    </row>
    <row r="1507" spans="10:11" x14ac:dyDescent="0.25">
      <c r="J1507" s="1">
        <f t="shared" si="47"/>
        <v>44972</v>
      </c>
      <c r="K1507">
        <f t="shared" si="46"/>
        <v>21.375</v>
      </c>
    </row>
    <row r="1508" spans="10:11" x14ac:dyDescent="0.25">
      <c r="J1508" s="1">
        <f t="shared" si="47"/>
        <v>44973</v>
      </c>
      <c r="K1508">
        <f t="shared" si="46"/>
        <v>19.75</v>
      </c>
    </row>
    <row r="1509" spans="10:11" x14ac:dyDescent="0.25">
      <c r="J1509" s="1">
        <f t="shared" si="47"/>
        <v>44974</v>
      </c>
      <c r="K1509">
        <f t="shared" si="46"/>
        <v>23.125</v>
      </c>
    </row>
    <row r="1510" spans="10:11" x14ac:dyDescent="0.25">
      <c r="J1510" s="1">
        <f t="shared" si="47"/>
        <v>44975</v>
      </c>
      <c r="K1510">
        <f t="shared" si="46"/>
        <v>34.875</v>
      </c>
    </row>
    <row r="1511" spans="10:11" x14ac:dyDescent="0.25">
      <c r="J1511" s="1">
        <f t="shared" si="47"/>
        <v>44976</v>
      </c>
      <c r="K1511">
        <f t="shared" si="46"/>
        <v>45</v>
      </c>
    </row>
    <row r="1512" spans="10:11" x14ac:dyDescent="0.25">
      <c r="J1512" s="1">
        <f t="shared" si="47"/>
        <v>44977</v>
      </c>
      <c r="K1512">
        <f t="shared" si="46"/>
        <v>11.875</v>
      </c>
    </row>
    <row r="1513" spans="10:11" x14ac:dyDescent="0.25">
      <c r="J1513" s="1">
        <f t="shared" si="47"/>
        <v>44978</v>
      </c>
      <c r="K1513">
        <f t="shared" si="46"/>
        <v>17.375</v>
      </c>
    </row>
    <row r="1514" spans="10:11" x14ac:dyDescent="0.25">
      <c r="J1514" s="1">
        <f t="shared" si="47"/>
        <v>44979</v>
      </c>
      <c r="K1514">
        <f t="shared" si="46"/>
        <v>23</v>
      </c>
    </row>
    <row r="1515" spans="10:11" x14ac:dyDescent="0.25">
      <c r="J1515" s="1">
        <f t="shared" si="47"/>
        <v>44980</v>
      </c>
      <c r="K1515">
        <f t="shared" si="46"/>
        <v>15</v>
      </c>
    </row>
    <row r="1516" spans="10:11" x14ac:dyDescent="0.25">
      <c r="J1516" s="1">
        <f t="shared" si="47"/>
        <v>44981</v>
      </c>
      <c r="K1516">
        <f t="shared" si="46"/>
        <v>20.875</v>
      </c>
    </row>
    <row r="1517" spans="10:11" x14ac:dyDescent="0.25">
      <c r="J1517" s="1">
        <f t="shared" si="47"/>
        <v>44982</v>
      </c>
      <c r="K1517">
        <f t="shared" si="46"/>
        <v>33.75</v>
      </c>
    </row>
    <row r="1518" spans="10:11" x14ac:dyDescent="0.25">
      <c r="J1518" s="1">
        <f t="shared" si="47"/>
        <v>44983</v>
      </c>
      <c r="K1518">
        <f t="shared" si="46"/>
        <v>38</v>
      </c>
    </row>
    <row r="1519" spans="10:11" x14ac:dyDescent="0.25">
      <c r="J1519" s="1">
        <f t="shared" si="47"/>
        <v>44984</v>
      </c>
      <c r="K1519">
        <f t="shared" si="46"/>
        <v>11.625</v>
      </c>
    </row>
    <row r="1520" spans="10:11" x14ac:dyDescent="0.25">
      <c r="J1520" s="1">
        <f t="shared" si="47"/>
        <v>44985</v>
      </c>
      <c r="K1520">
        <f t="shared" si="46"/>
        <v>10.375</v>
      </c>
    </row>
    <row r="1521" spans="10:11" x14ac:dyDescent="0.25">
      <c r="J1521" s="1">
        <f t="shared" si="47"/>
        <v>44986</v>
      </c>
      <c r="K1521" t="e">
        <f t="shared" si="46"/>
        <v>#N/A</v>
      </c>
    </row>
    <row r="1522" spans="10:11" x14ac:dyDescent="0.25">
      <c r="J1522" s="1">
        <f t="shared" si="47"/>
        <v>44987</v>
      </c>
      <c r="K1522" t="e">
        <f t="shared" si="46"/>
        <v>#N/A</v>
      </c>
    </row>
    <row r="1523" spans="10:11" x14ac:dyDescent="0.25">
      <c r="J1523" s="1">
        <f t="shared" si="47"/>
        <v>44988</v>
      </c>
      <c r="K1523" t="e">
        <f t="shared" si="46"/>
        <v>#N/A</v>
      </c>
    </row>
    <row r="1524" spans="10:11" x14ac:dyDescent="0.25">
      <c r="J1524" s="1">
        <f t="shared" si="47"/>
        <v>44989</v>
      </c>
      <c r="K1524" t="e">
        <f t="shared" si="46"/>
        <v>#N/A</v>
      </c>
    </row>
    <row r="1525" spans="10:11" x14ac:dyDescent="0.25">
      <c r="J1525" s="1">
        <f t="shared" si="47"/>
        <v>44990</v>
      </c>
      <c r="K1525" t="e">
        <f t="shared" si="46"/>
        <v>#N/A</v>
      </c>
    </row>
    <row r="1526" spans="10:11" x14ac:dyDescent="0.25">
      <c r="J1526" s="1">
        <f t="shared" si="47"/>
        <v>44991</v>
      </c>
      <c r="K1526" t="e">
        <f t="shared" si="46"/>
        <v>#N/A</v>
      </c>
    </row>
    <row r="1527" spans="10:11" x14ac:dyDescent="0.25">
      <c r="J1527" s="1">
        <f t="shared" si="47"/>
        <v>44992</v>
      </c>
      <c r="K1527" t="e">
        <f t="shared" si="46"/>
        <v>#N/A</v>
      </c>
    </row>
    <row r="1528" spans="10:11" x14ac:dyDescent="0.25">
      <c r="J1528" s="1">
        <f t="shared" si="47"/>
        <v>44993</v>
      </c>
      <c r="K1528" t="e">
        <f t="shared" si="46"/>
        <v>#N/A</v>
      </c>
    </row>
    <row r="1529" spans="10:11" x14ac:dyDescent="0.25">
      <c r="J1529" s="1">
        <f t="shared" si="47"/>
        <v>44994</v>
      </c>
      <c r="K1529" t="e">
        <f t="shared" si="46"/>
        <v>#N/A</v>
      </c>
    </row>
    <row r="1530" spans="10:11" x14ac:dyDescent="0.25">
      <c r="J1530" s="1">
        <f t="shared" si="47"/>
        <v>44995</v>
      </c>
      <c r="K1530" t="e">
        <f t="shared" si="46"/>
        <v>#N/A</v>
      </c>
    </row>
    <row r="1531" spans="10:11" x14ac:dyDescent="0.25">
      <c r="J1531" s="1">
        <f t="shared" si="47"/>
        <v>44996</v>
      </c>
      <c r="K1531" t="e">
        <f t="shared" si="46"/>
        <v>#N/A</v>
      </c>
    </row>
    <row r="1532" spans="10:11" x14ac:dyDescent="0.25">
      <c r="J1532" s="1">
        <f t="shared" si="47"/>
        <v>44997</v>
      </c>
      <c r="K1532" t="e">
        <f t="shared" si="46"/>
        <v>#N/A</v>
      </c>
    </row>
    <row r="1533" spans="10:11" x14ac:dyDescent="0.25">
      <c r="J1533" s="1">
        <f t="shared" si="47"/>
        <v>44998</v>
      </c>
      <c r="K1533" t="e">
        <f t="shared" si="46"/>
        <v>#N/A</v>
      </c>
    </row>
    <row r="1534" spans="10:11" x14ac:dyDescent="0.25">
      <c r="J1534" s="1">
        <f t="shared" si="47"/>
        <v>44999</v>
      </c>
      <c r="K1534" t="e">
        <f t="shared" si="46"/>
        <v>#N/A</v>
      </c>
    </row>
    <row r="1535" spans="10:11" x14ac:dyDescent="0.25">
      <c r="J1535" s="1">
        <f t="shared" si="47"/>
        <v>45000</v>
      </c>
      <c r="K1535" t="e">
        <f t="shared" si="46"/>
        <v>#N/A</v>
      </c>
    </row>
    <row r="1536" spans="10:11" x14ac:dyDescent="0.25">
      <c r="J1536" s="1">
        <f t="shared" si="47"/>
        <v>45001</v>
      </c>
      <c r="K1536" t="e">
        <f t="shared" si="46"/>
        <v>#N/A</v>
      </c>
    </row>
    <row r="1537" spans="10:11" x14ac:dyDescent="0.25">
      <c r="J1537" s="1">
        <f t="shared" si="47"/>
        <v>45002</v>
      </c>
      <c r="K1537" t="e">
        <f t="shared" si="46"/>
        <v>#N/A</v>
      </c>
    </row>
    <row r="1538" spans="10:11" x14ac:dyDescent="0.25">
      <c r="J1538" s="1">
        <f t="shared" si="47"/>
        <v>45003</v>
      </c>
      <c r="K1538" t="e">
        <f t="shared" ref="K1538:K1601" si="48">VLOOKUP(J1538, G:H, 2, FALSE)</f>
        <v>#N/A</v>
      </c>
    </row>
    <row r="1539" spans="10:11" x14ac:dyDescent="0.25">
      <c r="J1539" s="1">
        <f t="shared" si="47"/>
        <v>45004</v>
      </c>
      <c r="K1539" t="e">
        <f t="shared" si="48"/>
        <v>#N/A</v>
      </c>
    </row>
    <row r="1540" spans="10:11" x14ac:dyDescent="0.25">
      <c r="J1540" s="1">
        <f t="shared" ref="J1540:J1603" si="49">DATE(2019,1,1) + ROW()-1</f>
        <v>45005</v>
      </c>
      <c r="K1540" t="e">
        <f t="shared" si="48"/>
        <v>#N/A</v>
      </c>
    </row>
    <row r="1541" spans="10:11" x14ac:dyDescent="0.25">
      <c r="J1541" s="1">
        <f t="shared" si="49"/>
        <v>45006</v>
      </c>
      <c r="K1541" t="e">
        <f t="shared" si="48"/>
        <v>#N/A</v>
      </c>
    </row>
    <row r="1542" spans="10:11" x14ac:dyDescent="0.25">
      <c r="J1542" s="1">
        <f t="shared" si="49"/>
        <v>45007</v>
      </c>
      <c r="K1542" t="e">
        <f t="shared" si="48"/>
        <v>#N/A</v>
      </c>
    </row>
    <row r="1543" spans="10:11" x14ac:dyDescent="0.25">
      <c r="J1543" s="1">
        <f t="shared" si="49"/>
        <v>45008</v>
      </c>
      <c r="K1543" t="e">
        <f t="shared" si="48"/>
        <v>#N/A</v>
      </c>
    </row>
    <row r="1544" spans="10:11" x14ac:dyDescent="0.25">
      <c r="J1544" s="1">
        <f t="shared" si="49"/>
        <v>45009</v>
      </c>
      <c r="K1544" t="e">
        <f t="shared" si="48"/>
        <v>#N/A</v>
      </c>
    </row>
    <row r="1545" spans="10:11" x14ac:dyDescent="0.25">
      <c r="J1545" s="1">
        <f t="shared" si="49"/>
        <v>45010</v>
      </c>
      <c r="K1545" t="e">
        <f t="shared" si="48"/>
        <v>#N/A</v>
      </c>
    </row>
    <row r="1546" spans="10:11" x14ac:dyDescent="0.25">
      <c r="J1546" s="1">
        <f t="shared" si="49"/>
        <v>45011</v>
      </c>
      <c r="K1546" t="e">
        <f t="shared" si="48"/>
        <v>#N/A</v>
      </c>
    </row>
    <row r="1547" spans="10:11" x14ac:dyDescent="0.25">
      <c r="J1547" s="1">
        <f t="shared" si="49"/>
        <v>45012</v>
      </c>
      <c r="K1547" t="e">
        <f t="shared" si="48"/>
        <v>#N/A</v>
      </c>
    </row>
    <row r="1548" spans="10:11" x14ac:dyDescent="0.25">
      <c r="J1548" s="1">
        <f t="shared" si="49"/>
        <v>45013</v>
      </c>
      <c r="K1548" t="e">
        <f t="shared" si="48"/>
        <v>#N/A</v>
      </c>
    </row>
    <row r="1549" spans="10:11" x14ac:dyDescent="0.25">
      <c r="J1549" s="1">
        <f t="shared" si="49"/>
        <v>45014</v>
      </c>
      <c r="K1549" t="e">
        <f t="shared" si="48"/>
        <v>#N/A</v>
      </c>
    </row>
    <row r="1550" spans="10:11" x14ac:dyDescent="0.25">
      <c r="J1550" s="1">
        <f t="shared" si="49"/>
        <v>45015</v>
      </c>
      <c r="K1550" t="e">
        <f t="shared" si="48"/>
        <v>#N/A</v>
      </c>
    </row>
    <row r="1551" spans="10:11" x14ac:dyDescent="0.25">
      <c r="J1551" s="1">
        <f t="shared" si="49"/>
        <v>45016</v>
      </c>
      <c r="K1551" t="e">
        <f t="shared" si="48"/>
        <v>#N/A</v>
      </c>
    </row>
    <row r="1552" spans="10:11" x14ac:dyDescent="0.25">
      <c r="J1552" s="1">
        <f t="shared" si="49"/>
        <v>45017</v>
      </c>
      <c r="K1552" t="e">
        <f t="shared" si="48"/>
        <v>#N/A</v>
      </c>
    </row>
    <row r="1553" spans="10:11" x14ac:dyDescent="0.25">
      <c r="J1553" s="1">
        <f t="shared" si="49"/>
        <v>45018</v>
      </c>
      <c r="K1553" t="e">
        <f t="shared" si="48"/>
        <v>#N/A</v>
      </c>
    </row>
    <row r="1554" spans="10:11" x14ac:dyDescent="0.25">
      <c r="J1554" s="1">
        <f t="shared" si="49"/>
        <v>45019</v>
      </c>
      <c r="K1554" t="e">
        <f t="shared" si="48"/>
        <v>#N/A</v>
      </c>
    </row>
    <row r="1555" spans="10:11" x14ac:dyDescent="0.25">
      <c r="J1555" s="1">
        <f t="shared" si="49"/>
        <v>45020</v>
      </c>
      <c r="K1555" t="e">
        <f t="shared" si="48"/>
        <v>#N/A</v>
      </c>
    </row>
    <row r="1556" spans="10:11" x14ac:dyDescent="0.25">
      <c r="J1556" s="1">
        <f t="shared" si="49"/>
        <v>45021</v>
      </c>
      <c r="K1556" t="e">
        <f t="shared" si="48"/>
        <v>#N/A</v>
      </c>
    </row>
    <row r="1557" spans="10:11" x14ac:dyDescent="0.25">
      <c r="J1557" s="1">
        <f t="shared" si="49"/>
        <v>45022</v>
      </c>
      <c r="K1557" t="e">
        <f t="shared" si="48"/>
        <v>#N/A</v>
      </c>
    </row>
    <row r="1558" spans="10:11" x14ac:dyDescent="0.25">
      <c r="J1558" s="1">
        <f t="shared" si="49"/>
        <v>45023</v>
      </c>
      <c r="K1558" t="e">
        <f t="shared" si="48"/>
        <v>#N/A</v>
      </c>
    </row>
    <row r="1559" spans="10:11" x14ac:dyDescent="0.25">
      <c r="J1559" s="1">
        <f t="shared" si="49"/>
        <v>45024</v>
      </c>
      <c r="K1559" t="e">
        <f t="shared" si="48"/>
        <v>#N/A</v>
      </c>
    </row>
    <row r="1560" spans="10:11" x14ac:dyDescent="0.25">
      <c r="J1560" s="1">
        <f t="shared" si="49"/>
        <v>45025</v>
      </c>
      <c r="K1560" t="e">
        <f t="shared" si="48"/>
        <v>#N/A</v>
      </c>
    </row>
    <row r="1561" spans="10:11" x14ac:dyDescent="0.25">
      <c r="J1561" s="1">
        <f t="shared" si="49"/>
        <v>45026</v>
      </c>
      <c r="K1561" t="e">
        <f t="shared" si="48"/>
        <v>#N/A</v>
      </c>
    </row>
    <row r="1562" spans="10:11" x14ac:dyDescent="0.25">
      <c r="J1562" s="1">
        <f t="shared" si="49"/>
        <v>45027</v>
      </c>
      <c r="K1562" t="e">
        <f t="shared" si="48"/>
        <v>#N/A</v>
      </c>
    </row>
    <row r="1563" spans="10:11" x14ac:dyDescent="0.25">
      <c r="J1563" s="1">
        <f t="shared" si="49"/>
        <v>45028</v>
      </c>
      <c r="K1563" t="e">
        <f t="shared" si="48"/>
        <v>#N/A</v>
      </c>
    </row>
    <row r="1564" spans="10:11" x14ac:dyDescent="0.25">
      <c r="J1564" s="1">
        <f t="shared" si="49"/>
        <v>45029</v>
      </c>
      <c r="K1564" t="e">
        <f t="shared" si="48"/>
        <v>#N/A</v>
      </c>
    </row>
    <row r="1565" spans="10:11" x14ac:dyDescent="0.25">
      <c r="J1565" s="1">
        <f t="shared" si="49"/>
        <v>45030</v>
      </c>
      <c r="K1565" t="e">
        <f t="shared" si="48"/>
        <v>#N/A</v>
      </c>
    </row>
    <row r="1566" spans="10:11" x14ac:dyDescent="0.25">
      <c r="J1566" s="1">
        <f t="shared" si="49"/>
        <v>45031</v>
      </c>
      <c r="K1566" t="e">
        <f t="shared" si="48"/>
        <v>#N/A</v>
      </c>
    </row>
    <row r="1567" spans="10:11" x14ac:dyDescent="0.25">
      <c r="J1567" s="1">
        <f t="shared" si="49"/>
        <v>45032</v>
      </c>
      <c r="K1567" t="e">
        <f t="shared" si="48"/>
        <v>#N/A</v>
      </c>
    </row>
    <row r="1568" spans="10:11" x14ac:dyDescent="0.25">
      <c r="J1568" s="1">
        <f t="shared" si="49"/>
        <v>45033</v>
      </c>
      <c r="K1568" t="e">
        <f t="shared" si="48"/>
        <v>#N/A</v>
      </c>
    </row>
    <row r="1569" spans="10:11" x14ac:dyDescent="0.25">
      <c r="J1569" s="1">
        <f t="shared" si="49"/>
        <v>45034</v>
      </c>
      <c r="K1569" t="e">
        <f t="shared" si="48"/>
        <v>#N/A</v>
      </c>
    </row>
    <row r="1570" spans="10:11" x14ac:dyDescent="0.25">
      <c r="J1570" s="1">
        <f t="shared" si="49"/>
        <v>45035</v>
      </c>
      <c r="K1570" t="e">
        <f t="shared" si="48"/>
        <v>#N/A</v>
      </c>
    </row>
    <row r="1571" spans="10:11" x14ac:dyDescent="0.25">
      <c r="J1571" s="1">
        <f t="shared" si="49"/>
        <v>45036</v>
      </c>
      <c r="K1571" t="e">
        <f t="shared" si="48"/>
        <v>#N/A</v>
      </c>
    </row>
    <row r="1572" spans="10:11" x14ac:dyDescent="0.25">
      <c r="J1572" s="1">
        <f t="shared" si="49"/>
        <v>45037</v>
      </c>
      <c r="K1572" t="e">
        <f t="shared" si="48"/>
        <v>#N/A</v>
      </c>
    </row>
    <row r="1573" spans="10:11" x14ac:dyDescent="0.25">
      <c r="J1573" s="1">
        <f t="shared" si="49"/>
        <v>45038</v>
      </c>
      <c r="K1573" t="e">
        <f t="shared" si="48"/>
        <v>#N/A</v>
      </c>
    </row>
    <row r="1574" spans="10:11" x14ac:dyDescent="0.25">
      <c r="J1574" s="1">
        <f t="shared" si="49"/>
        <v>45039</v>
      </c>
      <c r="K1574" t="e">
        <f t="shared" si="48"/>
        <v>#N/A</v>
      </c>
    </row>
    <row r="1575" spans="10:11" x14ac:dyDescent="0.25">
      <c r="J1575" s="1">
        <f t="shared" si="49"/>
        <v>45040</v>
      </c>
      <c r="K1575" t="e">
        <f t="shared" si="48"/>
        <v>#N/A</v>
      </c>
    </row>
    <row r="1576" spans="10:11" x14ac:dyDescent="0.25">
      <c r="J1576" s="1">
        <f t="shared" si="49"/>
        <v>45041</v>
      </c>
      <c r="K1576" t="e">
        <f t="shared" si="48"/>
        <v>#N/A</v>
      </c>
    </row>
    <row r="1577" spans="10:11" x14ac:dyDescent="0.25">
      <c r="J1577" s="1">
        <f t="shared" si="49"/>
        <v>45042</v>
      </c>
      <c r="K1577" t="e">
        <f t="shared" si="48"/>
        <v>#N/A</v>
      </c>
    </row>
    <row r="1578" spans="10:11" x14ac:dyDescent="0.25">
      <c r="J1578" s="1">
        <f t="shared" si="49"/>
        <v>45043</v>
      </c>
      <c r="K1578" t="e">
        <f t="shared" si="48"/>
        <v>#N/A</v>
      </c>
    </row>
    <row r="1579" spans="10:11" x14ac:dyDescent="0.25">
      <c r="J1579" s="1">
        <f t="shared" si="49"/>
        <v>45044</v>
      </c>
      <c r="K1579" t="e">
        <f t="shared" si="48"/>
        <v>#N/A</v>
      </c>
    </row>
    <row r="1580" spans="10:11" x14ac:dyDescent="0.25">
      <c r="J1580" s="1">
        <f t="shared" si="49"/>
        <v>45045</v>
      </c>
      <c r="K1580" t="e">
        <f t="shared" si="48"/>
        <v>#N/A</v>
      </c>
    </row>
    <row r="1581" spans="10:11" x14ac:dyDescent="0.25">
      <c r="J1581" s="1">
        <f t="shared" si="49"/>
        <v>45046</v>
      </c>
      <c r="K1581" t="e">
        <f t="shared" si="48"/>
        <v>#N/A</v>
      </c>
    </row>
    <row r="1582" spans="10:11" x14ac:dyDescent="0.25">
      <c r="J1582" s="1">
        <f t="shared" si="49"/>
        <v>45047</v>
      </c>
      <c r="K1582">
        <f t="shared" si="48"/>
        <v>39.875</v>
      </c>
    </row>
    <row r="1583" spans="10:11" x14ac:dyDescent="0.25">
      <c r="J1583" s="1">
        <f t="shared" si="49"/>
        <v>45048</v>
      </c>
      <c r="K1583">
        <f t="shared" si="48"/>
        <v>14.25</v>
      </c>
    </row>
    <row r="1584" spans="10:11" x14ac:dyDescent="0.25">
      <c r="J1584" s="1">
        <f t="shared" si="49"/>
        <v>45049</v>
      </c>
      <c r="K1584">
        <f t="shared" si="48"/>
        <v>19.5</v>
      </c>
    </row>
    <row r="1585" spans="10:11" x14ac:dyDescent="0.25">
      <c r="J1585" s="1">
        <f t="shared" si="49"/>
        <v>45050</v>
      </c>
      <c r="K1585">
        <f t="shared" si="48"/>
        <v>14.75</v>
      </c>
    </row>
    <row r="1586" spans="10:11" x14ac:dyDescent="0.25">
      <c r="J1586" s="1">
        <f t="shared" si="49"/>
        <v>45051</v>
      </c>
      <c r="K1586">
        <f t="shared" si="48"/>
        <v>18.375</v>
      </c>
    </row>
    <row r="1587" spans="10:11" x14ac:dyDescent="0.25">
      <c r="J1587" s="1">
        <f t="shared" si="49"/>
        <v>45052</v>
      </c>
      <c r="K1587">
        <f t="shared" si="48"/>
        <v>33.75</v>
      </c>
    </row>
    <row r="1588" spans="10:11" x14ac:dyDescent="0.25">
      <c r="J1588" s="1">
        <f t="shared" si="49"/>
        <v>45053</v>
      </c>
      <c r="K1588">
        <f t="shared" si="48"/>
        <v>38</v>
      </c>
    </row>
    <row r="1589" spans="10:11" x14ac:dyDescent="0.25">
      <c r="J1589" s="1">
        <f t="shared" si="49"/>
        <v>45054</v>
      </c>
      <c r="K1589">
        <f t="shared" si="48"/>
        <v>9.625</v>
      </c>
    </row>
    <row r="1590" spans="10:11" x14ac:dyDescent="0.25">
      <c r="J1590" s="1">
        <f t="shared" si="49"/>
        <v>45055</v>
      </c>
      <c r="K1590">
        <f t="shared" si="48"/>
        <v>9.625</v>
      </c>
    </row>
    <row r="1591" spans="10:11" x14ac:dyDescent="0.25">
      <c r="J1591" s="1">
        <f t="shared" si="49"/>
        <v>45056</v>
      </c>
      <c r="K1591">
        <f t="shared" si="48"/>
        <v>16.625</v>
      </c>
    </row>
    <row r="1592" spans="10:11" x14ac:dyDescent="0.25">
      <c r="J1592" s="1">
        <f t="shared" si="49"/>
        <v>45057</v>
      </c>
      <c r="K1592">
        <f t="shared" si="48"/>
        <v>18.5</v>
      </c>
    </row>
    <row r="1593" spans="10:11" x14ac:dyDescent="0.25">
      <c r="J1593" s="1">
        <f t="shared" si="49"/>
        <v>45058</v>
      </c>
      <c r="K1593">
        <f t="shared" si="48"/>
        <v>29</v>
      </c>
    </row>
    <row r="1594" spans="10:11" x14ac:dyDescent="0.25">
      <c r="J1594" s="1">
        <f t="shared" si="49"/>
        <v>45059</v>
      </c>
      <c r="K1594">
        <f t="shared" si="48"/>
        <v>44.625</v>
      </c>
    </row>
    <row r="1595" spans="10:11" x14ac:dyDescent="0.25">
      <c r="J1595" s="1">
        <f t="shared" si="49"/>
        <v>45060</v>
      </c>
      <c r="K1595">
        <f t="shared" si="48"/>
        <v>37.875</v>
      </c>
    </row>
    <row r="1596" spans="10:11" x14ac:dyDescent="0.25">
      <c r="J1596" s="1">
        <f t="shared" si="49"/>
        <v>45061</v>
      </c>
      <c r="K1596">
        <f t="shared" si="48"/>
        <v>19.25</v>
      </c>
    </row>
    <row r="1597" spans="10:11" x14ac:dyDescent="0.25">
      <c r="J1597" s="1">
        <f t="shared" si="49"/>
        <v>45062</v>
      </c>
      <c r="K1597">
        <f t="shared" si="48"/>
        <v>1.875</v>
      </c>
    </row>
    <row r="1598" spans="10:11" x14ac:dyDescent="0.25">
      <c r="J1598" s="1">
        <f t="shared" si="49"/>
        <v>45063</v>
      </c>
      <c r="K1598">
        <f t="shared" si="48"/>
        <v>24.125</v>
      </c>
    </row>
    <row r="1599" spans="10:11" x14ac:dyDescent="0.25">
      <c r="J1599" s="1">
        <f t="shared" si="49"/>
        <v>45064</v>
      </c>
      <c r="K1599">
        <f t="shared" si="48"/>
        <v>11.5</v>
      </c>
    </row>
    <row r="1600" spans="10:11" x14ac:dyDescent="0.25">
      <c r="J1600" s="1">
        <f t="shared" si="49"/>
        <v>45065</v>
      </c>
      <c r="K1600">
        <f t="shared" si="48"/>
        <v>22.25</v>
      </c>
    </row>
    <row r="1601" spans="10:11" x14ac:dyDescent="0.25">
      <c r="J1601" s="1">
        <f t="shared" si="49"/>
        <v>45066</v>
      </c>
      <c r="K1601">
        <f t="shared" si="48"/>
        <v>41.25</v>
      </c>
    </row>
    <row r="1602" spans="10:11" x14ac:dyDescent="0.25">
      <c r="J1602" s="1">
        <f t="shared" si="49"/>
        <v>45067</v>
      </c>
      <c r="K1602">
        <f t="shared" ref="K1602:K1665" si="50">VLOOKUP(J1602, G:H, 2, FALSE)</f>
        <v>40.625</v>
      </c>
    </row>
    <row r="1603" spans="10:11" x14ac:dyDescent="0.25">
      <c r="J1603" s="1">
        <f t="shared" si="49"/>
        <v>45068</v>
      </c>
      <c r="K1603">
        <f t="shared" si="50"/>
        <v>36.5</v>
      </c>
    </row>
    <row r="1604" spans="10:11" x14ac:dyDescent="0.25">
      <c r="J1604" s="1">
        <f t="shared" ref="J1604:J1667" si="51">DATE(2019,1,1) + ROW()-1</f>
        <v>45069</v>
      </c>
      <c r="K1604">
        <f t="shared" si="50"/>
        <v>6.75</v>
      </c>
    </row>
    <row r="1605" spans="10:11" x14ac:dyDescent="0.25">
      <c r="J1605" s="1">
        <f t="shared" si="51"/>
        <v>45070</v>
      </c>
      <c r="K1605">
        <f t="shared" si="50"/>
        <v>25.5</v>
      </c>
    </row>
    <row r="1606" spans="10:11" x14ac:dyDescent="0.25">
      <c r="J1606" s="1">
        <f t="shared" si="51"/>
        <v>45071</v>
      </c>
      <c r="K1606">
        <f t="shared" si="50"/>
        <v>17.75</v>
      </c>
    </row>
    <row r="1607" spans="10:11" x14ac:dyDescent="0.25">
      <c r="J1607" s="1">
        <f t="shared" si="51"/>
        <v>45072</v>
      </c>
      <c r="K1607">
        <f t="shared" si="50"/>
        <v>35.375</v>
      </c>
    </row>
    <row r="1608" spans="10:11" x14ac:dyDescent="0.25">
      <c r="J1608" s="1">
        <f t="shared" si="51"/>
        <v>45073</v>
      </c>
      <c r="K1608">
        <f t="shared" si="50"/>
        <v>47.875</v>
      </c>
    </row>
    <row r="1609" spans="10:11" x14ac:dyDescent="0.25">
      <c r="J1609" s="1">
        <f t="shared" si="51"/>
        <v>45074</v>
      </c>
      <c r="K1609">
        <f t="shared" si="50"/>
        <v>36.75</v>
      </c>
    </row>
    <row r="1610" spans="10:11" x14ac:dyDescent="0.25">
      <c r="J1610" s="1">
        <f t="shared" si="51"/>
        <v>45075</v>
      </c>
      <c r="K1610">
        <f t="shared" si="50"/>
        <v>10</v>
      </c>
    </row>
    <row r="1611" spans="10:11" x14ac:dyDescent="0.25">
      <c r="J1611" s="1">
        <f t="shared" si="51"/>
        <v>45076</v>
      </c>
      <c r="K1611">
        <f t="shared" si="50"/>
        <v>8.875</v>
      </c>
    </row>
    <row r="1612" spans="10:11" x14ac:dyDescent="0.25">
      <c r="J1612" s="1">
        <f t="shared" si="51"/>
        <v>45077</v>
      </c>
      <c r="K1612">
        <f t="shared" si="50"/>
        <v>23.875</v>
      </c>
    </row>
    <row r="1613" spans="10:11" x14ac:dyDescent="0.25">
      <c r="J1613" s="1">
        <f t="shared" si="51"/>
        <v>45078</v>
      </c>
      <c r="K1613">
        <f t="shared" si="50"/>
        <v>18.375</v>
      </c>
    </row>
    <row r="1614" spans="10:11" x14ac:dyDescent="0.25">
      <c r="J1614" s="1">
        <f t="shared" si="51"/>
        <v>45079</v>
      </c>
      <c r="K1614">
        <f t="shared" si="50"/>
        <v>31.25</v>
      </c>
    </row>
    <row r="1615" spans="10:11" x14ac:dyDescent="0.25">
      <c r="J1615" s="1">
        <f t="shared" si="51"/>
        <v>45080</v>
      </c>
      <c r="K1615">
        <f t="shared" si="50"/>
        <v>35.125</v>
      </c>
    </row>
    <row r="1616" spans="10:11" x14ac:dyDescent="0.25">
      <c r="J1616" s="1">
        <f t="shared" si="51"/>
        <v>45081</v>
      </c>
      <c r="K1616">
        <f t="shared" si="50"/>
        <v>50.375</v>
      </c>
    </row>
    <row r="1617" spans="10:11" x14ac:dyDescent="0.25">
      <c r="J1617" s="1">
        <f t="shared" si="51"/>
        <v>45082</v>
      </c>
      <c r="K1617">
        <f t="shared" si="50"/>
        <v>15.375</v>
      </c>
    </row>
    <row r="1618" spans="10:11" x14ac:dyDescent="0.25">
      <c r="J1618" s="1">
        <f t="shared" si="51"/>
        <v>45083</v>
      </c>
      <c r="K1618">
        <f t="shared" si="50"/>
        <v>15.375</v>
      </c>
    </row>
    <row r="1619" spans="10:11" x14ac:dyDescent="0.25">
      <c r="J1619" s="1">
        <f t="shared" si="51"/>
        <v>45084</v>
      </c>
      <c r="K1619">
        <f t="shared" si="50"/>
        <v>25</v>
      </c>
    </row>
    <row r="1620" spans="10:11" x14ac:dyDescent="0.25">
      <c r="J1620" s="1">
        <f t="shared" si="51"/>
        <v>45085</v>
      </c>
      <c r="K1620">
        <f t="shared" si="50"/>
        <v>12.75</v>
      </c>
    </row>
    <row r="1621" spans="10:11" x14ac:dyDescent="0.25">
      <c r="J1621" s="1">
        <f t="shared" si="51"/>
        <v>45086</v>
      </c>
      <c r="K1621">
        <f t="shared" si="50"/>
        <v>30.625</v>
      </c>
    </row>
    <row r="1622" spans="10:11" x14ac:dyDescent="0.25">
      <c r="J1622" s="1">
        <f t="shared" si="51"/>
        <v>45087</v>
      </c>
      <c r="K1622">
        <f t="shared" si="50"/>
        <v>34.125</v>
      </c>
    </row>
    <row r="1623" spans="10:11" x14ac:dyDescent="0.25">
      <c r="J1623" s="1">
        <f t="shared" si="51"/>
        <v>45088</v>
      </c>
      <c r="K1623">
        <f t="shared" si="50"/>
        <v>57.875</v>
      </c>
    </row>
    <row r="1624" spans="10:11" x14ac:dyDescent="0.25">
      <c r="J1624" s="1">
        <f t="shared" si="51"/>
        <v>45089</v>
      </c>
      <c r="K1624">
        <f t="shared" si="50"/>
        <v>31.875</v>
      </c>
    </row>
    <row r="1625" spans="10:11" x14ac:dyDescent="0.25">
      <c r="J1625" s="1">
        <f t="shared" si="51"/>
        <v>45090</v>
      </c>
      <c r="K1625">
        <f t="shared" si="50"/>
        <v>11.625</v>
      </c>
    </row>
    <row r="1626" spans="10:11" x14ac:dyDescent="0.25">
      <c r="J1626" s="1">
        <f t="shared" si="51"/>
        <v>45091</v>
      </c>
      <c r="K1626">
        <f t="shared" si="50"/>
        <v>26</v>
      </c>
    </row>
    <row r="1627" spans="10:11" x14ac:dyDescent="0.25">
      <c r="J1627" s="1">
        <f t="shared" si="51"/>
        <v>45092</v>
      </c>
      <c r="K1627">
        <f t="shared" si="50"/>
        <v>20.25</v>
      </c>
    </row>
    <row r="1628" spans="10:11" x14ac:dyDescent="0.25">
      <c r="J1628" s="1">
        <f t="shared" si="51"/>
        <v>45093</v>
      </c>
      <c r="K1628">
        <f t="shared" si="50"/>
        <v>25.25</v>
      </c>
    </row>
    <row r="1629" spans="10:11" x14ac:dyDescent="0.25">
      <c r="J1629" s="1">
        <f t="shared" si="51"/>
        <v>45094</v>
      </c>
      <c r="K1629">
        <f t="shared" si="50"/>
        <v>39.375</v>
      </c>
    </row>
    <row r="1630" spans="10:11" x14ac:dyDescent="0.25">
      <c r="J1630" s="1">
        <f t="shared" si="51"/>
        <v>45095</v>
      </c>
      <c r="K1630">
        <f t="shared" si="50"/>
        <v>48</v>
      </c>
    </row>
    <row r="1631" spans="10:11" x14ac:dyDescent="0.25">
      <c r="J1631" s="1">
        <f t="shared" si="51"/>
        <v>45096</v>
      </c>
      <c r="K1631">
        <f t="shared" si="50"/>
        <v>41.75</v>
      </c>
    </row>
    <row r="1632" spans="10:11" x14ac:dyDescent="0.25">
      <c r="J1632" s="1">
        <f t="shared" si="51"/>
        <v>45097</v>
      </c>
      <c r="K1632">
        <f t="shared" si="50"/>
        <v>19.375</v>
      </c>
    </row>
    <row r="1633" spans="10:11" x14ac:dyDescent="0.25">
      <c r="J1633" s="1">
        <f t="shared" si="51"/>
        <v>45098</v>
      </c>
      <c r="K1633">
        <f t="shared" si="50"/>
        <v>31.75</v>
      </c>
    </row>
    <row r="1634" spans="10:11" x14ac:dyDescent="0.25">
      <c r="J1634" s="1">
        <f t="shared" si="51"/>
        <v>45099</v>
      </c>
      <c r="K1634">
        <f t="shared" si="50"/>
        <v>21.625</v>
      </c>
    </row>
    <row r="1635" spans="10:11" x14ac:dyDescent="0.25">
      <c r="J1635" s="1">
        <f t="shared" si="51"/>
        <v>45100</v>
      </c>
      <c r="K1635">
        <f t="shared" si="50"/>
        <v>27</v>
      </c>
    </row>
    <row r="1636" spans="10:11" x14ac:dyDescent="0.25">
      <c r="J1636" s="1">
        <f t="shared" si="51"/>
        <v>45101</v>
      </c>
      <c r="K1636">
        <f t="shared" si="50"/>
        <v>51</v>
      </c>
    </row>
    <row r="1637" spans="10:11" x14ac:dyDescent="0.25">
      <c r="J1637" s="1">
        <f t="shared" si="51"/>
        <v>45102</v>
      </c>
      <c r="K1637">
        <f t="shared" si="50"/>
        <v>46.125</v>
      </c>
    </row>
    <row r="1638" spans="10:11" x14ac:dyDescent="0.25">
      <c r="J1638" s="1">
        <f t="shared" si="51"/>
        <v>45103</v>
      </c>
      <c r="K1638">
        <f t="shared" si="50"/>
        <v>21.375</v>
      </c>
    </row>
    <row r="1639" spans="10:11" x14ac:dyDescent="0.25">
      <c r="J1639" s="1">
        <f t="shared" si="51"/>
        <v>45104</v>
      </c>
      <c r="K1639">
        <f t="shared" si="50"/>
        <v>27.25</v>
      </c>
    </row>
    <row r="1640" spans="10:11" x14ac:dyDescent="0.25">
      <c r="J1640" s="1">
        <f t="shared" si="51"/>
        <v>45105</v>
      </c>
      <c r="K1640">
        <f t="shared" si="50"/>
        <v>27.75</v>
      </c>
    </row>
    <row r="1641" spans="10:11" x14ac:dyDescent="0.25">
      <c r="J1641" s="1">
        <f t="shared" si="51"/>
        <v>45106</v>
      </c>
      <c r="K1641">
        <f t="shared" si="50"/>
        <v>32.625</v>
      </c>
    </row>
    <row r="1642" spans="10:11" x14ac:dyDescent="0.25">
      <c r="J1642" s="1">
        <f t="shared" si="51"/>
        <v>45107</v>
      </c>
      <c r="K1642">
        <f t="shared" si="50"/>
        <v>27</v>
      </c>
    </row>
    <row r="1643" spans="10:11" x14ac:dyDescent="0.25">
      <c r="J1643" s="1">
        <f t="shared" si="51"/>
        <v>45108</v>
      </c>
      <c r="K1643">
        <f t="shared" si="50"/>
        <v>33.375</v>
      </c>
    </row>
    <row r="1644" spans="10:11" x14ac:dyDescent="0.25">
      <c r="J1644" s="1">
        <f t="shared" si="51"/>
        <v>45109</v>
      </c>
      <c r="K1644">
        <f t="shared" si="50"/>
        <v>44.125</v>
      </c>
    </row>
    <row r="1645" spans="10:11" x14ac:dyDescent="0.25">
      <c r="J1645" s="1">
        <f t="shared" si="51"/>
        <v>45110</v>
      </c>
      <c r="K1645">
        <f t="shared" si="50"/>
        <v>40.75</v>
      </c>
    </row>
    <row r="1646" spans="10:11" x14ac:dyDescent="0.25">
      <c r="J1646" s="1">
        <f t="shared" si="51"/>
        <v>45111</v>
      </c>
      <c r="K1646">
        <f t="shared" si="50"/>
        <v>21.5</v>
      </c>
    </row>
    <row r="1647" spans="10:11" x14ac:dyDescent="0.25">
      <c r="J1647" s="1">
        <f t="shared" si="51"/>
        <v>45112</v>
      </c>
      <c r="K1647">
        <f t="shared" si="50"/>
        <v>30.625</v>
      </c>
    </row>
    <row r="1648" spans="10:11" x14ac:dyDescent="0.25">
      <c r="J1648" s="1">
        <f t="shared" si="51"/>
        <v>45113</v>
      </c>
      <c r="K1648">
        <f t="shared" si="50"/>
        <v>23.875</v>
      </c>
    </row>
    <row r="1649" spans="10:11" x14ac:dyDescent="0.25">
      <c r="J1649" s="1">
        <f t="shared" si="51"/>
        <v>45114</v>
      </c>
      <c r="K1649">
        <f t="shared" si="50"/>
        <v>24.375</v>
      </c>
    </row>
    <row r="1650" spans="10:11" x14ac:dyDescent="0.25">
      <c r="J1650" s="1">
        <f t="shared" si="51"/>
        <v>45115</v>
      </c>
      <c r="K1650">
        <f t="shared" si="50"/>
        <v>46.125</v>
      </c>
    </row>
    <row r="1651" spans="10:11" x14ac:dyDescent="0.25">
      <c r="J1651" s="1">
        <f t="shared" si="51"/>
        <v>45116</v>
      </c>
      <c r="K1651">
        <f t="shared" si="50"/>
        <v>50.5</v>
      </c>
    </row>
    <row r="1652" spans="10:11" x14ac:dyDescent="0.25">
      <c r="J1652" s="1">
        <f t="shared" si="51"/>
        <v>45117</v>
      </c>
      <c r="K1652">
        <f t="shared" si="50"/>
        <v>17.5</v>
      </c>
    </row>
    <row r="1653" spans="10:11" x14ac:dyDescent="0.25">
      <c r="J1653" s="1">
        <f t="shared" si="51"/>
        <v>45118</v>
      </c>
      <c r="K1653">
        <f t="shared" si="50"/>
        <v>17.75</v>
      </c>
    </row>
    <row r="1654" spans="10:11" x14ac:dyDescent="0.25">
      <c r="J1654" s="1">
        <f t="shared" si="51"/>
        <v>45119</v>
      </c>
      <c r="K1654">
        <f t="shared" si="50"/>
        <v>34.375</v>
      </c>
    </row>
    <row r="1655" spans="10:11" x14ac:dyDescent="0.25">
      <c r="J1655" s="1">
        <f t="shared" si="51"/>
        <v>45120</v>
      </c>
      <c r="K1655">
        <f t="shared" si="50"/>
        <v>18.875</v>
      </c>
    </row>
    <row r="1656" spans="10:11" x14ac:dyDescent="0.25">
      <c r="J1656" s="1">
        <f t="shared" si="51"/>
        <v>45121</v>
      </c>
      <c r="K1656">
        <f t="shared" si="50"/>
        <v>23.125</v>
      </c>
    </row>
    <row r="1657" spans="10:11" x14ac:dyDescent="0.25">
      <c r="J1657" s="1">
        <f t="shared" si="51"/>
        <v>45122</v>
      </c>
      <c r="K1657">
        <f t="shared" si="50"/>
        <v>29.375</v>
      </c>
    </row>
    <row r="1658" spans="10:11" x14ac:dyDescent="0.25">
      <c r="J1658" s="1">
        <f t="shared" si="51"/>
        <v>45123</v>
      </c>
      <c r="K1658">
        <f t="shared" si="50"/>
        <v>41</v>
      </c>
    </row>
    <row r="1659" spans="10:11" x14ac:dyDescent="0.25">
      <c r="J1659" s="1">
        <f t="shared" si="51"/>
        <v>45124</v>
      </c>
      <c r="K1659">
        <f t="shared" si="50"/>
        <v>11.875</v>
      </c>
    </row>
    <row r="1660" spans="10:11" x14ac:dyDescent="0.25">
      <c r="J1660" s="1">
        <f t="shared" si="51"/>
        <v>45125</v>
      </c>
      <c r="K1660">
        <f t="shared" si="50"/>
        <v>15.125</v>
      </c>
    </row>
    <row r="1661" spans="10:11" x14ac:dyDescent="0.25">
      <c r="J1661" s="1">
        <f t="shared" si="51"/>
        <v>45126</v>
      </c>
      <c r="K1661">
        <f t="shared" si="50"/>
        <v>31</v>
      </c>
    </row>
    <row r="1662" spans="10:11" x14ac:dyDescent="0.25">
      <c r="J1662" s="1">
        <f t="shared" si="51"/>
        <v>45127</v>
      </c>
      <c r="K1662">
        <f t="shared" si="50"/>
        <v>57.25</v>
      </c>
    </row>
    <row r="1663" spans="10:11" x14ac:dyDescent="0.25">
      <c r="J1663" s="1">
        <f t="shared" si="51"/>
        <v>45128</v>
      </c>
      <c r="K1663">
        <f t="shared" si="50"/>
        <v>33.25</v>
      </c>
    </row>
    <row r="1664" spans="10:11" x14ac:dyDescent="0.25">
      <c r="J1664" s="1">
        <f t="shared" si="51"/>
        <v>45129</v>
      </c>
      <c r="K1664">
        <f t="shared" si="50"/>
        <v>46.5</v>
      </c>
    </row>
    <row r="1665" spans="10:11" x14ac:dyDescent="0.25">
      <c r="J1665" s="1">
        <f t="shared" si="51"/>
        <v>45130</v>
      </c>
      <c r="K1665">
        <f t="shared" si="50"/>
        <v>47</v>
      </c>
    </row>
    <row r="1666" spans="10:11" x14ac:dyDescent="0.25">
      <c r="J1666" s="1">
        <f t="shared" si="51"/>
        <v>45131</v>
      </c>
      <c r="K1666">
        <f t="shared" ref="K1666:K1729" si="52">VLOOKUP(J1666, G:H, 2, FALSE)</f>
        <v>12.375</v>
      </c>
    </row>
    <row r="1667" spans="10:11" x14ac:dyDescent="0.25">
      <c r="J1667" s="1">
        <f t="shared" si="51"/>
        <v>45132</v>
      </c>
      <c r="K1667">
        <f t="shared" si="52"/>
        <v>22.125</v>
      </c>
    </row>
    <row r="1668" spans="10:11" x14ac:dyDescent="0.25">
      <c r="J1668" s="1">
        <f t="shared" ref="J1668:J1731" si="53">DATE(2019,1,1) + ROW()-1</f>
        <v>45133</v>
      </c>
      <c r="K1668">
        <f t="shared" si="52"/>
        <v>34.375</v>
      </c>
    </row>
    <row r="1669" spans="10:11" x14ac:dyDescent="0.25">
      <c r="J1669" s="1">
        <f t="shared" si="53"/>
        <v>45134</v>
      </c>
      <c r="K1669">
        <f t="shared" si="52"/>
        <v>18.875</v>
      </c>
    </row>
    <row r="1670" spans="10:11" x14ac:dyDescent="0.25">
      <c r="J1670" s="1">
        <f t="shared" si="53"/>
        <v>45135</v>
      </c>
      <c r="K1670">
        <f t="shared" si="52"/>
        <v>20.25</v>
      </c>
    </row>
    <row r="1671" spans="10:11" x14ac:dyDescent="0.25">
      <c r="J1671" s="1">
        <f t="shared" si="53"/>
        <v>45136</v>
      </c>
      <c r="K1671">
        <f t="shared" si="52"/>
        <v>28.125</v>
      </c>
    </row>
    <row r="1672" spans="10:11" x14ac:dyDescent="0.25">
      <c r="J1672" s="1">
        <f t="shared" si="53"/>
        <v>45137</v>
      </c>
      <c r="K1672">
        <f t="shared" si="52"/>
        <v>44.125</v>
      </c>
    </row>
    <row r="1673" spans="10:11" x14ac:dyDescent="0.25">
      <c r="J1673" s="1">
        <f t="shared" si="53"/>
        <v>45138</v>
      </c>
      <c r="K1673">
        <f t="shared" si="52"/>
        <v>15.375</v>
      </c>
    </row>
    <row r="1674" spans="10:11" x14ac:dyDescent="0.25">
      <c r="J1674" s="1">
        <f t="shared" si="53"/>
        <v>45139</v>
      </c>
      <c r="K1674">
        <f t="shared" si="52"/>
        <v>7.25</v>
      </c>
    </row>
    <row r="1675" spans="10:11" x14ac:dyDescent="0.25">
      <c r="J1675" s="1">
        <f t="shared" si="53"/>
        <v>45140</v>
      </c>
      <c r="K1675">
        <f t="shared" si="52"/>
        <v>29.5</v>
      </c>
    </row>
    <row r="1676" spans="10:11" x14ac:dyDescent="0.25">
      <c r="J1676" s="1">
        <f t="shared" si="53"/>
        <v>45141</v>
      </c>
      <c r="K1676">
        <f t="shared" si="52"/>
        <v>21</v>
      </c>
    </row>
    <row r="1677" spans="10:11" x14ac:dyDescent="0.25">
      <c r="J1677" s="1">
        <f t="shared" si="53"/>
        <v>45142</v>
      </c>
      <c r="K1677">
        <f t="shared" si="52"/>
        <v>29.125</v>
      </c>
    </row>
    <row r="1678" spans="10:11" x14ac:dyDescent="0.25">
      <c r="J1678" s="1">
        <f t="shared" si="53"/>
        <v>45143</v>
      </c>
      <c r="K1678">
        <f t="shared" si="52"/>
        <v>36.625</v>
      </c>
    </row>
    <row r="1679" spans="10:11" x14ac:dyDescent="0.25">
      <c r="J1679" s="1">
        <f t="shared" si="53"/>
        <v>45144</v>
      </c>
      <c r="K1679">
        <f t="shared" si="52"/>
        <v>40.25</v>
      </c>
    </row>
    <row r="1680" spans="10:11" x14ac:dyDescent="0.25">
      <c r="J1680" s="1">
        <f t="shared" si="53"/>
        <v>45145</v>
      </c>
      <c r="K1680">
        <f t="shared" si="52"/>
        <v>38.5</v>
      </c>
    </row>
    <row r="1681" spans="10:11" x14ac:dyDescent="0.25">
      <c r="J1681" s="1">
        <f t="shared" si="53"/>
        <v>45146</v>
      </c>
      <c r="K1681">
        <f t="shared" si="52"/>
        <v>9.375</v>
      </c>
    </row>
    <row r="1682" spans="10:11" x14ac:dyDescent="0.25">
      <c r="J1682" s="1">
        <f t="shared" si="53"/>
        <v>45147</v>
      </c>
      <c r="K1682">
        <f t="shared" si="52"/>
        <v>28.25</v>
      </c>
    </row>
    <row r="1683" spans="10:11" x14ac:dyDescent="0.25">
      <c r="J1683" s="1">
        <f t="shared" si="53"/>
        <v>45148</v>
      </c>
      <c r="K1683">
        <f t="shared" si="52"/>
        <v>9.375</v>
      </c>
    </row>
    <row r="1684" spans="10:11" x14ac:dyDescent="0.25">
      <c r="J1684" s="1">
        <f t="shared" si="53"/>
        <v>45149</v>
      </c>
      <c r="K1684">
        <f t="shared" si="52"/>
        <v>20.125</v>
      </c>
    </row>
    <row r="1685" spans="10:11" x14ac:dyDescent="0.25">
      <c r="J1685" s="1">
        <f t="shared" si="53"/>
        <v>45150</v>
      </c>
      <c r="K1685">
        <f t="shared" si="52"/>
        <v>32.25</v>
      </c>
    </row>
    <row r="1686" spans="10:11" x14ac:dyDescent="0.25">
      <c r="J1686" s="1">
        <f t="shared" si="53"/>
        <v>45151</v>
      </c>
      <c r="K1686">
        <f t="shared" si="52"/>
        <v>34.5</v>
      </c>
    </row>
    <row r="1687" spans="10:11" x14ac:dyDescent="0.25">
      <c r="J1687" s="1">
        <f t="shared" si="53"/>
        <v>45152</v>
      </c>
      <c r="K1687">
        <f t="shared" si="52"/>
        <v>10.5</v>
      </c>
    </row>
    <row r="1688" spans="10:11" x14ac:dyDescent="0.25">
      <c r="J1688" s="1">
        <f t="shared" si="53"/>
        <v>45153</v>
      </c>
      <c r="K1688">
        <f t="shared" si="52"/>
        <v>7.75</v>
      </c>
    </row>
    <row r="1689" spans="10:11" x14ac:dyDescent="0.25">
      <c r="J1689" s="1">
        <f t="shared" si="53"/>
        <v>45154</v>
      </c>
      <c r="K1689">
        <f t="shared" si="52"/>
        <v>16.125</v>
      </c>
    </row>
    <row r="1690" spans="10:11" x14ac:dyDescent="0.25">
      <c r="J1690" s="1">
        <f t="shared" si="53"/>
        <v>45155</v>
      </c>
      <c r="K1690">
        <f t="shared" si="52"/>
        <v>15.875</v>
      </c>
    </row>
    <row r="1691" spans="10:11" x14ac:dyDescent="0.25">
      <c r="J1691" s="1">
        <f t="shared" si="53"/>
        <v>45156</v>
      </c>
      <c r="K1691">
        <f t="shared" si="52"/>
        <v>21.625</v>
      </c>
    </row>
    <row r="1692" spans="10:11" x14ac:dyDescent="0.25">
      <c r="J1692" s="1">
        <f t="shared" si="53"/>
        <v>45157</v>
      </c>
      <c r="K1692">
        <f t="shared" si="52"/>
        <v>46.5</v>
      </c>
    </row>
    <row r="1693" spans="10:11" x14ac:dyDescent="0.25">
      <c r="J1693" s="1">
        <f t="shared" si="53"/>
        <v>45158</v>
      </c>
      <c r="K1693">
        <f t="shared" si="52"/>
        <v>43.75</v>
      </c>
    </row>
    <row r="1694" spans="10:11" x14ac:dyDescent="0.25">
      <c r="J1694" s="1">
        <f t="shared" si="53"/>
        <v>45159</v>
      </c>
      <c r="K1694">
        <f t="shared" si="52"/>
        <v>27.625</v>
      </c>
    </row>
    <row r="1695" spans="10:11" x14ac:dyDescent="0.25">
      <c r="J1695" s="1">
        <f t="shared" si="53"/>
        <v>45160</v>
      </c>
      <c r="K1695">
        <f t="shared" si="52"/>
        <v>5.125</v>
      </c>
    </row>
    <row r="1696" spans="10:11" x14ac:dyDescent="0.25">
      <c r="J1696" s="1">
        <f t="shared" si="53"/>
        <v>45161</v>
      </c>
      <c r="K1696">
        <f t="shared" si="52"/>
        <v>19.625</v>
      </c>
    </row>
    <row r="1697" spans="10:11" x14ac:dyDescent="0.25">
      <c r="J1697" s="1">
        <f t="shared" si="53"/>
        <v>45162</v>
      </c>
      <c r="K1697">
        <f t="shared" si="52"/>
        <v>16.875</v>
      </c>
    </row>
    <row r="1698" spans="10:11" x14ac:dyDescent="0.25">
      <c r="J1698" s="1">
        <f t="shared" si="53"/>
        <v>45163</v>
      </c>
      <c r="K1698">
        <f t="shared" si="52"/>
        <v>21.75</v>
      </c>
    </row>
    <row r="1699" spans="10:11" x14ac:dyDescent="0.25">
      <c r="J1699" s="1">
        <f t="shared" si="53"/>
        <v>45164</v>
      </c>
      <c r="K1699">
        <f t="shared" si="52"/>
        <v>25.75</v>
      </c>
    </row>
    <row r="1700" spans="10:11" x14ac:dyDescent="0.25">
      <c r="J1700" s="1">
        <f t="shared" si="53"/>
        <v>45165</v>
      </c>
      <c r="K1700">
        <f t="shared" si="52"/>
        <v>34.75</v>
      </c>
    </row>
    <row r="1701" spans="10:11" x14ac:dyDescent="0.25">
      <c r="J1701" s="1">
        <f t="shared" si="53"/>
        <v>45166</v>
      </c>
      <c r="K1701">
        <f t="shared" si="52"/>
        <v>15.25</v>
      </c>
    </row>
    <row r="1702" spans="10:11" x14ac:dyDescent="0.25">
      <c r="J1702" s="1">
        <f t="shared" si="53"/>
        <v>45167</v>
      </c>
      <c r="K1702">
        <f t="shared" si="52"/>
        <v>8.25</v>
      </c>
    </row>
    <row r="1703" spans="10:11" x14ac:dyDescent="0.25">
      <c r="J1703" s="1">
        <f t="shared" si="53"/>
        <v>45168</v>
      </c>
      <c r="K1703">
        <f t="shared" si="52"/>
        <v>16.5</v>
      </c>
    </row>
    <row r="1704" spans="10:11" x14ac:dyDescent="0.25">
      <c r="J1704" s="1">
        <f t="shared" si="53"/>
        <v>45169</v>
      </c>
      <c r="K1704">
        <f t="shared" si="52"/>
        <v>16.125</v>
      </c>
    </row>
    <row r="1705" spans="10:11" x14ac:dyDescent="0.25">
      <c r="J1705" s="1">
        <f t="shared" si="53"/>
        <v>45170</v>
      </c>
      <c r="K1705" t="e">
        <f t="shared" si="52"/>
        <v>#N/A</v>
      </c>
    </row>
    <row r="1706" spans="10:11" x14ac:dyDescent="0.25">
      <c r="J1706" s="1">
        <f t="shared" si="53"/>
        <v>45171</v>
      </c>
      <c r="K1706" t="e">
        <f t="shared" si="52"/>
        <v>#N/A</v>
      </c>
    </row>
    <row r="1707" spans="10:11" x14ac:dyDescent="0.25">
      <c r="J1707" s="1">
        <f t="shared" si="53"/>
        <v>45172</v>
      </c>
      <c r="K1707" t="e">
        <f t="shared" si="52"/>
        <v>#N/A</v>
      </c>
    </row>
    <row r="1708" spans="10:11" x14ac:dyDescent="0.25">
      <c r="J1708" s="1">
        <f t="shared" si="53"/>
        <v>45173</v>
      </c>
      <c r="K1708" t="e">
        <f t="shared" si="52"/>
        <v>#N/A</v>
      </c>
    </row>
    <row r="1709" spans="10:11" x14ac:dyDescent="0.25">
      <c r="J1709" s="1">
        <f t="shared" si="53"/>
        <v>45174</v>
      </c>
      <c r="K1709" t="e">
        <f t="shared" si="52"/>
        <v>#N/A</v>
      </c>
    </row>
    <row r="1710" spans="10:11" x14ac:dyDescent="0.25">
      <c r="J1710" s="1">
        <f t="shared" si="53"/>
        <v>45175</v>
      </c>
      <c r="K1710" t="e">
        <f t="shared" si="52"/>
        <v>#N/A</v>
      </c>
    </row>
    <row r="1711" spans="10:11" x14ac:dyDescent="0.25">
      <c r="J1711" s="1">
        <f t="shared" si="53"/>
        <v>45176</v>
      </c>
      <c r="K1711" t="e">
        <f t="shared" si="52"/>
        <v>#N/A</v>
      </c>
    </row>
    <row r="1712" spans="10:11" x14ac:dyDescent="0.25">
      <c r="J1712" s="1">
        <f t="shared" si="53"/>
        <v>45177</v>
      </c>
      <c r="K1712" t="e">
        <f t="shared" si="52"/>
        <v>#N/A</v>
      </c>
    </row>
    <row r="1713" spans="10:11" x14ac:dyDescent="0.25">
      <c r="J1713" s="1">
        <f t="shared" si="53"/>
        <v>45178</v>
      </c>
      <c r="K1713" t="e">
        <f t="shared" si="52"/>
        <v>#N/A</v>
      </c>
    </row>
    <row r="1714" spans="10:11" x14ac:dyDescent="0.25">
      <c r="J1714" s="1">
        <f t="shared" si="53"/>
        <v>45179</v>
      </c>
      <c r="K1714" t="e">
        <f t="shared" si="52"/>
        <v>#N/A</v>
      </c>
    </row>
    <row r="1715" spans="10:11" x14ac:dyDescent="0.25">
      <c r="J1715" s="1">
        <f t="shared" si="53"/>
        <v>45180</v>
      </c>
      <c r="K1715" t="e">
        <f t="shared" si="52"/>
        <v>#N/A</v>
      </c>
    </row>
    <row r="1716" spans="10:11" x14ac:dyDescent="0.25">
      <c r="J1716" s="1">
        <f t="shared" si="53"/>
        <v>45181</v>
      </c>
      <c r="K1716" t="e">
        <f t="shared" si="52"/>
        <v>#N/A</v>
      </c>
    </row>
    <row r="1717" spans="10:11" x14ac:dyDescent="0.25">
      <c r="J1717" s="1">
        <f t="shared" si="53"/>
        <v>45182</v>
      </c>
      <c r="K1717" t="e">
        <f t="shared" si="52"/>
        <v>#N/A</v>
      </c>
    </row>
    <row r="1718" spans="10:11" x14ac:dyDescent="0.25">
      <c r="J1718" s="1">
        <f t="shared" si="53"/>
        <v>45183</v>
      </c>
      <c r="K1718" t="e">
        <f t="shared" si="52"/>
        <v>#N/A</v>
      </c>
    </row>
    <row r="1719" spans="10:11" x14ac:dyDescent="0.25">
      <c r="J1719" s="1">
        <f t="shared" si="53"/>
        <v>45184</v>
      </c>
      <c r="K1719" t="e">
        <f t="shared" si="52"/>
        <v>#N/A</v>
      </c>
    </row>
    <row r="1720" spans="10:11" x14ac:dyDescent="0.25">
      <c r="J1720" s="1">
        <f t="shared" si="53"/>
        <v>45185</v>
      </c>
      <c r="K1720" t="e">
        <f t="shared" si="52"/>
        <v>#N/A</v>
      </c>
    </row>
    <row r="1721" spans="10:11" x14ac:dyDescent="0.25">
      <c r="J1721" s="1">
        <f t="shared" si="53"/>
        <v>45186</v>
      </c>
      <c r="K1721" t="e">
        <f t="shared" si="52"/>
        <v>#N/A</v>
      </c>
    </row>
    <row r="1722" spans="10:11" x14ac:dyDescent="0.25">
      <c r="J1722" s="1">
        <f t="shared" si="53"/>
        <v>45187</v>
      </c>
      <c r="K1722" t="e">
        <f t="shared" si="52"/>
        <v>#N/A</v>
      </c>
    </row>
    <row r="1723" spans="10:11" x14ac:dyDescent="0.25">
      <c r="J1723" s="1">
        <f t="shared" si="53"/>
        <v>45188</v>
      </c>
      <c r="K1723" t="e">
        <f t="shared" si="52"/>
        <v>#N/A</v>
      </c>
    </row>
    <row r="1724" spans="10:11" x14ac:dyDescent="0.25">
      <c r="J1724" s="1">
        <f t="shared" si="53"/>
        <v>45189</v>
      </c>
      <c r="K1724" t="e">
        <f t="shared" si="52"/>
        <v>#N/A</v>
      </c>
    </row>
    <row r="1725" spans="10:11" x14ac:dyDescent="0.25">
      <c r="J1725" s="1">
        <f t="shared" si="53"/>
        <v>45190</v>
      </c>
      <c r="K1725" t="e">
        <f t="shared" si="52"/>
        <v>#N/A</v>
      </c>
    </row>
    <row r="1726" spans="10:11" x14ac:dyDescent="0.25">
      <c r="J1726" s="1">
        <f t="shared" si="53"/>
        <v>45191</v>
      </c>
      <c r="K1726" t="e">
        <f t="shared" si="52"/>
        <v>#N/A</v>
      </c>
    </row>
    <row r="1727" spans="10:11" x14ac:dyDescent="0.25">
      <c r="J1727" s="1">
        <f t="shared" si="53"/>
        <v>45192</v>
      </c>
      <c r="K1727" t="e">
        <f t="shared" si="52"/>
        <v>#N/A</v>
      </c>
    </row>
    <row r="1728" spans="10:11" x14ac:dyDescent="0.25">
      <c r="J1728" s="1">
        <f t="shared" si="53"/>
        <v>45193</v>
      </c>
      <c r="K1728" t="e">
        <f t="shared" si="52"/>
        <v>#N/A</v>
      </c>
    </row>
    <row r="1729" spans="10:11" x14ac:dyDescent="0.25">
      <c r="J1729" s="1">
        <f t="shared" si="53"/>
        <v>45194</v>
      </c>
      <c r="K1729" t="e">
        <f t="shared" si="52"/>
        <v>#N/A</v>
      </c>
    </row>
    <row r="1730" spans="10:11" x14ac:dyDescent="0.25">
      <c r="J1730" s="1">
        <f t="shared" si="53"/>
        <v>45195</v>
      </c>
      <c r="K1730" t="e">
        <f t="shared" ref="K1730:K1793" si="54">VLOOKUP(J1730, G:H, 2, FALSE)</f>
        <v>#N/A</v>
      </c>
    </row>
    <row r="1731" spans="10:11" x14ac:dyDescent="0.25">
      <c r="J1731" s="1">
        <f t="shared" si="53"/>
        <v>45196</v>
      </c>
      <c r="K1731" t="e">
        <f t="shared" si="54"/>
        <v>#N/A</v>
      </c>
    </row>
    <row r="1732" spans="10:11" x14ac:dyDescent="0.25">
      <c r="J1732" s="1">
        <f t="shared" ref="J1732:J1795" si="55">DATE(2019,1,1) + ROW()-1</f>
        <v>45197</v>
      </c>
      <c r="K1732" t="e">
        <f t="shared" si="54"/>
        <v>#N/A</v>
      </c>
    </row>
    <row r="1733" spans="10:11" x14ac:dyDescent="0.25">
      <c r="J1733" s="1">
        <f t="shared" si="55"/>
        <v>45198</v>
      </c>
      <c r="K1733" t="e">
        <f t="shared" si="54"/>
        <v>#N/A</v>
      </c>
    </row>
    <row r="1734" spans="10:11" x14ac:dyDescent="0.25">
      <c r="J1734" s="1">
        <f t="shared" si="55"/>
        <v>45199</v>
      </c>
      <c r="K1734" t="e">
        <f t="shared" si="54"/>
        <v>#N/A</v>
      </c>
    </row>
    <row r="1735" spans="10:11" x14ac:dyDescent="0.25">
      <c r="J1735" s="1">
        <f t="shared" si="55"/>
        <v>45200</v>
      </c>
      <c r="K1735" t="e">
        <f t="shared" si="54"/>
        <v>#N/A</v>
      </c>
    </row>
    <row r="1736" spans="10:11" x14ac:dyDescent="0.25">
      <c r="J1736" s="1">
        <f t="shared" si="55"/>
        <v>45201</v>
      </c>
      <c r="K1736" t="e">
        <f t="shared" si="54"/>
        <v>#N/A</v>
      </c>
    </row>
    <row r="1737" spans="10:11" x14ac:dyDescent="0.25">
      <c r="J1737" s="1">
        <f t="shared" si="55"/>
        <v>45202</v>
      </c>
      <c r="K1737" t="e">
        <f t="shared" si="54"/>
        <v>#N/A</v>
      </c>
    </row>
    <row r="1738" spans="10:11" x14ac:dyDescent="0.25">
      <c r="J1738" s="1">
        <f t="shared" si="55"/>
        <v>45203</v>
      </c>
      <c r="K1738" t="e">
        <f t="shared" si="54"/>
        <v>#N/A</v>
      </c>
    </row>
    <row r="1739" spans="10:11" x14ac:dyDescent="0.25">
      <c r="J1739" s="1">
        <f t="shared" si="55"/>
        <v>45204</v>
      </c>
      <c r="K1739" t="e">
        <f t="shared" si="54"/>
        <v>#N/A</v>
      </c>
    </row>
    <row r="1740" spans="10:11" x14ac:dyDescent="0.25">
      <c r="J1740" s="1">
        <f t="shared" si="55"/>
        <v>45205</v>
      </c>
      <c r="K1740" t="e">
        <f t="shared" si="54"/>
        <v>#N/A</v>
      </c>
    </row>
    <row r="1741" spans="10:11" x14ac:dyDescent="0.25">
      <c r="J1741" s="1">
        <f t="shared" si="55"/>
        <v>45206</v>
      </c>
      <c r="K1741" t="e">
        <f t="shared" si="54"/>
        <v>#N/A</v>
      </c>
    </row>
    <row r="1742" spans="10:11" x14ac:dyDescent="0.25">
      <c r="J1742" s="1">
        <f t="shared" si="55"/>
        <v>45207</v>
      </c>
      <c r="K1742" t="e">
        <f t="shared" si="54"/>
        <v>#N/A</v>
      </c>
    </row>
    <row r="1743" spans="10:11" x14ac:dyDescent="0.25">
      <c r="J1743" s="1">
        <f t="shared" si="55"/>
        <v>45208</v>
      </c>
      <c r="K1743" t="e">
        <f t="shared" si="54"/>
        <v>#N/A</v>
      </c>
    </row>
    <row r="1744" spans="10:11" x14ac:dyDescent="0.25">
      <c r="J1744" s="1">
        <f t="shared" si="55"/>
        <v>45209</v>
      </c>
      <c r="K1744" t="e">
        <f t="shared" si="54"/>
        <v>#N/A</v>
      </c>
    </row>
    <row r="1745" spans="10:11" x14ac:dyDescent="0.25">
      <c r="J1745" s="1">
        <f t="shared" si="55"/>
        <v>45210</v>
      </c>
      <c r="K1745" t="e">
        <f t="shared" si="54"/>
        <v>#N/A</v>
      </c>
    </row>
    <row r="1746" spans="10:11" x14ac:dyDescent="0.25">
      <c r="J1746" s="1">
        <f t="shared" si="55"/>
        <v>45211</v>
      </c>
      <c r="K1746" t="e">
        <f t="shared" si="54"/>
        <v>#N/A</v>
      </c>
    </row>
    <row r="1747" spans="10:11" x14ac:dyDescent="0.25">
      <c r="J1747" s="1">
        <f t="shared" si="55"/>
        <v>45212</v>
      </c>
      <c r="K1747" t="e">
        <f t="shared" si="54"/>
        <v>#N/A</v>
      </c>
    </row>
    <row r="1748" spans="10:11" x14ac:dyDescent="0.25">
      <c r="J1748" s="1">
        <f t="shared" si="55"/>
        <v>45213</v>
      </c>
      <c r="K1748" t="e">
        <f t="shared" si="54"/>
        <v>#N/A</v>
      </c>
    </row>
    <row r="1749" spans="10:11" x14ac:dyDescent="0.25">
      <c r="J1749" s="1">
        <f t="shared" si="55"/>
        <v>45214</v>
      </c>
      <c r="K1749" t="e">
        <f t="shared" si="54"/>
        <v>#N/A</v>
      </c>
    </row>
    <row r="1750" spans="10:11" x14ac:dyDescent="0.25">
      <c r="J1750" s="1">
        <f t="shared" si="55"/>
        <v>45215</v>
      </c>
      <c r="K1750" t="e">
        <f t="shared" si="54"/>
        <v>#N/A</v>
      </c>
    </row>
    <row r="1751" spans="10:11" x14ac:dyDescent="0.25">
      <c r="J1751" s="1">
        <f t="shared" si="55"/>
        <v>45216</v>
      </c>
      <c r="K1751" t="e">
        <f t="shared" si="54"/>
        <v>#N/A</v>
      </c>
    </row>
    <row r="1752" spans="10:11" x14ac:dyDescent="0.25">
      <c r="J1752" s="1">
        <f t="shared" si="55"/>
        <v>45217</v>
      </c>
      <c r="K1752" t="e">
        <f t="shared" si="54"/>
        <v>#N/A</v>
      </c>
    </row>
    <row r="1753" spans="10:11" x14ac:dyDescent="0.25">
      <c r="J1753" s="1">
        <f t="shared" si="55"/>
        <v>45218</v>
      </c>
      <c r="K1753" t="e">
        <f t="shared" si="54"/>
        <v>#N/A</v>
      </c>
    </row>
    <row r="1754" spans="10:11" x14ac:dyDescent="0.25">
      <c r="J1754" s="1">
        <f t="shared" si="55"/>
        <v>45219</v>
      </c>
      <c r="K1754" t="e">
        <f t="shared" si="54"/>
        <v>#N/A</v>
      </c>
    </row>
    <row r="1755" spans="10:11" x14ac:dyDescent="0.25">
      <c r="J1755" s="1">
        <f t="shared" si="55"/>
        <v>45220</v>
      </c>
      <c r="K1755" t="e">
        <f t="shared" si="54"/>
        <v>#N/A</v>
      </c>
    </row>
    <row r="1756" spans="10:11" x14ac:dyDescent="0.25">
      <c r="J1756" s="1">
        <f t="shared" si="55"/>
        <v>45221</v>
      </c>
      <c r="K1756" t="e">
        <f t="shared" si="54"/>
        <v>#N/A</v>
      </c>
    </row>
    <row r="1757" spans="10:11" x14ac:dyDescent="0.25">
      <c r="J1757" s="1">
        <f t="shared" si="55"/>
        <v>45222</v>
      </c>
      <c r="K1757" t="e">
        <f t="shared" si="54"/>
        <v>#N/A</v>
      </c>
    </row>
    <row r="1758" spans="10:11" x14ac:dyDescent="0.25">
      <c r="J1758" s="1">
        <f t="shared" si="55"/>
        <v>45223</v>
      </c>
      <c r="K1758" t="e">
        <f t="shared" si="54"/>
        <v>#N/A</v>
      </c>
    </row>
    <row r="1759" spans="10:11" x14ac:dyDescent="0.25">
      <c r="J1759" s="1">
        <f t="shared" si="55"/>
        <v>45224</v>
      </c>
      <c r="K1759" t="e">
        <f t="shared" si="54"/>
        <v>#N/A</v>
      </c>
    </row>
    <row r="1760" spans="10:11" x14ac:dyDescent="0.25">
      <c r="J1760" s="1">
        <f t="shared" si="55"/>
        <v>45225</v>
      </c>
      <c r="K1760" t="e">
        <f t="shared" si="54"/>
        <v>#N/A</v>
      </c>
    </row>
    <row r="1761" spans="10:11" x14ac:dyDescent="0.25">
      <c r="J1761" s="1">
        <f t="shared" si="55"/>
        <v>45226</v>
      </c>
      <c r="K1761" t="e">
        <f t="shared" si="54"/>
        <v>#N/A</v>
      </c>
    </row>
    <row r="1762" spans="10:11" x14ac:dyDescent="0.25">
      <c r="J1762" s="1">
        <f t="shared" si="55"/>
        <v>45227</v>
      </c>
      <c r="K1762" t="e">
        <f t="shared" si="54"/>
        <v>#N/A</v>
      </c>
    </row>
    <row r="1763" spans="10:11" x14ac:dyDescent="0.25">
      <c r="J1763" s="1">
        <f t="shared" si="55"/>
        <v>45228</v>
      </c>
      <c r="K1763" t="e">
        <f t="shared" si="54"/>
        <v>#N/A</v>
      </c>
    </row>
    <row r="1764" spans="10:11" x14ac:dyDescent="0.25">
      <c r="J1764" s="1">
        <f t="shared" si="55"/>
        <v>45229</v>
      </c>
      <c r="K1764" t="e">
        <f t="shared" si="54"/>
        <v>#N/A</v>
      </c>
    </row>
    <row r="1765" spans="10:11" x14ac:dyDescent="0.25">
      <c r="J1765" s="1">
        <f t="shared" si="55"/>
        <v>45230</v>
      </c>
      <c r="K1765" t="e">
        <f t="shared" si="54"/>
        <v>#N/A</v>
      </c>
    </row>
    <row r="1766" spans="10:11" x14ac:dyDescent="0.25">
      <c r="J1766" s="1">
        <f t="shared" si="55"/>
        <v>45231</v>
      </c>
      <c r="K1766">
        <f t="shared" si="54"/>
        <v>19.375</v>
      </c>
    </row>
    <row r="1767" spans="10:11" x14ac:dyDescent="0.25">
      <c r="J1767" s="1">
        <f t="shared" si="55"/>
        <v>45232</v>
      </c>
      <c r="K1767">
        <f t="shared" si="54"/>
        <v>16.75</v>
      </c>
    </row>
    <row r="1768" spans="10:11" x14ac:dyDescent="0.25">
      <c r="J1768" s="1">
        <f t="shared" si="55"/>
        <v>45233</v>
      </c>
      <c r="K1768">
        <f t="shared" si="54"/>
        <v>25.375</v>
      </c>
    </row>
    <row r="1769" spans="10:11" x14ac:dyDescent="0.25">
      <c r="J1769" s="1">
        <f t="shared" si="55"/>
        <v>45234</v>
      </c>
      <c r="K1769">
        <f t="shared" si="54"/>
        <v>32.375</v>
      </c>
    </row>
    <row r="1770" spans="10:11" x14ac:dyDescent="0.25">
      <c r="J1770" s="1">
        <f t="shared" si="55"/>
        <v>45235</v>
      </c>
      <c r="K1770">
        <f t="shared" si="54"/>
        <v>37</v>
      </c>
    </row>
    <row r="1771" spans="10:11" x14ac:dyDescent="0.25">
      <c r="J1771" s="1">
        <f t="shared" si="55"/>
        <v>45236</v>
      </c>
      <c r="K1771">
        <f t="shared" si="54"/>
        <v>30.75</v>
      </c>
    </row>
    <row r="1772" spans="10:11" x14ac:dyDescent="0.25">
      <c r="J1772" s="1">
        <f t="shared" si="55"/>
        <v>45237</v>
      </c>
      <c r="K1772">
        <f t="shared" si="54"/>
        <v>8.375</v>
      </c>
    </row>
    <row r="1773" spans="10:11" x14ac:dyDescent="0.25">
      <c r="J1773" s="1">
        <f t="shared" si="55"/>
        <v>45238</v>
      </c>
      <c r="K1773">
        <f t="shared" si="54"/>
        <v>10</v>
      </c>
    </row>
    <row r="1774" spans="10:11" x14ac:dyDescent="0.25">
      <c r="J1774" s="1">
        <f t="shared" si="55"/>
        <v>45239</v>
      </c>
      <c r="K1774">
        <f t="shared" si="54"/>
        <v>11.375</v>
      </c>
    </row>
    <row r="1775" spans="10:11" x14ac:dyDescent="0.25">
      <c r="J1775" s="1">
        <f t="shared" si="55"/>
        <v>45240</v>
      </c>
      <c r="K1775">
        <f t="shared" si="54"/>
        <v>25.5</v>
      </c>
    </row>
    <row r="1776" spans="10:11" x14ac:dyDescent="0.25">
      <c r="J1776" s="1">
        <f t="shared" si="55"/>
        <v>45241</v>
      </c>
      <c r="K1776">
        <f t="shared" si="54"/>
        <v>35.375</v>
      </c>
    </row>
    <row r="1777" spans="10:11" x14ac:dyDescent="0.25">
      <c r="J1777" s="1">
        <f t="shared" si="55"/>
        <v>45242</v>
      </c>
      <c r="K1777">
        <f t="shared" si="54"/>
        <v>36.25</v>
      </c>
    </row>
    <row r="1778" spans="10:11" x14ac:dyDescent="0.25">
      <c r="J1778" s="1">
        <f t="shared" si="55"/>
        <v>45243</v>
      </c>
      <c r="K1778">
        <f t="shared" si="54"/>
        <v>33</v>
      </c>
    </row>
    <row r="1779" spans="10:11" x14ac:dyDescent="0.25">
      <c r="J1779" s="1">
        <f t="shared" si="55"/>
        <v>45244</v>
      </c>
      <c r="K1779">
        <f t="shared" si="54"/>
        <v>12</v>
      </c>
    </row>
    <row r="1780" spans="10:11" x14ac:dyDescent="0.25">
      <c r="J1780" s="1">
        <f t="shared" si="55"/>
        <v>45245</v>
      </c>
      <c r="K1780">
        <f t="shared" si="54"/>
        <v>16.25</v>
      </c>
    </row>
    <row r="1781" spans="10:11" x14ac:dyDescent="0.25">
      <c r="J1781" s="1">
        <f t="shared" si="55"/>
        <v>45246</v>
      </c>
      <c r="K1781">
        <f t="shared" si="54"/>
        <v>22.5</v>
      </c>
    </row>
    <row r="1782" spans="10:11" x14ac:dyDescent="0.25">
      <c r="J1782" s="1">
        <f t="shared" si="55"/>
        <v>45247</v>
      </c>
      <c r="K1782">
        <f t="shared" si="54"/>
        <v>19.75</v>
      </c>
    </row>
    <row r="1783" spans="10:11" x14ac:dyDescent="0.25">
      <c r="J1783" s="1">
        <f t="shared" si="55"/>
        <v>45248</v>
      </c>
      <c r="K1783">
        <f t="shared" si="54"/>
        <v>36.75</v>
      </c>
    </row>
    <row r="1784" spans="10:11" x14ac:dyDescent="0.25">
      <c r="J1784" s="1">
        <f t="shared" si="55"/>
        <v>45249</v>
      </c>
      <c r="K1784">
        <f t="shared" si="54"/>
        <v>36.875</v>
      </c>
    </row>
    <row r="1785" spans="10:11" x14ac:dyDescent="0.25">
      <c r="J1785" s="1">
        <f t="shared" si="55"/>
        <v>45250</v>
      </c>
      <c r="K1785">
        <f t="shared" si="54"/>
        <v>10.375</v>
      </c>
    </row>
    <row r="1786" spans="10:11" x14ac:dyDescent="0.25">
      <c r="J1786" s="1">
        <f t="shared" si="55"/>
        <v>45251</v>
      </c>
      <c r="K1786">
        <f t="shared" si="54"/>
        <v>19.125</v>
      </c>
    </row>
    <row r="1787" spans="10:11" x14ac:dyDescent="0.25">
      <c r="J1787" s="1">
        <f t="shared" si="55"/>
        <v>45252</v>
      </c>
      <c r="K1787">
        <f t="shared" si="54"/>
        <v>19.5</v>
      </c>
    </row>
    <row r="1788" spans="10:11" x14ac:dyDescent="0.25">
      <c r="J1788" s="1">
        <f t="shared" si="55"/>
        <v>45253</v>
      </c>
      <c r="K1788">
        <f t="shared" si="54"/>
        <v>19.875</v>
      </c>
    </row>
    <row r="1789" spans="10:11" x14ac:dyDescent="0.25">
      <c r="J1789" s="1">
        <f t="shared" si="55"/>
        <v>45254</v>
      </c>
      <c r="K1789">
        <f t="shared" si="54"/>
        <v>137.75</v>
      </c>
    </row>
    <row r="1790" spans="10:11" x14ac:dyDescent="0.25">
      <c r="J1790" s="1">
        <f t="shared" si="55"/>
        <v>45255</v>
      </c>
      <c r="K1790" t="e">
        <f t="shared" si="54"/>
        <v>#N/A</v>
      </c>
    </row>
    <row r="1791" spans="10:11" x14ac:dyDescent="0.25">
      <c r="J1791" s="1">
        <f t="shared" si="55"/>
        <v>45256</v>
      </c>
      <c r="K1791" t="e">
        <f t="shared" si="54"/>
        <v>#N/A</v>
      </c>
    </row>
    <row r="1792" spans="10:11" x14ac:dyDescent="0.25">
      <c r="J1792" s="1">
        <f t="shared" si="55"/>
        <v>45257</v>
      </c>
      <c r="K1792" t="e">
        <f t="shared" si="54"/>
        <v>#N/A</v>
      </c>
    </row>
    <row r="1793" spans="10:11" x14ac:dyDescent="0.25">
      <c r="J1793" s="1">
        <f t="shared" si="55"/>
        <v>45258</v>
      </c>
      <c r="K1793" t="e">
        <f t="shared" si="54"/>
        <v>#N/A</v>
      </c>
    </row>
    <row r="1794" spans="10:11" x14ac:dyDescent="0.25">
      <c r="J1794" s="1">
        <f t="shared" si="55"/>
        <v>45259</v>
      </c>
      <c r="K1794" t="e">
        <f t="shared" ref="K1794:K1826" si="56">VLOOKUP(J1794, G:H, 2, FALSE)</f>
        <v>#N/A</v>
      </c>
    </row>
    <row r="1795" spans="10:11" x14ac:dyDescent="0.25">
      <c r="J1795" s="1">
        <f t="shared" si="55"/>
        <v>45260</v>
      </c>
      <c r="K1795" t="e">
        <f t="shared" si="56"/>
        <v>#N/A</v>
      </c>
    </row>
    <row r="1796" spans="10:11" x14ac:dyDescent="0.25">
      <c r="J1796" s="1">
        <f t="shared" ref="J1796:J1826" si="57">DATE(2019,1,1) + ROW()-1</f>
        <v>45261</v>
      </c>
      <c r="K1796" t="e">
        <f t="shared" si="56"/>
        <v>#N/A</v>
      </c>
    </row>
    <row r="1797" spans="10:11" x14ac:dyDescent="0.25">
      <c r="J1797" s="1">
        <f t="shared" si="57"/>
        <v>45262</v>
      </c>
      <c r="K1797" t="e">
        <f t="shared" si="56"/>
        <v>#N/A</v>
      </c>
    </row>
    <row r="1798" spans="10:11" x14ac:dyDescent="0.25">
      <c r="J1798" s="1">
        <f t="shared" si="57"/>
        <v>45263</v>
      </c>
      <c r="K1798" t="e">
        <f t="shared" si="56"/>
        <v>#N/A</v>
      </c>
    </row>
    <row r="1799" spans="10:11" x14ac:dyDescent="0.25">
      <c r="J1799" s="1">
        <f t="shared" si="57"/>
        <v>45264</v>
      </c>
      <c r="K1799" t="e">
        <f t="shared" si="56"/>
        <v>#N/A</v>
      </c>
    </row>
    <row r="1800" spans="10:11" x14ac:dyDescent="0.25">
      <c r="J1800" s="1">
        <f t="shared" si="57"/>
        <v>45265</v>
      </c>
      <c r="K1800" t="e">
        <f t="shared" si="56"/>
        <v>#N/A</v>
      </c>
    </row>
    <row r="1801" spans="10:11" x14ac:dyDescent="0.25">
      <c r="J1801" s="1">
        <f t="shared" si="57"/>
        <v>45266</v>
      </c>
      <c r="K1801" t="e">
        <f t="shared" si="56"/>
        <v>#N/A</v>
      </c>
    </row>
    <row r="1802" spans="10:11" x14ac:dyDescent="0.25">
      <c r="J1802" s="1">
        <f t="shared" si="57"/>
        <v>45267</v>
      </c>
      <c r="K1802" t="e">
        <f t="shared" si="56"/>
        <v>#N/A</v>
      </c>
    </row>
    <row r="1803" spans="10:11" x14ac:dyDescent="0.25">
      <c r="J1803" s="1">
        <f t="shared" si="57"/>
        <v>45268</v>
      </c>
      <c r="K1803" t="e">
        <f t="shared" si="56"/>
        <v>#N/A</v>
      </c>
    </row>
    <row r="1804" spans="10:11" x14ac:dyDescent="0.25">
      <c r="J1804" s="1">
        <f t="shared" si="57"/>
        <v>45269</v>
      </c>
      <c r="K1804" t="e">
        <f t="shared" si="56"/>
        <v>#N/A</v>
      </c>
    </row>
    <row r="1805" spans="10:11" x14ac:dyDescent="0.25">
      <c r="J1805" s="1">
        <f t="shared" si="57"/>
        <v>45270</v>
      </c>
      <c r="K1805" t="e">
        <f t="shared" si="56"/>
        <v>#N/A</v>
      </c>
    </row>
    <row r="1806" spans="10:11" x14ac:dyDescent="0.25">
      <c r="J1806" s="1">
        <f t="shared" si="57"/>
        <v>45271</v>
      </c>
      <c r="K1806" t="e">
        <f t="shared" si="56"/>
        <v>#N/A</v>
      </c>
    </row>
    <row r="1807" spans="10:11" x14ac:dyDescent="0.25">
      <c r="J1807" s="1">
        <f t="shared" si="57"/>
        <v>45272</v>
      </c>
      <c r="K1807" t="e">
        <f t="shared" si="56"/>
        <v>#N/A</v>
      </c>
    </row>
    <row r="1808" spans="10:11" x14ac:dyDescent="0.25">
      <c r="J1808" s="1">
        <f t="shared" si="57"/>
        <v>45273</v>
      </c>
      <c r="K1808" t="e">
        <f t="shared" si="56"/>
        <v>#N/A</v>
      </c>
    </row>
    <row r="1809" spans="10:11" x14ac:dyDescent="0.25">
      <c r="J1809" s="1">
        <f t="shared" si="57"/>
        <v>45274</v>
      </c>
      <c r="K1809" t="e">
        <f t="shared" si="56"/>
        <v>#N/A</v>
      </c>
    </row>
    <row r="1810" spans="10:11" x14ac:dyDescent="0.25">
      <c r="J1810" s="1">
        <f t="shared" si="57"/>
        <v>45275</v>
      </c>
      <c r="K1810" t="e">
        <f t="shared" si="56"/>
        <v>#N/A</v>
      </c>
    </row>
    <row r="1811" spans="10:11" x14ac:dyDescent="0.25">
      <c r="J1811" s="1">
        <f t="shared" si="57"/>
        <v>45276</v>
      </c>
      <c r="K1811" t="e">
        <f t="shared" si="56"/>
        <v>#N/A</v>
      </c>
    </row>
    <row r="1812" spans="10:11" x14ac:dyDescent="0.25">
      <c r="J1812" s="1">
        <f t="shared" si="57"/>
        <v>45277</v>
      </c>
      <c r="K1812" t="e">
        <f t="shared" si="56"/>
        <v>#N/A</v>
      </c>
    </row>
    <row r="1813" spans="10:11" x14ac:dyDescent="0.25">
      <c r="J1813" s="1">
        <f t="shared" si="57"/>
        <v>45278</v>
      </c>
      <c r="K1813" t="e">
        <f t="shared" si="56"/>
        <v>#N/A</v>
      </c>
    </row>
    <row r="1814" spans="10:11" x14ac:dyDescent="0.25">
      <c r="J1814" s="1">
        <f t="shared" si="57"/>
        <v>45279</v>
      </c>
      <c r="K1814" t="e">
        <f t="shared" si="56"/>
        <v>#N/A</v>
      </c>
    </row>
    <row r="1815" spans="10:11" x14ac:dyDescent="0.25">
      <c r="J1815" s="1">
        <f t="shared" si="57"/>
        <v>45280</v>
      </c>
      <c r="K1815" t="e">
        <f t="shared" si="56"/>
        <v>#N/A</v>
      </c>
    </row>
    <row r="1816" spans="10:11" x14ac:dyDescent="0.25">
      <c r="J1816" s="1">
        <f t="shared" si="57"/>
        <v>45281</v>
      </c>
      <c r="K1816" t="e">
        <f t="shared" si="56"/>
        <v>#N/A</v>
      </c>
    </row>
    <row r="1817" spans="10:11" x14ac:dyDescent="0.25">
      <c r="J1817" s="1">
        <f t="shared" si="57"/>
        <v>45282</v>
      </c>
      <c r="K1817" t="e">
        <f t="shared" si="56"/>
        <v>#N/A</v>
      </c>
    </row>
    <row r="1818" spans="10:11" x14ac:dyDescent="0.25">
      <c r="J1818" s="1">
        <f t="shared" si="57"/>
        <v>45283</v>
      </c>
      <c r="K1818" t="e">
        <f t="shared" si="56"/>
        <v>#N/A</v>
      </c>
    </row>
    <row r="1819" spans="10:11" x14ac:dyDescent="0.25">
      <c r="J1819" s="1">
        <f t="shared" si="57"/>
        <v>45284</v>
      </c>
      <c r="K1819" t="e">
        <f t="shared" si="56"/>
        <v>#N/A</v>
      </c>
    </row>
    <row r="1820" spans="10:11" x14ac:dyDescent="0.25">
      <c r="J1820" s="1">
        <f t="shared" si="57"/>
        <v>45285</v>
      </c>
      <c r="K1820" t="e">
        <f t="shared" si="56"/>
        <v>#N/A</v>
      </c>
    </row>
    <row r="1821" spans="10:11" x14ac:dyDescent="0.25">
      <c r="J1821" s="1">
        <f t="shared" si="57"/>
        <v>45286</v>
      </c>
      <c r="K1821" t="e">
        <f t="shared" si="56"/>
        <v>#N/A</v>
      </c>
    </row>
    <row r="1822" spans="10:11" x14ac:dyDescent="0.25">
      <c r="J1822" s="1">
        <f t="shared" si="57"/>
        <v>45287</v>
      </c>
      <c r="K1822" t="e">
        <f t="shared" si="56"/>
        <v>#N/A</v>
      </c>
    </row>
    <row r="1823" spans="10:11" x14ac:dyDescent="0.25">
      <c r="J1823" s="1">
        <f t="shared" si="57"/>
        <v>45288</v>
      </c>
      <c r="K1823" t="e">
        <f t="shared" si="56"/>
        <v>#N/A</v>
      </c>
    </row>
    <row r="1824" spans="10:11" x14ac:dyDescent="0.25">
      <c r="J1824" s="1">
        <f t="shared" si="57"/>
        <v>45289</v>
      </c>
      <c r="K1824" t="e">
        <f t="shared" si="56"/>
        <v>#N/A</v>
      </c>
    </row>
    <row r="1825" spans="10:11" x14ac:dyDescent="0.25">
      <c r="J1825" s="1">
        <f t="shared" si="57"/>
        <v>45290</v>
      </c>
      <c r="K1825" t="e">
        <f t="shared" si="56"/>
        <v>#N/A</v>
      </c>
    </row>
    <row r="1826" spans="10:11" x14ac:dyDescent="0.25">
      <c r="J1826" s="1">
        <f t="shared" si="57"/>
        <v>45291</v>
      </c>
      <c r="K1826" t="e">
        <f t="shared" si="56"/>
        <v>#N/A</v>
      </c>
    </row>
    <row r="1827" spans="10:11" x14ac:dyDescent="0.25">
      <c r="J1827" s="1"/>
    </row>
  </sheetData>
  <autoFilter ref="A1:I1452" xr:uid="{64396CD4-DD8F-4E8E-B3AB-BCDDFDEBF3C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C594-75E0-4225-8163-4CB5EF21E33F}">
  <dimension ref="A1:E1827"/>
  <sheetViews>
    <sheetView tabSelected="1" workbookViewId="0">
      <selection activeCell="K23" sqref="K23"/>
    </sheetView>
  </sheetViews>
  <sheetFormatPr baseColWidth="10" defaultRowHeight="15" x14ac:dyDescent="0.25"/>
  <cols>
    <col min="3" max="3" width="11.7109375" bestFit="1" customWidth="1"/>
    <col min="4" max="4" width="14.5703125" customWidth="1"/>
  </cols>
  <sheetData>
    <row r="1" spans="1:5" x14ac:dyDescent="0.25">
      <c r="A1" t="s">
        <v>34</v>
      </c>
      <c r="B1" t="s">
        <v>35</v>
      </c>
      <c r="C1" t="s">
        <v>22</v>
      </c>
      <c r="D1" t="s">
        <v>36</v>
      </c>
      <c r="E1" t="s">
        <v>23</v>
      </c>
    </row>
    <row r="2" spans="1:5" x14ac:dyDescent="0.25">
      <c r="A2" s="1">
        <v>43466</v>
      </c>
      <c r="B2" s="2">
        <f>IFERROR(Torres!K1, 0) + IFERROR('San José'!K1, 0) + IFERROR(Terraplaza!K1, 0)</f>
        <v>162.75</v>
      </c>
      <c r="C2">
        <v>59.25</v>
      </c>
      <c r="D2" t="e">
        <v>#N/A</v>
      </c>
      <c r="E2">
        <v>103.5</v>
      </c>
    </row>
    <row r="3" spans="1:5" x14ac:dyDescent="0.25">
      <c r="A3" s="1">
        <v>43467</v>
      </c>
      <c r="B3" s="2">
        <f>IFERROR(Torres!K2, 0) + IFERROR('San José'!K2, 0) + IFERROR(Terraplaza!K2, 0)</f>
        <v>140.25</v>
      </c>
      <c r="C3">
        <v>60.75</v>
      </c>
      <c r="D3" t="e">
        <v>#N/A</v>
      </c>
      <c r="E3">
        <v>79.5</v>
      </c>
    </row>
    <row r="4" spans="1:5" x14ac:dyDescent="0.25">
      <c r="A4" s="1">
        <v>43468</v>
      </c>
      <c r="B4" s="2">
        <f>IFERROR(Torres!K3, 0) + IFERROR('San José'!K3, 0) + IFERROR(Terraplaza!K3, 0)</f>
        <v>127</v>
      </c>
      <c r="C4">
        <v>38</v>
      </c>
      <c r="D4" t="e">
        <v>#N/A</v>
      </c>
      <c r="E4">
        <v>89</v>
      </c>
    </row>
    <row r="5" spans="1:5" x14ac:dyDescent="0.25">
      <c r="A5" s="1">
        <v>43469</v>
      </c>
      <c r="B5" s="2">
        <f>IFERROR(Torres!K4, 0) + IFERROR('San José'!K4, 0) + IFERROR(Terraplaza!K4, 0)</f>
        <v>108.75</v>
      </c>
      <c r="C5">
        <v>41.25</v>
      </c>
      <c r="D5" t="e">
        <v>#N/A</v>
      </c>
      <c r="E5">
        <v>67.5</v>
      </c>
    </row>
    <row r="6" spans="1:5" x14ac:dyDescent="0.25">
      <c r="A6" s="1">
        <v>43470</v>
      </c>
      <c r="B6" s="2">
        <f>IFERROR(Torres!K5, 0) + IFERROR('San José'!K5, 0) + IFERROR(Terraplaza!K5, 0)</f>
        <v>121.25</v>
      </c>
      <c r="C6">
        <v>32.75</v>
      </c>
      <c r="D6" t="e">
        <v>#N/A</v>
      </c>
      <c r="E6">
        <v>88.5</v>
      </c>
    </row>
    <row r="7" spans="1:5" x14ac:dyDescent="0.25">
      <c r="A7" s="1">
        <v>43471</v>
      </c>
      <c r="B7" s="2">
        <f>IFERROR(Torres!K6, 0) + IFERROR('San José'!K6, 0) + IFERROR(Terraplaza!K6, 0)</f>
        <v>95.75</v>
      </c>
      <c r="C7">
        <v>23.75</v>
      </c>
      <c r="D7" t="e">
        <v>#N/A</v>
      </c>
      <c r="E7">
        <v>72</v>
      </c>
    </row>
    <row r="8" spans="1:5" x14ac:dyDescent="0.25">
      <c r="A8" s="1">
        <v>43472</v>
      </c>
      <c r="B8" s="2">
        <f>IFERROR(Torres!K7, 0) + IFERROR('San José'!K7, 0) + IFERROR(Terraplaza!K7, 0)</f>
        <v>140.25</v>
      </c>
      <c r="C8">
        <v>53.25</v>
      </c>
      <c r="D8" t="e">
        <v>#N/A</v>
      </c>
      <c r="E8">
        <v>87</v>
      </c>
    </row>
    <row r="9" spans="1:5" x14ac:dyDescent="0.25">
      <c r="A9" s="1">
        <v>43473</v>
      </c>
      <c r="B9" s="2">
        <f>IFERROR(Torres!K8, 0) + IFERROR('San José'!K8, 0) + IFERROR(Terraplaza!K8, 0)</f>
        <v>113.75</v>
      </c>
      <c r="C9">
        <v>53.75</v>
      </c>
      <c r="D9" t="e">
        <v>#N/A</v>
      </c>
      <c r="E9">
        <v>60</v>
      </c>
    </row>
    <row r="10" spans="1:5" x14ac:dyDescent="0.25">
      <c r="A10" s="1">
        <v>43474</v>
      </c>
      <c r="B10" s="2">
        <f>IFERROR(Torres!K9, 0) + IFERROR('San José'!K9, 0) + IFERROR(Terraplaza!K9, 0)</f>
        <v>114.25</v>
      </c>
      <c r="C10">
        <v>52.25</v>
      </c>
      <c r="D10" t="e">
        <v>#N/A</v>
      </c>
      <c r="E10">
        <v>62</v>
      </c>
    </row>
    <row r="11" spans="1:5" x14ac:dyDescent="0.25">
      <c r="A11" s="1">
        <v>43475</v>
      </c>
      <c r="B11" s="2">
        <f>IFERROR(Torres!K10, 0) + IFERROR('San José'!K10, 0) + IFERROR(Terraplaza!K10, 0)</f>
        <v>106.5</v>
      </c>
      <c r="C11">
        <v>46.5</v>
      </c>
      <c r="D11" t="e">
        <v>#N/A</v>
      </c>
      <c r="E11">
        <v>60</v>
      </c>
    </row>
    <row r="12" spans="1:5" x14ac:dyDescent="0.25">
      <c r="A12" s="1">
        <v>43476</v>
      </c>
      <c r="B12" s="2">
        <f>IFERROR(Torres!K11, 0) + IFERROR('San José'!K11, 0) + IFERROR(Terraplaza!K11, 0)</f>
        <v>123</v>
      </c>
      <c r="C12">
        <v>50.5</v>
      </c>
      <c r="D12" t="e">
        <v>#N/A</v>
      </c>
      <c r="E12">
        <v>72.5</v>
      </c>
    </row>
    <row r="13" spans="1:5" x14ac:dyDescent="0.25">
      <c r="A13" s="1">
        <v>43477</v>
      </c>
      <c r="B13" s="2">
        <f>IFERROR(Torres!K12, 0) + IFERROR('San José'!K12, 0) + IFERROR(Terraplaza!K12, 0)</f>
        <v>145.5</v>
      </c>
      <c r="C13">
        <v>73</v>
      </c>
      <c r="D13" t="e">
        <v>#N/A</v>
      </c>
      <c r="E13">
        <v>72.5</v>
      </c>
    </row>
    <row r="14" spans="1:5" x14ac:dyDescent="0.25">
      <c r="A14" s="1">
        <v>43478</v>
      </c>
      <c r="B14" s="2">
        <f>IFERROR(Torres!K13, 0) + IFERROR('San José'!K13, 0) + IFERROR(Terraplaza!K13, 0)</f>
        <v>132.25</v>
      </c>
      <c r="C14">
        <v>48.75</v>
      </c>
      <c r="D14" t="e">
        <v>#N/A</v>
      </c>
      <c r="E14">
        <v>83.5</v>
      </c>
    </row>
    <row r="15" spans="1:5" x14ac:dyDescent="0.25">
      <c r="A15" s="1">
        <v>43479</v>
      </c>
      <c r="B15" s="2">
        <f>IFERROR(Torres!K14, 0) + IFERROR('San José'!K14, 0) + IFERROR(Terraplaza!K14, 0)</f>
        <v>76.25</v>
      </c>
      <c r="C15">
        <v>18.25</v>
      </c>
      <c r="D15" t="e">
        <v>#N/A</v>
      </c>
      <c r="E15">
        <v>58</v>
      </c>
    </row>
    <row r="16" spans="1:5" x14ac:dyDescent="0.25">
      <c r="A16" s="1">
        <v>43480</v>
      </c>
      <c r="B16" s="2">
        <f>IFERROR(Torres!K15, 0) + IFERROR('San José'!K15, 0) + IFERROR(Terraplaza!K15, 0)</f>
        <v>104.5</v>
      </c>
      <c r="C16">
        <v>45.5</v>
      </c>
      <c r="D16" t="e">
        <v>#N/A</v>
      </c>
      <c r="E16">
        <v>59</v>
      </c>
    </row>
    <row r="17" spans="1:5" x14ac:dyDescent="0.25">
      <c r="A17" s="1">
        <v>43481</v>
      </c>
      <c r="B17" s="2">
        <f>IFERROR(Torres!K16, 0) + IFERROR('San José'!K16, 0) + IFERROR(Terraplaza!K16, 0)</f>
        <v>111.75</v>
      </c>
      <c r="C17">
        <v>49.75</v>
      </c>
      <c r="D17" t="e">
        <v>#N/A</v>
      </c>
      <c r="E17">
        <v>62</v>
      </c>
    </row>
    <row r="18" spans="1:5" x14ac:dyDescent="0.25">
      <c r="A18" s="1">
        <v>43482</v>
      </c>
      <c r="B18" s="2">
        <f>IFERROR(Torres!K17, 0) + IFERROR('San José'!K17, 0) + IFERROR(Terraplaza!K17, 0)</f>
        <v>71.25</v>
      </c>
      <c r="C18">
        <v>26.75</v>
      </c>
      <c r="D18" t="e">
        <v>#N/A</v>
      </c>
      <c r="E18">
        <v>44.5</v>
      </c>
    </row>
    <row r="19" spans="1:5" x14ac:dyDescent="0.25">
      <c r="A19" s="1">
        <v>43483</v>
      </c>
      <c r="B19" s="2">
        <f>IFERROR(Torres!K18, 0) + IFERROR('San José'!K18, 0) + IFERROR(Terraplaza!K18, 0)</f>
        <v>32.75</v>
      </c>
      <c r="C19">
        <v>32.75</v>
      </c>
      <c r="D19" t="e">
        <v>#N/A</v>
      </c>
      <c r="E19">
        <v>0</v>
      </c>
    </row>
    <row r="20" spans="1:5" x14ac:dyDescent="0.25">
      <c r="A20" s="1">
        <v>43484</v>
      </c>
      <c r="B20" s="2">
        <f>IFERROR(Torres!K19, 0) + IFERROR('San José'!K19, 0) + IFERROR(Terraplaza!K19, 0)</f>
        <v>152.5</v>
      </c>
      <c r="C20">
        <v>52.25</v>
      </c>
      <c r="D20" t="e">
        <v>#N/A</v>
      </c>
      <c r="E20">
        <v>100.25</v>
      </c>
    </row>
    <row r="21" spans="1:5" x14ac:dyDescent="0.25">
      <c r="A21" s="1">
        <v>43485</v>
      </c>
      <c r="B21" s="2">
        <f>IFERROR(Torres!K20, 0) + IFERROR('San José'!K20, 0) + IFERROR(Terraplaza!K20, 0)</f>
        <v>145.25</v>
      </c>
      <c r="C21">
        <v>61</v>
      </c>
      <c r="D21" t="e">
        <v>#N/A</v>
      </c>
      <c r="E21">
        <v>84.25</v>
      </c>
    </row>
    <row r="22" spans="1:5" x14ac:dyDescent="0.25">
      <c r="A22" s="1">
        <v>43486</v>
      </c>
      <c r="B22" s="2">
        <f>IFERROR(Torres!K21, 0) + IFERROR('San José'!K21, 0) + IFERROR(Terraplaza!K21, 0)</f>
        <v>76</v>
      </c>
      <c r="C22">
        <v>19</v>
      </c>
      <c r="D22" t="e">
        <v>#N/A</v>
      </c>
      <c r="E22">
        <v>57</v>
      </c>
    </row>
    <row r="23" spans="1:5" x14ac:dyDescent="0.25">
      <c r="A23" s="1">
        <v>43487</v>
      </c>
      <c r="B23" s="2">
        <f>IFERROR(Torres!K22, 0) + IFERROR('San José'!K22, 0) + IFERROR(Terraplaza!K22, 0)</f>
        <v>74.625</v>
      </c>
      <c r="C23">
        <v>29.125</v>
      </c>
      <c r="D23" t="e">
        <v>#N/A</v>
      </c>
      <c r="E23">
        <v>45.5</v>
      </c>
    </row>
    <row r="24" spans="1:5" x14ac:dyDescent="0.25">
      <c r="A24" s="1">
        <v>43488</v>
      </c>
      <c r="B24" s="2">
        <f>IFERROR(Torres!K23, 0) + IFERROR('San José'!K23, 0) + IFERROR(Terraplaza!K23, 0)</f>
        <v>74.875</v>
      </c>
      <c r="C24">
        <v>24.875</v>
      </c>
      <c r="D24" t="e">
        <v>#N/A</v>
      </c>
      <c r="E24">
        <v>50</v>
      </c>
    </row>
    <row r="25" spans="1:5" x14ac:dyDescent="0.25">
      <c r="A25" s="1">
        <v>43489</v>
      </c>
      <c r="B25" s="2">
        <f>IFERROR(Torres!K24, 0) + IFERROR('San José'!K24, 0) + IFERROR(Terraplaza!K24, 0)</f>
        <v>57.5</v>
      </c>
      <c r="C25">
        <v>15</v>
      </c>
      <c r="D25" t="e">
        <v>#N/A</v>
      </c>
      <c r="E25">
        <v>42.5</v>
      </c>
    </row>
    <row r="26" spans="1:5" x14ac:dyDescent="0.25">
      <c r="A26" s="1">
        <v>43490</v>
      </c>
      <c r="B26" s="2">
        <f>IFERROR(Torres!K25, 0) + IFERROR('San José'!K25, 0) + IFERROR(Terraplaza!K25, 0)</f>
        <v>79.75</v>
      </c>
      <c r="C26">
        <v>17</v>
      </c>
      <c r="D26" t="e">
        <v>#N/A</v>
      </c>
      <c r="E26">
        <v>62.75</v>
      </c>
    </row>
    <row r="27" spans="1:5" x14ac:dyDescent="0.25">
      <c r="A27" s="1">
        <v>43491</v>
      </c>
      <c r="B27" s="2">
        <f>IFERROR(Torres!K26, 0) + IFERROR('San José'!K26, 0) + IFERROR(Terraplaza!K26, 0)</f>
        <v>125.75</v>
      </c>
      <c r="C27">
        <v>53</v>
      </c>
      <c r="D27" t="e">
        <v>#N/A</v>
      </c>
      <c r="E27">
        <v>72.75</v>
      </c>
    </row>
    <row r="28" spans="1:5" x14ac:dyDescent="0.25">
      <c r="A28" s="1">
        <v>43492</v>
      </c>
      <c r="B28" s="2">
        <f>IFERROR(Torres!K27, 0) + IFERROR('San José'!K27, 0) + IFERROR(Terraplaza!K27, 0)</f>
        <v>107.375</v>
      </c>
      <c r="C28">
        <v>37.375</v>
      </c>
      <c r="D28" t="e">
        <v>#N/A</v>
      </c>
      <c r="E28">
        <v>70</v>
      </c>
    </row>
    <row r="29" spans="1:5" x14ac:dyDescent="0.25">
      <c r="A29" s="1">
        <v>43493</v>
      </c>
      <c r="B29" s="2">
        <f>IFERROR(Torres!K28, 0) + IFERROR('San José'!K28, 0) + IFERROR(Terraplaza!K28, 0)</f>
        <v>48.625</v>
      </c>
      <c r="C29">
        <v>14.625</v>
      </c>
      <c r="D29" t="e">
        <v>#N/A</v>
      </c>
      <c r="E29">
        <v>34</v>
      </c>
    </row>
    <row r="30" spans="1:5" x14ac:dyDescent="0.25">
      <c r="A30" s="1">
        <v>43494</v>
      </c>
      <c r="B30" s="2">
        <f>IFERROR(Torres!K29, 0) + IFERROR('San José'!K29, 0) + IFERROR(Terraplaza!K29, 0)</f>
        <v>70.25</v>
      </c>
      <c r="C30">
        <v>27.25</v>
      </c>
      <c r="D30" t="e">
        <v>#N/A</v>
      </c>
      <c r="E30">
        <v>43</v>
      </c>
    </row>
    <row r="31" spans="1:5" x14ac:dyDescent="0.25">
      <c r="A31" s="1">
        <v>43495</v>
      </c>
      <c r="B31" s="2">
        <f>IFERROR(Torres!K30, 0) + IFERROR('San José'!K30, 0) + IFERROR(Terraplaza!K30, 0)</f>
        <v>67.375</v>
      </c>
      <c r="C31">
        <v>19.75</v>
      </c>
      <c r="D31" t="e">
        <v>#N/A</v>
      </c>
      <c r="E31">
        <v>47.625</v>
      </c>
    </row>
    <row r="32" spans="1:5" x14ac:dyDescent="0.25">
      <c r="A32" s="1">
        <v>43496</v>
      </c>
      <c r="B32" s="2">
        <f>IFERROR(Torres!K31, 0) + IFERROR('San José'!K31, 0) + IFERROR(Terraplaza!K31, 0)</f>
        <v>92.375</v>
      </c>
      <c r="C32">
        <v>23.5</v>
      </c>
      <c r="D32" t="e">
        <v>#N/A</v>
      </c>
      <c r="E32">
        <v>68.875</v>
      </c>
    </row>
    <row r="33" spans="1:5" x14ac:dyDescent="0.25">
      <c r="A33" s="1">
        <v>43497</v>
      </c>
      <c r="B33" s="2">
        <f>IFERROR(Torres!K32, 0) + IFERROR('San José'!K32, 0) + IFERROR(Terraplaza!K32, 0)</f>
        <v>117.5</v>
      </c>
      <c r="C33">
        <v>34.5</v>
      </c>
      <c r="D33" t="e">
        <v>#N/A</v>
      </c>
      <c r="E33">
        <v>83</v>
      </c>
    </row>
    <row r="34" spans="1:5" x14ac:dyDescent="0.25">
      <c r="A34" s="1">
        <v>43498</v>
      </c>
      <c r="B34" s="2">
        <f>IFERROR(Torres!K33, 0) + IFERROR('San José'!K33, 0) + IFERROR(Terraplaza!K33, 0)</f>
        <v>122.5</v>
      </c>
      <c r="C34">
        <v>45.5</v>
      </c>
      <c r="D34" t="e">
        <v>#N/A</v>
      </c>
      <c r="E34">
        <v>77</v>
      </c>
    </row>
    <row r="35" spans="1:5" x14ac:dyDescent="0.25">
      <c r="A35" s="1">
        <v>43499</v>
      </c>
      <c r="B35" s="2">
        <f>IFERROR(Torres!K34, 0) + IFERROR('San José'!K34, 0) + IFERROR(Terraplaza!K34, 0)</f>
        <v>145.25</v>
      </c>
      <c r="C35">
        <v>43.75</v>
      </c>
      <c r="D35" t="e">
        <v>#N/A</v>
      </c>
      <c r="E35">
        <v>101.5</v>
      </c>
    </row>
    <row r="36" spans="1:5" x14ac:dyDescent="0.25">
      <c r="A36" s="1">
        <v>43500</v>
      </c>
      <c r="B36" s="2">
        <f>IFERROR(Torres!K35, 0) + IFERROR('San José'!K35, 0) + IFERROR(Terraplaza!K35, 0)</f>
        <v>59.75</v>
      </c>
      <c r="C36">
        <v>13</v>
      </c>
      <c r="D36" t="e">
        <v>#N/A</v>
      </c>
      <c r="E36">
        <v>46.75</v>
      </c>
    </row>
    <row r="37" spans="1:5" x14ac:dyDescent="0.25">
      <c r="A37" s="1">
        <v>43501</v>
      </c>
      <c r="B37" s="2">
        <f>IFERROR(Torres!K36, 0) + IFERROR('San José'!K36, 0) + IFERROR(Terraplaza!K36, 0)</f>
        <v>56</v>
      </c>
      <c r="C37">
        <v>17.75</v>
      </c>
      <c r="D37" t="e">
        <v>#N/A</v>
      </c>
      <c r="E37">
        <v>38.25</v>
      </c>
    </row>
    <row r="38" spans="1:5" x14ac:dyDescent="0.25">
      <c r="A38" s="1">
        <v>43502</v>
      </c>
      <c r="B38" s="2">
        <f>IFERROR(Torres!K37, 0) + IFERROR('San José'!K37, 0) + IFERROR(Terraplaza!K37, 0)</f>
        <v>64.75</v>
      </c>
      <c r="C38">
        <v>22</v>
      </c>
      <c r="D38" t="e">
        <v>#N/A</v>
      </c>
      <c r="E38">
        <v>42.75</v>
      </c>
    </row>
    <row r="39" spans="1:5" x14ac:dyDescent="0.25">
      <c r="A39" s="1">
        <v>43503</v>
      </c>
      <c r="B39" s="2">
        <f>IFERROR(Torres!K38, 0) + IFERROR('San José'!K38, 0) + IFERROR(Terraplaza!K38, 0)</f>
        <v>52.75</v>
      </c>
      <c r="C39">
        <v>14.5</v>
      </c>
      <c r="D39" t="e">
        <v>#N/A</v>
      </c>
      <c r="E39">
        <v>38.25</v>
      </c>
    </row>
    <row r="40" spans="1:5" x14ac:dyDescent="0.25">
      <c r="A40" s="1">
        <v>43504</v>
      </c>
      <c r="B40" s="2">
        <f>IFERROR(Torres!K39, 0) + IFERROR('San José'!K39, 0) + IFERROR(Terraplaza!K39, 0)</f>
        <v>99</v>
      </c>
      <c r="C40">
        <v>29</v>
      </c>
      <c r="D40" t="e">
        <v>#N/A</v>
      </c>
      <c r="E40">
        <v>70</v>
      </c>
    </row>
    <row r="41" spans="1:5" x14ac:dyDescent="0.25">
      <c r="A41" s="1">
        <v>43505</v>
      </c>
      <c r="B41" s="2">
        <f>IFERROR(Torres!K40, 0) + IFERROR('San José'!K40, 0) + IFERROR(Terraplaza!K40, 0)</f>
        <v>120.5</v>
      </c>
      <c r="C41">
        <v>33.5</v>
      </c>
      <c r="D41" t="e">
        <v>#N/A</v>
      </c>
      <c r="E41">
        <v>87</v>
      </c>
    </row>
    <row r="42" spans="1:5" x14ac:dyDescent="0.25">
      <c r="A42" s="1">
        <v>43506</v>
      </c>
      <c r="B42" s="2">
        <f>IFERROR(Torres!K41, 0) + IFERROR('San José'!K41, 0) + IFERROR(Terraplaza!K41, 0)</f>
        <v>111</v>
      </c>
      <c r="C42">
        <v>33</v>
      </c>
      <c r="D42" t="e">
        <v>#N/A</v>
      </c>
      <c r="E42">
        <v>78</v>
      </c>
    </row>
    <row r="43" spans="1:5" x14ac:dyDescent="0.25">
      <c r="A43" s="1">
        <v>43507</v>
      </c>
      <c r="B43" s="2">
        <f>IFERROR(Torres!K42, 0) + IFERROR('San José'!K42, 0) + IFERROR(Terraplaza!K42, 0)</f>
        <v>44.25</v>
      </c>
      <c r="C43">
        <v>10</v>
      </c>
      <c r="D43" t="e">
        <v>#N/A</v>
      </c>
      <c r="E43">
        <v>34.25</v>
      </c>
    </row>
    <row r="44" spans="1:5" x14ac:dyDescent="0.25">
      <c r="A44" s="1">
        <v>43508</v>
      </c>
      <c r="B44" s="2">
        <f>IFERROR(Torres!K43, 0) + IFERROR('San José'!K43, 0) + IFERROR(Terraplaza!K43, 0)</f>
        <v>60.5</v>
      </c>
      <c r="C44">
        <v>16</v>
      </c>
      <c r="D44" t="e">
        <v>#N/A</v>
      </c>
      <c r="E44">
        <v>44.5</v>
      </c>
    </row>
    <row r="45" spans="1:5" x14ac:dyDescent="0.25">
      <c r="A45" s="1">
        <v>43509</v>
      </c>
      <c r="B45" s="2">
        <f>IFERROR(Torres!K44, 0) + IFERROR('San José'!K44, 0) + IFERROR(Terraplaza!K44, 0)</f>
        <v>62.25</v>
      </c>
      <c r="C45">
        <v>16</v>
      </c>
      <c r="D45" t="e">
        <v>#N/A</v>
      </c>
      <c r="E45">
        <v>46.25</v>
      </c>
    </row>
    <row r="46" spans="1:5" x14ac:dyDescent="0.25">
      <c r="A46" s="1">
        <v>43510</v>
      </c>
      <c r="B46" s="2">
        <f>IFERROR(Torres!K45, 0) + IFERROR('San José'!K45, 0) + IFERROR(Terraplaza!K45, 0)</f>
        <v>71.5</v>
      </c>
      <c r="C46">
        <v>17.5</v>
      </c>
      <c r="D46" t="e">
        <v>#N/A</v>
      </c>
      <c r="E46">
        <v>54</v>
      </c>
    </row>
    <row r="47" spans="1:5" x14ac:dyDescent="0.25">
      <c r="A47" s="1">
        <v>43511</v>
      </c>
      <c r="B47" s="2">
        <f>IFERROR(Torres!K46, 0) + IFERROR('San José'!K46, 0) + IFERROR(Terraplaza!K46, 0)</f>
        <v>83</v>
      </c>
      <c r="C47">
        <v>21.5</v>
      </c>
      <c r="D47" t="e">
        <v>#N/A</v>
      </c>
      <c r="E47">
        <v>61.5</v>
      </c>
    </row>
    <row r="48" spans="1:5" x14ac:dyDescent="0.25">
      <c r="A48" s="1">
        <v>43512</v>
      </c>
      <c r="B48" s="2">
        <f>IFERROR(Torres!K47, 0) + IFERROR('San José'!K47, 0) + IFERROR(Terraplaza!K47, 0)</f>
        <v>130</v>
      </c>
      <c r="C48">
        <v>35.5</v>
      </c>
      <c r="D48" t="e">
        <v>#N/A</v>
      </c>
      <c r="E48">
        <v>94.5</v>
      </c>
    </row>
    <row r="49" spans="1:5" x14ac:dyDescent="0.25">
      <c r="A49" s="1">
        <v>43513</v>
      </c>
      <c r="B49" s="2">
        <f>IFERROR(Torres!K48, 0) + IFERROR('San José'!K48, 0) + IFERROR(Terraplaza!K48, 0)</f>
        <v>121.25</v>
      </c>
      <c r="C49">
        <v>38.25</v>
      </c>
      <c r="D49" t="e">
        <v>#N/A</v>
      </c>
      <c r="E49">
        <v>83</v>
      </c>
    </row>
    <row r="50" spans="1:5" x14ac:dyDescent="0.25">
      <c r="A50" s="1">
        <v>43514</v>
      </c>
      <c r="B50" s="2">
        <f>IFERROR(Torres!K49, 0) + IFERROR('San José'!K49, 0) + IFERROR(Terraplaza!K49, 0)</f>
        <v>45.25</v>
      </c>
      <c r="C50">
        <v>7.25</v>
      </c>
      <c r="D50" t="e">
        <v>#N/A</v>
      </c>
      <c r="E50">
        <v>38</v>
      </c>
    </row>
    <row r="51" spans="1:5" x14ac:dyDescent="0.25">
      <c r="A51" s="1">
        <v>43515</v>
      </c>
      <c r="B51" s="2">
        <f>IFERROR(Torres!K50, 0) + IFERROR('San José'!K50, 0) + IFERROR(Terraplaza!K50, 0)</f>
        <v>47.5</v>
      </c>
      <c r="C51">
        <v>13.5</v>
      </c>
      <c r="D51" t="e">
        <v>#N/A</v>
      </c>
      <c r="E51">
        <v>34</v>
      </c>
    </row>
    <row r="52" spans="1:5" x14ac:dyDescent="0.25">
      <c r="A52" s="1">
        <v>43516</v>
      </c>
      <c r="B52" s="2">
        <f>IFERROR(Torres!K51, 0) + IFERROR('San José'!K51, 0) + IFERROR(Terraplaza!K51, 0)</f>
        <v>67.5</v>
      </c>
      <c r="C52">
        <v>14.5</v>
      </c>
      <c r="D52" t="e">
        <v>#N/A</v>
      </c>
      <c r="E52">
        <v>53</v>
      </c>
    </row>
    <row r="53" spans="1:5" x14ac:dyDescent="0.25">
      <c r="A53" s="1">
        <v>43517</v>
      </c>
      <c r="B53" s="2">
        <f>IFERROR(Torres!K52, 0) + IFERROR('San José'!K52, 0) + IFERROR(Terraplaza!K52, 0)</f>
        <v>64.375</v>
      </c>
      <c r="C53">
        <v>14.375</v>
      </c>
      <c r="D53" t="e">
        <v>#N/A</v>
      </c>
      <c r="E53">
        <v>50</v>
      </c>
    </row>
    <row r="54" spans="1:5" x14ac:dyDescent="0.25">
      <c r="A54" s="1">
        <v>43518</v>
      </c>
      <c r="B54" s="2">
        <f>IFERROR(Torres!K53, 0) + IFERROR('San José'!K53, 0) + IFERROR(Terraplaza!K53, 0)</f>
        <v>79.625</v>
      </c>
      <c r="C54">
        <v>19.125</v>
      </c>
      <c r="D54" t="e">
        <v>#N/A</v>
      </c>
      <c r="E54">
        <v>60.5</v>
      </c>
    </row>
    <row r="55" spans="1:5" x14ac:dyDescent="0.25">
      <c r="A55" s="1">
        <v>43519</v>
      </c>
      <c r="B55" s="2">
        <f>IFERROR(Torres!K54, 0) + IFERROR('San José'!K54, 0) + IFERROR(Terraplaza!K54, 0)</f>
        <v>106.75</v>
      </c>
      <c r="C55">
        <v>27.25</v>
      </c>
      <c r="D55" t="e">
        <v>#N/A</v>
      </c>
      <c r="E55">
        <v>79.5</v>
      </c>
    </row>
    <row r="56" spans="1:5" x14ac:dyDescent="0.25">
      <c r="A56" s="1">
        <v>43520</v>
      </c>
      <c r="B56" s="2">
        <f>IFERROR(Torres!K55, 0) + IFERROR('San José'!K55, 0) + IFERROR(Terraplaza!K55, 0)</f>
        <v>116</v>
      </c>
      <c r="C56">
        <v>42</v>
      </c>
      <c r="D56" t="e">
        <v>#N/A</v>
      </c>
      <c r="E56">
        <v>74</v>
      </c>
    </row>
    <row r="57" spans="1:5" x14ac:dyDescent="0.25">
      <c r="A57" s="1">
        <v>43521</v>
      </c>
      <c r="B57" s="2">
        <f>IFERROR(Torres!K56, 0) + IFERROR('San José'!K56, 0) + IFERROR(Terraplaza!K56, 0)</f>
        <v>54</v>
      </c>
      <c r="C57">
        <v>9.75</v>
      </c>
      <c r="D57" t="e">
        <v>#N/A</v>
      </c>
      <c r="E57">
        <v>44.25</v>
      </c>
    </row>
    <row r="58" spans="1:5" x14ac:dyDescent="0.25">
      <c r="A58" s="1">
        <v>43522</v>
      </c>
      <c r="B58" s="2">
        <f>IFERROR(Torres!K57, 0) + IFERROR('San José'!K57, 0) + IFERROR(Terraplaza!K57, 0)</f>
        <v>56</v>
      </c>
      <c r="C58">
        <v>13.75</v>
      </c>
      <c r="D58" t="e">
        <v>#N/A</v>
      </c>
      <c r="E58">
        <v>42.25</v>
      </c>
    </row>
    <row r="59" spans="1:5" x14ac:dyDescent="0.25">
      <c r="A59" s="1">
        <v>43523</v>
      </c>
      <c r="B59" s="2">
        <f>IFERROR(Torres!K58, 0) + IFERROR('San José'!K58, 0) + IFERROR(Terraplaza!K58, 0)</f>
        <v>66</v>
      </c>
      <c r="C59">
        <v>15.5</v>
      </c>
      <c r="D59" t="e">
        <v>#N/A</v>
      </c>
      <c r="E59">
        <v>50.5</v>
      </c>
    </row>
    <row r="60" spans="1:5" x14ac:dyDescent="0.25">
      <c r="A60" s="1">
        <v>43524</v>
      </c>
      <c r="B60" s="2">
        <f>IFERROR(Torres!K59, 0) + IFERROR('San José'!K59, 0) + IFERROR(Terraplaza!K59, 0)</f>
        <v>76.75</v>
      </c>
      <c r="C60">
        <v>25.25</v>
      </c>
      <c r="D60" t="e">
        <v>#N/A</v>
      </c>
      <c r="E60">
        <v>51.5</v>
      </c>
    </row>
    <row r="61" spans="1:5" x14ac:dyDescent="0.25">
      <c r="A61" s="1">
        <v>43525</v>
      </c>
      <c r="B61" s="2">
        <f>IFERROR(Torres!K60, 0) + IFERROR('San José'!K60, 0) + IFERROR(Terraplaza!K60, 0)</f>
        <v>103.125</v>
      </c>
      <c r="C61">
        <v>29.5</v>
      </c>
      <c r="D61" t="e">
        <v>#N/A</v>
      </c>
      <c r="E61">
        <v>73.625</v>
      </c>
    </row>
    <row r="62" spans="1:5" x14ac:dyDescent="0.25">
      <c r="A62" s="1">
        <v>43526</v>
      </c>
      <c r="B62" s="2">
        <f>IFERROR(Torres!K61, 0) + IFERROR('San José'!K61, 0) + IFERROR(Terraplaza!K61, 0)</f>
        <v>112.375</v>
      </c>
      <c r="C62">
        <v>37.5</v>
      </c>
      <c r="D62" t="e">
        <v>#N/A</v>
      </c>
      <c r="E62">
        <v>74.875</v>
      </c>
    </row>
    <row r="63" spans="1:5" x14ac:dyDescent="0.25">
      <c r="A63" s="1">
        <v>43527</v>
      </c>
      <c r="B63" s="2">
        <f>IFERROR(Torres!K62, 0) + IFERROR('San José'!K62, 0) + IFERROR(Terraplaza!K62, 0)</f>
        <v>106</v>
      </c>
      <c r="C63">
        <v>39.5</v>
      </c>
      <c r="D63" t="e">
        <v>#N/A</v>
      </c>
      <c r="E63">
        <v>66.5</v>
      </c>
    </row>
    <row r="64" spans="1:5" x14ac:dyDescent="0.25">
      <c r="A64" s="1">
        <v>43528</v>
      </c>
      <c r="B64" s="2">
        <f>IFERROR(Torres!K63, 0) + IFERROR('San José'!K63, 0) + IFERROR(Terraplaza!K63, 0)</f>
        <v>51.625</v>
      </c>
      <c r="C64">
        <v>11.625</v>
      </c>
      <c r="D64" t="e">
        <v>#N/A</v>
      </c>
      <c r="E64">
        <v>40</v>
      </c>
    </row>
    <row r="65" spans="1:5" x14ac:dyDescent="0.25">
      <c r="A65" s="1">
        <v>43529</v>
      </c>
      <c r="B65" s="2">
        <f>IFERROR(Torres!K64, 0) + IFERROR('San José'!K64, 0) + IFERROR(Terraplaza!K64, 0)</f>
        <v>48.875</v>
      </c>
      <c r="C65">
        <v>11.375</v>
      </c>
      <c r="D65" t="e">
        <v>#N/A</v>
      </c>
      <c r="E65">
        <v>37.5</v>
      </c>
    </row>
    <row r="66" spans="1:5" x14ac:dyDescent="0.25">
      <c r="A66" s="1">
        <v>43530</v>
      </c>
      <c r="B66" s="2">
        <f>IFERROR(Torres!K65, 0) + IFERROR('San José'!K65, 0) + IFERROR(Terraplaza!K65, 0)</f>
        <v>52.5</v>
      </c>
      <c r="C66">
        <v>13.5</v>
      </c>
      <c r="D66" t="e">
        <v>#N/A</v>
      </c>
      <c r="E66">
        <v>39</v>
      </c>
    </row>
    <row r="67" spans="1:5" x14ac:dyDescent="0.25">
      <c r="A67" s="1">
        <v>43531</v>
      </c>
      <c r="B67" s="2">
        <f>IFERROR(Torres!K66, 0) + IFERROR('San José'!K66, 0) + IFERROR(Terraplaza!K66, 0)</f>
        <v>63.25</v>
      </c>
      <c r="C67">
        <v>16.25</v>
      </c>
      <c r="D67" t="e">
        <v>#N/A</v>
      </c>
      <c r="E67">
        <v>47</v>
      </c>
    </row>
    <row r="68" spans="1:5" x14ac:dyDescent="0.25">
      <c r="A68" s="1">
        <v>43532</v>
      </c>
      <c r="B68" s="2">
        <f>IFERROR(Torres!K67, 0) + IFERROR('San José'!K67, 0) + IFERROR(Terraplaza!K67, 0)</f>
        <v>131</v>
      </c>
      <c r="C68">
        <v>32</v>
      </c>
      <c r="D68" t="e">
        <v>#N/A</v>
      </c>
      <c r="E68">
        <v>99</v>
      </c>
    </row>
    <row r="69" spans="1:5" x14ac:dyDescent="0.25">
      <c r="A69" s="1">
        <v>43533</v>
      </c>
      <c r="B69" s="2">
        <f>IFERROR(Torres!K68, 0) + IFERROR('San José'!K68, 0) + IFERROR(Terraplaza!K68, 0)</f>
        <v>124.25</v>
      </c>
      <c r="C69">
        <v>44.75</v>
      </c>
      <c r="D69" t="e">
        <v>#N/A</v>
      </c>
      <c r="E69">
        <v>79.5</v>
      </c>
    </row>
    <row r="70" spans="1:5" x14ac:dyDescent="0.25">
      <c r="A70" s="1">
        <v>43534</v>
      </c>
      <c r="B70" s="2">
        <f>IFERROR(Torres!K69, 0) + IFERROR('San José'!K69, 0) + IFERROR(Terraplaza!K69, 0)</f>
        <v>104.5</v>
      </c>
      <c r="C70">
        <v>34</v>
      </c>
      <c r="D70" t="e">
        <v>#N/A</v>
      </c>
      <c r="E70">
        <v>70.5</v>
      </c>
    </row>
    <row r="71" spans="1:5" x14ac:dyDescent="0.25">
      <c r="A71" s="1">
        <v>43535</v>
      </c>
      <c r="B71" s="2">
        <f>IFERROR(Torres!K70, 0) + IFERROR('San José'!K70, 0) + IFERROR(Terraplaza!K70, 0)</f>
        <v>45.75</v>
      </c>
      <c r="C71">
        <v>6.5</v>
      </c>
      <c r="D71" t="e">
        <v>#N/A</v>
      </c>
      <c r="E71">
        <v>39.25</v>
      </c>
    </row>
    <row r="72" spans="1:5" x14ac:dyDescent="0.25">
      <c r="A72" s="1">
        <v>43536</v>
      </c>
      <c r="B72" s="2">
        <f>IFERROR(Torres!K71, 0) + IFERROR('San José'!K71, 0) + IFERROR(Terraplaza!K71, 0)</f>
        <v>63.25</v>
      </c>
      <c r="C72">
        <v>21</v>
      </c>
      <c r="D72" t="e">
        <v>#N/A</v>
      </c>
      <c r="E72">
        <v>42.25</v>
      </c>
    </row>
    <row r="73" spans="1:5" x14ac:dyDescent="0.25">
      <c r="A73" s="1">
        <v>43537</v>
      </c>
      <c r="B73" s="2">
        <f>IFERROR(Torres!K72, 0) + IFERROR('San José'!K72, 0) + IFERROR(Terraplaza!K72, 0)</f>
        <v>51</v>
      </c>
      <c r="C73">
        <v>17.5</v>
      </c>
      <c r="D73" t="e">
        <v>#N/A</v>
      </c>
      <c r="E73">
        <v>33.5</v>
      </c>
    </row>
    <row r="74" spans="1:5" x14ac:dyDescent="0.25">
      <c r="A74" s="1">
        <v>43538</v>
      </c>
      <c r="B74" s="2">
        <f>IFERROR(Torres!K73, 0) + IFERROR('San José'!K73, 0) + IFERROR(Terraplaza!K73, 0)</f>
        <v>57</v>
      </c>
      <c r="C74">
        <v>19</v>
      </c>
      <c r="D74" t="e">
        <v>#N/A</v>
      </c>
      <c r="E74">
        <v>38</v>
      </c>
    </row>
    <row r="75" spans="1:5" x14ac:dyDescent="0.25">
      <c r="A75" s="1">
        <v>43539</v>
      </c>
      <c r="B75" s="2">
        <f>IFERROR(Torres!K74, 0) + IFERROR('San José'!K74, 0) + IFERROR(Terraplaza!K74, 0)</f>
        <v>94.5</v>
      </c>
      <c r="C75">
        <v>27</v>
      </c>
      <c r="D75" t="e">
        <v>#N/A</v>
      </c>
      <c r="E75">
        <v>67.5</v>
      </c>
    </row>
    <row r="76" spans="1:5" x14ac:dyDescent="0.25">
      <c r="A76" s="1">
        <v>43540</v>
      </c>
      <c r="B76" s="2">
        <f>IFERROR(Torres!K75, 0) + IFERROR('San José'!K75, 0) + IFERROR(Terraplaza!K75, 0)</f>
        <v>101</v>
      </c>
      <c r="C76">
        <v>35</v>
      </c>
      <c r="D76" t="e">
        <v>#N/A</v>
      </c>
      <c r="E76">
        <v>66</v>
      </c>
    </row>
    <row r="77" spans="1:5" x14ac:dyDescent="0.25">
      <c r="A77" s="1">
        <v>43541</v>
      </c>
      <c r="B77" s="2">
        <f>IFERROR(Torres!K76, 0) + IFERROR('San José'!K76, 0) + IFERROR(Terraplaza!K76, 0)</f>
        <v>110.75</v>
      </c>
      <c r="C77">
        <v>35.25</v>
      </c>
      <c r="D77" t="e">
        <v>#N/A</v>
      </c>
      <c r="E77">
        <v>75.5</v>
      </c>
    </row>
    <row r="78" spans="1:5" x14ac:dyDescent="0.25">
      <c r="A78" s="1">
        <v>43542</v>
      </c>
      <c r="B78" s="2">
        <f>IFERROR(Torres!K77, 0) + IFERROR('San José'!K77, 0) + IFERROR(Terraplaza!K77, 0)</f>
        <v>40.875</v>
      </c>
      <c r="C78">
        <v>12.875</v>
      </c>
      <c r="D78" t="e">
        <v>#N/A</v>
      </c>
      <c r="E78">
        <v>28</v>
      </c>
    </row>
    <row r="79" spans="1:5" x14ac:dyDescent="0.25">
      <c r="A79" s="1">
        <v>43543</v>
      </c>
      <c r="B79" s="2">
        <f>IFERROR(Torres!K78, 0) + IFERROR('San José'!K78, 0) + IFERROR(Terraplaza!K78, 0)</f>
        <v>55.875</v>
      </c>
      <c r="C79">
        <v>19.875</v>
      </c>
      <c r="D79" t="e">
        <v>#N/A</v>
      </c>
      <c r="E79">
        <v>36</v>
      </c>
    </row>
    <row r="80" spans="1:5" x14ac:dyDescent="0.25">
      <c r="A80" s="1">
        <v>43544</v>
      </c>
      <c r="B80" s="2">
        <f>IFERROR(Torres!K79, 0) + IFERROR('San José'!K79, 0) + IFERROR(Terraplaza!K79, 0)</f>
        <v>55.5</v>
      </c>
      <c r="C80">
        <v>15.5</v>
      </c>
      <c r="D80" t="e">
        <v>#N/A</v>
      </c>
      <c r="E80">
        <v>40</v>
      </c>
    </row>
    <row r="81" spans="1:5" x14ac:dyDescent="0.25">
      <c r="A81" s="1">
        <v>43545</v>
      </c>
      <c r="B81" s="2">
        <f>IFERROR(Torres!K80, 0) + IFERROR('San José'!K80, 0) + IFERROR(Terraplaza!K80, 0)</f>
        <v>60.125</v>
      </c>
      <c r="C81">
        <v>16.875</v>
      </c>
      <c r="D81" t="e">
        <v>#N/A</v>
      </c>
      <c r="E81">
        <v>43.25</v>
      </c>
    </row>
    <row r="82" spans="1:5" x14ac:dyDescent="0.25">
      <c r="A82" s="1">
        <v>43546</v>
      </c>
      <c r="B82" s="2">
        <f>IFERROR(Torres!K81, 0) + IFERROR('San José'!K81, 0) + IFERROR(Terraplaza!K81, 0)</f>
        <v>84.375</v>
      </c>
      <c r="C82">
        <v>27.625</v>
      </c>
      <c r="D82" t="e">
        <v>#N/A</v>
      </c>
      <c r="E82">
        <v>56.75</v>
      </c>
    </row>
    <row r="83" spans="1:5" x14ac:dyDescent="0.25">
      <c r="A83" s="1">
        <v>43547</v>
      </c>
      <c r="B83" s="2">
        <f>IFERROR(Torres!K82, 0) + IFERROR('San José'!K82, 0) + IFERROR(Terraplaza!K82, 0)</f>
        <v>118</v>
      </c>
      <c r="C83">
        <v>42</v>
      </c>
      <c r="D83" t="e">
        <v>#N/A</v>
      </c>
      <c r="E83">
        <v>76</v>
      </c>
    </row>
    <row r="84" spans="1:5" x14ac:dyDescent="0.25">
      <c r="A84" s="1">
        <v>43548</v>
      </c>
      <c r="B84" s="2">
        <f>IFERROR(Torres!K83, 0) + IFERROR('San José'!K83, 0) + IFERROR(Terraplaza!K83, 0)</f>
        <v>121</v>
      </c>
      <c r="C84">
        <v>35</v>
      </c>
      <c r="D84" t="e">
        <v>#N/A</v>
      </c>
      <c r="E84">
        <v>86</v>
      </c>
    </row>
    <row r="85" spans="1:5" x14ac:dyDescent="0.25">
      <c r="A85" s="1">
        <v>43549</v>
      </c>
      <c r="B85" s="2">
        <f>IFERROR(Torres!K84, 0) + IFERROR('San José'!K84, 0) + IFERROR(Terraplaza!K84, 0)</f>
        <v>112.5</v>
      </c>
      <c r="C85">
        <v>37</v>
      </c>
      <c r="D85" t="e">
        <v>#N/A</v>
      </c>
      <c r="E85">
        <v>75.5</v>
      </c>
    </row>
    <row r="86" spans="1:5" x14ac:dyDescent="0.25">
      <c r="A86" s="1">
        <v>43550</v>
      </c>
      <c r="B86" s="2">
        <f>IFERROR(Torres!K85, 0) + IFERROR('San José'!K85, 0) + IFERROR(Terraplaza!K85, 0)</f>
        <v>52.5</v>
      </c>
      <c r="C86">
        <v>15.5</v>
      </c>
      <c r="D86" t="e">
        <v>#N/A</v>
      </c>
      <c r="E86">
        <v>37</v>
      </c>
    </row>
    <row r="87" spans="1:5" x14ac:dyDescent="0.25">
      <c r="A87" s="1">
        <v>43551</v>
      </c>
      <c r="B87" s="2">
        <f>IFERROR(Torres!K86, 0) + IFERROR('San José'!K86, 0) + IFERROR(Terraplaza!K86, 0)</f>
        <v>61.5</v>
      </c>
      <c r="C87">
        <v>22.5</v>
      </c>
      <c r="D87" t="e">
        <v>#N/A</v>
      </c>
      <c r="E87">
        <v>39</v>
      </c>
    </row>
    <row r="88" spans="1:5" x14ac:dyDescent="0.25">
      <c r="A88" s="1">
        <v>43552</v>
      </c>
      <c r="B88" s="2">
        <f>IFERROR(Torres!K87, 0) + IFERROR('San José'!K87, 0) + IFERROR(Terraplaza!K87, 0)</f>
        <v>54.75</v>
      </c>
      <c r="C88">
        <v>13.75</v>
      </c>
      <c r="D88" t="e">
        <v>#N/A</v>
      </c>
      <c r="E88">
        <v>41</v>
      </c>
    </row>
    <row r="89" spans="1:5" x14ac:dyDescent="0.25">
      <c r="A89" s="1">
        <v>43553</v>
      </c>
      <c r="B89" s="2">
        <f>IFERROR(Torres!K88, 0) + IFERROR('San José'!K88, 0) + IFERROR(Terraplaza!K88, 0)</f>
        <v>87.75</v>
      </c>
      <c r="C89">
        <v>26.25</v>
      </c>
      <c r="D89" t="e">
        <v>#N/A</v>
      </c>
      <c r="E89">
        <v>61.5</v>
      </c>
    </row>
    <row r="90" spans="1:5" x14ac:dyDescent="0.25">
      <c r="A90" s="1">
        <v>43554</v>
      </c>
      <c r="B90" s="2">
        <f>IFERROR(Torres!K89, 0) + IFERROR('San José'!K89, 0) + IFERROR(Terraplaza!K89, 0)</f>
        <v>142.375</v>
      </c>
      <c r="C90">
        <v>58.375</v>
      </c>
      <c r="D90" t="e">
        <v>#N/A</v>
      </c>
      <c r="E90">
        <v>84</v>
      </c>
    </row>
    <row r="91" spans="1:5" x14ac:dyDescent="0.25">
      <c r="A91" s="1">
        <v>43555</v>
      </c>
      <c r="B91" s="2">
        <f>IFERROR(Torres!K90, 0) + IFERROR('San José'!K90, 0) + IFERROR(Terraplaza!K90, 0)</f>
        <v>141.125</v>
      </c>
      <c r="C91">
        <v>49.625</v>
      </c>
      <c r="D91" t="e">
        <v>#N/A</v>
      </c>
      <c r="E91">
        <v>91.5</v>
      </c>
    </row>
    <row r="92" spans="1:5" x14ac:dyDescent="0.25">
      <c r="A92" s="1">
        <v>43556</v>
      </c>
      <c r="B92" s="2">
        <f>IFERROR(Torres!K91, 0) + IFERROR('San José'!K91, 0) + IFERROR(Terraplaza!K91, 0)</f>
        <v>41</v>
      </c>
      <c r="C92">
        <v>11.75</v>
      </c>
      <c r="D92" t="e">
        <v>#N/A</v>
      </c>
      <c r="E92">
        <v>29.25</v>
      </c>
    </row>
    <row r="93" spans="1:5" x14ac:dyDescent="0.25">
      <c r="A93" s="1">
        <v>43557</v>
      </c>
      <c r="B93" s="2">
        <f>IFERROR(Torres!K92, 0) + IFERROR('San José'!K92, 0) + IFERROR(Terraplaza!K92, 0)</f>
        <v>60.75</v>
      </c>
      <c r="C93">
        <v>19</v>
      </c>
      <c r="D93" t="e">
        <v>#N/A</v>
      </c>
      <c r="E93">
        <v>41.75</v>
      </c>
    </row>
    <row r="94" spans="1:5" x14ac:dyDescent="0.25">
      <c r="A94" s="1">
        <v>43558</v>
      </c>
      <c r="B94" s="2">
        <f>IFERROR(Torres!K93, 0) + IFERROR('San José'!K93, 0) + IFERROR(Terraplaza!K93, 0)</f>
        <v>74.25</v>
      </c>
      <c r="C94">
        <v>25.25</v>
      </c>
      <c r="D94" t="e">
        <v>#N/A</v>
      </c>
      <c r="E94">
        <v>49</v>
      </c>
    </row>
    <row r="95" spans="1:5" x14ac:dyDescent="0.25">
      <c r="A95" s="1">
        <v>43559</v>
      </c>
      <c r="B95" s="2">
        <f>IFERROR(Torres!K94, 0) + IFERROR('San José'!K94, 0) + IFERROR(Terraplaza!K94, 0)</f>
        <v>79.5</v>
      </c>
      <c r="C95">
        <v>23</v>
      </c>
      <c r="D95" t="e">
        <v>#N/A</v>
      </c>
      <c r="E95">
        <v>56.5</v>
      </c>
    </row>
    <row r="96" spans="1:5" x14ac:dyDescent="0.25">
      <c r="A96" s="1">
        <v>43560</v>
      </c>
      <c r="B96" s="2">
        <f>IFERROR(Torres!K95, 0) + IFERROR('San José'!K95, 0) + IFERROR(Terraplaza!K95, 0)</f>
        <v>101</v>
      </c>
      <c r="C96">
        <v>34</v>
      </c>
      <c r="D96" t="e">
        <v>#N/A</v>
      </c>
      <c r="E96">
        <v>67</v>
      </c>
    </row>
    <row r="97" spans="1:5" x14ac:dyDescent="0.25">
      <c r="A97" s="1">
        <v>43561</v>
      </c>
      <c r="B97" s="2">
        <f>IFERROR(Torres!K96, 0) + IFERROR('San José'!K96, 0) + IFERROR(Terraplaza!K96, 0)</f>
        <v>134</v>
      </c>
      <c r="C97">
        <v>53</v>
      </c>
      <c r="D97" t="e">
        <v>#N/A</v>
      </c>
      <c r="E97">
        <v>81</v>
      </c>
    </row>
    <row r="98" spans="1:5" x14ac:dyDescent="0.25">
      <c r="A98" s="1">
        <v>43562</v>
      </c>
      <c r="B98" s="2">
        <f>IFERROR(Torres!K97, 0) + IFERROR('San José'!K97, 0) + IFERROR(Terraplaza!K97, 0)</f>
        <v>138</v>
      </c>
      <c r="C98">
        <v>63</v>
      </c>
      <c r="D98" t="e">
        <v>#N/A</v>
      </c>
      <c r="E98">
        <v>75</v>
      </c>
    </row>
    <row r="99" spans="1:5" x14ac:dyDescent="0.25">
      <c r="A99" s="1">
        <v>43563</v>
      </c>
      <c r="B99" s="2">
        <f>IFERROR(Torres!K98, 0) + IFERROR('San José'!K98, 0) + IFERROR(Terraplaza!K98, 0)</f>
        <v>48</v>
      </c>
      <c r="C99">
        <v>14.75</v>
      </c>
      <c r="D99" t="e">
        <v>#N/A</v>
      </c>
      <c r="E99">
        <v>33.25</v>
      </c>
    </row>
    <row r="100" spans="1:5" x14ac:dyDescent="0.25">
      <c r="A100" s="1">
        <v>43564</v>
      </c>
      <c r="B100" s="2">
        <f>IFERROR(Torres!K99, 0) + IFERROR('San José'!K99, 0) + IFERROR(Terraplaza!K99, 0)</f>
        <v>65.375</v>
      </c>
      <c r="C100">
        <v>23.875</v>
      </c>
      <c r="D100" t="e">
        <v>#N/A</v>
      </c>
      <c r="E100">
        <v>41.5</v>
      </c>
    </row>
    <row r="101" spans="1:5" x14ac:dyDescent="0.25">
      <c r="A101" s="1">
        <v>43565</v>
      </c>
      <c r="B101" s="2">
        <f>IFERROR(Torres!K100, 0) + IFERROR('San José'!K100, 0) + IFERROR(Terraplaza!K100, 0)</f>
        <v>60.625</v>
      </c>
      <c r="C101">
        <v>21.375</v>
      </c>
      <c r="D101" t="e">
        <v>#N/A</v>
      </c>
      <c r="E101">
        <v>39.25</v>
      </c>
    </row>
    <row r="102" spans="1:5" x14ac:dyDescent="0.25">
      <c r="A102" s="1">
        <v>43566</v>
      </c>
      <c r="B102" s="2">
        <f>IFERROR(Torres!K101, 0) + IFERROR('San José'!K101, 0) + IFERROR(Terraplaza!K101, 0)</f>
        <v>67.5</v>
      </c>
      <c r="C102">
        <v>23.5</v>
      </c>
      <c r="D102" t="e">
        <v>#N/A</v>
      </c>
      <c r="E102">
        <v>44</v>
      </c>
    </row>
    <row r="103" spans="1:5" x14ac:dyDescent="0.25">
      <c r="A103" s="1">
        <v>43567</v>
      </c>
      <c r="B103" s="2">
        <f>IFERROR(Torres!K102, 0) + IFERROR('San José'!K102, 0) + IFERROR(Terraplaza!K102, 0)</f>
        <v>89.125</v>
      </c>
      <c r="C103">
        <v>36.125</v>
      </c>
      <c r="D103" t="e">
        <v>#N/A</v>
      </c>
      <c r="E103">
        <v>53</v>
      </c>
    </row>
    <row r="104" spans="1:5" x14ac:dyDescent="0.25">
      <c r="A104" s="1">
        <v>43568</v>
      </c>
      <c r="B104" s="2">
        <f>IFERROR(Torres!K103, 0) + IFERROR('San José'!K103, 0) + IFERROR(Terraplaza!K103, 0)</f>
        <v>132.625</v>
      </c>
      <c r="C104">
        <v>42.375</v>
      </c>
      <c r="D104" t="e">
        <v>#N/A</v>
      </c>
      <c r="E104">
        <v>90.25</v>
      </c>
    </row>
    <row r="105" spans="1:5" x14ac:dyDescent="0.25">
      <c r="A105" s="1">
        <v>43569</v>
      </c>
      <c r="B105" s="2">
        <f>IFERROR(Torres!K104, 0) + IFERROR('San José'!K104, 0) + IFERROR(Terraplaza!K104, 0)</f>
        <v>123.75</v>
      </c>
      <c r="C105">
        <v>60</v>
      </c>
      <c r="D105" t="e">
        <v>#N/A</v>
      </c>
      <c r="E105">
        <v>63.75</v>
      </c>
    </row>
    <row r="106" spans="1:5" x14ac:dyDescent="0.25">
      <c r="A106" s="1">
        <v>43570</v>
      </c>
      <c r="B106" s="2">
        <f>IFERROR(Torres!K105, 0) + IFERROR('San José'!K105, 0) + IFERROR(Terraplaza!K105, 0)</f>
        <v>87.75</v>
      </c>
      <c r="C106">
        <v>32.5</v>
      </c>
      <c r="D106" t="e">
        <v>#N/A</v>
      </c>
      <c r="E106">
        <v>55.25</v>
      </c>
    </row>
    <row r="107" spans="1:5" x14ac:dyDescent="0.25">
      <c r="A107" s="1">
        <v>43571</v>
      </c>
      <c r="B107" s="2">
        <f>IFERROR(Torres!K106, 0) + IFERROR('San José'!K106, 0) + IFERROR(Terraplaza!K106, 0)</f>
        <v>108.75</v>
      </c>
      <c r="C107">
        <v>39.5</v>
      </c>
      <c r="D107" t="e">
        <v>#N/A</v>
      </c>
      <c r="E107">
        <v>69.25</v>
      </c>
    </row>
    <row r="108" spans="1:5" x14ac:dyDescent="0.25">
      <c r="A108" s="1">
        <v>43572</v>
      </c>
      <c r="B108" s="2">
        <f>IFERROR(Torres!K107, 0) + IFERROR('San José'!K107, 0) + IFERROR(Terraplaza!K107, 0)</f>
        <v>126</v>
      </c>
      <c r="C108">
        <v>55</v>
      </c>
      <c r="D108" t="e">
        <v>#N/A</v>
      </c>
      <c r="E108">
        <v>71</v>
      </c>
    </row>
    <row r="109" spans="1:5" x14ac:dyDescent="0.25">
      <c r="A109" s="1">
        <v>43573</v>
      </c>
      <c r="B109" s="2">
        <f>IFERROR(Torres!K108, 0) + IFERROR('San José'!K108, 0) + IFERROR(Terraplaza!K108, 0)</f>
        <v>118.25</v>
      </c>
      <c r="C109">
        <v>43.75</v>
      </c>
      <c r="D109" t="e">
        <v>#N/A</v>
      </c>
      <c r="E109">
        <v>74.5</v>
      </c>
    </row>
    <row r="110" spans="1:5" x14ac:dyDescent="0.25">
      <c r="A110" s="1">
        <v>43574</v>
      </c>
      <c r="B110" s="2">
        <f>IFERROR(Torres!K109, 0) + IFERROR('San José'!K109, 0) + IFERROR(Terraplaza!K109, 0)</f>
        <v>156.25</v>
      </c>
      <c r="C110">
        <v>62.25</v>
      </c>
      <c r="D110" t="e">
        <v>#N/A</v>
      </c>
      <c r="E110">
        <v>94</v>
      </c>
    </row>
    <row r="111" spans="1:5" x14ac:dyDescent="0.25">
      <c r="A111" s="1">
        <v>43575</v>
      </c>
      <c r="B111" s="2">
        <f>IFERROR(Torres!K110, 0) + IFERROR('San José'!K110, 0) + IFERROR(Terraplaza!K110, 0)</f>
        <v>135.5</v>
      </c>
      <c r="C111">
        <v>47</v>
      </c>
      <c r="D111" t="e">
        <v>#N/A</v>
      </c>
      <c r="E111">
        <v>88.5</v>
      </c>
    </row>
    <row r="112" spans="1:5" x14ac:dyDescent="0.25">
      <c r="A112" s="1">
        <v>43576</v>
      </c>
      <c r="B112" s="2">
        <f>IFERROR(Torres!K111, 0) + IFERROR('San José'!K111, 0) + IFERROR(Terraplaza!K111, 0)</f>
        <v>122.5</v>
      </c>
      <c r="C112">
        <v>51</v>
      </c>
      <c r="D112" t="e">
        <v>#N/A</v>
      </c>
      <c r="E112">
        <v>71.5</v>
      </c>
    </row>
    <row r="113" spans="1:5" x14ac:dyDescent="0.25">
      <c r="A113" s="1">
        <v>43577</v>
      </c>
      <c r="B113" s="2">
        <f>IFERROR(Torres!K112, 0) + IFERROR('San José'!K112, 0) + IFERROR(Terraplaza!K112, 0)</f>
        <v>49.25</v>
      </c>
      <c r="C113">
        <v>9.5</v>
      </c>
      <c r="D113" t="e">
        <v>#N/A</v>
      </c>
      <c r="E113">
        <v>39.75</v>
      </c>
    </row>
    <row r="114" spans="1:5" x14ac:dyDescent="0.25">
      <c r="A114" s="1">
        <v>43578</v>
      </c>
      <c r="B114" s="2">
        <f>IFERROR(Torres!K113, 0) + IFERROR('San José'!K113, 0) + IFERROR(Terraplaza!K113, 0)</f>
        <v>57.5</v>
      </c>
      <c r="C114">
        <v>25.25</v>
      </c>
      <c r="D114" t="e">
        <v>#N/A</v>
      </c>
      <c r="E114">
        <v>32.25</v>
      </c>
    </row>
    <row r="115" spans="1:5" x14ac:dyDescent="0.25">
      <c r="A115" s="1">
        <v>43579</v>
      </c>
      <c r="B115" s="2">
        <f>IFERROR(Torres!K114, 0) + IFERROR('San José'!K114, 0) + IFERROR(Terraplaza!K114, 0)</f>
        <v>67</v>
      </c>
      <c r="C115">
        <v>33.5</v>
      </c>
      <c r="D115" t="e">
        <v>#N/A</v>
      </c>
      <c r="E115">
        <v>33.5</v>
      </c>
    </row>
    <row r="116" spans="1:5" x14ac:dyDescent="0.25">
      <c r="A116" s="1">
        <v>43580</v>
      </c>
      <c r="B116" s="2">
        <f>IFERROR(Torres!K115, 0) + IFERROR('San José'!K115, 0) + IFERROR(Terraplaza!K115, 0)</f>
        <v>86.25</v>
      </c>
      <c r="C116">
        <v>41.75</v>
      </c>
      <c r="D116" t="e">
        <v>#N/A</v>
      </c>
      <c r="E116">
        <v>44.5</v>
      </c>
    </row>
    <row r="117" spans="1:5" x14ac:dyDescent="0.25">
      <c r="A117" s="1">
        <v>43581</v>
      </c>
      <c r="B117" s="2">
        <f>IFERROR(Torres!K116, 0) + IFERROR('San José'!K116, 0) + IFERROR(Terraplaza!K116, 0)</f>
        <v>103.25</v>
      </c>
      <c r="C117">
        <v>40.25</v>
      </c>
      <c r="D117" t="e">
        <v>#N/A</v>
      </c>
      <c r="E117">
        <v>63</v>
      </c>
    </row>
    <row r="118" spans="1:5" x14ac:dyDescent="0.25">
      <c r="A118" s="1">
        <v>43582</v>
      </c>
      <c r="B118" s="2">
        <f>IFERROR(Torres!K117, 0) + IFERROR('San José'!K117, 0) + IFERROR(Terraplaza!K117, 0)</f>
        <v>152.5</v>
      </c>
      <c r="C118">
        <v>78.75</v>
      </c>
      <c r="D118" t="e">
        <v>#N/A</v>
      </c>
      <c r="E118">
        <v>73.75</v>
      </c>
    </row>
    <row r="119" spans="1:5" x14ac:dyDescent="0.25">
      <c r="A119" s="1">
        <v>43583</v>
      </c>
      <c r="B119" s="2">
        <f>IFERROR(Torres!K118, 0) + IFERROR('San José'!K118, 0) + IFERROR(Terraplaza!K118, 0)</f>
        <v>145.75</v>
      </c>
      <c r="C119">
        <v>80.5</v>
      </c>
      <c r="D119" t="e">
        <v>#N/A</v>
      </c>
      <c r="E119">
        <v>65.25</v>
      </c>
    </row>
    <row r="120" spans="1:5" x14ac:dyDescent="0.25">
      <c r="A120" s="1">
        <v>43584</v>
      </c>
      <c r="B120" s="2">
        <f>IFERROR(Torres!K119, 0) + IFERROR('San José'!K119, 0) + IFERROR(Terraplaza!K119, 0)</f>
        <v>50.75</v>
      </c>
      <c r="C120">
        <v>12.5</v>
      </c>
      <c r="D120" t="e">
        <v>#N/A</v>
      </c>
      <c r="E120">
        <v>38.25</v>
      </c>
    </row>
    <row r="121" spans="1:5" x14ac:dyDescent="0.25">
      <c r="A121" s="1">
        <v>43585</v>
      </c>
      <c r="B121" s="2">
        <f>IFERROR(Torres!K120, 0) + IFERROR('San José'!K120, 0) + IFERROR(Terraplaza!K120, 0)</f>
        <v>127.25</v>
      </c>
      <c r="C121">
        <v>54.25</v>
      </c>
      <c r="D121" t="e">
        <v>#N/A</v>
      </c>
      <c r="E121">
        <v>73</v>
      </c>
    </row>
    <row r="122" spans="1:5" x14ac:dyDescent="0.25">
      <c r="A122" s="1">
        <v>43586</v>
      </c>
      <c r="B122" s="2">
        <f>IFERROR(Torres!K121, 0) + IFERROR('San José'!K121, 0) + IFERROR(Terraplaza!K121, 0)</f>
        <v>143.5</v>
      </c>
      <c r="C122">
        <v>68.75</v>
      </c>
      <c r="D122" t="e">
        <v>#N/A</v>
      </c>
      <c r="E122">
        <v>74.75</v>
      </c>
    </row>
    <row r="123" spans="1:5" x14ac:dyDescent="0.25">
      <c r="A123" s="1">
        <v>43587</v>
      </c>
      <c r="B123" s="2">
        <f>IFERROR(Torres!K122, 0) + IFERROR('San José'!K122, 0) + IFERROR(Terraplaza!K122, 0)</f>
        <v>58.75</v>
      </c>
      <c r="C123">
        <v>21.75</v>
      </c>
      <c r="D123" t="e">
        <v>#N/A</v>
      </c>
      <c r="E123">
        <v>37</v>
      </c>
    </row>
    <row r="124" spans="1:5" x14ac:dyDescent="0.25">
      <c r="A124" s="1">
        <v>43588</v>
      </c>
      <c r="B124" s="2">
        <f>IFERROR(Torres!K123, 0) + IFERROR('San José'!K123, 0) + IFERROR(Terraplaza!K123, 0)</f>
        <v>91.875</v>
      </c>
      <c r="C124">
        <v>30.875</v>
      </c>
      <c r="D124" t="e">
        <v>#N/A</v>
      </c>
      <c r="E124">
        <v>61</v>
      </c>
    </row>
    <row r="125" spans="1:5" x14ac:dyDescent="0.25">
      <c r="A125" s="1">
        <v>43589</v>
      </c>
      <c r="B125" s="2">
        <f>IFERROR(Torres!K124, 0) + IFERROR('San José'!K124, 0) + IFERROR(Terraplaza!K124, 0)</f>
        <v>127.375</v>
      </c>
      <c r="C125">
        <v>51.375</v>
      </c>
      <c r="D125" t="e">
        <v>#N/A</v>
      </c>
      <c r="E125">
        <v>76</v>
      </c>
    </row>
    <row r="126" spans="1:5" x14ac:dyDescent="0.25">
      <c r="A126" s="1">
        <v>43590</v>
      </c>
      <c r="B126" s="2">
        <f>IFERROR(Torres!K125, 0) + IFERROR('San José'!K125, 0) + IFERROR(Terraplaza!K125, 0)</f>
        <v>113.75</v>
      </c>
      <c r="C126">
        <v>47.75</v>
      </c>
      <c r="D126" t="e">
        <v>#N/A</v>
      </c>
      <c r="E126">
        <v>66</v>
      </c>
    </row>
    <row r="127" spans="1:5" x14ac:dyDescent="0.25">
      <c r="A127" s="1">
        <v>43591</v>
      </c>
      <c r="B127" s="2">
        <f>IFERROR(Torres!K126, 0) + IFERROR('San José'!K126, 0) + IFERROR(Terraplaza!K126, 0)</f>
        <v>43.25</v>
      </c>
      <c r="C127">
        <v>10.25</v>
      </c>
      <c r="D127" t="e">
        <v>#N/A</v>
      </c>
      <c r="E127">
        <v>33</v>
      </c>
    </row>
    <row r="128" spans="1:5" x14ac:dyDescent="0.25">
      <c r="A128" s="1">
        <v>43592</v>
      </c>
      <c r="B128" s="2">
        <f>IFERROR(Torres!K127, 0) + IFERROR('San José'!K127, 0) + IFERROR(Terraplaza!K127, 0)</f>
        <v>60.5</v>
      </c>
      <c r="C128">
        <v>27.5</v>
      </c>
      <c r="D128" t="e">
        <v>#N/A</v>
      </c>
      <c r="E128">
        <v>33</v>
      </c>
    </row>
    <row r="129" spans="1:5" x14ac:dyDescent="0.25">
      <c r="A129" s="1">
        <v>43593</v>
      </c>
      <c r="B129" s="2">
        <f>IFERROR(Torres!K128, 0) + IFERROR('San José'!K128, 0) + IFERROR(Terraplaza!K128, 0)</f>
        <v>71.5</v>
      </c>
      <c r="C129">
        <v>16</v>
      </c>
      <c r="D129" t="e">
        <v>#N/A</v>
      </c>
      <c r="E129">
        <v>55.5</v>
      </c>
    </row>
    <row r="130" spans="1:5" x14ac:dyDescent="0.25">
      <c r="A130" s="1">
        <v>43594</v>
      </c>
      <c r="B130" s="2">
        <f>IFERROR(Torres!K129, 0) + IFERROR('San José'!K129, 0) + IFERROR(Terraplaza!K129, 0)</f>
        <v>65.25</v>
      </c>
      <c r="C130">
        <v>27.25</v>
      </c>
      <c r="D130" t="e">
        <v>#N/A</v>
      </c>
      <c r="E130">
        <v>38</v>
      </c>
    </row>
    <row r="131" spans="1:5" x14ac:dyDescent="0.25">
      <c r="A131" s="1">
        <v>43595</v>
      </c>
      <c r="B131" s="2">
        <f>IFERROR(Torres!K130, 0) + IFERROR('San José'!K130, 0) + IFERROR(Terraplaza!K130, 0)</f>
        <v>104.25</v>
      </c>
      <c r="C131">
        <v>24.75</v>
      </c>
      <c r="D131" t="e">
        <v>#N/A</v>
      </c>
      <c r="E131">
        <v>79.5</v>
      </c>
    </row>
    <row r="132" spans="1:5" x14ac:dyDescent="0.25">
      <c r="A132" s="1">
        <v>43596</v>
      </c>
      <c r="B132" s="2">
        <f>IFERROR(Torres!K131, 0) + IFERROR('San José'!K131, 0) + IFERROR(Terraplaza!K131, 0)</f>
        <v>126.5</v>
      </c>
      <c r="C132">
        <v>46.5</v>
      </c>
      <c r="D132" t="e">
        <v>#N/A</v>
      </c>
      <c r="E132">
        <v>80</v>
      </c>
    </row>
    <row r="133" spans="1:5" x14ac:dyDescent="0.25">
      <c r="A133" s="1">
        <v>43597</v>
      </c>
      <c r="B133" s="2">
        <f>IFERROR(Torres!K132, 0) + IFERROR('San José'!K132, 0) + IFERROR(Terraplaza!K132, 0)</f>
        <v>99</v>
      </c>
      <c r="C133">
        <v>27</v>
      </c>
      <c r="D133" t="e">
        <v>#N/A</v>
      </c>
      <c r="E133">
        <v>72</v>
      </c>
    </row>
    <row r="134" spans="1:5" x14ac:dyDescent="0.25">
      <c r="A134" s="1">
        <v>43598</v>
      </c>
      <c r="B134" s="2">
        <f>IFERROR(Torres!K133, 0) + IFERROR('San José'!K133, 0) + IFERROR(Terraplaza!K133, 0)</f>
        <v>52</v>
      </c>
      <c r="C134">
        <v>11</v>
      </c>
      <c r="D134" t="e">
        <v>#N/A</v>
      </c>
      <c r="E134">
        <v>41</v>
      </c>
    </row>
    <row r="135" spans="1:5" x14ac:dyDescent="0.25">
      <c r="A135" s="1">
        <v>43599</v>
      </c>
      <c r="B135" s="2">
        <f>IFERROR(Torres!K134, 0) + IFERROR('San José'!K134, 0) + IFERROR(Terraplaza!K134, 0)</f>
        <v>70.5</v>
      </c>
      <c r="C135">
        <v>23</v>
      </c>
      <c r="D135" t="e">
        <v>#N/A</v>
      </c>
      <c r="E135">
        <v>47.5</v>
      </c>
    </row>
    <row r="136" spans="1:5" x14ac:dyDescent="0.25">
      <c r="A136" s="1">
        <v>43600</v>
      </c>
      <c r="B136" s="2">
        <f>IFERROR(Torres!K135, 0) + IFERROR('San José'!K135, 0) + IFERROR(Terraplaza!K135, 0)</f>
        <v>72</v>
      </c>
      <c r="C136">
        <v>23</v>
      </c>
      <c r="D136" t="e">
        <v>#N/A</v>
      </c>
      <c r="E136">
        <v>49</v>
      </c>
    </row>
    <row r="137" spans="1:5" x14ac:dyDescent="0.25">
      <c r="A137" s="1">
        <v>43601</v>
      </c>
      <c r="B137" s="2">
        <f>IFERROR(Torres!K136, 0) + IFERROR('San José'!K136, 0) + IFERROR(Terraplaza!K136, 0)</f>
        <v>57.5</v>
      </c>
      <c r="C137">
        <v>12</v>
      </c>
      <c r="D137" t="e">
        <v>#N/A</v>
      </c>
      <c r="E137">
        <v>45.5</v>
      </c>
    </row>
    <row r="138" spans="1:5" x14ac:dyDescent="0.25">
      <c r="A138" s="1">
        <v>43602</v>
      </c>
      <c r="B138" s="2">
        <f>IFERROR(Torres!K137, 0) + IFERROR('San José'!K137, 0) + IFERROR(Terraplaza!K137, 0)</f>
        <v>94</v>
      </c>
      <c r="C138">
        <v>29</v>
      </c>
      <c r="D138" t="e">
        <v>#N/A</v>
      </c>
      <c r="E138">
        <v>65</v>
      </c>
    </row>
    <row r="139" spans="1:5" x14ac:dyDescent="0.25">
      <c r="A139" s="1">
        <v>43603</v>
      </c>
      <c r="B139" s="2">
        <f>IFERROR(Torres!K138, 0) + IFERROR('San José'!K138, 0) + IFERROR(Terraplaza!K138, 0)</f>
        <v>103</v>
      </c>
      <c r="C139">
        <v>30</v>
      </c>
      <c r="D139" t="e">
        <v>#N/A</v>
      </c>
      <c r="E139">
        <v>73</v>
      </c>
    </row>
    <row r="140" spans="1:5" x14ac:dyDescent="0.25">
      <c r="A140" s="1">
        <v>43604</v>
      </c>
      <c r="B140" s="2">
        <f>IFERROR(Torres!K139, 0) + IFERROR('San José'!K139, 0) + IFERROR(Terraplaza!K139, 0)</f>
        <v>124</v>
      </c>
      <c r="C140">
        <v>39</v>
      </c>
      <c r="D140" t="e">
        <v>#N/A</v>
      </c>
      <c r="E140">
        <v>85</v>
      </c>
    </row>
    <row r="141" spans="1:5" x14ac:dyDescent="0.25">
      <c r="A141" s="1">
        <v>43605</v>
      </c>
      <c r="B141" s="2">
        <f>IFERROR(Torres!K140, 0) + IFERROR('San José'!K140, 0) + IFERROR(Terraplaza!K140, 0)</f>
        <v>52.5</v>
      </c>
      <c r="C141">
        <v>16.5</v>
      </c>
      <c r="D141" t="e">
        <v>#N/A</v>
      </c>
      <c r="E141">
        <v>36</v>
      </c>
    </row>
    <row r="142" spans="1:5" x14ac:dyDescent="0.25">
      <c r="A142" s="1">
        <v>43606</v>
      </c>
      <c r="B142" s="2">
        <f>IFERROR(Torres!K141, 0) + IFERROR('San José'!K141, 0) + IFERROR(Terraplaza!K141, 0)</f>
        <v>55.5</v>
      </c>
      <c r="C142">
        <v>15.5</v>
      </c>
      <c r="D142" t="e">
        <v>#N/A</v>
      </c>
      <c r="E142">
        <v>40</v>
      </c>
    </row>
    <row r="143" spans="1:5" x14ac:dyDescent="0.25">
      <c r="A143" s="1">
        <v>43607</v>
      </c>
      <c r="B143" s="2">
        <f>IFERROR(Torres!K142, 0) + IFERROR('San José'!K142, 0) + IFERROR(Terraplaza!K142, 0)</f>
        <v>57.125</v>
      </c>
      <c r="C143">
        <v>22.625</v>
      </c>
      <c r="D143" t="e">
        <v>#N/A</v>
      </c>
      <c r="E143">
        <v>34.5</v>
      </c>
    </row>
    <row r="144" spans="1:5" x14ac:dyDescent="0.25">
      <c r="A144" s="1">
        <v>43608</v>
      </c>
      <c r="B144" s="2">
        <f>IFERROR(Torres!K143, 0) + IFERROR('San José'!K143, 0) + IFERROR(Terraplaza!K143, 0)</f>
        <v>48.5</v>
      </c>
      <c r="C144">
        <v>13</v>
      </c>
      <c r="D144" t="e">
        <v>#N/A</v>
      </c>
      <c r="E144">
        <v>35.5</v>
      </c>
    </row>
    <row r="145" spans="1:5" x14ac:dyDescent="0.25">
      <c r="A145" s="1">
        <v>43609</v>
      </c>
      <c r="B145" s="2">
        <f>IFERROR(Torres!K144, 0) + IFERROR('San José'!K144, 0) + IFERROR(Terraplaza!K144, 0)</f>
        <v>86.25</v>
      </c>
      <c r="C145">
        <v>21.25</v>
      </c>
      <c r="D145" t="e">
        <v>#N/A</v>
      </c>
      <c r="E145">
        <v>65</v>
      </c>
    </row>
    <row r="146" spans="1:5" x14ac:dyDescent="0.25">
      <c r="A146" s="1">
        <v>43610</v>
      </c>
      <c r="B146" s="2">
        <f>IFERROR(Torres!K145, 0) + IFERROR('San José'!K145, 0) + IFERROR(Terraplaza!K145, 0)</f>
        <v>106.125</v>
      </c>
      <c r="C146">
        <v>33.125</v>
      </c>
      <c r="D146" t="e">
        <v>#N/A</v>
      </c>
      <c r="E146">
        <v>73</v>
      </c>
    </row>
    <row r="147" spans="1:5" x14ac:dyDescent="0.25">
      <c r="A147" s="1">
        <v>43611</v>
      </c>
      <c r="B147" s="2">
        <f>IFERROR(Torres!K146, 0) + IFERROR('San José'!K146, 0) + IFERROR(Terraplaza!K146, 0)</f>
        <v>109.25</v>
      </c>
      <c r="C147">
        <v>45.75</v>
      </c>
      <c r="D147" t="e">
        <v>#N/A</v>
      </c>
      <c r="E147">
        <v>63.5</v>
      </c>
    </row>
    <row r="148" spans="1:5" x14ac:dyDescent="0.25">
      <c r="A148" s="1">
        <v>43612</v>
      </c>
      <c r="B148" s="2">
        <f>IFERROR(Torres!K147, 0) + IFERROR('San José'!K147, 0) + IFERROR(Terraplaza!K147, 0)</f>
        <v>40.25</v>
      </c>
      <c r="C148">
        <v>9.25</v>
      </c>
      <c r="D148" t="e">
        <v>#N/A</v>
      </c>
      <c r="E148">
        <v>31</v>
      </c>
    </row>
    <row r="149" spans="1:5" x14ac:dyDescent="0.25">
      <c r="A149" s="1">
        <v>43613</v>
      </c>
      <c r="B149" s="2">
        <f>IFERROR(Torres!K148, 0) + IFERROR('San José'!K148, 0) + IFERROR(Terraplaza!K148, 0)</f>
        <v>62.625</v>
      </c>
      <c r="C149">
        <v>20.625</v>
      </c>
      <c r="D149" t="e">
        <v>#N/A</v>
      </c>
      <c r="E149">
        <v>42</v>
      </c>
    </row>
    <row r="150" spans="1:5" x14ac:dyDescent="0.25">
      <c r="A150" s="1">
        <v>43614</v>
      </c>
      <c r="B150" s="2">
        <f>IFERROR(Torres!K149, 0) + IFERROR('San José'!K149, 0) + IFERROR(Terraplaza!K149, 0)</f>
        <v>54.125</v>
      </c>
      <c r="C150">
        <v>22.625</v>
      </c>
      <c r="D150" t="e">
        <v>#N/A</v>
      </c>
      <c r="E150">
        <v>31.5</v>
      </c>
    </row>
    <row r="151" spans="1:5" x14ac:dyDescent="0.25">
      <c r="A151" s="1">
        <v>43615</v>
      </c>
      <c r="B151" s="2">
        <f>IFERROR(Torres!K150, 0) + IFERROR('San José'!K150, 0) + IFERROR(Terraplaza!K150, 0)</f>
        <v>57.875</v>
      </c>
      <c r="C151">
        <v>17.125</v>
      </c>
      <c r="D151" t="e">
        <v>#N/A</v>
      </c>
      <c r="E151">
        <v>40.75</v>
      </c>
    </row>
    <row r="152" spans="1:5" x14ac:dyDescent="0.25">
      <c r="A152" s="1">
        <v>43616</v>
      </c>
      <c r="B152" s="2">
        <f>IFERROR(Torres!K151, 0) + IFERROR('San José'!K151, 0) + IFERROR(Terraplaza!K151, 0)</f>
        <v>84.125</v>
      </c>
      <c r="C152">
        <v>19.625</v>
      </c>
      <c r="D152" t="e">
        <v>#N/A</v>
      </c>
      <c r="E152">
        <v>64.5</v>
      </c>
    </row>
    <row r="153" spans="1:5" x14ac:dyDescent="0.25">
      <c r="A153" s="1">
        <v>43617</v>
      </c>
      <c r="B153" s="2">
        <f>IFERROR(Torres!K152, 0) + IFERROR('San José'!K152, 0) + IFERROR(Terraplaza!K152, 0)</f>
        <v>127.5</v>
      </c>
      <c r="C153">
        <v>47.5</v>
      </c>
      <c r="D153" t="e">
        <v>#N/A</v>
      </c>
      <c r="E153">
        <v>80</v>
      </c>
    </row>
    <row r="154" spans="1:5" x14ac:dyDescent="0.25">
      <c r="A154" s="1">
        <v>43618</v>
      </c>
      <c r="B154" s="2">
        <f>IFERROR(Torres!K153, 0) + IFERROR('San José'!K153, 0) + IFERROR(Terraplaza!K153, 0)</f>
        <v>145</v>
      </c>
      <c r="C154">
        <v>47.25</v>
      </c>
      <c r="D154" t="e">
        <v>#N/A</v>
      </c>
      <c r="E154">
        <v>97.75</v>
      </c>
    </row>
    <row r="155" spans="1:5" x14ac:dyDescent="0.25">
      <c r="A155" s="1">
        <v>43619</v>
      </c>
      <c r="B155" s="2">
        <f>IFERROR(Torres!K154, 0) + IFERROR('San José'!K154, 0) + IFERROR(Terraplaza!K154, 0)</f>
        <v>111.625</v>
      </c>
      <c r="C155">
        <v>44.375</v>
      </c>
      <c r="D155" t="e">
        <v>#N/A</v>
      </c>
      <c r="E155">
        <v>67.25</v>
      </c>
    </row>
    <row r="156" spans="1:5" x14ac:dyDescent="0.25">
      <c r="A156" s="1">
        <v>43620</v>
      </c>
      <c r="B156" s="2">
        <f>IFERROR(Torres!K155, 0) + IFERROR('San José'!K155, 0) + IFERROR(Terraplaza!K155, 0)</f>
        <v>60.375</v>
      </c>
      <c r="C156">
        <v>17.125</v>
      </c>
      <c r="D156" t="e">
        <v>#N/A</v>
      </c>
      <c r="E156">
        <v>43.25</v>
      </c>
    </row>
    <row r="157" spans="1:5" x14ac:dyDescent="0.25">
      <c r="A157" s="1">
        <v>43621</v>
      </c>
      <c r="B157" s="2">
        <f>IFERROR(Torres!K156, 0) + IFERROR('San José'!K156, 0) + IFERROR(Terraplaza!K156, 0)</f>
        <v>58.25</v>
      </c>
      <c r="C157">
        <v>17.75</v>
      </c>
      <c r="D157" t="e">
        <v>#N/A</v>
      </c>
      <c r="E157">
        <v>40.5</v>
      </c>
    </row>
    <row r="158" spans="1:5" x14ac:dyDescent="0.25">
      <c r="A158" s="1">
        <v>43622</v>
      </c>
      <c r="B158" s="2">
        <f>IFERROR(Torres!K157, 0) + IFERROR('San José'!K157, 0) + IFERROR(Terraplaza!K157, 0)</f>
        <v>50.5</v>
      </c>
      <c r="C158">
        <v>13</v>
      </c>
      <c r="D158" t="e">
        <v>#N/A</v>
      </c>
      <c r="E158">
        <v>37.5</v>
      </c>
    </row>
    <row r="159" spans="1:5" x14ac:dyDescent="0.25">
      <c r="A159" s="1">
        <v>43623</v>
      </c>
      <c r="B159" s="2">
        <f>IFERROR(Torres!K158, 0) + IFERROR('San José'!K158, 0) + IFERROR(Terraplaza!K158, 0)</f>
        <v>72.125</v>
      </c>
      <c r="C159">
        <v>17.125</v>
      </c>
      <c r="D159" t="e">
        <v>#N/A</v>
      </c>
      <c r="E159">
        <v>55</v>
      </c>
    </row>
    <row r="160" spans="1:5" x14ac:dyDescent="0.25">
      <c r="A160" s="1">
        <v>43624</v>
      </c>
      <c r="B160" s="2">
        <f>IFERROR(Torres!K159, 0) + IFERROR('San José'!K159, 0) + IFERROR(Terraplaza!K159, 0)</f>
        <v>112.125</v>
      </c>
      <c r="C160">
        <v>41.375</v>
      </c>
      <c r="D160" t="e">
        <v>#N/A</v>
      </c>
      <c r="E160">
        <v>70.75</v>
      </c>
    </row>
    <row r="161" spans="1:5" x14ac:dyDescent="0.25">
      <c r="A161" s="1">
        <v>43625</v>
      </c>
      <c r="B161" s="2">
        <f>IFERROR(Torres!K160, 0) + IFERROR('San José'!K160, 0) + IFERROR(Terraplaza!K160, 0)</f>
        <v>101.875</v>
      </c>
      <c r="C161">
        <v>30</v>
      </c>
      <c r="D161" t="e">
        <v>#N/A</v>
      </c>
      <c r="E161">
        <v>71.875</v>
      </c>
    </row>
    <row r="162" spans="1:5" x14ac:dyDescent="0.25">
      <c r="A162" s="1">
        <v>43626</v>
      </c>
      <c r="B162" s="2">
        <f>IFERROR(Torres!K161, 0) + IFERROR('San José'!K161, 0) + IFERROR(Terraplaza!K161, 0)</f>
        <v>60.625</v>
      </c>
      <c r="C162">
        <v>19.5</v>
      </c>
      <c r="D162" t="e">
        <v>#N/A</v>
      </c>
      <c r="E162">
        <v>41.125</v>
      </c>
    </row>
    <row r="163" spans="1:5" x14ac:dyDescent="0.25">
      <c r="A163" s="1">
        <v>43627</v>
      </c>
      <c r="B163" s="2">
        <f>IFERROR(Torres!K162, 0) + IFERROR('San José'!K162, 0) + IFERROR(Terraplaza!K162, 0)</f>
        <v>45.75</v>
      </c>
      <c r="C163">
        <v>15</v>
      </c>
      <c r="D163" t="e">
        <v>#N/A</v>
      </c>
      <c r="E163">
        <v>30.75</v>
      </c>
    </row>
    <row r="164" spans="1:5" x14ac:dyDescent="0.25">
      <c r="A164" s="1">
        <v>43628</v>
      </c>
      <c r="B164" s="2">
        <f>IFERROR(Torres!K163, 0) + IFERROR('San José'!K163, 0) + IFERROR(Terraplaza!K163, 0)</f>
        <v>59.875</v>
      </c>
      <c r="C164">
        <v>20.125</v>
      </c>
      <c r="D164" t="e">
        <v>#N/A</v>
      </c>
      <c r="E164">
        <v>39.75</v>
      </c>
    </row>
    <row r="165" spans="1:5" x14ac:dyDescent="0.25">
      <c r="A165" s="1">
        <v>43629</v>
      </c>
      <c r="B165" s="2">
        <f>IFERROR(Torres!K164, 0) + IFERROR('San José'!K164, 0) + IFERROR(Terraplaza!K164, 0)</f>
        <v>62.75</v>
      </c>
      <c r="C165">
        <v>9.5</v>
      </c>
      <c r="D165" t="e">
        <v>#N/A</v>
      </c>
      <c r="E165">
        <v>53.25</v>
      </c>
    </row>
    <row r="166" spans="1:5" x14ac:dyDescent="0.25">
      <c r="A166" s="1">
        <v>43630</v>
      </c>
      <c r="B166" s="2">
        <f>IFERROR(Torres!K165, 0) + IFERROR('San José'!K165, 0) + IFERROR(Terraplaza!K165, 0)</f>
        <v>91.875</v>
      </c>
      <c r="C166">
        <v>20.375</v>
      </c>
      <c r="D166" t="e">
        <v>#N/A</v>
      </c>
      <c r="E166">
        <v>71.5</v>
      </c>
    </row>
    <row r="167" spans="1:5" x14ac:dyDescent="0.25">
      <c r="A167" s="1">
        <v>43631</v>
      </c>
      <c r="B167" s="2">
        <f>IFERROR(Torres!K166, 0) + IFERROR('San José'!K166, 0) + IFERROR(Terraplaza!K166, 0)</f>
        <v>135.75</v>
      </c>
      <c r="C167">
        <v>36</v>
      </c>
      <c r="D167" t="e">
        <v>#N/A</v>
      </c>
      <c r="E167">
        <v>99.75</v>
      </c>
    </row>
    <row r="168" spans="1:5" x14ac:dyDescent="0.25">
      <c r="A168" s="1">
        <v>43632</v>
      </c>
      <c r="B168" s="2">
        <f>IFERROR(Torres!K167, 0) + IFERROR('San José'!K167, 0) + IFERROR(Terraplaza!K167, 0)</f>
        <v>108</v>
      </c>
      <c r="C168">
        <v>34.25</v>
      </c>
      <c r="D168" t="e">
        <v>#N/A</v>
      </c>
      <c r="E168">
        <v>73.75</v>
      </c>
    </row>
    <row r="169" spans="1:5" x14ac:dyDescent="0.25">
      <c r="A169" s="1">
        <v>43633</v>
      </c>
      <c r="B169" s="2">
        <f>IFERROR(Torres!K168, 0) + IFERROR('San José'!K168, 0) + IFERROR(Terraplaza!K168, 0)</f>
        <v>59.75</v>
      </c>
      <c r="C169">
        <v>17.75</v>
      </c>
      <c r="D169" t="e">
        <v>#N/A</v>
      </c>
      <c r="E169">
        <v>42</v>
      </c>
    </row>
    <row r="170" spans="1:5" x14ac:dyDescent="0.25">
      <c r="A170" s="1">
        <v>43634</v>
      </c>
      <c r="B170" s="2">
        <f>IFERROR(Torres!K169, 0) + IFERROR('San José'!K169, 0) + IFERROR(Terraplaza!K169, 0)</f>
        <v>77.95</v>
      </c>
      <c r="C170">
        <v>32</v>
      </c>
      <c r="D170" t="e">
        <v>#N/A</v>
      </c>
      <c r="E170">
        <v>45.95</v>
      </c>
    </row>
    <row r="171" spans="1:5" x14ac:dyDescent="0.25">
      <c r="A171" s="1">
        <v>43635</v>
      </c>
      <c r="B171" s="2">
        <f>IFERROR(Torres!K170, 0) + IFERROR('San José'!K170, 0) + IFERROR(Terraplaza!K170, 0)</f>
        <v>91.174999999999997</v>
      </c>
      <c r="C171">
        <v>31.625</v>
      </c>
      <c r="D171" t="e">
        <v>#N/A</v>
      </c>
      <c r="E171">
        <v>59.55</v>
      </c>
    </row>
    <row r="172" spans="1:5" x14ac:dyDescent="0.25">
      <c r="A172" s="1">
        <v>43636</v>
      </c>
      <c r="B172" s="2">
        <f>IFERROR(Torres!K171, 0) + IFERROR('San José'!K171, 0) + IFERROR(Terraplaza!K171, 0)</f>
        <v>76.375</v>
      </c>
      <c r="C172">
        <v>28.375</v>
      </c>
      <c r="D172" t="e">
        <v>#N/A</v>
      </c>
      <c r="E172">
        <v>48</v>
      </c>
    </row>
    <row r="173" spans="1:5" x14ac:dyDescent="0.25">
      <c r="A173" s="1">
        <v>43637</v>
      </c>
      <c r="B173" s="2">
        <f>IFERROR(Torres!K172, 0) + IFERROR('San José'!K172, 0) + IFERROR(Terraplaza!K172, 0)</f>
        <v>95.625</v>
      </c>
      <c r="C173">
        <v>33.125</v>
      </c>
      <c r="D173" t="e">
        <v>#N/A</v>
      </c>
      <c r="E173">
        <v>62.5</v>
      </c>
    </row>
    <row r="174" spans="1:5" x14ac:dyDescent="0.25">
      <c r="A174" s="1">
        <v>43638</v>
      </c>
      <c r="B174" s="2">
        <f>IFERROR(Torres!K173, 0) + IFERROR('San José'!K173, 0) + IFERROR(Terraplaza!K173, 0)</f>
        <v>120.125</v>
      </c>
      <c r="C174">
        <v>43.875</v>
      </c>
      <c r="D174" t="e">
        <v>#N/A</v>
      </c>
      <c r="E174">
        <v>76.25</v>
      </c>
    </row>
    <row r="175" spans="1:5" x14ac:dyDescent="0.25">
      <c r="A175" s="1">
        <v>43639</v>
      </c>
      <c r="B175" s="2">
        <f>IFERROR(Torres!K174, 0) + IFERROR('San José'!K174, 0) + IFERROR(Terraplaza!K174, 0)</f>
        <v>132.5</v>
      </c>
      <c r="C175">
        <v>50.25</v>
      </c>
      <c r="D175" t="e">
        <v>#N/A</v>
      </c>
      <c r="E175">
        <v>82.25</v>
      </c>
    </row>
    <row r="176" spans="1:5" x14ac:dyDescent="0.25">
      <c r="A176" s="1">
        <v>43640</v>
      </c>
      <c r="B176" s="2">
        <f>IFERROR(Torres!K175, 0) + IFERROR('San José'!K175, 0) + IFERROR(Terraplaza!K175, 0)</f>
        <v>112.25</v>
      </c>
      <c r="C176">
        <v>43.75</v>
      </c>
      <c r="D176" t="e">
        <v>#N/A</v>
      </c>
      <c r="E176">
        <v>68.5</v>
      </c>
    </row>
    <row r="177" spans="1:5" x14ac:dyDescent="0.25">
      <c r="A177" s="1">
        <v>43641</v>
      </c>
      <c r="B177" s="2">
        <f>IFERROR(Torres!K176, 0) + IFERROR('San José'!K176, 0) + IFERROR(Terraplaza!K176, 0)</f>
        <v>101</v>
      </c>
      <c r="C177">
        <v>50</v>
      </c>
      <c r="D177" t="e">
        <v>#N/A</v>
      </c>
      <c r="E177">
        <v>51</v>
      </c>
    </row>
    <row r="178" spans="1:5" x14ac:dyDescent="0.25">
      <c r="A178" s="1">
        <v>43642</v>
      </c>
      <c r="B178" s="2">
        <f>IFERROR(Torres!K177, 0) + IFERROR('San José'!K177, 0) + IFERROR(Terraplaza!K177, 0)</f>
        <v>118.25</v>
      </c>
      <c r="C178">
        <v>53.25</v>
      </c>
      <c r="D178" t="e">
        <v>#N/A</v>
      </c>
      <c r="E178">
        <v>65</v>
      </c>
    </row>
    <row r="179" spans="1:5" x14ac:dyDescent="0.25">
      <c r="A179" s="1">
        <v>43643</v>
      </c>
      <c r="B179" s="2">
        <f>IFERROR(Torres!K178, 0) + IFERROR('San José'!K178, 0) + IFERROR(Terraplaza!K178, 0)</f>
        <v>80</v>
      </c>
      <c r="C179">
        <v>29.5</v>
      </c>
      <c r="D179" t="e">
        <v>#N/A</v>
      </c>
      <c r="E179">
        <v>50.5</v>
      </c>
    </row>
    <row r="180" spans="1:5" x14ac:dyDescent="0.25">
      <c r="A180" s="1">
        <v>43644</v>
      </c>
      <c r="B180" s="2">
        <f>IFERROR(Torres!K179, 0) + IFERROR('San José'!K179, 0) + IFERROR(Terraplaza!K179, 0)</f>
        <v>124.75</v>
      </c>
      <c r="C180">
        <v>44.75</v>
      </c>
      <c r="D180" t="e">
        <v>#N/A</v>
      </c>
      <c r="E180">
        <v>80</v>
      </c>
    </row>
    <row r="181" spans="1:5" x14ac:dyDescent="0.25">
      <c r="A181" s="1">
        <v>43645</v>
      </c>
      <c r="B181" s="2">
        <f>IFERROR(Torres!K180, 0) + IFERROR('San José'!K180, 0) + IFERROR(Terraplaza!K180, 0)</f>
        <v>102.75</v>
      </c>
      <c r="C181">
        <v>39.75</v>
      </c>
      <c r="D181" t="e">
        <v>#N/A</v>
      </c>
      <c r="E181">
        <v>63</v>
      </c>
    </row>
    <row r="182" spans="1:5" x14ac:dyDescent="0.25">
      <c r="A182" s="1">
        <v>43646</v>
      </c>
      <c r="B182" s="2">
        <f>IFERROR(Torres!K181, 0) + IFERROR('San José'!K181, 0) + IFERROR(Terraplaza!K181, 0)</f>
        <v>131.25</v>
      </c>
      <c r="C182">
        <v>53.75</v>
      </c>
      <c r="D182" t="e">
        <v>#N/A</v>
      </c>
      <c r="E182">
        <v>77.5</v>
      </c>
    </row>
    <row r="183" spans="1:5" x14ac:dyDescent="0.25">
      <c r="A183" s="1">
        <v>43647</v>
      </c>
      <c r="B183" s="2">
        <f>IFERROR(Torres!K182, 0) + IFERROR('San José'!K182, 0) + IFERROR(Terraplaza!K182, 0)</f>
        <v>131</v>
      </c>
      <c r="C183">
        <v>50</v>
      </c>
      <c r="D183" t="e">
        <v>#N/A</v>
      </c>
      <c r="E183">
        <v>81</v>
      </c>
    </row>
    <row r="184" spans="1:5" x14ac:dyDescent="0.25">
      <c r="A184" s="1">
        <v>43648</v>
      </c>
      <c r="B184" s="2">
        <f>IFERROR(Torres!K183, 0) + IFERROR('San José'!K183, 0) + IFERROR(Terraplaza!K183, 0)</f>
        <v>115</v>
      </c>
      <c r="C184">
        <v>46</v>
      </c>
      <c r="D184" t="e">
        <v>#N/A</v>
      </c>
      <c r="E184">
        <v>69</v>
      </c>
    </row>
    <row r="185" spans="1:5" x14ac:dyDescent="0.25">
      <c r="A185" s="1">
        <v>43649</v>
      </c>
      <c r="B185" s="2">
        <f>IFERROR(Torres!K184, 0) + IFERROR('San José'!K184, 0) + IFERROR(Terraplaza!K184, 0)</f>
        <v>108</v>
      </c>
      <c r="C185">
        <v>48</v>
      </c>
      <c r="D185" t="e">
        <v>#N/A</v>
      </c>
      <c r="E185">
        <v>60</v>
      </c>
    </row>
    <row r="186" spans="1:5" x14ac:dyDescent="0.25">
      <c r="A186" s="1">
        <v>43650</v>
      </c>
      <c r="B186" s="2">
        <f>IFERROR(Torres!K185, 0) + IFERROR('San José'!K185, 0) + IFERROR(Terraplaza!K185, 0)</f>
        <v>88</v>
      </c>
      <c r="C186">
        <v>31</v>
      </c>
      <c r="D186" t="e">
        <v>#N/A</v>
      </c>
      <c r="E186">
        <v>57</v>
      </c>
    </row>
    <row r="187" spans="1:5" x14ac:dyDescent="0.25">
      <c r="A187" s="1">
        <v>43651</v>
      </c>
      <c r="B187" s="2">
        <f>IFERROR(Torres!K186, 0) + IFERROR('San José'!K186, 0) + IFERROR(Terraplaza!K186, 0)</f>
        <v>98.25</v>
      </c>
      <c r="C187">
        <v>29.25</v>
      </c>
      <c r="D187" t="e">
        <v>#N/A</v>
      </c>
      <c r="E187">
        <v>69</v>
      </c>
    </row>
    <row r="188" spans="1:5" x14ac:dyDescent="0.25">
      <c r="A188" s="1">
        <v>43652</v>
      </c>
      <c r="B188" s="2">
        <f>IFERROR(Torres!K187, 0) + IFERROR('San José'!K187, 0) + IFERROR(Terraplaza!K187, 0)</f>
        <v>129.75</v>
      </c>
      <c r="C188">
        <v>46.75</v>
      </c>
      <c r="D188" t="e">
        <v>#N/A</v>
      </c>
      <c r="E188">
        <v>83</v>
      </c>
    </row>
    <row r="189" spans="1:5" x14ac:dyDescent="0.25">
      <c r="A189" s="1">
        <v>43653</v>
      </c>
      <c r="B189" s="2">
        <f>IFERROR(Torres!K188, 0) + IFERROR('San José'!K188, 0) + IFERROR(Terraplaza!K188, 0)</f>
        <v>125.75</v>
      </c>
      <c r="C189">
        <v>45.75</v>
      </c>
      <c r="D189" t="e">
        <v>#N/A</v>
      </c>
      <c r="E189">
        <v>80</v>
      </c>
    </row>
    <row r="190" spans="1:5" x14ac:dyDescent="0.25">
      <c r="A190" s="1">
        <v>43654</v>
      </c>
      <c r="B190" s="2">
        <f>IFERROR(Torres!K189, 0) + IFERROR('San José'!K189, 0) + IFERROR(Terraplaza!K189, 0)</f>
        <v>60.125</v>
      </c>
      <c r="C190">
        <v>15.375</v>
      </c>
      <c r="D190" t="e">
        <v>#N/A</v>
      </c>
      <c r="E190">
        <v>44.75</v>
      </c>
    </row>
    <row r="191" spans="1:5" x14ac:dyDescent="0.25">
      <c r="A191" s="1">
        <v>43655</v>
      </c>
      <c r="B191" s="2">
        <f>IFERROR(Torres!K190, 0) + IFERROR('San José'!K190, 0) + IFERROR(Terraplaza!K190, 0)</f>
        <v>75.5</v>
      </c>
      <c r="C191">
        <v>34.25</v>
      </c>
      <c r="D191" t="e">
        <v>#N/A</v>
      </c>
      <c r="E191">
        <v>41.25</v>
      </c>
    </row>
    <row r="192" spans="1:5" x14ac:dyDescent="0.25">
      <c r="A192" s="1">
        <v>43656</v>
      </c>
      <c r="B192" s="2">
        <f>IFERROR(Torres!K191, 0) + IFERROR('San José'!K191, 0) + IFERROR(Terraplaza!K191, 0)</f>
        <v>83.625</v>
      </c>
      <c r="C192">
        <v>33.625</v>
      </c>
      <c r="D192" t="e">
        <v>#N/A</v>
      </c>
      <c r="E192">
        <v>50</v>
      </c>
    </row>
    <row r="193" spans="1:5" x14ac:dyDescent="0.25">
      <c r="A193" s="1">
        <v>43657</v>
      </c>
      <c r="B193" s="2">
        <f>IFERROR(Torres!K192, 0) + IFERROR('San José'!K192, 0) + IFERROR(Terraplaza!K192, 0)</f>
        <v>74.625</v>
      </c>
      <c r="C193">
        <v>20.625</v>
      </c>
      <c r="D193" t="e">
        <v>#N/A</v>
      </c>
      <c r="E193">
        <v>54</v>
      </c>
    </row>
    <row r="194" spans="1:5" x14ac:dyDescent="0.25">
      <c r="A194" s="1">
        <v>43658</v>
      </c>
      <c r="B194" s="2">
        <f>IFERROR(Torres!K193, 0) + IFERROR('San José'!K193, 0) + IFERROR(Terraplaza!K193, 0)</f>
        <v>102.375</v>
      </c>
      <c r="C194">
        <v>36.125</v>
      </c>
      <c r="D194" t="e">
        <v>#N/A</v>
      </c>
      <c r="E194">
        <v>66.25</v>
      </c>
    </row>
    <row r="195" spans="1:5" x14ac:dyDescent="0.25">
      <c r="A195" s="1">
        <v>43659</v>
      </c>
      <c r="B195" s="2">
        <f>IFERROR(Torres!K194, 0) + IFERROR('San José'!K194, 0) + IFERROR(Terraplaza!K194, 0)</f>
        <v>121.5</v>
      </c>
      <c r="C195">
        <v>43.25</v>
      </c>
      <c r="D195" t="e">
        <v>#N/A</v>
      </c>
      <c r="E195">
        <v>78.25</v>
      </c>
    </row>
    <row r="196" spans="1:5" x14ac:dyDescent="0.25">
      <c r="A196" s="1">
        <v>43660</v>
      </c>
      <c r="B196" s="2">
        <f>IFERROR(Torres!K195, 0) + IFERROR('San José'!K195, 0) + IFERROR(Terraplaza!K195, 0)</f>
        <v>100.25</v>
      </c>
      <c r="C196">
        <v>30.75</v>
      </c>
      <c r="D196" t="e">
        <v>#N/A</v>
      </c>
      <c r="E196">
        <v>69.5</v>
      </c>
    </row>
    <row r="197" spans="1:5" x14ac:dyDescent="0.25">
      <c r="A197" s="1">
        <v>43661</v>
      </c>
      <c r="B197" s="2">
        <f>IFERROR(Torres!K196, 0) + IFERROR('San José'!K196, 0) + IFERROR(Terraplaza!K196, 0)</f>
        <v>54.875</v>
      </c>
      <c r="C197">
        <v>15.875</v>
      </c>
      <c r="D197" t="e">
        <v>#N/A</v>
      </c>
      <c r="E197">
        <v>39</v>
      </c>
    </row>
    <row r="198" spans="1:5" x14ac:dyDescent="0.25">
      <c r="A198" s="1">
        <v>43662</v>
      </c>
      <c r="B198" s="2">
        <f>IFERROR(Torres!K197, 0) + IFERROR('San José'!K197, 0) + IFERROR(Terraplaza!K197, 0)</f>
        <v>73.375</v>
      </c>
      <c r="C198">
        <v>29.375</v>
      </c>
      <c r="D198" t="e">
        <v>#N/A</v>
      </c>
      <c r="E198">
        <v>44</v>
      </c>
    </row>
    <row r="199" spans="1:5" x14ac:dyDescent="0.25">
      <c r="A199" s="1">
        <v>43663</v>
      </c>
      <c r="B199" s="2">
        <f>IFERROR(Torres!K198, 0) + IFERROR('San José'!K198, 0) + IFERROR(Terraplaza!K198, 0)</f>
        <v>70.5</v>
      </c>
      <c r="C199">
        <v>27.5</v>
      </c>
      <c r="D199" t="e">
        <v>#N/A</v>
      </c>
      <c r="E199">
        <v>43</v>
      </c>
    </row>
    <row r="200" spans="1:5" x14ac:dyDescent="0.25">
      <c r="A200" s="1">
        <v>43664</v>
      </c>
      <c r="B200" s="2">
        <f>IFERROR(Torres!K199, 0) + IFERROR('San José'!K199, 0) + IFERROR(Terraplaza!K199, 0)</f>
        <v>57.375</v>
      </c>
      <c r="C200">
        <v>21.875</v>
      </c>
      <c r="D200" t="e">
        <v>#N/A</v>
      </c>
      <c r="E200">
        <v>35.5</v>
      </c>
    </row>
    <row r="201" spans="1:5" x14ac:dyDescent="0.25">
      <c r="A201" s="1">
        <v>43665</v>
      </c>
      <c r="B201" s="2">
        <f>IFERROR(Torres!K200, 0) + IFERROR('San José'!K200, 0) + IFERROR(Terraplaza!K200, 0)</f>
        <v>91.875</v>
      </c>
      <c r="C201">
        <v>31.875</v>
      </c>
      <c r="D201" t="e">
        <v>#N/A</v>
      </c>
      <c r="E201">
        <v>60</v>
      </c>
    </row>
    <row r="202" spans="1:5" x14ac:dyDescent="0.25">
      <c r="A202" s="1">
        <v>43666</v>
      </c>
      <c r="B202" s="2">
        <f>IFERROR(Torres!K201, 0) + IFERROR('San José'!K201, 0) + IFERROR(Terraplaza!K201, 0)</f>
        <v>125.25</v>
      </c>
      <c r="C202">
        <v>49.75</v>
      </c>
      <c r="D202" t="e">
        <v>#N/A</v>
      </c>
      <c r="E202">
        <v>75.5</v>
      </c>
    </row>
    <row r="203" spans="1:5" x14ac:dyDescent="0.25">
      <c r="A203" s="1">
        <v>43667</v>
      </c>
      <c r="B203" s="2">
        <f>IFERROR(Torres!K202, 0) + IFERROR('San José'!K202, 0) + IFERROR(Terraplaza!K202, 0)</f>
        <v>113.5</v>
      </c>
      <c r="C203">
        <v>46</v>
      </c>
      <c r="D203" t="e">
        <v>#N/A</v>
      </c>
      <c r="E203">
        <v>67.5</v>
      </c>
    </row>
    <row r="204" spans="1:5" x14ac:dyDescent="0.25">
      <c r="A204" s="1">
        <v>43668</v>
      </c>
      <c r="B204" s="2">
        <f>IFERROR(Torres!K203, 0) + IFERROR('San José'!K203, 0) + IFERROR(Terraplaza!K203, 0)</f>
        <v>54.125</v>
      </c>
      <c r="C204">
        <v>14.625</v>
      </c>
      <c r="D204" t="e">
        <v>#N/A</v>
      </c>
      <c r="E204">
        <v>39.5</v>
      </c>
    </row>
    <row r="205" spans="1:5" x14ac:dyDescent="0.25">
      <c r="A205" s="1">
        <v>43669</v>
      </c>
      <c r="B205" s="2">
        <f>IFERROR(Torres!K204, 0) + IFERROR('San José'!K204, 0) + IFERROR(Terraplaza!K204, 0)</f>
        <v>76.375</v>
      </c>
      <c r="C205">
        <v>40.375</v>
      </c>
      <c r="D205" t="e">
        <v>#N/A</v>
      </c>
      <c r="E205">
        <v>36</v>
      </c>
    </row>
    <row r="206" spans="1:5" x14ac:dyDescent="0.25">
      <c r="A206" s="1">
        <v>43670</v>
      </c>
      <c r="B206" s="2">
        <f>IFERROR(Torres!K205, 0) + IFERROR('San José'!K205, 0) + IFERROR(Terraplaza!K205, 0)</f>
        <v>82.125</v>
      </c>
      <c r="C206">
        <v>36.125</v>
      </c>
      <c r="D206" t="e">
        <v>#N/A</v>
      </c>
      <c r="E206">
        <v>46</v>
      </c>
    </row>
    <row r="207" spans="1:5" x14ac:dyDescent="0.25">
      <c r="A207" s="1">
        <v>43671</v>
      </c>
      <c r="B207" s="2">
        <f>IFERROR(Torres!K206, 0) + IFERROR('San José'!K206, 0) + IFERROR(Terraplaza!K206, 0)</f>
        <v>74</v>
      </c>
      <c r="C207">
        <v>24</v>
      </c>
      <c r="D207" t="e">
        <v>#N/A</v>
      </c>
      <c r="E207">
        <v>50</v>
      </c>
    </row>
    <row r="208" spans="1:5" x14ac:dyDescent="0.25">
      <c r="A208" s="1">
        <v>43672</v>
      </c>
      <c r="B208" s="2">
        <f>IFERROR(Torres!K207, 0) + IFERROR('San José'!K207, 0) + IFERROR(Terraplaza!K207, 0)</f>
        <v>91</v>
      </c>
      <c r="C208">
        <v>22</v>
      </c>
      <c r="D208" t="e">
        <v>#N/A</v>
      </c>
      <c r="E208">
        <v>69</v>
      </c>
    </row>
    <row r="209" spans="1:5" x14ac:dyDescent="0.25">
      <c r="A209" s="1">
        <v>43673</v>
      </c>
      <c r="B209" s="2">
        <f>IFERROR(Torres!K208, 0) + IFERROR('San José'!K208, 0) + IFERROR(Terraplaza!K208, 0)</f>
        <v>129.125</v>
      </c>
      <c r="C209">
        <v>44</v>
      </c>
      <c r="D209" t="e">
        <v>#N/A</v>
      </c>
      <c r="E209">
        <v>85.125</v>
      </c>
    </row>
    <row r="210" spans="1:5" x14ac:dyDescent="0.25">
      <c r="A210" s="1">
        <v>43674</v>
      </c>
      <c r="B210" s="2">
        <f>IFERROR(Torres!K209, 0) + IFERROR('San José'!K209, 0) + IFERROR(Terraplaza!K209, 0)</f>
        <v>142.625</v>
      </c>
      <c r="C210">
        <v>50.75</v>
      </c>
      <c r="D210" t="e">
        <v>#N/A</v>
      </c>
      <c r="E210">
        <v>91.875</v>
      </c>
    </row>
    <row r="211" spans="1:5" x14ac:dyDescent="0.25">
      <c r="A211" s="1">
        <v>43675</v>
      </c>
      <c r="B211" s="2">
        <f>IFERROR(Torres!K210, 0) + IFERROR('San José'!K210, 0) + IFERROR(Terraplaza!K210, 0)</f>
        <v>52.625</v>
      </c>
      <c r="C211">
        <v>14.625</v>
      </c>
      <c r="D211" t="e">
        <v>#N/A</v>
      </c>
      <c r="E211">
        <v>38</v>
      </c>
    </row>
    <row r="212" spans="1:5" x14ac:dyDescent="0.25">
      <c r="A212" s="1">
        <v>43676</v>
      </c>
      <c r="B212" s="2">
        <f>IFERROR(Torres!K211, 0) + IFERROR('San José'!K211, 0) + IFERROR(Terraplaza!K211, 0)</f>
        <v>70.5</v>
      </c>
      <c r="C212">
        <v>27.5</v>
      </c>
      <c r="D212" t="e">
        <v>#N/A</v>
      </c>
      <c r="E212">
        <v>43</v>
      </c>
    </row>
    <row r="213" spans="1:5" x14ac:dyDescent="0.25">
      <c r="A213" s="1">
        <v>43677</v>
      </c>
      <c r="B213" s="2">
        <f>IFERROR(Torres!K212, 0) + IFERROR('San José'!K212, 0) + IFERROR(Terraplaza!K212, 0)</f>
        <v>77</v>
      </c>
      <c r="C213">
        <v>35</v>
      </c>
      <c r="D213" t="e">
        <v>#N/A</v>
      </c>
      <c r="E213">
        <v>42</v>
      </c>
    </row>
    <row r="214" spans="1:5" x14ac:dyDescent="0.25">
      <c r="A214" s="1">
        <v>43678</v>
      </c>
      <c r="B214" s="2">
        <f>IFERROR(Torres!K213, 0) + IFERROR('San José'!K213, 0) + IFERROR(Terraplaza!K213, 0)</f>
        <v>62.5</v>
      </c>
      <c r="C214">
        <v>20</v>
      </c>
      <c r="D214" t="e">
        <v>#N/A</v>
      </c>
      <c r="E214">
        <v>42.5</v>
      </c>
    </row>
    <row r="215" spans="1:5" x14ac:dyDescent="0.25">
      <c r="A215" s="1">
        <v>43679</v>
      </c>
      <c r="B215" s="2">
        <f>IFERROR(Torres!K214, 0) + IFERROR('San José'!K214, 0) + IFERROR(Terraplaza!K214, 0)</f>
        <v>101.5</v>
      </c>
      <c r="C215">
        <v>39</v>
      </c>
      <c r="D215" t="e">
        <v>#N/A</v>
      </c>
      <c r="E215">
        <v>62.5</v>
      </c>
    </row>
    <row r="216" spans="1:5" x14ac:dyDescent="0.25">
      <c r="A216" s="1">
        <v>43680</v>
      </c>
      <c r="B216" s="2">
        <f>IFERROR(Torres!K215, 0) + IFERROR('San José'!K215, 0) + IFERROR(Terraplaza!K215, 0)</f>
        <v>105</v>
      </c>
      <c r="C216">
        <v>33</v>
      </c>
      <c r="D216" t="e">
        <v>#N/A</v>
      </c>
      <c r="E216">
        <v>72</v>
      </c>
    </row>
    <row r="217" spans="1:5" x14ac:dyDescent="0.25">
      <c r="A217" s="1">
        <v>43681</v>
      </c>
      <c r="B217" s="2">
        <f>IFERROR(Torres!K216, 0) + IFERROR('San José'!K216, 0) + IFERROR(Terraplaza!K216, 0)</f>
        <v>116</v>
      </c>
      <c r="C217">
        <v>47</v>
      </c>
      <c r="D217" t="e">
        <v>#N/A</v>
      </c>
      <c r="E217">
        <v>69</v>
      </c>
    </row>
    <row r="218" spans="1:5" x14ac:dyDescent="0.25">
      <c r="A218" s="1">
        <v>43682</v>
      </c>
      <c r="B218" s="2">
        <f>IFERROR(Torres!K217, 0) + IFERROR('San José'!K217, 0) + IFERROR(Terraplaza!K217, 0)</f>
        <v>51</v>
      </c>
      <c r="C218">
        <v>11.5</v>
      </c>
      <c r="D218" t="e">
        <v>#N/A</v>
      </c>
      <c r="E218">
        <v>39.5</v>
      </c>
    </row>
    <row r="219" spans="1:5" x14ac:dyDescent="0.25">
      <c r="A219" s="1">
        <v>43683</v>
      </c>
      <c r="B219" s="2">
        <f>IFERROR(Torres!K218, 0) + IFERROR('San José'!K218, 0) + IFERROR(Terraplaza!K218, 0)</f>
        <v>86.5</v>
      </c>
      <c r="C219">
        <v>34.5</v>
      </c>
      <c r="D219" t="e">
        <v>#N/A</v>
      </c>
      <c r="E219">
        <v>52</v>
      </c>
    </row>
    <row r="220" spans="1:5" x14ac:dyDescent="0.25">
      <c r="A220" s="1">
        <v>43684</v>
      </c>
      <c r="B220" s="2">
        <f>IFERROR(Torres!K219, 0) + IFERROR('San José'!K219, 0) + IFERROR(Terraplaza!K219, 0)</f>
        <v>119</v>
      </c>
      <c r="C220">
        <v>54.5</v>
      </c>
      <c r="D220" t="e">
        <v>#N/A</v>
      </c>
      <c r="E220">
        <v>64.5</v>
      </c>
    </row>
    <row r="221" spans="1:5" x14ac:dyDescent="0.25">
      <c r="A221" s="1">
        <v>43685</v>
      </c>
      <c r="B221" s="2">
        <f>IFERROR(Torres!K220, 0) + IFERROR('San José'!K220, 0) + IFERROR(Terraplaza!K220, 0)</f>
        <v>62.5</v>
      </c>
      <c r="C221">
        <v>13</v>
      </c>
      <c r="D221" t="e">
        <v>#N/A</v>
      </c>
      <c r="E221">
        <v>49.5</v>
      </c>
    </row>
    <row r="222" spans="1:5" x14ac:dyDescent="0.25">
      <c r="A222" s="1">
        <v>43686</v>
      </c>
      <c r="B222" s="2">
        <f>IFERROR(Torres!K221, 0) + IFERROR('San José'!K221, 0) + IFERROR(Terraplaza!K221, 0)</f>
        <v>79.5</v>
      </c>
      <c r="C222">
        <v>19</v>
      </c>
      <c r="D222" t="e">
        <v>#N/A</v>
      </c>
      <c r="E222">
        <v>60.5</v>
      </c>
    </row>
    <row r="223" spans="1:5" x14ac:dyDescent="0.25">
      <c r="A223" s="1">
        <v>43687</v>
      </c>
      <c r="B223" s="2">
        <f>IFERROR(Torres!K222, 0) + IFERROR('San José'!K222, 0) + IFERROR(Terraplaza!K222, 0)</f>
        <v>96.5</v>
      </c>
      <c r="C223">
        <v>29.5</v>
      </c>
      <c r="D223" t="e">
        <v>#N/A</v>
      </c>
      <c r="E223">
        <v>67</v>
      </c>
    </row>
    <row r="224" spans="1:5" x14ac:dyDescent="0.25">
      <c r="A224" s="1">
        <v>43688</v>
      </c>
      <c r="B224" s="2">
        <f>IFERROR(Torres!K223, 0) + IFERROR('San José'!K223, 0) + IFERROR(Terraplaza!K223, 0)</f>
        <v>102</v>
      </c>
      <c r="C224">
        <v>33</v>
      </c>
      <c r="D224" t="e">
        <v>#N/A</v>
      </c>
      <c r="E224">
        <v>69</v>
      </c>
    </row>
    <row r="225" spans="1:5" x14ac:dyDescent="0.25">
      <c r="A225" s="1">
        <v>43689</v>
      </c>
      <c r="B225" s="2">
        <f>IFERROR(Torres!K224, 0) + IFERROR('San José'!K224, 0) + IFERROR(Terraplaza!K224, 0)</f>
        <v>39.125</v>
      </c>
      <c r="C225">
        <v>9.125</v>
      </c>
      <c r="D225" t="e">
        <v>#N/A</v>
      </c>
      <c r="E225">
        <v>30</v>
      </c>
    </row>
    <row r="226" spans="1:5" x14ac:dyDescent="0.25">
      <c r="A226" s="1">
        <v>43690</v>
      </c>
      <c r="B226" s="2">
        <f>IFERROR(Torres!K225, 0) + IFERROR('San José'!K225, 0) + IFERROR(Terraplaza!K225, 0)</f>
        <v>61.875</v>
      </c>
      <c r="C226">
        <v>18.875</v>
      </c>
      <c r="D226" t="e">
        <v>#N/A</v>
      </c>
      <c r="E226">
        <v>43</v>
      </c>
    </row>
    <row r="227" spans="1:5" x14ac:dyDescent="0.25">
      <c r="A227" s="1">
        <v>43691</v>
      </c>
      <c r="B227" s="2">
        <f>IFERROR(Torres!K226, 0) + IFERROR('San José'!K226, 0) + IFERROR(Terraplaza!K226, 0)</f>
        <v>65.5</v>
      </c>
      <c r="C227">
        <v>26</v>
      </c>
      <c r="D227" t="e">
        <v>#N/A</v>
      </c>
      <c r="E227">
        <v>39.5</v>
      </c>
    </row>
    <row r="228" spans="1:5" x14ac:dyDescent="0.25">
      <c r="A228" s="1">
        <v>43692</v>
      </c>
      <c r="B228" s="2">
        <f>IFERROR(Torres!K227, 0) + IFERROR('San José'!K227, 0) + IFERROR(Terraplaza!K227, 0)</f>
        <v>49.5</v>
      </c>
      <c r="C228">
        <v>11</v>
      </c>
      <c r="D228" t="e">
        <v>#N/A</v>
      </c>
      <c r="E228">
        <v>38.5</v>
      </c>
    </row>
    <row r="229" spans="1:5" x14ac:dyDescent="0.25">
      <c r="A229" s="1">
        <v>43693</v>
      </c>
      <c r="B229" s="2">
        <f>IFERROR(Torres!K228, 0) + IFERROR('San José'!K228, 0) + IFERROR(Terraplaza!K228, 0)</f>
        <v>86</v>
      </c>
      <c r="C229">
        <v>27</v>
      </c>
      <c r="D229" t="e">
        <v>#N/A</v>
      </c>
      <c r="E229">
        <v>59</v>
      </c>
    </row>
    <row r="230" spans="1:5" x14ac:dyDescent="0.25">
      <c r="A230" s="1">
        <v>43694</v>
      </c>
      <c r="B230" s="2">
        <f>IFERROR(Torres!K229, 0) + IFERROR('San José'!K229, 0) + IFERROR(Terraplaza!K229, 0)</f>
        <v>100</v>
      </c>
      <c r="C230">
        <v>38</v>
      </c>
      <c r="D230" t="e">
        <v>#N/A</v>
      </c>
      <c r="E230">
        <v>62</v>
      </c>
    </row>
    <row r="231" spans="1:5" x14ac:dyDescent="0.25">
      <c r="A231" s="1">
        <v>43695</v>
      </c>
      <c r="B231" s="2">
        <f>IFERROR(Torres!K230, 0) + IFERROR('San José'!K230, 0) + IFERROR(Terraplaza!K230, 0)</f>
        <v>97</v>
      </c>
      <c r="C231">
        <v>35</v>
      </c>
      <c r="D231" t="e">
        <v>#N/A</v>
      </c>
      <c r="E231">
        <v>62</v>
      </c>
    </row>
    <row r="232" spans="1:5" x14ac:dyDescent="0.25">
      <c r="A232" s="1">
        <v>43696</v>
      </c>
      <c r="B232" s="2">
        <f>IFERROR(Torres!K231, 0) + IFERROR('San José'!K231, 0) + IFERROR(Terraplaza!K231, 0)</f>
        <v>96</v>
      </c>
      <c r="C232">
        <v>34</v>
      </c>
      <c r="D232" t="e">
        <v>#N/A</v>
      </c>
      <c r="E232">
        <v>62</v>
      </c>
    </row>
    <row r="233" spans="1:5" x14ac:dyDescent="0.25">
      <c r="A233" s="1">
        <v>43697</v>
      </c>
      <c r="B233" s="2">
        <f>IFERROR(Torres!K232, 0) + IFERROR('San José'!K232, 0) + IFERROR(Terraplaza!K232, 0)</f>
        <v>48</v>
      </c>
      <c r="C233">
        <v>11</v>
      </c>
      <c r="D233" t="e">
        <v>#N/A</v>
      </c>
      <c r="E233">
        <v>37</v>
      </c>
    </row>
    <row r="234" spans="1:5" x14ac:dyDescent="0.25">
      <c r="A234" s="1">
        <v>43698</v>
      </c>
      <c r="B234" s="2">
        <f>IFERROR(Torres!K233, 0) + IFERROR('San José'!K233, 0) + IFERROR(Terraplaza!K233, 0)</f>
        <v>51</v>
      </c>
      <c r="C234">
        <v>15</v>
      </c>
      <c r="D234" t="e">
        <v>#N/A</v>
      </c>
      <c r="E234">
        <v>36</v>
      </c>
    </row>
    <row r="235" spans="1:5" x14ac:dyDescent="0.25">
      <c r="A235" s="1">
        <v>43699</v>
      </c>
      <c r="B235" s="2">
        <f>IFERROR(Torres!K234, 0) + IFERROR('San José'!K234, 0) + IFERROR(Terraplaza!K234, 0)</f>
        <v>42</v>
      </c>
      <c r="C235">
        <v>15</v>
      </c>
      <c r="D235" t="e">
        <v>#N/A</v>
      </c>
      <c r="E235">
        <v>27</v>
      </c>
    </row>
    <row r="236" spans="1:5" x14ac:dyDescent="0.25">
      <c r="A236" s="1">
        <v>43700</v>
      </c>
      <c r="B236" s="2">
        <f>IFERROR(Torres!K235, 0) + IFERROR('San José'!K235, 0) + IFERROR(Terraplaza!K235, 0)</f>
        <v>77</v>
      </c>
      <c r="C236">
        <v>20</v>
      </c>
      <c r="D236" t="e">
        <v>#N/A</v>
      </c>
      <c r="E236">
        <v>57</v>
      </c>
    </row>
    <row r="237" spans="1:5" x14ac:dyDescent="0.25">
      <c r="A237" s="1">
        <v>43701</v>
      </c>
      <c r="B237" s="2">
        <f>IFERROR(Torres!K236, 0) + IFERROR('San José'!K236, 0) + IFERROR(Terraplaza!K236, 0)</f>
        <v>74.5</v>
      </c>
      <c r="C237">
        <v>13.5</v>
      </c>
      <c r="D237" t="e">
        <v>#N/A</v>
      </c>
      <c r="E237">
        <v>61</v>
      </c>
    </row>
    <row r="238" spans="1:5" x14ac:dyDescent="0.25">
      <c r="A238" s="1">
        <v>43702</v>
      </c>
      <c r="B238" s="2">
        <f>IFERROR(Torres!K237, 0) + IFERROR('San José'!K237, 0) + IFERROR(Terraplaza!K237, 0)</f>
        <v>91</v>
      </c>
      <c r="C238">
        <v>27.5</v>
      </c>
      <c r="D238" t="e">
        <v>#N/A</v>
      </c>
      <c r="E238">
        <v>63.5</v>
      </c>
    </row>
    <row r="239" spans="1:5" x14ac:dyDescent="0.25">
      <c r="A239" s="1">
        <v>43703</v>
      </c>
      <c r="B239" s="2">
        <f>IFERROR(Torres!K238, 0) + IFERROR('San José'!K238, 0) + IFERROR(Terraplaza!K238, 0)</f>
        <v>42.25</v>
      </c>
      <c r="C239">
        <v>9.75</v>
      </c>
      <c r="D239" t="e">
        <v>#N/A</v>
      </c>
      <c r="E239">
        <v>32.5</v>
      </c>
    </row>
    <row r="240" spans="1:5" x14ac:dyDescent="0.25">
      <c r="A240" s="1">
        <v>43704</v>
      </c>
      <c r="B240" s="2">
        <f>IFERROR(Torres!K239, 0) + IFERROR('San José'!K239, 0) + IFERROR(Terraplaza!K239, 0)</f>
        <v>49.25</v>
      </c>
      <c r="C240">
        <v>15.25</v>
      </c>
      <c r="D240" t="e">
        <v>#N/A</v>
      </c>
      <c r="E240">
        <v>34</v>
      </c>
    </row>
    <row r="241" spans="1:5" x14ac:dyDescent="0.25">
      <c r="A241" s="1">
        <v>43705</v>
      </c>
      <c r="B241" s="2">
        <f>IFERROR(Torres!K240, 0) + IFERROR('San José'!K240, 0) + IFERROR(Terraplaza!K240, 0)</f>
        <v>47</v>
      </c>
      <c r="C241">
        <v>15</v>
      </c>
      <c r="D241" t="e">
        <v>#N/A</v>
      </c>
      <c r="E241">
        <v>32</v>
      </c>
    </row>
    <row r="242" spans="1:5" x14ac:dyDescent="0.25">
      <c r="A242" s="1">
        <v>43706</v>
      </c>
      <c r="B242" s="2">
        <f>IFERROR(Torres!K241, 0) + IFERROR('San José'!K241, 0) + IFERROR(Terraplaza!K241, 0)</f>
        <v>47</v>
      </c>
      <c r="C242">
        <v>11</v>
      </c>
      <c r="D242" t="e">
        <v>#N/A</v>
      </c>
      <c r="E242">
        <v>36</v>
      </c>
    </row>
    <row r="243" spans="1:5" x14ac:dyDescent="0.25">
      <c r="A243" s="1">
        <v>43707</v>
      </c>
      <c r="B243" s="2">
        <f>IFERROR(Torres!K242, 0) + IFERROR('San José'!K242, 0) + IFERROR(Terraplaza!K242, 0)</f>
        <v>77.5</v>
      </c>
      <c r="C243">
        <v>20</v>
      </c>
      <c r="D243" t="e">
        <v>#N/A</v>
      </c>
      <c r="E243">
        <v>57.5</v>
      </c>
    </row>
    <row r="244" spans="1:5" x14ac:dyDescent="0.25">
      <c r="A244" s="1">
        <v>43708</v>
      </c>
      <c r="B244" s="2">
        <f>IFERROR(Torres!K243, 0) + IFERROR('San José'!K243, 0) + IFERROR(Terraplaza!K243, 0)</f>
        <v>105</v>
      </c>
      <c r="C244">
        <v>38.5</v>
      </c>
      <c r="D244" t="e">
        <v>#N/A</v>
      </c>
      <c r="E244">
        <v>66.5</v>
      </c>
    </row>
    <row r="245" spans="1:5" x14ac:dyDescent="0.25">
      <c r="A245" s="1">
        <v>43709</v>
      </c>
      <c r="B245" s="2">
        <f>IFERROR(Torres!K244, 0) + IFERROR('San José'!K244, 0) + IFERROR(Terraplaza!K244, 0)</f>
        <v>96</v>
      </c>
      <c r="C245">
        <v>35.5</v>
      </c>
      <c r="D245" t="e">
        <v>#N/A</v>
      </c>
      <c r="E245">
        <v>60.5</v>
      </c>
    </row>
    <row r="246" spans="1:5" x14ac:dyDescent="0.25">
      <c r="A246" s="1">
        <v>43710</v>
      </c>
      <c r="B246" s="2">
        <f>IFERROR(Torres!K245, 0) + IFERROR('San José'!K245, 0) + IFERROR(Terraplaza!K245, 0)</f>
        <v>44</v>
      </c>
      <c r="C246">
        <v>11.5</v>
      </c>
      <c r="D246" t="e">
        <v>#N/A</v>
      </c>
      <c r="E246">
        <v>32.5</v>
      </c>
    </row>
    <row r="247" spans="1:5" x14ac:dyDescent="0.25">
      <c r="A247" s="1">
        <v>43711</v>
      </c>
      <c r="B247" s="2">
        <f>IFERROR(Torres!K246, 0) + IFERROR('San José'!K246, 0) + IFERROR(Terraplaza!K246, 0)</f>
        <v>49.5</v>
      </c>
      <c r="C247">
        <v>18.375</v>
      </c>
      <c r="D247" t="e">
        <v>#N/A</v>
      </c>
      <c r="E247">
        <v>31.125</v>
      </c>
    </row>
    <row r="248" spans="1:5" x14ac:dyDescent="0.25">
      <c r="A248" s="1">
        <v>43712</v>
      </c>
      <c r="B248" s="2">
        <f>IFERROR(Torres!K247, 0) + IFERROR('San José'!K247, 0) + IFERROR(Terraplaza!K247, 0)</f>
        <v>50.625</v>
      </c>
      <c r="C248">
        <v>20.125</v>
      </c>
      <c r="D248" t="e">
        <v>#N/A</v>
      </c>
      <c r="E248">
        <v>30.5</v>
      </c>
    </row>
    <row r="249" spans="1:5" x14ac:dyDescent="0.25">
      <c r="A249" s="1">
        <v>43713</v>
      </c>
      <c r="B249" s="2">
        <f>IFERROR(Torres!K248, 0) + IFERROR('San José'!K248, 0) + IFERROR(Terraplaza!K248, 0)</f>
        <v>54.625</v>
      </c>
      <c r="C249">
        <v>16.75</v>
      </c>
      <c r="D249" t="e">
        <v>#N/A</v>
      </c>
      <c r="E249">
        <v>37.875</v>
      </c>
    </row>
    <row r="250" spans="1:5" x14ac:dyDescent="0.25">
      <c r="A250" s="1">
        <v>43714</v>
      </c>
      <c r="B250" s="2">
        <f>IFERROR(Torres!K249, 0) + IFERROR('San José'!K249, 0) + IFERROR(Terraplaza!K249, 0)</f>
        <v>75.625</v>
      </c>
      <c r="C250">
        <v>23.625</v>
      </c>
      <c r="D250" t="e">
        <v>#N/A</v>
      </c>
      <c r="E250">
        <v>52</v>
      </c>
    </row>
    <row r="251" spans="1:5" x14ac:dyDescent="0.25">
      <c r="A251" s="1">
        <v>43715</v>
      </c>
      <c r="B251" s="2">
        <f>IFERROR(Torres!K250, 0) + IFERROR('San José'!K250, 0) + IFERROR(Terraplaza!K250, 0)</f>
        <v>98.375</v>
      </c>
      <c r="C251">
        <v>37.875</v>
      </c>
      <c r="D251" t="e">
        <v>#N/A</v>
      </c>
      <c r="E251">
        <v>60.5</v>
      </c>
    </row>
    <row r="252" spans="1:5" x14ac:dyDescent="0.25">
      <c r="A252" s="1">
        <v>43716</v>
      </c>
      <c r="B252" s="2">
        <f>IFERROR(Torres!K251, 0) + IFERROR('San José'!K251, 0) + IFERROR(Terraplaza!K251, 0)</f>
        <v>90.75</v>
      </c>
      <c r="C252">
        <v>31.25</v>
      </c>
      <c r="D252" t="e">
        <v>#N/A</v>
      </c>
      <c r="E252">
        <v>59.5</v>
      </c>
    </row>
    <row r="253" spans="1:5" x14ac:dyDescent="0.25">
      <c r="A253" s="1">
        <v>43717</v>
      </c>
      <c r="B253" s="2">
        <f>IFERROR(Torres!K252, 0) + IFERROR('San José'!K252, 0) + IFERROR(Terraplaza!K252, 0)</f>
        <v>36.875</v>
      </c>
      <c r="C253">
        <v>12.25</v>
      </c>
      <c r="D253" t="e">
        <v>#N/A</v>
      </c>
      <c r="E253">
        <v>24.625</v>
      </c>
    </row>
    <row r="254" spans="1:5" x14ac:dyDescent="0.25">
      <c r="A254" s="1">
        <v>43718</v>
      </c>
      <c r="B254" s="2">
        <f>IFERROR(Torres!K253, 0) + IFERROR('San José'!K253, 0) + IFERROR(Terraplaza!K253, 0)</f>
        <v>50.125</v>
      </c>
      <c r="C254">
        <v>15.25</v>
      </c>
      <c r="D254" t="e">
        <v>#N/A</v>
      </c>
      <c r="E254">
        <v>34.875</v>
      </c>
    </row>
    <row r="255" spans="1:5" x14ac:dyDescent="0.25">
      <c r="A255" s="1">
        <v>43719</v>
      </c>
      <c r="B255" s="2">
        <f>IFERROR(Torres!K254, 0) + IFERROR('San José'!K254, 0) + IFERROR(Terraplaza!K254, 0)</f>
        <v>53</v>
      </c>
      <c r="C255">
        <v>22.5</v>
      </c>
      <c r="D255" t="e">
        <v>#N/A</v>
      </c>
      <c r="E255">
        <v>30.5</v>
      </c>
    </row>
    <row r="256" spans="1:5" x14ac:dyDescent="0.25">
      <c r="A256" s="1">
        <v>43720</v>
      </c>
      <c r="B256" s="2">
        <f>IFERROR(Torres!K255, 0) + IFERROR('San José'!K255, 0) + IFERROR(Terraplaza!K255, 0)</f>
        <v>50</v>
      </c>
      <c r="C256">
        <v>15</v>
      </c>
      <c r="D256" t="e">
        <v>#N/A</v>
      </c>
      <c r="E256">
        <v>35</v>
      </c>
    </row>
    <row r="257" spans="1:5" x14ac:dyDescent="0.25">
      <c r="A257" s="1">
        <v>43721</v>
      </c>
      <c r="B257" s="2">
        <f>IFERROR(Torres!K256, 0) + IFERROR('San José'!K256, 0) + IFERROR(Terraplaza!K256, 0)</f>
        <v>73.125</v>
      </c>
      <c r="C257">
        <v>14.625</v>
      </c>
      <c r="D257" t="e">
        <v>#N/A</v>
      </c>
      <c r="E257">
        <v>58.5</v>
      </c>
    </row>
    <row r="258" spans="1:5" x14ac:dyDescent="0.25">
      <c r="A258" s="1">
        <v>43722</v>
      </c>
      <c r="B258" s="2">
        <f>IFERROR(Torres!K257, 0) + IFERROR('San José'!K257, 0) + IFERROR(Terraplaza!K257, 0)</f>
        <v>113.875</v>
      </c>
      <c r="C258">
        <v>40.875</v>
      </c>
      <c r="D258" t="e">
        <v>#N/A</v>
      </c>
      <c r="E258">
        <v>73</v>
      </c>
    </row>
    <row r="259" spans="1:5" x14ac:dyDescent="0.25">
      <c r="A259" s="1">
        <v>43723</v>
      </c>
      <c r="B259" s="2">
        <f>IFERROR(Torres!K258, 0) + IFERROR('San José'!K258, 0) + IFERROR(Terraplaza!K258, 0)</f>
        <v>103.5</v>
      </c>
      <c r="C259">
        <v>34.5</v>
      </c>
      <c r="D259" t="e">
        <v>#N/A</v>
      </c>
      <c r="E259">
        <v>69</v>
      </c>
    </row>
    <row r="260" spans="1:5" x14ac:dyDescent="0.25">
      <c r="A260" s="1">
        <v>43724</v>
      </c>
      <c r="B260" s="2">
        <f>IFERROR(Torres!K259, 0) + IFERROR('San José'!K259, 0) + IFERROR(Terraplaza!K259, 0)</f>
        <v>36</v>
      </c>
      <c r="C260">
        <v>9</v>
      </c>
      <c r="D260" t="e">
        <v>#N/A</v>
      </c>
      <c r="E260">
        <v>27</v>
      </c>
    </row>
    <row r="261" spans="1:5" x14ac:dyDescent="0.25">
      <c r="A261" s="1">
        <v>43725</v>
      </c>
      <c r="B261" s="2">
        <f>IFERROR(Torres!K260, 0) + IFERROR('San José'!K260, 0) + IFERROR(Terraplaza!K260, 0)</f>
        <v>48</v>
      </c>
      <c r="C261">
        <v>16</v>
      </c>
      <c r="D261" t="e">
        <v>#N/A</v>
      </c>
      <c r="E261">
        <v>32</v>
      </c>
    </row>
    <row r="262" spans="1:5" x14ac:dyDescent="0.25">
      <c r="A262" s="1">
        <v>43726</v>
      </c>
      <c r="B262" s="2">
        <f>IFERROR(Torres!K261, 0) + IFERROR('San José'!K261, 0) + IFERROR(Terraplaza!K261, 0)</f>
        <v>58.25</v>
      </c>
      <c r="C262">
        <v>16.25</v>
      </c>
      <c r="D262" t="e">
        <v>#N/A</v>
      </c>
      <c r="E262">
        <v>42</v>
      </c>
    </row>
    <row r="263" spans="1:5" x14ac:dyDescent="0.25">
      <c r="A263" s="1">
        <v>43727</v>
      </c>
      <c r="B263" s="2">
        <f>IFERROR(Torres!K262, 0) + IFERROR('San José'!K262, 0) + IFERROR(Terraplaza!K262, 0)</f>
        <v>53.25</v>
      </c>
      <c r="C263">
        <v>16.25</v>
      </c>
      <c r="D263" t="e">
        <v>#N/A</v>
      </c>
      <c r="E263">
        <v>37</v>
      </c>
    </row>
    <row r="264" spans="1:5" x14ac:dyDescent="0.25">
      <c r="A264" s="1">
        <v>43728</v>
      </c>
      <c r="B264" s="2">
        <f>IFERROR(Torres!K263, 0) + IFERROR('San José'!K263, 0) + IFERROR(Terraplaza!K263, 0)</f>
        <v>73</v>
      </c>
      <c r="C264">
        <v>21</v>
      </c>
      <c r="D264" t="e">
        <v>#N/A</v>
      </c>
      <c r="E264">
        <v>52</v>
      </c>
    </row>
    <row r="265" spans="1:5" x14ac:dyDescent="0.25">
      <c r="A265" s="1">
        <v>43729</v>
      </c>
      <c r="B265" s="2">
        <f>IFERROR(Torres!K264, 0) + IFERROR('San José'!K264, 0) + IFERROR(Terraplaza!K264, 0)</f>
        <v>128.125</v>
      </c>
      <c r="C265">
        <v>45.125</v>
      </c>
      <c r="D265" t="e">
        <v>#N/A</v>
      </c>
      <c r="E265">
        <v>83</v>
      </c>
    </row>
    <row r="266" spans="1:5" x14ac:dyDescent="0.25">
      <c r="A266" s="1">
        <v>43730</v>
      </c>
      <c r="B266" s="2">
        <f>IFERROR(Torres!K265, 0) + IFERROR('San José'!K265, 0) + IFERROR(Terraplaza!K265, 0)</f>
        <v>93.5</v>
      </c>
      <c r="C266">
        <v>29.5</v>
      </c>
      <c r="D266" t="e">
        <v>#N/A</v>
      </c>
      <c r="E266">
        <v>64</v>
      </c>
    </row>
    <row r="267" spans="1:5" x14ac:dyDescent="0.25">
      <c r="A267" s="1">
        <v>43731</v>
      </c>
      <c r="B267" s="2">
        <f>IFERROR(Torres!K266, 0) + IFERROR('San José'!K266, 0) + IFERROR(Terraplaza!K266, 0)</f>
        <v>48.375</v>
      </c>
      <c r="C267">
        <v>10.375</v>
      </c>
      <c r="D267" t="e">
        <v>#N/A</v>
      </c>
      <c r="E267">
        <v>38</v>
      </c>
    </row>
    <row r="268" spans="1:5" x14ac:dyDescent="0.25">
      <c r="A268" s="1">
        <v>43732</v>
      </c>
      <c r="B268" s="2">
        <f>IFERROR(Torres!K267, 0) + IFERROR('San José'!K267, 0) + IFERROR(Terraplaza!K267, 0)</f>
        <v>48.5</v>
      </c>
      <c r="C268">
        <v>9.5</v>
      </c>
      <c r="D268" t="e">
        <v>#N/A</v>
      </c>
      <c r="E268">
        <v>39</v>
      </c>
    </row>
    <row r="269" spans="1:5" x14ac:dyDescent="0.25">
      <c r="A269" s="1">
        <v>43733</v>
      </c>
      <c r="B269" s="2">
        <f>IFERROR(Torres!K268, 0) + IFERROR('San José'!K268, 0) + IFERROR(Terraplaza!K268, 0)</f>
        <v>51.875</v>
      </c>
      <c r="C269">
        <v>14.875</v>
      </c>
      <c r="D269" t="e">
        <v>#N/A</v>
      </c>
      <c r="E269">
        <v>37</v>
      </c>
    </row>
    <row r="270" spans="1:5" x14ac:dyDescent="0.25">
      <c r="A270" s="1">
        <v>43734</v>
      </c>
      <c r="B270" s="2">
        <f>IFERROR(Torres!K269, 0) + IFERROR('San José'!K269, 0) + IFERROR(Terraplaza!K269, 0)</f>
        <v>47.75</v>
      </c>
      <c r="C270">
        <v>9.75</v>
      </c>
      <c r="D270" t="e">
        <v>#N/A</v>
      </c>
      <c r="E270">
        <v>38</v>
      </c>
    </row>
    <row r="271" spans="1:5" x14ac:dyDescent="0.25">
      <c r="A271" s="1">
        <v>43735</v>
      </c>
      <c r="B271" s="2">
        <f>IFERROR(Torres!K270, 0) + IFERROR('San José'!K270, 0) + IFERROR(Terraplaza!K270, 0)</f>
        <v>74.5</v>
      </c>
      <c r="C271">
        <v>19.5</v>
      </c>
      <c r="D271" t="e">
        <v>#N/A</v>
      </c>
      <c r="E271">
        <v>55</v>
      </c>
    </row>
    <row r="272" spans="1:5" x14ac:dyDescent="0.25">
      <c r="A272" s="1">
        <v>43736</v>
      </c>
      <c r="B272" s="2">
        <f>IFERROR(Torres!K271, 0) + IFERROR('San José'!K271, 0) + IFERROR(Terraplaza!K271, 0)</f>
        <v>108.75</v>
      </c>
      <c r="C272">
        <v>33.75</v>
      </c>
      <c r="D272" t="e">
        <v>#N/A</v>
      </c>
      <c r="E272">
        <v>75</v>
      </c>
    </row>
    <row r="273" spans="1:5" x14ac:dyDescent="0.25">
      <c r="A273" s="1">
        <v>43737</v>
      </c>
      <c r="B273" s="2">
        <f>IFERROR(Torres!K272, 0) + IFERROR('San José'!K272, 0) + IFERROR(Terraplaza!K272, 0)</f>
        <v>114.5</v>
      </c>
      <c r="C273">
        <v>42.5</v>
      </c>
      <c r="D273" t="e">
        <v>#N/A</v>
      </c>
      <c r="E273">
        <v>72</v>
      </c>
    </row>
    <row r="274" spans="1:5" x14ac:dyDescent="0.25">
      <c r="A274" s="1">
        <v>43738</v>
      </c>
      <c r="B274" s="2">
        <f>IFERROR(Torres!K273, 0) + IFERROR('San José'!K273, 0) + IFERROR(Terraplaza!K273, 0)</f>
        <v>61.625</v>
      </c>
      <c r="C274">
        <v>15.125</v>
      </c>
      <c r="D274" t="e">
        <v>#N/A</v>
      </c>
      <c r="E274">
        <v>46.5</v>
      </c>
    </row>
    <row r="275" spans="1:5" x14ac:dyDescent="0.25">
      <c r="A275" s="1">
        <v>43739</v>
      </c>
      <c r="B275" s="2">
        <f>IFERROR(Torres!K274, 0) + IFERROR('San José'!K274, 0) + IFERROR(Terraplaza!K274, 0)</f>
        <v>124.75</v>
      </c>
      <c r="C275">
        <v>13.25</v>
      </c>
      <c r="D275" t="e">
        <v>#N/A</v>
      </c>
      <c r="E275">
        <v>111.5</v>
      </c>
    </row>
    <row r="276" spans="1:5" x14ac:dyDescent="0.25">
      <c r="A276" s="1">
        <v>43740</v>
      </c>
      <c r="B276" s="2">
        <f>IFERROR(Torres!K275, 0) + IFERROR('San José'!K275, 0) + IFERROR(Terraplaza!K275, 0)</f>
        <v>54.25</v>
      </c>
      <c r="C276">
        <v>19.25</v>
      </c>
      <c r="D276" t="e">
        <v>#N/A</v>
      </c>
      <c r="E276">
        <v>35</v>
      </c>
    </row>
    <row r="277" spans="1:5" x14ac:dyDescent="0.25">
      <c r="A277" s="1">
        <v>43741</v>
      </c>
      <c r="B277" s="2">
        <f>IFERROR(Torres!K276, 0) + IFERROR('San José'!K276, 0) + IFERROR(Terraplaza!K276, 0)</f>
        <v>69.25</v>
      </c>
      <c r="C277">
        <v>21.75</v>
      </c>
      <c r="D277" t="e">
        <v>#N/A</v>
      </c>
      <c r="E277">
        <v>47.5</v>
      </c>
    </row>
    <row r="278" spans="1:5" x14ac:dyDescent="0.25">
      <c r="A278" s="1">
        <v>43742</v>
      </c>
      <c r="B278" s="2">
        <f>IFERROR(Torres!K277, 0) + IFERROR('San José'!K277, 0) + IFERROR(Terraplaza!K277, 0)</f>
        <v>91</v>
      </c>
      <c r="C278">
        <v>31</v>
      </c>
      <c r="D278" t="e">
        <v>#N/A</v>
      </c>
      <c r="E278">
        <v>60</v>
      </c>
    </row>
    <row r="279" spans="1:5" x14ac:dyDescent="0.25">
      <c r="A279" s="1">
        <v>43743</v>
      </c>
      <c r="B279" s="2">
        <f>IFERROR(Torres!K278, 0) + IFERROR('San José'!K278, 0) + IFERROR(Terraplaza!K278, 0)</f>
        <v>136.75</v>
      </c>
      <c r="C279">
        <v>55.75</v>
      </c>
      <c r="D279" t="e">
        <v>#N/A</v>
      </c>
      <c r="E279">
        <v>81</v>
      </c>
    </row>
    <row r="280" spans="1:5" x14ac:dyDescent="0.25">
      <c r="A280" s="1">
        <v>43744</v>
      </c>
      <c r="B280" s="2">
        <f>IFERROR(Torres!K279, 0) + IFERROR('San José'!K279, 0) + IFERROR(Terraplaza!K279, 0)</f>
        <v>134</v>
      </c>
      <c r="C280">
        <v>56</v>
      </c>
      <c r="D280" t="e">
        <v>#N/A</v>
      </c>
      <c r="E280">
        <v>78</v>
      </c>
    </row>
    <row r="281" spans="1:5" x14ac:dyDescent="0.25">
      <c r="A281" s="1">
        <v>43745</v>
      </c>
      <c r="B281" s="2">
        <f>IFERROR(Torres!K280, 0) + IFERROR('San José'!K280, 0) + IFERROR(Terraplaza!K280, 0)</f>
        <v>68</v>
      </c>
      <c r="C281">
        <v>26</v>
      </c>
      <c r="D281" t="e">
        <v>#N/A</v>
      </c>
      <c r="E281">
        <v>42</v>
      </c>
    </row>
    <row r="282" spans="1:5" x14ac:dyDescent="0.25">
      <c r="A282" s="1">
        <v>43746</v>
      </c>
      <c r="B282" s="2">
        <f>IFERROR(Torres!K281, 0) + IFERROR('San José'!K281, 0) + IFERROR(Terraplaza!K281, 0)</f>
        <v>116</v>
      </c>
      <c r="C282">
        <v>50</v>
      </c>
      <c r="D282" t="e">
        <v>#N/A</v>
      </c>
      <c r="E282">
        <v>66</v>
      </c>
    </row>
    <row r="283" spans="1:5" x14ac:dyDescent="0.25">
      <c r="A283" s="1">
        <v>43747</v>
      </c>
      <c r="B283" s="2">
        <f>IFERROR(Torres!K282, 0) + IFERROR('San José'!K282, 0) + IFERROR(Terraplaza!K282, 0)</f>
        <v>113.5</v>
      </c>
      <c r="C283">
        <v>52</v>
      </c>
      <c r="D283" t="e">
        <v>#N/A</v>
      </c>
      <c r="E283">
        <v>61.5</v>
      </c>
    </row>
    <row r="284" spans="1:5" x14ac:dyDescent="0.25">
      <c r="A284" s="1">
        <v>43748</v>
      </c>
      <c r="B284" s="2">
        <f>IFERROR(Torres!K283, 0) + IFERROR('San José'!K283, 0) + IFERROR(Terraplaza!K283, 0)</f>
        <v>85</v>
      </c>
      <c r="C284">
        <v>38</v>
      </c>
      <c r="D284" t="e">
        <v>#N/A</v>
      </c>
      <c r="E284">
        <v>47</v>
      </c>
    </row>
    <row r="285" spans="1:5" x14ac:dyDescent="0.25">
      <c r="A285" s="1">
        <v>43749</v>
      </c>
      <c r="B285" s="2">
        <f>IFERROR(Torres!K284, 0) + IFERROR('San José'!K284, 0) + IFERROR(Terraplaza!K284, 0)</f>
        <v>113.25</v>
      </c>
      <c r="C285">
        <v>43.25</v>
      </c>
      <c r="D285" t="e">
        <v>#N/A</v>
      </c>
      <c r="E285">
        <v>70</v>
      </c>
    </row>
    <row r="286" spans="1:5" x14ac:dyDescent="0.25">
      <c r="A286" s="1">
        <v>43750</v>
      </c>
      <c r="B286" s="2">
        <f>IFERROR(Torres!K285, 0) + IFERROR('San José'!K285, 0) + IFERROR(Terraplaza!K285, 0)</f>
        <v>119.25</v>
      </c>
      <c r="C286">
        <v>40.75</v>
      </c>
      <c r="D286" t="e">
        <v>#N/A</v>
      </c>
      <c r="E286">
        <v>78.5</v>
      </c>
    </row>
    <row r="287" spans="1:5" x14ac:dyDescent="0.25">
      <c r="A287" s="1">
        <v>43751</v>
      </c>
      <c r="B287" s="2">
        <f>IFERROR(Torres!K286, 0) + IFERROR('San José'!K286, 0) + IFERROR(Terraplaza!K286, 0)</f>
        <v>131.125</v>
      </c>
      <c r="C287">
        <v>52.125</v>
      </c>
      <c r="D287" t="e">
        <v>#N/A</v>
      </c>
      <c r="E287">
        <v>79</v>
      </c>
    </row>
    <row r="288" spans="1:5" x14ac:dyDescent="0.25">
      <c r="A288" s="1">
        <v>43752</v>
      </c>
      <c r="B288" s="2">
        <f>IFERROR(Torres!K287, 0) + IFERROR('San José'!K287, 0) + IFERROR(Terraplaza!K287, 0)</f>
        <v>105.375</v>
      </c>
      <c r="C288">
        <v>46.375</v>
      </c>
      <c r="D288" t="e">
        <v>#N/A</v>
      </c>
      <c r="E288">
        <v>59</v>
      </c>
    </row>
    <row r="289" spans="1:5" x14ac:dyDescent="0.25">
      <c r="A289" s="1">
        <v>43753</v>
      </c>
      <c r="B289" s="2">
        <f>IFERROR(Torres!K288, 0) + IFERROR('San José'!K288, 0) + IFERROR(Terraplaza!K288, 0)</f>
        <v>53.25</v>
      </c>
      <c r="C289">
        <v>21.25</v>
      </c>
      <c r="D289" t="e">
        <v>#N/A</v>
      </c>
      <c r="E289">
        <v>32</v>
      </c>
    </row>
    <row r="290" spans="1:5" x14ac:dyDescent="0.25">
      <c r="A290" s="1">
        <v>43754</v>
      </c>
      <c r="B290" s="2">
        <f>IFERROR(Torres!K289, 0) + IFERROR('San José'!K289, 0) + IFERROR(Terraplaza!K289, 0)</f>
        <v>67.625</v>
      </c>
      <c r="C290">
        <v>27.625</v>
      </c>
      <c r="D290" t="e">
        <v>#N/A</v>
      </c>
      <c r="E290">
        <v>40</v>
      </c>
    </row>
    <row r="291" spans="1:5" x14ac:dyDescent="0.25">
      <c r="A291" s="1">
        <v>43755</v>
      </c>
      <c r="B291" s="2">
        <f>IFERROR(Torres!K290, 0) + IFERROR('San José'!K290, 0) + IFERROR(Terraplaza!K290, 0)</f>
        <v>52</v>
      </c>
      <c r="C291">
        <v>19</v>
      </c>
      <c r="D291" t="e">
        <v>#N/A</v>
      </c>
      <c r="E291">
        <v>33</v>
      </c>
    </row>
    <row r="292" spans="1:5" x14ac:dyDescent="0.25">
      <c r="A292" s="1">
        <v>43756</v>
      </c>
      <c r="B292" s="2">
        <f>IFERROR(Torres!K291, 0) + IFERROR('San José'!K291, 0) + IFERROR(Terraplaza!K291, 0)</f>
        <v>80.5</v>
      </c>
      <c r="C292">
        <v>26.25</v>
      </c>
      <c r="D292" t="e">
        <v>#N/A</v>
      </c>
      <c r="E292">
        <v>54.25</v>
      </c>
    </row>
    <row r="293" spans="1:5" x14ac:dyDescent="0.25">
      <c r="A293" s="1">
        <v>43757</v>
      </c>
      <c r="B293" s="2">
        <f>IFERROR(Torres!K292, 0) + IFERROR('San José'!K292, 0) + IFERROR(Terraplaza!K292, 0)</f>
        <v>107.125</v>
      </c>
      <c r="C293">
        <v>37.625</v>
      </c>
      <c r="D293" t="e">
        <v>#N/A</v>
      </c>
      <c r="E293">
        <v>69.5</v>
      </c>
    </row>
    <row r="294" spans="1:5" x14ac:dyDescent="0.25">
      <c r="A294" s="1">
        <v>43758</v>
      </c>
      <c r="B294" s="2">
        <f>IFERROR(Torres!K293, 0) + IFERROR('San José'!K293, 0) + IFERROR(Terraplaza!K293, 0)</f>
        <v>112.5</v>
      </c>
      <c r="C294">
        <v>50.75</v>
      </c>
      <c r="D294" t="e">
        <v>#N/A</v>
      </c>
      <c r="E294">
        <v>61.75</v>
      </c>
    </row>
    <row r="295" spans="1:5" x14ac:dyDescent="0.25">
      <c r="A295" s="1">
        <v>43759</v>
      </c>
      <c r="B295" s="2">
        <f>IFERROR(Torres!K294, 0) + IFERROR('San José'!K294, 0) + IFERROR(Terraplaza!K294, 0)</f>
        <v>43.25</v>
      </c>
      <c r="C295">
        <v>11.25</v>
      </c>
      <c r="D295" t="e">
        <v>#N/A</v>
      </c>
      <c r="E295">
        <v>32</v>
      </c>
    </row>
    <row r="296" spans="1:5" x14ac:dyDescent="0.25">
      <c r="A296" s="1">
        <v>43760</v>
      </c>
      <c r="B296" s="2">
        <f>IFERROR(Torres!K295, 0) + IFERROR('San José'!K295, 0) + IFERROR(Terraplaza!K295, 0)</f>
        <v>46.25</v>
      </c>
      <c r="C296">
        <v>17.75</v>
      </c>
      <c r="D296" t="e">
        <v>#N/A</v>
      </c>
      <c r="E296">
        <v>28.5</v>
      </c>
    </row>
    <row r="297" spans="1:5" x14ac:dyDescent="0.25">
      <c r="A297" s="1">
        <v>43761</v>
      </c>
      <c r="B297" s="2">
        <f>IFERROR(Torres!K296, 0) + IFERROR('San José'!K296, 0) + IFERROR(Terraplaza!K296, 0)</f>
        <v>65</v>
      </c>
      <c r="C297">
        <v>25</v>
      </c>
      <c r="D297" t="e">
        <v>#N/A</v>
      </c>
      <c r="E297">
        <v>40</v>
      </c>
    </row>
    <row r="298" spans="1:5" x14ac:dyDescent="0.25">
      <c r="A298" s="1">
        <v>43762</v>
      </c>
      <c r="B298" s="2">
        <f>IFERROR(Torres!K297, 0) + IFERROR('San José'!K297, 0) + IFERROR(Terraplaza!K297, 0)</f>
        <v>66.625</v>
      </c>
      <c r="C298">
        <v>19.625</v>
      </c>
      <c r="D298" t="e">
        <v>#N/A</v>
      </c>
      <c r="E298">
        <v>47</v>
      </c>
    </row>
    <row r="299" spans="1:5" x14ac:dyDescent="0.25">
      <c r="A299" s="1">
        <v>43763</v>
      </c>
      <c r="B299" s="2">
        <f>IFERROR(Torres!K298, 0) + IFERROR('San José'!K298, 0) + IFERROR(Terraplaza!K298, 0)</f>
        <v>70.375</v>
      </c>
      <c r="C299">
        <v>18.375</v>
      </c>
      <c r="D299" t="e">
        <v>#N/A</v>
      </c>
      <c r="E299">
        <v>52</v>
      </c>
    </row>
    <row r="300" spans="1:5" x14ac:dyDescent="0.25">
      <c r="A300" s="1">
        <v>43764</v>
      </c>
      <c r="B300" s="2">
        <f>IFERROR(Torres!K299, 0) + IFERROR('San José'!K299, 0) + IFERROR(Terraplaza!K299, 0)</f>
        <v>130.5</v>
      </c>
      <c r="C300">
        <v>45.5</v>
      </c>
      <c r="D300" t="e">
        <v>#N/A</v>
      </c>
      <c r="E300">
        <v>85</v>
      </c>
    </row>
    <row r="301" spans="1:5" x14ac:dyDescent="0.25">
      <c r="A301" s="1">
        <v>43765</v>
      </c>
      <c r="B301" s="2">
        <f>IFERROR(Torres!K300, 0) + IFERROR('San José'!K300, 0) + IFERROR(Terraplaza!K300, 0)</f>
        <v>109.5</v>
      </c>
      <c r="C301">
        <v>36</v>
      </c>
      <c r="D301" t="e">
        <v>#N/A</v>
      </c>
      <c r="E301">
        <v>73.5</v>
      </c>
    </row>
    <row r="302" spans="1:5" x14ac:dyDescent="0.25">
      <c r="A302" s="1">
        <v>43766</v>
      </c>
      <c r="B302" s="2">
        <f>IFERROR(Torres!K301, 0) + IFERROR('San José'!K301, 0) + IFERROR(Terraplaza!K301, 0)</f>
        <v>49.75</v>
      </c>
      <c r="C302">
        <v>9.75</v>
      </c>
      <c r="D302" t="e">
        <v>#N/A</v>
      </c>
      <c r="E302">
        <v>40</v>
      </c>
    </row>
    <row r="303" spans="1:5" x14ac:dyDescent="0.25">
      <c r="A303" s="1">
        <v>43767</v>
      </c>
      <c r="B303" s="2">
        <f>IFERROR(Torres!K302, 0) + IFERROR('San José'!K302, 0) + IFERROR(Terraplaza!K302, 0)</f>
        <v>51.75</v>
      </c>
      <c r="C303">
        <v>17.75</v>
      </c>
      <c r="D303" t="e">
        <v>#N/A</v>
      </c>
      <c r="E303">
        <v>34</v>
      </c>
    </row>
    <row r="304" spans="1:5" x14ac:dyDescent="0.25">
      <c r="A304" s="1">
        <v>43768</v>
      </c>
      <c r="B304" s="2">
        <f>IFERROR(Torres!K303, 0) + IFERROR('San José'!K303, 0) + IFERROR(Terraplaza!K303, 0)</f>
        <v>62</v>
      </c>
      <c r="C304">
        <v>17</v>
      </c>
      <c r="D304" t="e">
        <v>#N/A</v>
      </c>
      <c r="E304">
        <v>45</v>
      </c>
    </row>
    <row r="305" spans="1:5" x14ac:dyDescent="0.25">
      <c r="A305" s="1">
        <v>43769</v>
      </c>
      <c r="B305" s="2">
        <f>IFERROR(Torres!K304, 0) + IFERROR('San José'!K304, 0) + IFERROR(Terraplaza!K304, 0)</f>
        <v>250</v>
      </c>
      <c r="C305">
        <v>106</v>
      </c>
      <c r="D305" t="e">
        <v>#N/A</v>
      </c>
      <c r="E305">
        <v>144</v>
      </c>
    </row>
    <row r="306" spans="1:5" x14ac:dyDescent="0.25">
      <c r="A306" s="1">
        <v>43770</v>
      </c>
      <c r="B306" s="2">
        <f>IFERROR(Torres!K305, 0) + IFERROR('San José'!K305, 0) + IFERROR(Terraplaza!K305, 0)</f>
        <v>74.5</v>
      </c>
      <c r="C306">
        <v>28.5</v>
      </c>
      <c r="D306" t="e">
        <v>#N/A</v>
      </c>
      <c r="E306">
        <v>46</v>
      </c>
    </row>
    <row r="307" spans="1:5" x14ac:dyDescent="0.25">
      <c r="A307" s="1">
        <v>43771</v>
      </c>
      <c r="B307" s="2">
        <f>IFERROR(Torres!K306, 0) + IFERROR('San José'!K306, 0) + IFERROR(Terraplaza!K306, 0)</f>
        <v>128.125</v>
      </c>
      <c r="C307">
        <v>43.125</v>
      </c>
      <c r="D307" t="e">
        <v>#N/A</v>
      </c>
      <c r="E307">
        <v>85</v>
      </c>
    </row>
    <row r="308" spans="1:5" x14ac:dyDescent="0.25">
      <c r="A308" s="1">
        <v>43772</v>
      </c>
      <c r="B308" s="2">
        <f>IFERROR(Torres!K307, 0) + IFERROR('San José'!K307, 0) + IFERROR(Terraplaza!K307, 0)</f>
        <v>136.375</v>
      </c>
      <c r="C308">
        <v>58.375</v>
      </c>
      <c r="D308" t="e">
        <v>#N/A</v>
      </c>
      <c r="E308">
        <v>78</v>
      </c>
    </row>
    <row r="309" spans="1:5" x14ac:dyDescent="0.25">
      <c r="A309" s="1">
        <v>43773</v>
      </c>
      <c r="B309" s="2">
        <f>IFERROR(Torres!K308, 0) + IFERROR('San José'!K308, 0) + IFERROR(Terraplaza!K308, 0)</f>
        <v>102.25</v>
      </c>
      <c r="C309">
        <v>43.25</v>
      </c>
      <c r="D309" t="e">
        <v>#N/A</v>
      </c>
      <c r="E309">
        <v>59</v>
      </c>
    </row>
    <row r="310" spans="1:5" x14ac:dyDescent="0.25">
      <c r="A310" s="1">
        <v>43774</v>
      </c>
      <c r="B310" s="2">
        <f>IFERROR(Torres!K309, 0) + IFERROR('San José'!K309, 0) + IFERROR(Terraplaza!K309, 0)</f>
        <v>61.75</v>
      </c>
      <c r="C310">
        <v>20.75</v>
      </c>
      <c r="D310" t="e">
        <v>#N/A</v>
      </c>
      <c r="E310">
        <v>41</v>
      </c>
    </row>
    <row r="311" spans="1:5" x14ac:dyDescent="0.25">
      <c r="A311" s="1">
        <v>43775</v>
      </c>
      <c r="B311" s="2">
        <f>IFERROR(Torres!K310, 0) + IFERROR('San José'!K310, 0) + IFERROR(Terraplaza!K310, 0)</f>
        <v>71</v>
      </c>
      <c r="C311">
        <v>27</v>
      </c>
      <c r="D311" t="e">
        <v>#N/A</v>
      </c>
      <c r="E311">
        <v>44</v>
      </c>
    </row>
    <row r="312" spans="1:5" x14ac:dyDescent="0.25">
      <c r="A312" s="1">
        <v>43776</v>
      </c>
      <c r="B312" s="2">
        <f>IFERROR(Torres!K311, 0) + IFERROR('San José'!K311, 0) + IFERROR(Terraplaza!K311, 0)</f>
        <v>51</v>
      </c>
      <c r="C312">
        <v>7.5</v>
      </c>
      <c r="D312" t="e">
        <v>#N/A</v>
      </c>
      <c r="E312">
        <v>43.5</v>
      </c>
    </row>
    <row r="313" spans="1:5" x14ac:dyDescent="0.25">
      <c r="A313" s="1">
        <v>43777</v>
      </c>
      <c r="B313" s="2">
        <f>IFERROR(Torres!K312, 0) + IFERROR('San José'!K312, 0) + IFERROR(Terraplaza!K312, 0)</f>
        <v>89.5</v>
      </c>
      <c r="C313">
        <v>26.5</v>
      </c>
      <c r="D313" t="e">
        <v>#N/A</v>
      </c>
      <c r="E313">
        <v>63</v>
      </c>
    </row>
    <row r="314" spans="1:5" x14ac:dyDescent="0.25">
      <c r="A314" s="1">
        <v>43778</v>
      </c>
      <c r="B314" s="2">
        <f>IFERROR(Torres!K313, 0) + IFERROR('San José'!K313, 0) + IFERROR(Terraplaza!K313, 0)</f>
        <v>106</v>
      </c>
      <c r="C314">
        <v>42</v>
      </c>
      <c r="D314" t="e">
        <v>#N/A</v>
      </c>
      <c r="E314">
        <v>64</v>
      </c>
    </row>
    <row r="315" spans="1:5" x14ac:dyDescent="0.25">
      <c r="A315" s="1">
        <v>43779</v>
      </c>
      <c r="B315" s="2">
        <f>IFERROR(Torres!K314, 0) + IFERROR('San José'!K314, 0) + IFERROR(Terraplaza!K314, 0)</f>
        <v>136</v>
      </c>
      <c r="C315">
        <v>52</v>
      </c>
      <c r="D315" t="e">
        <v>#N/A</v>
      </c>
      <c r="E315">
        <v>84</v>
      </c>
    </row>
    <row r="316" spans="1:5" x14ac:dyDescent="0.25">
      <c r="A316" s="1">
        <v>43780</v>
      </c>
      <c r="B316" s="2">
        <f>IFERROR(Torres!K315, 0) + IFERROR('San José'!K315, 0) + IFERROR(Terraplaza!K315, 0)</f>
        <v>98</v>
      </c>
      <c r="C316">
        <v>38</v>
      </c>
      <c r="D316" t="e">
        <v>#N/A</v>
      </c>
      <c r="E316">
        <v>60</v>
      </c>
    </row>
    <row r="317" spans="1:5" x14ac:dyDescent="0.25">
      <c r="A317" s="1">
        <v>43781</v>
      </c>
      <c r="B317" s="2">
        <f>IFERROR(Torres!K316, 0) + IFERROR('San José'!K316, 0) + IFERROR(Terraplaza!K316, 0)</f>
        <v>60.875</v>
      </c>
      <c r="C317">
        <v>18.375</v>
      </c>
      <c r="D317" t="e">
        <v>#N/A</v>
      </c>
      <c r="E317">
        <v>42.5</v>
      </c>
    </row>
    <row r="318" spans="1:5" x14ac:dyDescent="0.25">
      <c r="A318" s="1">
        <v>43782</v>
      </c>
      <c r="B318" s="2">
        <f>IFERROR(Torres!K317, 0) + IFERROR('San José'!K317, 0) + IFERROR(Terraplaza!K317, 0)</f>
        <v>62.125</v>
      </c>
      <c r="C318">
        <v>18.625</v>
      </c>
      <c r="D318" t="e">
        <v>#N/A</v>
      </c>
      <c r="E318">
        <v>43.5</v>
      </c>
    </row>
    <row r="319" spans="1:5" x14ac:dyDescent="0.25">
      <c r="A319" s="1">
        <v>43783</v>
      </c>
      <c r="B319" s="2">
        <f>IFERROR(Torres!K318, 0) + IFERROR('San José'!K318, 0) + IFERROR(Terraplaza!K318, 0)</f>
        <v>54</v>
      </c>
      <c r="C319">
        <v>13</v>
      </c>
      <c r="D319" t="e">
        <v>#N/A</v>
      </c>
      <c r="E319">
        <v>41</v>
      </c>
    </row>
    <row r="320" spans="1:5" x14ac:dyDescent="0.25">
      <c r="A320" s="1">
        <v>43784</v>
      </c>
      <c r="B320" s="2">
        <f>IFERROR(Torres!K319, 0) + IFERROR('San José'!K319, 0) + IFERROR(Terraplaza!K319, 0)</f>
        <v>88.5</v>
      </c>
      <c r="C320">
        <v>29.5</v>
      </c>
      <c r="D320" t="e">
        <v>#N/A</v>
      </c>
      <c r="E320">
        <v>59</v>
      </c>
    </row>
    <row r="321" spans="1:5" x14ac:dyDescent="0.25">
      <c r="A321" s="1">
        <v>43785</v>
      </c>
      <c r="B321" s="2">
        <f>IFERROR(Torres!K320, 0) + IFERROR('San José'!K320, 0) + IFERROR(Terraplaza!K320, 0)</f>
        <v>124.75</v>
      </c>
      <c r="C321">
        <v>49.75</v>
      </c>
      <c r="D321" t="e">
        <v>#N/A</v>
      </c>
      <c r="E321">
        <v>75</v>
      </c>
    </row>
    <row r="322" spans="1:5" x14ac:dyDescent="0.25">
      <c r="A322" s="1">
        <v>43786</v>
      </c>
      <c r="B322" s="2">
        <f>IFERROR(Torres!K321, 0) + IFERROR('San José'!K321, 0) + IFERROR(Terraplaza!K321, 0)</f>
        <v>121.75</v>
      </c>
      <c r="C322">
        <v>51.75</v>
      </c>
      <c r="D322" t="e">
        <v>#N/A</v>
      </c>
      <c r="E322">
        <v>70</v>
      </c>
    </row>
    <row r="323" spans="1:5" x14ac:dyDescent="0.25">
      <c r="A323" s="1">
        <v>43787</v>
      </c>
      <c r="B323" s="2">
        <f>IFERROR(Torres!K322, 0) + IFERROR('San José'!K322, 0) + IFERROR(Terraplaza!K322, 0)</f>
        <v>49.5</v>
      </c>
      <c r="C323">
        <v>13.5</v>
      </c>
      <c r="D323" t="e">
        <v>#N/A</v>
      </c>
      <c r="E323">
        <v>36</v>
      </c>
    </row>
    <row r="324" spans="1:5" x14ac:dyDescent="0.25">
      <c r="A324" s="1">
        <v>43788</v>
      </c>
      <c r="B324" s="2">
        <f>IFERROR(Torres!K323, 0) + IFERROR('San José'!K323, 0) + IFERROR(Terraplaza!K323, 0)</f>
        <v>54.5</v>
      </c>
      <c r="C324">
        <v>17</v>
      </c>
      <c r="D324" t="e">
        <v>#N/A</v>
      </c>
      <c r="E324">
        <v>37.5</v>
      </c>
    </row>
    <row r="325" spans="1:5" x14ac:dyDescent="0.25">
      <c r="A325" s="1">
        <v>43789</v>
      </c>
      <c r="B325" s="2">
        <f>IFERROR(Torres!K324, 0) + IFERROR('San José'!K324, 0) + IFERROR(Terraplaza!K324, 0)</f>
        <v>60.875</v>
      </c>
      <c r="C325">
        <v>19.75</v>
      </c>
      <c r="D325" t="e">
        <v>#N/A</v>
      </c>
      <c r="E325">
        <v>41.125</v>
      </c>
    </row>
    <row r="326" spans="1:5" x14ac:dyDescent="0.25">
      <c r="A326" s="1">
        <v>43790</v>
      </c>
      <c r="B326" s="2">
        <f>IFERROR(Torres!K325, 0) + IFERROR('San José'!K325, 0) + IFERROR(Terraplaza!K325, 0)</f>
        <v>60.125</v>
      </c>
      <c r="C326">
        <v>24.75</v>
      </c>
      <c r="D326" t="e">
        <v>#N/A</v>
      </c>
      <c r="E326">
        <v>35.375</v>
      </c>
    </row>
    <row r="327" spans="1:5" x14ac:dyDescent="0.25">
      <c r="A327" s="1">
        <v>43791</v>
      </c>
      <c r="B327" s="2">
        <f>IFERROR(Torres!K326, 0) + IFERROR('San José'!K326, 0) + IFERROR(Terraplaza!K326, 0)</f>
        <v>81.125</v>
      </c>
      <c r="C327">
        <v>22.125</v>
      </c>
      <c r="D327" t="e">
        <v>#N/A</v>
      </c>
      <c r="E327">
        <v>59</v>
      </c>
    </row>
    <row r="328" spans="1:5" x14ac:dyDescent="0.25">
      <c r="A328" s="1">
        <v>43792</v>
      </c>
      <c r="B328" s="2">
        <f>IFERROR(Torres!K327, 0) + IFERROR('San José'!K327, 0) + IFERROR(Terraplaza!K327, 0)</f>
        <v>107</v>
      </c>
      <c r="C328">
        <v>34</v>
      </c>
      <c r="D328" t="e">
        <v>#N/A</v>
      </c>
      <c r="E328">
        <v>73</v>
      </c>
    </row>
    <row r="329" spans="1:5" x14ac:dyDescent="0.25">
      <c r="A329" s="1">
        <v>43793</v>
      </c>
      <c r="B329" s="2">
        <f>IFERROR(Torres!K328, 0) + IFERROR('San José'!K328, 0) + IFERROR(Terraplaza!K328, 0)</f>
        <v>112.375</v>
      </c>
      <c r="C329">
        <v>43.875</v>
      </c>
      <c r="D329" t="e">
        <v>#N/A</v>
      </c>
      <c r="E329">
        <v>68.5</v>
      </c>
    </row>
    <row r="330" spans="1:5" x14ac:dyDescent="0.25">
      <c r="A330" s="1">
        <v>43794</v>
      </c>
      <c r="B330" s="2">
        <f>IFERROR(Torres!K329, 0) + IFERROR('San José'!K329, 0) + IFERROR(Terraplaza!K329, 0)</f>
        <v>55.375</v>
      </c>
      <c r="C330">
        <v>10.375</v>
      </c>
      <c r="D330" t="e">
        <v>#N/A</v>
      </c>
      <c r="E330">
        <v>45</v>
      </c>
    </row>
    <row r="331" spans="1:5" x14ac:dyDescent="0.25">
      <c r="A331" s="1">
        <v>43795</v>
      </c>
      <c r="B331" s="2">
        <f>IFERROR(Torres!K330, 0) + IFERROR('San José'!K330, 0) + IFERROR(Terraplaza!K330, 0)</f>
        <v>75.125</v>
      </c>
      <c r="C331">
        <v>23.625</v>
      </c>
      <c r="D331" t="e">
        <v>#N/A</v>
      </c>
      <c r="E331">
        <v>51.5</v>
      </c>
    </row>
    <row r="332" spans="1:5" x14ac:dyDescent="0.25">
      <c r="A332" s="1">
        <v>43796</v>
      </c>
      <c r="B332" s="2">
        <f>IFERROR(Torres!K331, 0) + IFERROR('San José'!K331, 0) + IFERROR(Terraplaza!K331, 0)</f>
        <v>62</v>
      </c>
      <c r="C332">
        <v>18</v>
      </c>
      <c r="D332" t="e">
        <v>#N/A</v>
      </c>
      <c r="E332">
        <v>44</v>
      </c>
    </row>
    <row r="333" spans="1:5" x14ac:dyDescent="0.25">
      <c r="A333" s="1">
        <v>43797</v>
      </c>
      <c r="B333" s="2">
        <f>IFERROR(Torres!K332, 0) + IFERROR('San José'!K332, 0) + IFERROR(Terraplaza!K332, 0)</f>
        <v>66</v>
      </c>
      <c r="C333">
        <v>17</v>
      </c>
      <c r="D333" t="e">
        <v>#N/A</v>
      </c>
      <c r="E333">
        <v>49</v>
      </c>
    </row>
    <row r="334" spans="1:5" x14ac:dyDescent="0.25">
      <c r="A334" s="1">
        <v>43798</v>
      </c>
      <c r="B334" s="2">
        <f>IFERROR(Torres!K333, 0) + IFERROR('San José'!K333, 0) + IFERROR(Terraplaza!K333, 0)</f>
        <v>134</v>
      </c>
      <c r="C334">
        <v>32.5</v>
      </c>
      <c r="D334" t="e">
        <v>#N/A</v>
      </c>
      <c r="E334">
        <v>101.5</v>
      </c>
    </row>
    <row r="335" spans="1:5" x14ac:dyDescent="0.25">
      <c r="A335" s="1">
        <v>43799</v>
      </c>
      <c r="B335" s="2">
        <f>IFERROR(Torres!K334, 0) + IFERROR('San José'!K334, 0) + IFERROR(Terraplaza!K334, 0)</f>
        <v>129</v>
      </c>
      <c r="C335">
        <v>37</v>
      </c>
      <c r="D335" t="e">
        <v>#N/A</v>
      </c>
      <c r="E335">
        <v>92</v>
      </c>
    </row>
    <row r="336" spans="1:5" x14ac:dyDescent="0.25">
      <c r="A336" s="1">
        <v>43800</v>
      </c>
      <c r="B336" s="2">
        <f>IFERROR(Torres!K335, 0) + IFERROR('San José'!K335, 0) + IFERROR(Terraplaza!K335, 0)</f>
        <v>139.125</v>
      </c>
      <c r="C336">
        <v>51.125</v>
      </c>
      <c r="D336" t="e">
        <v>#N/A</v>
      </c>
      <c r="E336">
        <v>88</v>
      </c>
    </row>
    <row r="337" spans="1:5" x14ac:dyDescent="0.25">
      <c r="A337" s="1">
        <v>43801</v>
      </c>
      <c r="B337" s="2">
        <f>IFERROR(Torres!K336, 0) + IFERROR('San José'!K336, 0) + IFERROR(Terraplaza!K336, 0)</f>
        <v>78</v>
      </c>
      <c r="C337">
        <v>17</v>
      </c>
      <c r="D337" t="e">
        <v>#N/A</v>
      </c>
      <c r="E337">
        <v>61</v>
      </c>
    </row>
    <row r="338" spans="1:5" x14ac:dyDescent="0.25">
      <c r="A338" s="1">
        <v>43802</v>
      </c>
      <c r="B338" s="2">
        <f>IFERROR(Torres!K337, 0) + IFERROR('San José'!K337, 0) + IFERROR(Terraplaza!K337, 0)</f>
        <v>73.875</v>
      </c>
      <c r="C338">
        <v>19.375</v>
      </c>
      <c r="D338" t="e">
        <v>#N/A</v>
      </c>
      <c r="E338">
        <v>54.5</v>
      </c>
    </row>
    <row r="339" spans="1:5" x14ac:dyDescent="0.25">
      <c r="A339" s="1">
        <v>43803</v>
      </c>
      <c r="B339" s="2">
        <f>IFERROR(Torres!K338, 0) + IFERROR('San José'!K338, 0) + IFERROR(Terraplaza!K338, 0)</f>
        <v>83.875</v>
      </c>
      <c r="C339">
        <v>29.75</v>
      </c>
      <c r="D339" t="e">
        <v>#N/A</v>
      </c>
      <c r="E339">
        <v>54.125</v>
      </c>
    </row>
    <row r="340" spans="1:5" x14ac:dyDescent="0.25">
      <c r="A340" s="1">
        <v>43804</v>
      </c>
      <c r="B340" s="2">
        <f>IFERROR(Torres!K339, 0) + IFERROR('San José'!K339, 0) + IFERROR(Terraplaza!K339, 0)</f>
        <v>89</v>
      </c>
      <c r="C340">
        <v>20</v>
      </c>
      <c r="D340" t="e">
        <v>#N/A</v>
      </c>
      <c r="E340">
        <v>69</v>
      </c>
    </row>
    <row r="341" spans="1:5" x14ac:dyDescent="0.25">
      <c r="A341" s="1">
        <v>43805</v>
      </c>
      <c r="B341" s="2">
        <f>IFERROR(Torres!K340, 0) + IFERROR('San José'!K340, 0) + IFERROR(Terraplaza!K340, 0)</f>
        <v>86.375</v>
      </c>
      <c r="C341">
        <v>23.5</v>
      </c>
      <c r="D341" t="e">
        <v>#N/A</v>
      </c>
      <c r="E341">
        <v>62.875</v>
      </c>
    </row>
    <row r="342" spans="1:5" x14ac:dyDescent="0.25">
      <c r="A342" s="1">
        <v>43806</v>
      </c>
      <c r="B342" s="2">
        <f>IFERROR(Torres!K341, 0) + IFERROR('San José'!K341, 0) + IFERROR(Terraplaza!K341, 0)</f>
        <v>122.25</v>
      </c>
      <c r="C342">
        <v>26.25</v>
      </c>
      <c r="D342" t="e">
        <v>#N/A</v>
      </c>
      <c r="E342">
        <v>96</v>
      </c>
    </row>
    <row r="343" spans="1:5" x14ac:dyDescent="0.25">
      <c r="A343" s="1">
        <v>43807</v>
      </c>
      <c r="B343" s="2">
        <f>IFERROR(Torres!K342, 0) + IFERROR('San José'!K342, 0) + IFERROR(Terraplaza!K342, 0)</f>
        <v>128</v>
      </c>
      <c r="C343">
        <v>49.5</v>
      </c>
      <c r="D343" t="e">
        <v>#N/A</v>
      </c>
      <c r="E343">
        <v>78.5</v>
      </c>
    </row>
    <row r="344" spans="1:5" x14ac:dyDescent="0.25">
      <c r="A344" s="1">
        <v>43808</v>
      </c>
      <c r="B344" s="2">
        <f>IFERROR(Torres!K343, 0) + IFERROR('San José'!K343, 0) + IFERROR(Terraplaza!K343, 0)</f>
        <v>68.25</v>
      </c>
      <c r="C344">
        <v>18.25</v>
      </c>
      <c r="D344" t="e">
        <v>#N/A</v>
      </c>
      <c r="E344">
        <v>50</v>
      </c>
    </row>
    <row r="345" spans="1:5" x14ac:dyDescent="0.25">
      <c r="A345" s="1">
        <v>43809</v>
      </c>
      <c r="B345" s="2">
        <f>IFERROR(Torres!K344, 0) + IFERROR('San José'!K344, 0) + IFERROR(Terraplaza!K344, 0)</f>
        <v>79.25</v>
      </c>
      <c r="C345">
        <v>27.75</v>
      </c>
      <c r="D345" t="e">
        <v>#N/A</v>
      </c>
      <c r="E345">
        <v>51.5</v>
      </c>
    </row>
    <row r="346" spans="1:5" x14ac:dyDescent="0.25">
      <c r="A346" s="1">
        <v>43810</v>
      </c>
      <c r="B346" s="2">
        <f>IFERROR(Torres!K345, 0) + IFERROR('San José'!K345, 0) + IFERROR(Terraplaza!K345, 0)</f>
        <v>97</v>
      </c>
      <c r="C346">
        <v>40</v>
      </c>
      <c r="D346" t="e">
        <v>#N/A</v>
      </c>
      <c r="E346">
        <v>57</v>
      </c>
    </row>
    <row r="347" spans="1:5" x14ac:dyDescent="0.25">
      <c r="A347" s="1">
        <v>43811</v>
      </c>
      <c r="B347" s="2">
        <f>IFERROR(Torres!K346, 0) + IFERROR('San José'!K346, 0) + IFERROR(Terraplaza!K346, 0)</f>
        <v>85</v>
      </c>
      <c r="C347">
        <v>17</v>
      </c>
      <c r="D347" t="e">
        <v>#N/A</v>
      </c>
      <c r="E347">
        <v>68</v>
      </c>
    </row>
    <row r="348" spans="1:5" x14ac:dyDescent="0.25">
      <c r="A348" s="1">
        <v>43812</v>
      </c>
      <c r="B348" s="2">
        <f>IFERROR(Torres!K347, 0) + IFERROR('San José'!K347, 0) + IFERROR(Terraplaza!K347, 0)</f>
        <v>97</v>
      </c>
      <c r="C348">
        <v>38</v>
      </c>
      <c r="D348" t="e">
        <v>#N/A</v>
      </c>
      <c r="E348">
        <v>59</v>
      </c>
    </row>
    <row r="349" spans="1:5" x14ac:dyDescent="0.25">
      <c r="A349" s="1">
        <v>43813</v>
      </c>
      <c r="B349" s="2">
        <f>IFERROR(Torres!K348, 0) + IFERROR('San José'!K348, 0) + IFERROR(Terraplaza!K348, 0)</f>
        <v>141.5</v>
      </c>
      <c r="C349">
        <v>54.5</v>
      </c>
      <c r="D349" t="e">
        <v>#N/A</v>
      </c>
      <c r="E349">
        <v>87</v>
      </c>
    </row>
    <row r="350" spans="1:5" x14ac:dyDescent="0.25">
      <c r="A350" s="1">
        <v>43814</v>
      </c>
      <c r="B350" s="2">
        <f>IFERROR(Torres!K349, 0) + IFERROR('San José'!K349, 0) + IFERROR(Terraplaza!K349, 0)</f>
        <v>143.5</v>
      </c>
      <c r="C350">
        <v>50.5</v>
      </c>
      <c r="D350" t="e">
        <v>#N/A</v>
      </c>
      <c r="E350">
        <v>93</v>
      </c>
    </row>
    <row r="351" spans="1:5" x14ac:dyDescent="0.25">
      <c r="A351" s="1">
        <v>43815</v>
      </c>
      <c r="B351" s="2">
        <f>IFERROR(Torres!K350, 0) + IFERROR('San José'!K350, 0) + IFERROR(Terraplaza!K350, 0)</f>
        <v>74.75</v>
      </c>
      <c r="C351">
        <v>14.75</v>
      </c>
      <c r="D351" t="e">
        <v>#N/A</v>
      </c>
      <c r="E351">
        <v>60</v>
      </c>
    </row>
    <row r="352" spans="1:5" x14ac:dyDescent="0.25">
      <c r="A352" s="1">
        <v>43816</v>
      </c>
      <c r="B352" s="2">
        <f>IFERROR(Torres!K351, 0) + IFERROR('San José'!K351, 0) + IFERROR(Terraplaza!K351, 0)</f>
        <v>93</v>
      </c>
      <c r="C352">
        <v>28</v>
      </c>
      <c r="D352" t="e">
        <v>#N/A</v>
      </c>
      <c r="E352">
        <v>65</v>
      </c>
    </row>
    <row r="353" spans="1:5" x14ac:dyDescent="0.25">
      <c r="A353" s="1">
        <v>43817</v>
      </c>
      <c r="B353" s="2">
        <f>IFERROR(Torres!K352, 0) + IFERROR('San José'!K352, 0) + IFERROR(Terraplaza!K352, 0)</f>
        <v>103.75</v>
      </c>
      <c r="C353">
        <v>33.75</v>
      </c>
      <c r="D353" t="e">
        <v>#N/A</v>
      </c>
      <c r="E353">
        <v>70</v>
      </c>
    </row>
    <row r="354" spans="1:5" x14ac:dyDescent="0.25">
      <c r="A354" s="1">
        <v>43818</v>
      </c>
      <c r="B354" s="2">
        <f>IFERROR(Torres!K353, 0) + IFERROR('San José'!K353, 0) + IFERROR(Terraplaza!K353, 0)</f>
        <v>100.5</v>
      </c>
      <c r="C354">
        <v>24.5</v>
      </c>
      <c r="D354" t="e">
        <v>#N/A</v>
      </c>
      <c r="E354">
        <v>76</v>
      </c>
    </row>
    <row r="355" spans="1:5" x14ac:dyDescent="0.25">
      <c r="A355" s="1">
        <v>43819</v>
      </c>
      <c r="B355" s="2">
        <f>IFERROR(Torres!K354, 0) + IFERROR('San José'!K354, 0) + IFERROR(Terraplaza!K354, 0)</f>
        <v>131.75</v>
      </c>
      <c r="C355">
        <v>37.75</v>
      </c>
      <c r="D355" t="e">
        <v>#N/A</v>
      </c>
      <c r="E355">
        <v>94</v>
      </c>
    </row>
    <row r="356" spans="1:5" x14ac:dyDescent="0.25">
      <c r="A356" s="1">
        <v>43820</v>
      </c>
      <c r="B356" s="2">
        <f>IFERROR(Torres!K355, 0) + IFERROR('San José'!K355, 0) + IFERROR(Terraplaza!K355, 0)</f>
        <v>128.75</v>
      </c>
      <c r="C356">
        <v>43.75</v>
      </c>
      <c r="D356" t="e">
        <v>#N/A</v>
      </c>
      <c r="E356">
        <v>85</v>
      </c>
    </row>
    <row r="357" spans="1:5" x14ac:dyDescent="0.25">
      <c r="A357" s="1">
        <v>43821</v>
      </c>
      <c r="B357" s="2">
        <f>IFERROR(Torres!K356, 0) + IFERROR('San José'!K356, 0) + IFERROR(Terraplaza!K356, 0)</f>
        <v>156</v>
      </c>
      <c r="C357">
        <v>46</v>
      </c>
      <c r="D357" t="e">
        <v>#N/A</v>
      </c>
      <c r="E357">
        <v>110</v>
      </c>
    </row>
    <row r="358" spans="1:5" x14ac:dyDescent="0.25">
      <c r="A358" s="1">
        <v>43822</v>
      </c>
      <c r="B358" s="2">
        <f>IFERROR(Torres!K357, 0) + IFERROR('San José'!K357, 0) + IFERROR(Terraplaza!K357, 0)</f>
        <v>119.75</v>
      </c>
      <c r="C358">
        <v>31.75</v>
      </c>
      <c r="D358" t="e">
        <v>#N/A</v>
      </c>
      <c r="E358">
        <v>88</v>
      </c>
    </row>
    <row r="359" spans="1:5" x14ac:dyDescent="0.25">
      <c r="A359" s="1">
        <v>43823</v>
      </c>
      <c r="B359" s="2">
        <f>IFERROR(Torres!K358, 0) + IFERROR('San José'!K358, 0) + IFERROR(Terraplaza!K358, 0)</f>
        <v>59</v>
      </c>
      <c r="C359">
        <v>12</v>
      </c>
      <c r="D359" t="e">
        <v>#N/A</v>
      </c>
      <c r="E359">
        <v>47</v>
      </c>
    </row>
    <row r="360" spans="1:5" x14ac:dyDescent="0.25">
      <c r="A360" s="1">
        <v>43824</v>
      </c>
      <c r="B360" s="2">
        <f>IFERROR(Torres!K359, 0) + IFERROR('San José'!K359, 0) + IFERROR(Terraplaza!K359, 0)</f>
        <v>156.75</v>
      </c>
      <c r="C360">
        <v>64.75</v>
      </c>
      <c r="D360" t="e">
        <v>#N/A</v>
      </c>
      <c r="E360">
        <v>92</v>
      </c>
    </row>
    <row r="361" spans="1:5" x14ac:dyDescent="0.25">
      <c r="A361" s="1">
        <v>43825</v>
      </c>
      <c r="B361" s="2">
        <f>IFERROR(Torres!K360, 0) + IFERROR('San José'!K360, 0) + IFERROR(Terraplaza!K360, 0)</f>
        <v>106.5</v>
      </c>
      <c r="C361">
        <v>46.5</v>
      </c>
      <c r="D361" t="e">
        <v>#N/A</v>
      </c>
      <c r="E361">
        <v>60</v>
      </c>
    </row>
    <row r="362" spans="1:5" x14ac:dyDescent="0.25">
      <c r="A362" s="1">
        <v>43826</v>
      </c>
      <c r="B362" s="2">
        <f>IFERROR(Torres!K361, 0) + IFERROR('San José'!K361, 0) + IFERROR(Terraplaza!K361, 0)</f>
        <v>114.5</v>
      </c>
      <c r="C362">
        <v>39</v>
      </c>
      <c r="D362" t="e">
        <v>#N/A</v>
      </c>
      <c r="E362">
        <v>75.5</v>
      </c>
    </row>
    <row r="363" spans="1:5" x14ac:dyDescent="0.25">
      <c r="A363" s="1">
        <v>43827</v>
      </c>
      <c r="B363" s="2">
        <f>IFERROR(Torres!K362, 0) + IFERROR('San José'!K362, 0) + IFERROR(Terraplaza!K362, 0)</f>
        <v>124.25</v>
      </c>
      <c r="C363">
        <v>43.75</v>
      </c>
      <c r="D363" t="e">
        <v>#N/A</v>
      </c>
      <c r="E363">
        <v>80.5</v>
      </c>
    </row>
    <row r="364" spans="1:5" x14ac:dyDescent="0.25">
      <c r="A364" s="1">
        <v>43828</v>
      </c>
      <c r="B364" s="2">
        <f>IFERROR(Torres!K363, 0) + IFERROR('San José'!K363, 0) + IFERROR(Terraplaza!K363, 0)</f>
        <v>120.875</v>
      </c>
      <c r="C364">
        <v>56.875</v>
      </c>
      <c r="D364" t="e">
        <v>#N/A</v>
      </c>
      <c r="E364">
        <v>64</v>
      </c>
    </row>
    <row r="365" spans="1:5" x14ac:dyDescent="0.25">
      <c r="A365" s="1">
        <v>43829</v>
      </c>
      <c r="B365" s="2">
        <f>IFERROR(Torres!K364, 0) + IFERROR('San José'!K364, 0) + IFERROR(Terraplaza!K364, 0)</f>
        <v>116.875</v>
      </c>
      <c r="C365">
        <v>46.875</v>
      </c>
      <c r="D365" t="e">
        <v>#N/A</v>
      </c>
      <c r="E365">
        <v>70</v>
      </c>
    </row>
    <row r="366" spans="1:5" x14ac:dyDescent="0.25">
      <c r="A366" s="1">
        <v>43830</v>
      </c>
      <c r="B366" s="2">
        <f>IFERROR(Torres!K365, 0) + IFERROR('San José'!K365, 0) + IFERROR(Terraplaza!K365, 0)</f>
        <v>224</v>
      </c>
      <c r="C366">
        <v>0</v>
      </c>
      <c r="D366" t="e">
        <v>#N/A</v>
      </c>
      <c r="E366">
        <v>224</v>
      </c>
    </row>
    <row r="367" spans="1:5" x14ac:dyDescent="0.25">
      <c r="A367" s="1">
        <v>43831</v>
      </c>
      <c r="B367" s="2">
        <f>IFERROR(Torres!K366, 0) + IFERROR('San José'!K366, 0) + IFERROR(Terraplaza!K366, 0)</f>
        <v>158</v>
      </c>
      <c r="C367">
        <v>74</v>
      </c>
      <c r="D367" t="e">
        <v>#N/A</v>
      </c>
      <c r="E367">
        <v>84</v>
      </c>
    </row>
    <row r="368" spans="1:5" x14ac:dyDescent="0.25">
      <c r="A368" s="1">
        <v>43832</v>
      </c>
      <c r="B368" s="2">
        <f>IFERROR(Torres!K367, 0) + IFERROR('San José'!K367, 0) + IFERROR(Terraplaza!K367, 0)</f>
        <v>131</v>
      </c>
      <c r="C368">
        <v>57</v>
      </c>
      <c r="D368" t="e">
        <v>#N/A</v>
      </c>
      <c r="E368">
        <v>74</v>
      </c>
    </row>
    <row r="369" spans="1:5" x14ac:dyDescent="0.25">
      <c r="A369" s="1">
        <v>43833</v>
      </c>
      <c r="B369" s="2">
        <f>IFERROR(Torres!K368, 0) + IFERROR('San José'!K368, 0) + IFERROR(Terraplaza!K368, 0)</f>
        <v>106.5</v>
      </c>
      <c r="C369">
        <v>35.5</v>
      </c>
      <c r="D369" t="e">
        <v>#N/A</v>
      </c>
      <c r="E369">
        <v>71</v>
      </c>
    </row>
    <row r="370" spans="1:5" x14ac:dyDescent="0.25">
      <c r="A370" s="1">
        <v>43834</v>
      </c>
      <c r="B370" s="2">
        <f>IFERROR(Torres!K369, 0) + IFERROR('San José'!K369, 0) + IFERROR(Terraplaza!K369, 0)</f>
        <v>106.75</v>
      </c>
      <c r="C370">
        <v>29.75</v>
      </c>
      <c r="D370" t="e">
        <v>#N/A</v>
      </c>
      <c r="E370">
        <v>77</v>
      </c>
    </row>
    <row r="371" spans="1:5" x14ac:dyDescent="0.25">
      <c r="A371" s="1">
        <v>43835</v>
      </c>
      <c r="B371" s="2">
        <f>IFERROR(Torres!K370, 0) + IFERROR('San José'!K370, 0) + IFERROR(Terraplaza!K370, 0)</f>
        <v>94</v>
      </c>
      <c r="C371">
        <v>22</v>
      </c>
      <c r="D371" t="e">
        <v>#N/A</v>
      </c>
      <c r="E371">
        <v>72</v>
      </c>
    </row>
    <row r="372" spans="1:5" x14ac:dyDescent="0.25">
      <c r="A372" s="1">
        <v>43836</v>
      </c>
      <c r="B372" s="2">
        <f>IFERROR(Torres!K371, 0) + IFERROR('San José'!K371, 0) + IFERROR(Terraplaza!K371, 0)</f>
        <v>112.75</v>
      </c>
      <c r="C372">
        <v>31.75</v>
      </c>
      <c r="D372" t="e">
        <v>#N/A</v>
      </c>
      <c r="E372">
        <v>81</v>
      </c>
    </row>
    <row r="373" spans="1:5" x14ac:dyDescent="0.25">
      <c r="A373" s="1">
        <v>43837</v>
      </c>
      <c r="B373" s="2">
        <f>IFERROR(Torres!K372, 0) + IFERROR('San José'!K372, 0) + IFERROR(Terraplaza!K372, 0)</f>
        <v>111</v>
      </c>
      <c r="C373">
        <v>35</v>
      </c>
      <c r="D373" t="e">
        <v>#N/A</v>
      </c>
      <c r="E373">
        <v>76</v>
      </c>
    </row>
    <row r="374" spans="1:5" x14ac:dyDescent="0.25">
      <c r="A374" s="1">
        <v>43838</v>
      </c>
      <c r="B374" s="2">
        <f>IFERROR(Torres!K373, 0) + IFERROR('San José'!K373, 0) + IFERROR(Terraplaza!K373, 0)</f>
        <v>95</v>
      </c>
      <c r="C374">
        <v>33</v>
      </c>
      <c r="D374" t="e">
        <v>#N/A</v>
      </c>
      <c r="E374">
        <v>62</v>
      </c>
    </row>
    <row r="375" spans="1:5" x14ac:dyDescent="0.25">
      <c r="A375" s="1">
        <v>43839</v>
      </c>
      <c r="B375" s="2">
        <f>IFERROR(Torres!K374, 0) + IFERROR('San José'!K374, 0) + IFERROR(Terraplaza!K374, 0)</f>
        <v>76</v>
      </c>
      <c r="C375">
        <v>27</v>
      </c>
      <c r="D375" t="e">
        <v>#N/A</v>
      </c>
      <c r="E375">
        <v>49</v>
      </c>
    </row>
    <row r="376" spans="1:5" x14ac:dyDescent="0.25">
      <c r="A376" s="1">
        <v>43840</v>
      </c>
      <c r="B376" s="2">
        <f>IFERROR(Torres!K375, 0) + IFERROR('San José'!K375, 0) + IFERROR(Terraplaza!K375, 0)</f>
        <v>74</v>
      </c>
      <c r="C376">
        <v>23</v>
      </c>
      <c r="D376" t="e">
        <v>#N/A</v>
      </c>
      <c r="E376">
        <v>51</v>
      </c>
    </row>
    <row r="377" spans="1:5" x14ac:dyDescent="0.25">
      <c r="A377" s="1">
        <v>43841</v>
      </c>
      <c r="B377" s="2">
        <f>IFERROR(Torres!K376, 0) + IFERROR('San José'!K376, 0) + IFERROR(Terraplaza!K376, 0)</f>
        <v>112</v>
      </c>
      <c r="C377">
        <v>33</v>
      </c>
      <c r="D377" t="e">
        <v>#N/A</v>
      </c>
      <c r="E377">
        <v>79</v>
      </c>
    </row>
    <row r="378" spans="1:5" x14ac:dyDescent="0.25">
      <c r="A378" s="1">
        <v>43842</v>
      </c>
      <c r="B378" s="2">
        <f>IFERROR(Torres!K377, 0) + IFERROR('San José'!K377, 0) + IFERROR(Terraplaza!K377, 0)</f>
        <v>105.125</v>
      </c>
      <c r="C378">
        <v>38.125</v>
      </c>
      <c r="D378" t="e">
        <v>#N/A</v>
      </c>
      <c r="E378">
        <v>67</v>
      </c>
    </row>
    <row r="379" spans="1:5" x14ac:dyDescent="0.25">
      <c r="A379" s="1">
        <v>43843</v>
      </c>
      <c r="B379" s="2">
        <f>IFERROR(Torres!K378, 0) + IFERROR('San José'!K378, 0) + IFERROR(Terraplaza!K378, 0)</f>
        <v>54.875</v>
      </c>
      <c r="C379">
        <v>12.375</v>
      </c>
      <c r="D379" t="e">
        <v>#N/A</v>
      </c>
      <c r="E379">
        <v>42.5</v>
      </c>
    </row>
    <row r="380" spans="1:5" x14ac:dyDescent="0.25">
      <c r="A380" s="1">
        <v>43844</v>
      </c>
      <c r="B380" s="2">
        <f>IFERROR(Torres!K379, 0) + IFERROR('San José'!K379, 0) + IFERROR(Terraplaza!K379, 0)</f>
        <v>82.5</v>
      </c>
      <c r="C380">
        <v>34</v>
      </c>
      <c r="D380" t="e">
        <v>#N/A</v>
      </c>
      <c r="E380">
        <v>48.5</v>
      </c>
    </row>
    <row r="381" spans="1:5" x14ac:dyDescent="0.25">
      <c r="A381" s="1">
        <v>43845</v>
      </c>
      <c r="B381" s="2">
        <f>IFERROR(Torres!K380, 0) + IFERROR('San José'!K380, 0) + IFERROR(Terraplaza!K380, 0)</f>
        <v>74</v>
      </c>
      <c r="C381">
        <v>31</v>
      </c>
      <c r="D381" t="e">
        <v>#N/A</v>
      </c>
      <c r="E381">
        <v>43</v>
      </c>
    </row>
    <row r="382" spans="1:5" x14ac:dyDescent="0.25">
      <c r="A382" s="1">
        <v>43846</v>
      </c>
      <c r="B382" s="2">
        <f>IFERROR(Torres!K381, 0) + IFERROR('San José'!K381, 0) + IFERROR(Terraplaza!K381, 0)</f>
        <v>65.5</v>
      </c>
      <c r="C382">
        <v>20.5</v>
      </c>
      <c r="D382" t="e">
        <v>#N/A</v>
      </c>
      <c r="E382">
        <v>45</v>
      </c>
    </row>
    <row r="383" spans="1:5" x14ac:dyDescent="0.25">
      <c r="A383" s="1">
        <v>43847</v>
      </c>
      <c r="B383" s="2">
        <f>IFERROR(Torres!K382, 0) + IFERROR('San José'!K382, 0) + IFERROR(Terraplaza!K382, 0)</f>
        <v>77</v>
      </c>
      <c r="C383">
        <v>20</v>
      </c>
      <c r="D383" t="e">
        <v>#N/A</v>
      </c>
      <c r="E383">
        <v>57</v>
      </c>
    </row>
    <row r="384" spans="1:5" x14ac:dyDescent="0.25">
      <c r="A384" s="1">
        <v>43848</v>
      </c>
      <c r="B384" s="2">
        <f>IFERROR(Torres!K383, 0) + IFERROR('San José'!K383, 0) + IFERROR(Terraplaza!K383, 0)</f>
        <v>114</v>
      </c>
      <c r="C384">
        <v>42</v>
      </c>
      <c r="D384" t="e">
        <v>#N/A</v>
      </c>
      <c r="E384">
        <v>72</v>
      </c>
    </row>
    <row r="385" spans="1:5" x14ac:dyDescent="0.25">
      <c r="A385" s="1">
        <v>43849</v>
      </c>
      <c r="B385" s="2">
        <f>IFERROR(Torres!K384, 0) + IFERROR('San José'!K384, 0) + IFERROR(Terraplaza!K384, 0)</f>
        <v>103</v>
      </c>
      <c r="C385">
        <v>39</v>
      </c>
      <c r="D385" t="e">
        <v>#N/A</v>
      </c>
      <c r="E385">
        <v>64</v>
      </c>
    </row>
    <row r="386" spans="1:5" x14ac:dyDescent="0.25">
      <c r="A386" s="1">
        <v>43850</v>
      </c>
      <c r="B386" s="2">
        <f>IFERROR(Torres!K385, 0) + IFERROR('San José'!K385, 0) + IFERROR(Terraplaza!K385, 0)</f>
        <v>55.5</v>
      </c>
      <c r="C386">
        <v>16.5</v>
      </c>
      <c r="D386" t="e">
        <v>#N/A</v>
      </c>
      <c r="E386">
        <v>39</v>
      </c>
    </row>
    <row r="387" spans="1:5" x14ac:dyDescent="0.25">
      <c r="A387" s="1">
        <v>43851</v>
      </c>
      <c r="B387" s="2">
        <f>IFERROR(Torres!K386, 0) + IFERROR('San José'!K386, 0) + IFERROR(Terraplaza!K386, 0)</f>
        <v>70.5</v>
      </c>
      <c r="C387">
        <v>21.5</v>
      </c>
      <c r="D387" t="e">
        <v>#N/A</v>
      </c>
      <c r="E387">
        <v>49</v>
      </c>
    </row>
    <row r="388" spans="1:5" x14ac:dyDescent="0.25">
      <c r="A388" s="1">
        <v>43852</v>
      </c>
      <c r="B388" s="2">
        <f>IFERROR(Torres!K387, 0) + IFERROR('San José'!K387, 0) + IFERROR(Terraplaza!K387, 0)</f>
        <v>69.5</v>
      </c>
      <c r="C388">
        <v>22.5</v>
      </c>
      <c r="D388" t="e">
        <v>#N/A</v>
      </c>
      <c r="E388">
        <v>47</v>
      </c>
    </row>
    <row r="389" spans="1:5" x14ac:dyDescent="0.25">
      <c r="A389" s="1">
        <v>43853</v>
      </c>
      <c r="B389" s="2">
        <f>IFERROR(Torres!K388, 0) + IFERROR('San José'!K388, 0) + IFERROR(Terraplaza!K388, 0)</f>
        <v>50</v>
      </c>
      <c r="C389">
        <v>17</v>
      </c>
      <c r="D389" t="e">
        <v>#N/A</v>
      </c>
      <c r="E389">
        <v>33</v>
      </c>
    </row>
    <row r="390" spans="1:5" x14ac:dyDescent="0.25">
      <c r="A390" s="1">
        <v>43854</v>
      </c>
      <c r="B390" s="2">
        <f>IFERROR(Torres!K389, 0) + IFERROR('San José'!K389, 0) + IFERROR(Terraplaza!K389, 0)</f>
        <v>82</v>
      </c>
      <c r="C390">
        <v>24</v>
      </c>
      <c r="D390" t="e">
        <v>#N/A</v>
      </c>
      <c r="E390">
        <v>58</v>
      </c>
    </row>
    <row r="391" spans="1:5" x14ac:dyDescent="0.25">
      <c r="A391" s="1">
        <v>43855</v>
      </c>
      <c r="B391" s="2">
        <f>IFERROR(Torres!K390, 0) + IFERROR('San José'!K390, 0) + IFERROR(Terraplaza!K390, 0)</f>
        <v>94.5</v>
      </c>
      <c r="C391">
        <v>27.5</v>
      </c>
      <c r="D391" t="e">
        <v>#N/A</v>
      </c>
      <c r="E391">
        <v>67</v>
      </c>
    </row>
    <row r="392" spans="1:5" x14ac:dyDescent="0.25">
      <c r="A392" s="1">
        <v>43856</v>
      </c>
      <c r="B392" s="2">
        <f>IFERROR(Torres!K391, 0) + IFERROR('San José'!K391, 0) + IFERROR(Terraplaza!K391, 0)</f>
        <v>109</v>
      </c>
      <c r="C392">
        <v>36</v>
      </c>
      <c r="D392" t="e">
        <v>#N/A</v>
      </c>
      <c r="E392">
        <v>73</v>
      </c>
    </row>
    <row r="393" spans="1:5" x14ac:dyDescent="0.25">
      <c r="A393" s="1">
        <v>43857</v>
      </c>
      <c r="B393" s="2">
        <f>IFERROR(Torres!K392, 0) + IFERROR('San José'!K392, 0) + IFERROR(Terraplaza!K392, 0)</f>
        <v>54.75</v>
      </c>
      <c r="C393">
        <v>13.25</v>
      </c>
      <c r="D393" t="e">
        <v>#N/A</v>
      </c>
      <c r="E393">
        <v>41.5</v>
      </c>
    </row>
    <row r="394" spans="1:5" x14ac:dyDescent="0.25">
      <c r="A394" s="1">
        <v>43858</v>
      </c>
      <c r="B394" s="2">
        <f>IFERROR(Torres!K393, 0) + IFERROR('San José'!K393, 0) + IFERROR(Terraplaza!K393, 0)</f>
        <v>59.25</v>
      </c>
      <c r="C394">
        <v>19.75</v>
      </c>
      <c r="D394" t="e">
        <v>#N/A</v>
      </c>
      <c r="E394">
        <v>39.5</v>
      </c>
    </row>
    <row r="395" spans="1:5" x14ac:dyDescent="0.25">
      <c r="A395" s="1">
        <v>43859</v>
      </c>
      <c r="B395" s="2">
        <f>IFERROR(Torres!K394, 0) + IFERROR('San José'!K394, 0) + IFERROR(Terraplaza!K394, 0)</f>
        <v>58.5</v>
      </c>
      <c r="C395">
        <v>18.5</v>
      </c>
      <c r="D395" t="e">
        <v>#N/A</v>
      </c>
      <c r="E395">
        <v>40</v>
      </c>
    </row>
    <row r="396" spans="1:5" x14ac:dyDescent="0.25">
      <c r="A396" s="1">
        <v>43860</v>
      </c>
      <c r="B396" s="2">
        <f>IFERROR(Torres!K395, 0) + IFERROR('San José'!K395, 0) + IFERROR(Terraplaza!K395, 0)</f>
        <v>51</v>
      </c>
      <c r="C396">
        <v>15.5</v>
      </c>
      <c r="D396" t="e">
        <v>#N/A</v>
      </c>
      <c r="E396">
        <v>35.5</v>
      </c>
    </row>
    <row r="397" spans="1:5" x14ac:dyDescent="0.25">
      <c r="A397" s="1">
        <v>43861</v>
      </c>
      <c r="B397" s="2">
        <f>IFERROR(Torres!K396, 0) + IFERROR('San José'!K396, 0) + IFERROR(Terraplaza!K396, 0)</f>
        <v>80</v>
      </c>
      <c r="C397">
        <v>24</v>
      </c>
      <c r="D397" t="e">
        <v>#N/A</v>
      </c>
      <c r="E397">
        <v>56</v>
      </c>
    </row>
    <row r="398" spans="1:5" x14ac:dyDescent="0.25">
      <c r="A398" s="1">
        <v>43862</v>
      </c>
      <c r="B398" s="2">
        <f>IFERROR(Torres!K397, 0) + IFERROR('San José'!K397, 0) + IFERROR(Terraplaza!K397, 0)</f>
        <v>118.5</v>
      </c>
      <c r="C398">
        <v>32</v>
      </c>
      <c r="D398" t="e">
        <v>#N/A</v>
      </c>
      <c r="E398">
        <v>86.5</v>
      </c>
    </row>
    <row r="399" spans="1:5" x14ac:dyDescent="0.25">
      <c r="A399" s="1">
        <v>43863</v>
      </c>
      <c r="B399" s="2">
        <f>IFERROR(Torres!K398, 0) + IFERROR('San José'!K398, 0) + IFERROR(Terraplaza!K398, 0)</f>
        <v>111.5</v>
      </c>
      <c r="C399">
        <v>33.5</v>
      </c>
      <c r="D399" t="e">
        <v>#N/A</v>
      </c>
      <c r="E399">
        <v>78</v>
      </c>
    </row>
    <row r="400" spans="1:5" x14ac:dyDescent="0.25">
      <c r="A400" s="1">
        <v>43864</v>
      </c>
      <c r="B400" s="2">
        <f>IFERROR(Torres!K399, 0) + IFERROR('San José'!K399, 0) + IFERROR(Terraplaza!K399, 0)</f>
        <v>49.5</v>
      </c>
      <c r="C400">
        <v>11</v>
      </c>
      <c r="D400" t="e">
        <v>#N/A</v>
      </c>
      <c r="E400">
        <v>38.5</v>
      </c>
    </row>
    <row r="401" spans="1:5" x14ac:dyDescent="0.25">
      <c r="A401" s="1">
        <v>43865</v>
      </c>
      <c r="B401" s="2">
        <f>IFERROR(Torres!K400, 0) + IFERROR('San José'!K400, 0) + IFERROR(Terraplaza!K400, 0)</f>
        <v>47.375</v>
      </c>
      <c r="C401">
        <v>10.875</v>
      </c>
      <c r="D401" t="e">
        <v>#N/A</v>
      </c>
      <c r="E401">
        <v>36.5</v>
      </c>
    </row>
    <row r="402" spans="1:5" x14ac:dyDescent="0.25">
      <c r="A402" s="1">
        <v>43866</v>
      </c>
      <c r="B402" s="2">
        <f>IFERROR(Torres!K401, 0) + IFERROR('San José'!K401, 0) + IFERROR(Terraplaza!K401, 0)</f>
        <v>61.75</v>
      </c>
      <c r="C402">
        <v>18.75</v>
      </c>
      <c r="D402" t="e">
        <v>#N/A</v>
      </c>
      <c r="E402">
        <v>43</v>
      </c>
    </row>
    <row r="403" spans="1:5" x14ac:dyDescent="0.25">
      <c r="A403" s="1">
        <v>43867</v>
      </c>
      <c r="B403" s="2">
        <f>IFERROR(Torres!K402, 0) + IFERROR('San José'!K402, 0) + IFERROR(Terraplaza!K402, 0)</f>
        <v>48.125</v>
      </c>
      <c r="C403">
        <v>10.625</v>
      </c>
      <c r="D403" t="e">
        <v>#N/A</v>
      </c>
      <c r="E403">
        <v>37.5</v>
      </c>
    </row>
    <row r="404" spans="1:5" x14ac:dyDescent="0.25">
      <c r="A404" s="1">
        <v>43868</v>
      </c>
      <c r="B404" s="2">
        <f>IFERROR(Torres!K403, 0) + IFERROR('San José'!K403, 0) + IFERROR(Terraplaza!K403, 0)</f>
        <v>82.25</v>
      </c>
      <c r="C404">
        <v>30.25</v>
      </c>
      <c r="D404" t="e">
        <v>#N/A</v>
      </c>
      <c r="E404">
        <v>52</v>
      </c>
    </row>
    <row r="405" spans="1:5" x14ac:dyDescent="0.25">
      <c r="A405" s="1">
        <v>43869</v>
      </c>
      <c r="B405" s="2">
        <f>IFERROR(Torres!K404, 0) + IFERROR('San José'!K404, 0) + IFERROR(Terraplaza!K404, 0)</f>
        <v>92.5</v>
      </c>
      <c r="C405">
        <v>22.5</v>
      </c>
      <c r="D405" t="e">
        <v>#N/A</v>
      </c>
      <c r="E405">
        <v>70</v>
      </c>
    </row>
    <row r="406" spans="1:5" x14ac:dyDescent="0.25">
      <c r="A406" s="1">
        <v>43870</v>
      </c>
      <c r="B406" s="2">
        <f>IFERROR(Torres!K405, 0) + IFERROR('San José'!K405, 0) + IFERROR(Terraplaza!K405, 0)</f>
        <v>116</v>
      </c>
      <c r="C406">
        <v>40.5</v>
      </c>
      <c r="D406" t="e">
        <v>#N/A</v>
      </c>
      <c r="E406">
        <v>75.5</v>
      </c>
    </row>
    <row r="407" spans="1:5" x14ac:dyDescent="0.25">
      <c r="A407" s="1">
        <v>43871</v>
      </c>
      <c r="B407" s="2">
        <f>IFERROR(Torres!K406, 0) + IFERROR('San José'!K406, 0) + IFERROR(Terraplaza!K406, 0)</f>
        <v>40</v>
      </c>
      <c r="C407">
        <v>10</v>
      </c>
      <c r="D407" t="e">
        <v>#N/A</v>
      </c>
      <c r="E407">
        <v>30</v>
      </c>
    </row>
    <row r="408" spans="1:5" x14ac:dyDescent="0.25">
      <c r="A408" s="1">
        <v>43872</v>
      </c>
      <c r="B408" s="2">
        <f>IFERROR(Torres!K407, 0) + IFERROR('San José'!K407, 0) + IFERROR(Terraplaza!K407, 0)</f>
        <v>52.5</v>
      </c>
      <c r="C408">
        <v>14</v>
      </c>
      <c r="D408" t="e">
        <v>#N/A</v>
      </c>
      <c r="E408">
        <v>38.5</v>
      </c>
    </row>
    <row r="409" spans="1:5" x14ac:dyDescent="0.25">
      <c r="A409" s="1">
        <v>43873</v>
      </c>
      <c r="B409" s="2">
        <f>IFERROR(Torres!K408, 0) + IFERROR('San José'!K408, 0) + IFERROR(Terraplaza!K408, 0)</f>
        <v>55.5</v>
      </c>
      <c r="C409">
        <v>20</v>
      </c>
      <c r="D409" t="e">
        <v>#N/A</v>
      </c>
      <c r="E409">
        <v>35.5</v>
      </c>
    </row>
    <row r="410" spans="1:5" x14ac:dyDescent="0.25">
      <c r="A410" s="1">
        <v>43874</v>
      </c>
      <c r="B410" s="2">
        <f>IFERROR(Torres!K409, 0) + IFERROR('San José'!K409, 0) + IFERROR(Terraplaza!K409, 0)</f>
        <v>45.5</v>
      </c>
      <c r="C410">
        <v>11</v>
      </c>
      <c r="D410" t="e">
        <v>#N/A</v>
      </c>
      <c r="E410">
        <v>34.5</v>
      </c>
    </row>
    <row r="411" spans="1:5" x14ac:dyDescent="0.25">
      <c r="A411" s="1">
        <v>43875</v>
      </c>
      <c r="B411" s="2">
        <f>IFERROR(Torres!K410, 0) + IFERROR('San José'!K410, 0) + IFERROR(Terraplaza!K410, 0)</f>
        <v>70.125</v>
      </c>
      <c r="C411">
        <v>24.125</v>
      </c>
      <c r="D411" t="e">
        <v>#N/A</v>
      </c>
      <c r="E411">
        <v>46</v>
      </c>
    </row>
    <row r="412" spans="1:5" x14ac:dyDescent="0.25">
      <c r="A412" s="1">
        <v>43876</v>
      </c>
      <c r="B412" s="2">
        <f>IFERROR(Torres!K411, 0) + IFERROR('San José'!K411, 0) + IFERROR(Terraplaza!K411, 0)</f>
        <v>106.875</v>
      </c>
      <c r="C412">
        <v>36.375</v>
      </c>
      <c r="D412" t="e">
        <v>#N/A</v>
      </c>
      <c r="E412">
        <v>70.5</v>
      </c>
    </row>
    <row r="413" spans="1:5" x14ac:dyDescent="0.25">
      <c r="A413" s="1">
        <v>43877</v>
      </c>
      <c r="B413" s="2">
        <f>IFERROR(Torres!K412, 0) + IFERROR('San José'!K412, 0) + IFERROR(Terraplaza!K412, 0)</f>
        <v>110.875</v>
      </c>
      <c r="C413">
        <v>40.875</v>
      </c>
      <c r="D413" t="e">
        <v>#N/A</v>
      </c>
      <c r="E413">
        <v>70</v>
      </c>
    </row>
    <row r="414" spans="1:5" x14ac:dyDescent="0.25">
      <c r="A414" s="1">
        <v>43878</v>
      </c>
      <c r="B414" s="2">
        <f>IFERROR(Torres!K413, 0) + IFERROR('San José'!K413, 0) + IFERROR(Terraplaza!K413, 0)</f>
        <v>29.125</v>
      </c>
      <c r="C414">
        <v>10.625</v>
      </c>
      <c r="D414" t="e">
        <v>#N/A</v>
      </c>
      <c r="E414">
        <v>18.5</v>
      </c>
    </row>
    <row r="415" spans="1:5" x14ac:dyDescent="0.25">
      <c r="A415" s="1">
        <v>43879</v>
      </c>
      <c r="B415" s="2">
        <f>IFERROR(Torres!K414, 0) + IFERROR('San José'!K414, 0) + IFERROR(Terraplaza!K414, 0)</f>
        <v>52</v>
      </c>
      <c r="C415">
        <v>17.5</v>
      </c>
      <c r="D415" t="e">
        <v>#N/A</v>
      </c>
      <c r="E415">
        <v>34.5</v>
      </c>
    </row>
    <row r="416" spans="1:5" x14ac:dyDescent="0.25">
      <c r="A416" s="1">
        <v>43880</v>
      </c>
      <c r="B416" s="2">
        <f>IFERROR(Torres!K415, 0) + IFERROR('San José'!K415, 0) + IFERROR(Terraplaza!K415, 0)</f>
        <v>54.5</v>
      </c>
      <c r="C416">
        <v>19.5</v>
      </c>
      <c r="D416" t="e">
        <v>#N/A</v>
      </c>
      <c r="E416">
        <v>35</v>
      </c>
    </row>
    <row r="417" spans="1:5" x14ac:dyDescent="0.25">
      <c r="A417" s="1">
        <v>43881</v>
      </c>
      <c r="B417" s="2">
        <f>IFERROR(Torres!K416, 0) + IFERROR('San José'!K416, 0) + IFERROR(Terraplaza!K416, 0)</f>
        <v>55</v>
      </c>
      <c r="C417">
        <v>20</v>
      </c>
      <c r="D417" t="e">
        <v>#N/A</v>
      </c>
      <c r="E417">
        <v>35</v>
      </c>
    </row>
    <row r="418" spans="1:5" x14ac:dyDescent="0.25">
      <c r="A418" s="1">
        <v>43882</v>
      </c>
      <c r="B418" s="2">
        <f>IFERROR(Torres!K417, 0) + IFERROR('San José'!K417, 0) + IFERROR(Terraplaza!K417, 0)</f>
        <v>67</v>
      </c>
      <c r="C418">
        <v>17</v>
      </c>
      <c r="D418" t="e">
        <v>#N/A</v>
      </c>
      <c r="E418">
        <v>50</v>
      </c>
    </row>
    <row r="419" spans="1:5" x14ac:dyDescent="0.25">
      <c r="A419" s="1">
        <v>43883</v>
      </c>
      <c r="B419" s="2">
        <f>IFERROR(Torres!K418, 0) + IFERROR('San José'!K418, 0) + IFERROR(Terraplaza!K418, 0)</f>
        <v>102</v>
      </c>
      <c r="C419">
        <v>40</v>
      </c>
      <c r="D419" t="e">
        <v>#N/A</v>
      </c>
      <c r="E419">
        <v>62</v>
      </c>
    </row>
    <row r="420" spans="1:5" x14ac:dyDescent="0.25">
      <c r="A420" s="1">
        <v>43884</v>
      </c>
      <c r="B420" s="2">
        <f>IFERROR(Torres!K419, 0) + IFERROR('San José'!K419, 0) + IFERROR(Terraplaza!K419, 0)</f>
        <v>123</v>
      </c>
      <c r="C420">
        <v>42</v>
      </c>
      <c r="D420" t="e">
        <v>#N/A</v>
      </c>
      <c r="E420">
        <v>81</v>
      </c>
    </row>
    <row r="421" spans="1:5" x14ac:dyDescent="0.25">
      <c r="A421" s="1">
        <v>43885</v>
      </c>
      <c r="B421" s="2">
        <f>IFERROR(Torres!K420, 0) + IFERROR('San José'!K420, 0) + IFERROR(Terraplaza!K420, 0)</f>
        <v>30</v>
      </c>
      <c r="C421">
        <v>6</v>
      </c>
      <c r="D421" t="e">
        <v>#N/A</v>
      </c>
      <c r="E421">
        <v>24</v>
      </c>
    </row>
    <row r="422" spans="1:5" x14ac:dyDescent="0.25">
      <c r="A422" s="1">
        <v>43886</v>
      </c>
      <c r="B422" s="2">
        <f>IFERROR(Torres!K421, 0) + IFERROR('San José'!K421, 0) + IFERROR(Terraplaza!K421, 0)</f>
        <v>57.5</v>
      </c>
      <c r="C422">
        <v>13</v>
      </c>
      <c r="D422" t="e">
        <v>#N/A</v>
      </c>
      <c r="E422">
        <v>44.5</v>
      </c>
    </row>
    <row r="423" spans="1:5" x14ac:dyDescent="0.25">
      <c r="A423" s="1">
        <v>43887</v>
      </c>
      <c r="B423" s="2">
        <f>IFERROR(Torres!K422, 0) + IFERROR('San José'!K422, 0) + IFERROR(Terraplaza!K422, 0)</f>
        <v>44</v>
      </c>
      <c r="C423">
        <v>13</v>
      </c>
      <c r="D423" t="e">
        <v>#N/A</v>
      </c>
      <c r="E423">
        <v>31</v>
      </c>
    </row>
    <row r="424" spans="1:5" x14ac:dyDescent="0.25">
      <c r="A424" s="1">
        <v>43888</v>
      </c>
      <c r="B424" s="2">
        <f>IFERROR(Torres!K423, 0) + IFERROR('San José'!K423, 0) + IFERROR(Terraplaza!K423, 0)</f>
        <v>56</v>
      </c>
      <c r="C424">
        <v>10.5</v>
      </c>
      <c r="D424" t="e">
        <v>#N/A</v>
      </c>
      <c r="E424">
        <v>45.5</v>
      </c>
    </row>
    <row r="425" spans="1:5" x14ac:dyDescent="0.25">
      <c r="A425" s="1">
        <v>43889</v>
      </c>
      <c r="B425" s="2">
        <f>IFERROR(Torres!K424, 0) + IFERROR('San José'!K424, 0) + IFERROR(Terraplaza!K424, 0)</f>
        <v>80.5</v>
      </c>
      <c r="C425">
        <v>25.5</v>
      </c>
      <c r="D425" t="e">
        <v>#N/A</v>
      </c>
      <c r="E425">
        <v>55</v>
      </c>
    </row>
    <row r="426" spans="1:5" x14ac:dyDescent="0.25">
      <c r="A426" s="1">
        <v>43890</v>
      </c>
      <c r="B426" s="2">
        <f>IFERROR(Torres!K425, 0) + IFERROR('San José'!K425, 0) + IFERROR(Terraplaza!K425, 0)</f>
        <v>98</v>
      </c>
      <c r="C426">
        <v>33</v>
      </c>
      <c r="D426" t="e">
        <v>#N/A</v>
      </c>
      <c r="E426">
        <v>65</v>
      </c>
    </row>
    <row r="427" spans="1:5" x14ac:dyDescent="0.25">
      <c r="A427" s="1">
        <v>43891</v>
      </c>
      <c r="B427" s="2">
        <f>IFERROR(Torres!K426, 0) + IFERROR('San José'!K426, 0) + IFERROR(Terraplaza!K426, 0)</f>
        <v>101</v>
      </c>
      <c r="C427">
        <v>31</v>
      </c>
      <c r="D427" t="e">
        <v>#N/A</v>
      </c>
      <c r="E427">
        <v>70</v>
      </c>
    </row>
    <row r="428" spans="1:5" x14ac:dyDescent="0.25">
      <c r="A428" s="1">
        <v>43892</v>
      </c>
      <c r="B428" s="2">
        <f>IFERROR(Torres!K427, 0) + IFERROR('San José'!K427, 0) + IFERROR(Terraplaza!K427, 0)</f>
        <v>41.125</v>
      </c>
      <c r="C428">
        <v>12.125</v>
      </c>
      <c r="D428" t="e">
        <v>#N/A</v>
      </c>
      <c r="E428">
        <v>29</v>
      </c>
    </row>
    <row r="429" spans="1:5" x14ac:dyDescent="0.25">
      <c r="A429" s="1">
        <v>43893</v>
      </c>
      <c r="B429" s="2">
        <f>IFERROR(Torres!K428, 0) + IFERROR('San José'!K428, 0) + IFERROR(Terraplaza!K428, 0)</f>
        <v>42.375</v>
      </c>
      <c r="C429">
        <v>14.375</v>
      </c>
      <c r="D429" t="e">
        <v>#N/A</v>
      </c>
      <c r="E429">
        <v>28</v>
      </c>
    </row>
    <row r="430" spans="1:5" x14ac:dyDescent="0.25">
      <c r="A430" s="1">
        <v>43894</v>
      </c>
      <c r="B430" s="2">
        <f>IFERROR(Torres!K429, 0) + IFERROR('San José'!K429, 0) + IFERROR(Terraplaza!K429, 0)</f>
        <v>49.5</v>
      </c>
      <c r="C430">
        <v>14</v>
      </c>
      <c r="D430" t="e">
        <v>#N/A</v>
      </c>
      <c r="E430">
        <v>35.5</v>
      </c>
    </row>
    <row r="431" spans="1:5" x14ac:dyDescent="0.25">
      <c r="A431" s="1">
        <v>43895</v>
      </c>
      <c r="B431" s="2">
        <f>IFERROR(Torres!K430, 0) + IFERROR('San José'!K430, 0) + IFERROR(Terraplaza!K430, 0)</f>
        <v>49.25</v>
      </c>
      <c r="C431">
        <v>14.25</v>
      </c>
      <c r="D431" t="e">
        <v>#N/A</v>
      </c>
      <c r="E431">
        <v>35</v>
      </c>
    </row>
    <row r="432" spans="1:5" x14ac:dyDescent="0.25">
      <c r="A432" s="1">
        <v>43896</v>
      </c>
      <c r="B432" s="2">
        <f>IFERROR(Torres!K431, 0) + IFERROR('San José'!K431, 0) + IFERROR(Terraplaza!K431, 0)</f>
        <v>77.75</v>
      </c>
      <c r="C432">
        <v>21.75</v>
      </c>
      <c r="D432" t="e">
        <v>#N/A</v>
      </c>
      <c r="E432">
        <v>56</v>
      </c>
    </row>
    <row r="433" spans="1:5" x14ac:dyDescent="0.25">
      <c r="A433" s="1">
        <v>43897</v>
      </c>
      <c r="B433" s="2">
        <f>IFERROR(Torres!K432, 0) + IFERROR('San José'!K432, 0) + IFERROR(Terraplaza!K432, 0)</f>
        <v>107.25</v>
      </c>
      <c r="C433">
        <v>33.25</v>
      </c>
      <c r="D433" t="e">
        <v>#N/A</v>
      </c>
      <c r="E433">
        <v>74</v>
      </c>
    </row>
    <row r="434" spans="1:5" x14ac:dyDescent="0.25">
      <c r="A434" s="1">
        <v>43898</v>
      </c>
      <c r="B434" s="2">
        <f>IFERROR(Torres!K433, 0) + IFERROR('San José'!K433, 0) + IFERROR(Terraplaza!K433, 0)</f>
        <v>102</v>
      </c>
      <c r="C434">
        <v>32.5</v>
      </c>
      <c r="D434" t="e">
        <v>#N/A</v>
      </c>
      <c r="E434">
        <v>69.5</v>
      </c>
    </row>
    <row r="435" spans="1:5" x14ac:dyDescent="0.25">
      <c r="A435" s="1">
        <v>43899</v>
      </c>
      <c r="B435" s="2">
        <f>IFERROR(Torres!K434, 0) + IFERROR('San José'!K434, 0) + IFERROR(Terraplaza!K434, 0)</f>
        <v>40.375</v>
      </c>
      <c r="C435">
        <v>4.375</v>
      </c>
      <c r="D435" t="e">
        <v>#N/A</v>
      </c>
      <c r="E435">
        <v>36</v>
      </c>
    </row>
    <row r="436" spans="1:5" x14ac:dyDescent="0.25">
      <c r="A436" s="1">
        <v>43900</v>
      </c>
      <c r="B436" s="2">
        <f>IFERROR(Torres!K435, 0) + IFERROR('San José'!K435, 0) + IFERROR(Terraplaza!K435, 0)</f>
        <v>45.5</v>
      </c>
      <c r="C436">
        <v>15.5</v>
      </c>
      <c r="D436" t="e">
        <v>#N/A</v>
      </c>
      <c r="E436">
        <v>30</v>
      </c>
    </row>
    <row r="437" spans="1:5" x14ac:dyDescent="0.25">
      <c r="A437" s="1">
        <v>43901</v>
      </c>
      <c r="B437" s="2">
        <f>IFERROR(Torres!K436, 0) + IFERROR('San José'!K436, 0) + IFERROR(Terraplaza!K436, 0)</f>
        <v>54.375</v>
      </c>
      <c r="C437">
        <v>18.875</v>
      </c>
      <c r="D437" t="e">
        <v>#N/A</v>
      </c>
      <c r="E437">
        <v>35.5</v>
      </c>
    </row>
    <row r="438" spans="1:5" x14ac:dyDescent="0.25">
      <c r="A438" s="1">
        <v>43902</v>
      </c>
      <c r="B438" s="2">
        <f>IFERROR(Torres!K437, 0) + IFERROR('San José'!K437, 0) + IFERROR(Terraplaza!K437, 0)</f>
        <v>38.5</v>
      </c>
      <c r="C438">
        <v>9.5</v>
      </c>
      <c r="D438" t="e">
        <v>#N/A</v>
      </c>
      <c r="E438">
        <v>29</v>
      </c>
    </row>
    <row r="439" spans="1:5" x14ac:dyDescent="0.25">
      <c r="A439" s="1">
        <v>43903</v>
      </c>
      <c r="B439" s="2">
        <f>IFERROR(Torres!K438, 0) + IFERROR('San José'!K438, 0) + IFERROR(Terraplaza!K438, 0)</f>
        <v>62.625</v>
      </c>
      <c r="C439">
        <v>14.125</v>
      </c>
      <c r="D439" t="e">
        <v>#N/A</v>
      </c>
      <c r="E439">
        <v>48.5</v>
      </c>
    </row>
    <row r="440" spans="1:5" x14ac:dyDescent="0.25">
      <c r="A440" s="1">
        <v>43904</v>
      </c>
      <c r="B440" s="2">
        <f>IFERROR(Torres!K439, 0) + IFERROR('San José'!K439, 0) + IFERROR(Terraplaza!K439, 0)</f>
        <v>93.75</v>
      </c>
      <c r="C440">
        <v>26.75</v>
      </c>
      <c r="D440" t="e">
        <v>#N/A</v>
      </c>
      <c r="E440">
        <v>67</v>
      </c>
    </row>
    <row r="441" spans="1:5" x14ac:dyDescent="0.25">
      <c r="A441" s="1">
        <v>43905</v>
      </c>
      <c r="B441" s="2">
        <f>IFERROR(Torres!K440, 0) + IFERROR('San José'!K440, 0) + IFERROR(Terraplaza!K440, 0)</f>
        <v>72.625</v>
      </c>
      <c r="C441">
        <v>20.625</v>
      </c>
      <c r="D441" t="e">
        <v>#N/A</v>
      </c>
      <c r="E441">
        <v>52</v>
      </c>
    </row>
    <row r="442" spans="1:5" x14ac:dyDescent="0.25">
      <c r="A442" s="1">
        <v>43906</v>
      </c>
      <c r="B442" s="2">
        <f>IFERROR(Torres!K441, 0) + IFERROR('San José'!K441, 0) + IFERROR(Terraplaza!K441, 0)</f>
        <v>35.625</v>
      </c>
      <c r="C442">
        <v>7.625</v>
      </c>
      <c r="D442" t="e">
        <v>#N/A</v>
      </c>
      <c r="E442">
        <v>28</v>
      </c>
    </row>
    <row r="443" spans="1:5" x14ac:dyDescent="0.25">
      <c r="A443" s="1">
        <v>43907</v>
      </c>
      <c r="B443" s="2">
        <f>IFERROR(Torres!K442, 0) + IFERROR('San José'!K442, 0) + IFERROR(Terraplaza!K442, 0)</f>
        <v>34.375</v>
      </c>
      <c r="C443">
        <v>7.375</v>
      </c>
      <c r="D443" t="e">
        <v>#N/A</v>
      </c>
      <c r="E443">
        <v>27</v>
      </c>
    </row>
    <row r="444" spans="1:5" x14ac:dyDescent="0.25">
      <c r="A444" s="1">
        <v>43908</v>
      </c>
      <c r="B444" s="2">
        <f>IFERROR(Torres!K443, 0) + IFERROR('San José'!K443, 0) + IFERROR(Terraplaza!K443, 0)</f>
        <v>22.5</v>
      </c>
      <c r="C444">
        <v>0</v>
      </c>
      <c r="D444" t="e">
        <v>#N/A</v>
      </c>
      <c r="E444">
        <v>22.5</v>
      </c>
    </row>
    <row r="445" spans="1:5" x14ac:dyDescent="0.25">
      <c r="A445" s="1">
        <v>43909</v>
      </c>
      <c r="B445" s="2">
        <f>IFERROR(Torres!K444, 0) + IFERROR('San José'!K444, 0) + IFERROR(Terraplaza!K444, 0)</f>
        <v>25</v>
      </c>
      <c r="C445">
        <v>0</v>
      </c>
      <c r="D445" t="e">
        <v>#N/A</v>
      </c>
      <c r="E445">
        <v>25</v>
      </c>
    </row>
    <row r="446" spans="1:5" x14ac:dyDescent="0.25">
      <c r="A446" s="1">
        <v>43910</v>
      </c>
      <c r="B446" s="2">
        <f>IFERROR(Torres!K445, 0) + IFERROR('San José'!K445, 0) + IFERROR(Terraplaza!K445, 0)</f>
        <v>25.5</v>
      </c>
      <c r="C446">
        <v>0</v>
      </c>
      <c r="D446" t="e">
        <v>#N/A</v>
      </c>
      <c r="E446">
        <v>25.5</v>
      </c>
    </row>
    <row r="447" spans="1:5" x14ac:dyDescent="0.25">
      <c r="A447" s="1">
        <v>43911</v>
      </c>
      <c r="B447" s="2">
        <f>IFERROR(Torres!K446, 0) + IFERROR('San José'!K446, 0) + IFERROR(Terraplaza!K446, 0)</f>
        <v>24</v>
      </c>
      <c r="C447">
        <v>0</v>
      </c>
      <c r="D447" t="e">
        <v>#N/A</v>
      </c>
      <c r="E447">
        <v>24</v>
      </c>
    </row>
    <row r="448" spans="1:5" x14ac:dyDescent="0.25">
      <c r="A448" s="1">
        <v>43912</v>
      </c>
      <c r="B448" s="2">
        <f>IFERROR(Torres!K447, 0) + IFERROR('San José'!K447, 0) + IFERROR(Terraplaza!K447, 0)</f>
        <v>31.5</v>
      </c>
      <c r="C448">
        <v>0</v>
      </c>
      <c r="D448" t="e">
        <v>#N/A</v>
      </c>
      <c r="E448">
        <v>31.5</v>
      </c>
    </row>
    <row r="449" spans="1:5" x14ac:dyDescent="0.25">
      <c r="A449" s="1">
        <v>43913</v>
      </c>
      <c r="B449" s="2">
        <f>IFERROR(Torres!K448, 0) + IFERROR('San José'!K448, 0) + IFERROR(Terraplaza!K448, 0)</f>
        <v>31</v>
      </c>
      <c r="C449">
        <v>0</v>
      </c>
      <c r="D449" t="e">
        <v>#N/A</v>
      </c>
      <c r="E449">
        <v>31</v>
      </c>
    </row>
    <row r="450" spans="1:5" x14ac:dyDescent="0.25">
      <c r="A450" s="1">
        <v>43914</v>
      </c>
      <c r="B450" s="2">
        <f>IFERROR(Torres!K449, 0) + IFERROR('San José'!K449, 0) + IFERROR(Terraplaza!K449, 0)</f>
        <v>29</v>
      </c>
      <c r="C450">
        <v>0</v>
      </c>
      <c r="D450" t="e">
        <v>#N/A</v>
      </c>
      <c r="E450">
        <v>29</v>
      </c>
    </row>
    <row r="451" spans="1:5" x14ac:dyDescent="0.25">
      <c r="A451" s="1">
        <v>43915</v>
      </c>
      <c r="B451" s="2">
        <f>IFERROR(Torres!K450, 0) + IFERROR('San José'!K450, 0) + IFERROR(Terraplaza!K450, 0)</f>
        <v>35.5</v>
      </c>
      <c r="C451">
        <v>0</v>
      </c>
      <c r="D451" t="e">
        <v>#N/A</v>
      </c>
      <c r="E451">
        <v>35.5</v>
      </c>
    </row>
    <row r="452" spans="1:5" x14ac:dyDescent="0.25">
      <c r="A452" s="1">
        <v>43916</v>
      </c>
      <c r="B452" s="2">
        <f>IFERROR(Torres!K451, 0) + IFERROR('San José'!K451, 0) + IFERROR(Terraplaza!K451, 0)</f>
        <v>25</v>
      </c>
      <c r="C452">
        <v>0</v>
      </c>
      <c r="D452" t="e">
        <v>#N/A</v>
      </c>
      <c r="E452">
        <v>25</v>
      </c>
    </row>
    <row r="453" spans="1:5" x14ac:dyDescent="0.25">
      <c r="A453" s="1">
        <v>43917</v>
      </c>
      <c r="B453" s="2">
        <f>IFERROR(Torres!K452, 0) + IFERROR('San José'!K452, 0) + IFERROR(Terraplaza!K452, 0)</f>
        <v>49.5</v>
      </c>
      <c r="C453">
        <v>0</v>
      </c>
      <c r="D453" t="e">
        <v>#N/A</v>
      </c>
      <c r="E453">
        <v>49.5</v>
      </c>
    </row>
    <row r="454" spans="1:5" x14ac:dyDescent="0.25">
      <c r="A454" s="1">
        <v>43918</v>
      </c>
      <c r="B454" s="2">
        <f>IFERROR(Torres!K453, 0) + IFERROR('San José'!K453, 0) + IFERROR(Terraplaza!K453, 0)</f>
        <v>60.5</v>
      </c>
      <c r="C454">
        <v>0</v>
      </c>
      <c r="D454" t="e">
        <v>#N/A</v>
      </c>
      <c r="E454">
        <v>60.5</v>
      </c>
    </row>
    <row r="455" spans="1:5" x14ac:dyDescent="0.25">
      <c r="A455" s="1">
        <v>43919</v>
      </c>
      <c r="B455" s="2">
        <f>IFERROR(Torres!K454, 0) + IFERROR('San José'!K454, 0) + IFERROR(Terraplaza!K454, 0)</f>
        <v>51.25</v>
      </c>
      <c r="C455">
        <v>0</v>
      </c>
      <c r="D455" t="e">
        <v>#N/A</v>
      </c>
      <c r="E455">
        <v>51.25</v>
      </c>
    </row>
    <row r="456" spans="1:5" x14ac:dyDescent="0.25">
      <c r="A456" s="1">
        <v>43920</v>
      </c>
      <c r="B456" s="2">
        <f>IFERROR(Torres!K455, 0) + IFERROR('San José'!K455, 0) + IFERROR(Terraplaza!K455, 0)</f>
        <v>39.75</v>
      </c>
      <c r="C456">
        <v>0</v>
      </c>
      <c r="D456" t="e">
        <v>#N/A</v>
      </c>
      <c r="E456">
        <v>39.75</v>
      </c>
    </row>
    <row r="457" spans="1:5" x14ac:dyDescent="0.25">
      <c r="A457" s="1">
        <v>43921</v>
      </c>
      <c r="B457" s="2">
        <f>IFERROR(Torres!K456, 0) + IFERROR('San José'!K456, 0) + IFERROR(Terraplaza!K456, 0)</f>
        <v>33.5</v>
      </c>
      <c r="C457">
        <v>0</v>
      </c>
      <c r="D457" t="e">
        <v>#N/A</v>
      </c>
      <c r="E457">
        <v>33.5</v>
      </c>
    </row>
    <row r="458" spans="1:5" x14ac:dyDescent="0.25">
      <c r="A458" s="1">
        <v>43922</v>
      </c>
      <c r="B458" s="2">
        <f>IFERROR(Torres!K457, 0) + IFERROR('San José'!K457, 0) + IFERROR(Terraplaza!K457, 0)</f>
        <v>42.5</v>
      </c>
      <c r="C458">
        <v>0</v>
      </c>
      <c r="D458" t="e">
        <v>#N/A</v>
      </c>
      <c r="E458">
        <v>42.5</v>
      </c>
    </row>
    <row r="459" spans="1:5" x14ac:dyDescent="0.25">
      <c r="A459" s="1">
        <v>43923</v>
      </c>
      <c r="B459" s="2">
        <f>IFERROR(Torres!K458, 0) + IFERROR('San José'!K458, 0) + IFERROR(Terraplaza!K458, 0)</f>
        <v>38.5</v>
      </c>
      <c r="C459">
        <v>0</v>
      </c>
      <c r="D459" t="e">
        <v>#N/A</v>
      </c>
      <c r="E459">
        <v>38.5</v>
      </c>
    </row>
    <row r="460" spans="1:5" x14ac:dyDescent="0.25">
      <c r="A460" s="1">
        <v>43924</v>
      </c>
      <c r="B460" s="2">
        <f>IFERROR(Torres!K459, 0) + IFERROR('San José'!K459, 0) + IFERROR(Terraplaza!K459, 0)</f>
        <v>38.5</v>
      </c>
      <c r="C460">
        <v>0</v>
      </c>
      <c r="D460" t="e">
        <v>#N/A</v>
      </c>
      <c r="E460">
        <v>38.5</v>
      </c>
    </row>
    <row r="461" spans="1:5" x14ac:dyDescent="0.25">
      <c r="A461" s="1">
        <v>43925</v>
      </c>
      <c r="B461" s="2">
        <f>IFERROR(Torres!K460, 0) + IFERROR('San José'!K460, 0) + IFERROR(Terraplaza!K460, 0)</f>
        <v>42</v>
      </c>
      <c r="C461">
        <v>0</v>
      </c>
      <c r="D461" t="e">
        <v>#N/A</v>
      </c>
      <c r="E461">
        <v>42</v>
      </c>
    </row>
    <row r="462" spans="1:5" x14ac:dyDescent="0.25">
      <c r="A462" s="1">
        <v>43926</v>
      </c>
      <c r="B462" s="2">
        <f>IFERROR(Torres!K461, 0) + IFERROR('San José'!K461, 0) + IFERROR(Terraplaza!K461, 0)</f>
        <v>49</v>
      </c>
      <c r="C462">
        <v>0</v>
      </c>
      <c r="D462" t="e">
        <v>#N/A</v>
      </c>
      <c r="E462">
        <v>49</v>
      </c>
    </row>
    <row r="463" spans="1:5" x14ac:dyDescent="0.25">
      <c r="A463" s="1">
        <v>43927</v>
      </c>
      <c r="B463" s="2">
        <f>IFERROR(Torres!K462, 0) + IFERROR('San José'!K462, 0) + IFERROR(Terraplaza!K462, 0)</f>
        <v>29</v>
      </c>
      <c r="C463">
        <v>0</v>
      </c>
      <c r="D463" t="e">
        <v>#N/A</v>
      </c>
      <c r="E463">
        <v>29</v>
      </c>
    </row>
    <row r="464" spans="1:5" x14ac:dyDescent="0.25">
      <c r="A464" s="1">
        <v>43928</v>
      </c>
      <c r="B464" s="2">
        <f>IFERROR(Torres!K463, 0) + IFERROR('San José'!K463, 0) + IFERROR(Terraplaza!K463, 0)</f>
        <v>23</v>
      </c>
      <c r="C464">
        <v>0</v>
      </c>
      <c r="D464" t="e">
        <v>#N/A</v>
      </c>
      <c r="E464">
        <v>23</v>
      </c>
    </row>
    <row r="465" spans="1:5" x14ac:dyDescent="0.25">
      <c r="A465" s="1">
        <v>43929</v>
      </c>
      <c r="B465" s="2">
        <f>IFERROR(Torres!K464, 0) + IFERROR('San José'!K464, 0) + IFERROR(Terraplaza!K464, 0)</f>
        <v>28.5</v>
      </c>
      <c r="C465">
        <v>0</v>
      </c>
      <c r="D465" t="e">
        <v>#N/A</v>
      </c>
      <c r="E465">
        <v>28.5</v>
      </c>
    </row>
    <row r="466" spans="1:5" x14ac:dyDescent="0.25">
      <c r="A466" s="1">
        <v>43930</v>
      </c>
      <c r="B466" s="2">
        <f>IFERROR(Torres!K465, 0) + IFERROR('San José'!K465, 0) + IFERROR(Terraplaza!K465, 0)</f>
        <v>28.5</v>
      </c>
      <c r="C466">
        <v>0</v>
      </c>
      <c r="D466" t="e">
        <v>#N/A</v>
      </c>
      <c r="E466">
        <v>28.5</v>
      </c>
    </row>
    <row r="467" spans="1:5" x14ac:dyDescent="0.25">
      <c r="A467" s="1">
        <v>43931</v>
      </c>
      <c r="B467" s="2">
        <f>IFERROR(Torres!K466, 0) + IFERROR('San José'!K466, 0) + IFERROR(Terraplaza!K466, 0)</f>
        <v>23.5</v>
      </c>
      <c r="C467">
        <v>0</v>
      </c>
      <c r="D467" t="e">
        <v>#N/A</v>
      </c>
      <c r="E467">
        <v>23.5</v>
      </c>
    </row>
    <row r="468" spans="1:5" x14ac:dyDescent="0.25">
      <c r="A468" s="1">
        <v>43932</v>
      </c>
      <c r="B468" s="2">
        <f>IFERROR(Torres!K467, 0) + IFERROR('San José'!K467, 0) + IFERROR(Terraplaza!K467, 0)</f>
        <v>31</v>
      </c>
      <c r="C468">
        <v>0</v>
      </c>
      <c r="D468" t="e">
        <v>#N/A</v>
      </c>
      <c r="E468">
        <v>31</v>
      </c>
    </row>
    <row r="469" spans="1:5" x14ac:dyDescent="0.25">
      <c r="A469" s="1">
        <v>43933</v>
      </c>
      <c r="B469" s="2">
        <f>IFERROR(Torres!K468, 0) + IFERROR('San José'!K468, 0) + IFERROR(Terraplaza!K468, 0)</f>
        <v>33.5</v>
      </c>
      <c r="C469">
        <v>0</v>
      </c>
      <c r="D469" t="e">
        <v>#N/A</v>
      </c>
      <c r="E469">
        <v>33.5</v>
      </c>
    </row>
    <row r="470" spans="1:5" x14ac:dyDescent="0.25">
      <c r="A470" s="1">
        <v>43934</v>
      </c>
      <c r="B470" s="2">
        <f>IFERROR(Torres!K469, 0) + IFERROR('San José'!K469, 0) + IFERROR(Terraplaza!K469, 0)</f>
        <v>15</v>
      </c>
      <c r="C470">
        <v>0</v>
      </c>
      <c r="D470" t="e">
        <v>#N/A</v>
      </c>
      <c r="E470">
        <v>15</v>
      </c>
    </row>
    <row r="471" spans="1:5" x14ac:dyDescent="0.25">
      <c r="A471" s="1">
        <v>43935</v>
      </c>
      <c r="B471" s="2">
        <f>IFERROR(Torres!K470, 0) + IFERROR('San José'!K470, 0) + IFERROR(Terraplaza!K470, 0)</f>
        <v>13.125</v>
      </c>
      <c r="C471">
        <v>0</v>
      </c>
      <c r="D471" t="e">
        <v>#N/A</v>
      </c>
      <c r="E471">
        <v>13.125</v>
      </c>
    </row>
    <row r="472" spans="1:5" x14ac:dyDescent="0.25">
      <c r="A472" s="1">
        <v>43936</v>
      </c>
      <c r="B472" s="2">
        <f>IFERROR(Torres!K471, 0) + IFERROR('San José'!K471, 0) + IFERROR(Terraplaza!K471, 0)</f>
        <v>9.875</v>
      </c>
      <c r="C472">
        <v>0</v>
      </c>
      <c r="D472" t="e">
        <v>#N/A</v>
      </c>
      <c r="E472">
        <v>9.875</v>
      </c>
    </row>
    <row r="473" spans="1:5" x14ac:dyDescent="0.25">
      <c r="A473" s="1">
        <v>43937</v>
      </c>
      <c r="B473" s="2">
        <f>IFERROR(Torres!K472, 0) + IFERROR('San José'!K472, 0) + IFERROR(Terraplaza!K472, 0)</f>
        <v>18.25</v>
      </c>
      <c r="C473">
        <v>0</v>
      </c>
      <c r="D473" t="e">
        <v>#N/A</v>
      </c>
      <c r="E473">
        <v>18.25</v>
      </c>
    </row>
    <row r="474" spans="1:5" x14ac:dyDescent="0.25">
      <c r="A474" s="1">
        <v>43938</v>
      </c>
      <c r="B474" s="2">
        <f>IFERROR(Torres!K473, 0) + IFERROR('San José'!K473, 0) + IFERROR(Terraplaza!K473, 0)</f>
        <v>30.75</v>
      </c>
      <c r="C474">
        <v>0</v>
      </c>
      <c r="D474" t="e">
        <v>#N/A</v>
      </c>
      <c r="E474">
        <v>30.75</v>
      </c>
    </row>
    <row r="475" spans="1:5" x14ac:dyDescent="0.25">
      <c r="A475" s="1">
        <v>43939</v>
      </c>
      <c r="B475" s="2">
        <f>IFERROR(Torres!K474, 0) + IFERROR('San José'!K474, 0) + IFERROR(Terraplaza!K474, 0)</f>
        <v>36</v>
      </c>
      <c r="C475">
        <v>0</v>
      </c>
      <c r="D475" t="e">
        <v>#N/A</v>
      </c>
      <c r="E475">
        <v>36</v>
      </c>
    </row>
    <row r="476" spans="1:5" x14ac:dyDescent="0.25">
      <c r="A476" s="1">
        <v>43940</v>
      </c>
      <c r="B476" s="2">
        <f>IFERROR(Torres!K475, 0) + IFERROR('San José'!K475, 0) + IFERROR(Terraplaza!K475, 0)</f>
        <v>36.625</v>
      </c>
      <c r="C476">
        <v>0</v>
      </c>
      <c r="D476" t="e">
        <v>#N/A</v>
      </c>
      <c r="E476">
        <v>36.625</v>
      </c>
    </row>
    <row r="477" spans="1:5" x14ac:dyDescent="0.25">
      <c r="A477" s="1">
        <v>43941</v>
      </c>
      <c r="B477" s="2">
        <f>IFERROR(Torres!K476, 0) + IFERROR('San José'!K476, 0) + IFERROR(Terraplaza!K476, 0)</f>
        <v>14</v>
      </c>
      <c r="C477">
        <v>0</v>
      </c>
      <c r="D477" t="e">
        <v>#N/A</v>
      </c>
      <c r="E477">
        <v>14</v>
      </c>
    </row>
    <row r="478" spans="1:5" x14ac:dyDescent="0.25">
      <c r="A478" s="1">
        <v>43942</v>
      </c>
      <c r="B478" s="2">
        <f>IFERROR(Torres!K477, 0) + IFERROR('San José'!K477, 0) + IFERROR(Terraplaza!K477, 0)</f>
        <v>18.375</v>
      </c>
      <c r="C478">
        <v>0</v>
      </c>
      <c r="D478" t="e">
        <v>#N/A</v>
      </c>
      <c r="E478">
        <v>18.375</v>
      </c>
    </row>
    <row r="479" spans="1:5" x14ac:dyDescent="0.25">
      <c r="A479" s="1">
        <v>43943</v>
      </c>
      <c r="B479" s="2">
        <f>IFERROR(Torres!K478, 0) + IFERROR('San José'!K478, 0) + IFERROR(Terraplaza!K478, 0)</f>
        <v>27</v>
      </c>
      <c r="C479">
        <v>0</v>
      </c>
      <c r="D479" t="e">
        <v>#N/A</v>
      </c>
      <c r="E479">
        <v>27</v>
      </c>
    </row>
    <row r="480" spans="1:5" x14ac:dyDescent="0.25">
      <c r="A480" s="1">
        <v>43944</v>
      </c>
      <c r="B480" s="2">
        <f>IFERROR(Torres!K479, 0) + IFERROR('San José'!K479, 0) + IFERROR(Terraplaza!K479, 0)</f>
        <v>17.5</v>
      </c>
      <c r="C480">
        <v>0</v>
      </c>
      <c r="D480" t="e">
        <v>#N/A</v>
      </c>
      <c r="E480">
        <v>17.5</v>
      </c>
    </row>
    <row r="481" spans="1:5" x14ac:dyDescent="0.25">
      <c r="A481" s="1">
        <v>43945</v>
      </c>
      <c r="B481" s="2">
        <f>IFERROR(Torres!K480, 0) + IFERROR('San José'!K480, 0) + IFERROR(Terraplaza!K480, 0)</f>
        <v>31</v>
      </c>
      <c r="C481">
        <v>0</v>
      </c>
      <c r="D481" t="e">
        <v>#N/A</v>
      </c>
      <c r="E481">
        <v>31</v>
      </c>
    </row>
    <row r="482" spans="1:5" x14ac:dyDescent="0.25">
      <c r="A482" s="1">
        <v>43946</v>
      </c>
      <c r="B482" s="2">
        <f>IFERROR(Torres!K481, 0) + IFERROR('San José'!K481, 0) + IFERROR(Terraplaza!K481, 0)</f>
        <v>50</v>
      </c>
      <c r="C482">
        <v>0</v>
      </c>
      <c r="D482" t="e">
        <v>#N/A</v>
      </c>
      <c r="E482">
        <v>50</v>
      </c>
    </row>
    <row r="483" spans="1:5" x14ac:dyDescent="0.25">
      <c r="A483" s="1">
        <v>43947</v>
      </c>
      <c r="B483" s="2">
        <f>IFERROR(Torres!K482, 0) + IFERROR('San José'!K482, 0) + IFERROR(Terraplaza!K482, 0)</f>
        <v>42.424999999999997</v>
      </c>
      <c r="C483">
        <v>0</v>
      </c>
      <c r="D483" t="e">
        <v>#N/A</v>
      </c>
      <c r="E483">
        <v>42.424999999999997</v>
      </c>
    </row>
    <row r="484" spans="1:5" x14ac:dyDescent="0.25">
      <c r="A484" s="1">
        <v>43948</v>
      </c>
      <c r="B484" s="2">
        <f>IFERROR(Torres!K483, 0) + IFERROR('San José'!K483, 0) + IFERROR(Terraplaza!K483, 0)</f>
        <v>18.95</v>
      </c>
      <c r="C484">
        <v>0</v>
      </c>
      <c r="D484" t="e">
        <v>#N/A</v>
      </c>
      <c r="E484">
        <v>18.95</v>
      </c>
    </row>
    <row r="485" spans="1:5" x14ac:dyDescent="0.25">
      <c r="A485" s="1">
        <v>43949</v>
      </c>
      <c r="B485" s="2">
        <f>IFERROR(Torres!K484, 0) + IFERROR('San José'!K484, 0) + IFERROR(Terraplaza!K484, 0)</f>
        <v>21</v>
      </c>
      <c r="C485">
        <v>0</v>
      </c>
      <c r="D485" t="e">
        <v>#N/A</v>
      </c>
      <c r="E485">
        <v>21</v>
      </c>
    </row>
    <row r="486" spans="1:5" x14ac:dyDescent="0.25">
      <c r="A486" s="1">
        <v>43950</v>
      </c>
      <c r="B486" s="2">
        <f>IFERROR(Torres!K485, 0) + IFERROR('San José'!K485, 0) + IFERROR(Terraplaza!K485, 0)</f>
        <v>23.625</v>
      </c>
      <c r="C486">
        <v>0</v>
      </c>
      <c r="D486" t="e">
        <v>#N/A</v>
      </c>
      <c r="E486">
        <v>23.625</v>
      </c>
    </row>
    <row r="487" spans="1:5" x14ac:dyDescent="0.25">
      <c r="A487" s="1">
        <v>43951</v>
      </c>
      <c r="B487" s="2">
        <f>IFERROR(Torres!K486, 0) + IFERROR('San José'!K486, 0) + IFERROR(Terraplaza!K486, 0)</f>
        <v>39.475000000000001</v>
      </c>
      <c r="C487">
        <v>0</v>
      </c>
      <c r="D487" t="e">
        <v>#N/A</v>
      </c>
      <c r="E487">
        <v>39.475000000000001</v>
      </c>
    </row>
    <row r="488" spans="1:5" x14ac:dyDescent="0.25">
      <c r="A488" s="1">
        <v>43952</v>
      </c>
      <c r="B488" s="2">
        <f>IFERROR(Torres!K487, 0) + IFERROR('San José'!K487, 0) + IFERROR(Terraplaza!K487, 0)</f>
        <v>31.524999999999999</v>
      </c>
      <c r="C488" t="e">
        <v>#N/A</v>
      </c>
      <c r="D488" t="e">
        <v>#N/A</v>
      </c>
      <c r="E488">
        <v>31.524999999999999</v>
      </c>
    </row>
    <row r="489" spans="1:5" x14ac:dyDescent="0.25">
      <c r="A489" s="1">
        <v>43953</v>
      </c>
      <c r="B489" s="2">
        <f>IFERROR(Torres!K488, 0) + IFERROR('San José'!K488, 0) + IFERROR(Terraplaza!K488, 0)</f>
        <v>45.5</v>
      </c>
      <c r="C489" t="e">
        <v>#N/A</v>
      </c>
      <c r="D489" t="e">
        <v>#N/A</v>
      </c>
      <c r="E489">
        <v>45.5</v>
      </c>
    </row>
    <row r="490" spans="1:5" x14ac:dyDescent="0.25">
      <c r="A490" s="1">
        <v>43954</v>
      </c>
      <c r="B490" s="2">
        <f>IFERROR(Torres!K489, 0) + IFERROR('San José'!K489, 0) + IFERROR(Terraplaza!K489, 0)</f>
        <v>33</v>
      </c>
      <c r="C490" t="e">
        <v>#N/A</v>
      </c>
      <c r="D490" t="e">
        <v>#N/A</v>
      </c>
      <c r="E490">
        <v>33</v>
      </c>
    </row>
    <row r="491" spans="1:5" x14ac:dyDescent="0.25">
      <c r="A491" s="1">
        <v>43955</v>
      </c>
      <c r="B491" s="2">
        <f>IFERROR(Torres!K490, 0) + IFERROR('San José'!K490, 0) + IFERROR(Terraplaza!K490, 0)</f>
        <v>18.5</v>
      </c>
      <c r="C491" t="e">
        <v>#N/A</v>
      </c>
      <c r="D491" t="e">
        <v>#N/A</v>
      </c>
      <c r="E491">
        <v>18.5</v>
      </c>
    </row>
    <row r="492" spans="1:5" x14ac:dyDescent="0.25">
      <c r="A492" s="1">
        <v>43956</v>
      </c>
      <c r="B492" s="2">
        <f>IFERROR(Torres!K491, 0) + IFERROR('San José'!K491, 0) + IFERROR(Terraplaza!K491, 0)</f>
        <v>14</v>
      </c>
      <c r="C492" t="e">
        <v>#N/A</v>
      </c>
      <c r="D492" t="e">
        <v>#N/A</v>
      </c>
      <c r="E492">
        <v>14</v>
      </c>
    </row>
    <row r="493" spans="1:5" x14ac:dyDescent="0.25">
      <c r="A493" s="1">
        <v>43957</v>
      </c>
      <c r="B493" s="2">
        <f>IFERROR(Torres!K492, 0) + IFERROR('San José'!K492, 0) + IFERROR(Terraplaza!K492, 0)</f>
        <v>17.5</v>
      </c>
      <c r="C493" t="e">
        <v>#N/A</v>
      </c>
      <c r="D493" t="e">
        <v>#N/A</v>
      </c>
      <c r="E493">
        <v>17.5</v>
      </c>
    </row>
    <row r="494" spans="1:5" x14ac:dyDescent="0.25">
      <c r="A494" s="1">
        <v>43958</v>
      </c>
      <c r="B494" s="2">
        <f>IFERROR(Torres!K493, 0) + IFERROR('San José'!K493, 0) + IFERROR(Terraplaza!K493, 0)</f>
        <v>23.5</v>
      </c>
      <c r="C494" t="e">
        <v>#N/A</v>
      </c>
      <c r="D494" t="e">
        <v>#N/A</v>
      </c>
      <c r="E494">
        <v>23.5</v>
      </c>
    </row>
    <row r="495" spans="1:5" x14ac:dyDescent="0.25">
      <c r="A495" s="1">
        <v>43959</v>
      </c>
      <c r="B495" s="2">
        <f>IFERROR(Torres!K494, 0) + IFERROR('San José'!K494, 0) + IFERROR(Terraplaza!K494, 0)</f>
        <v>30</v>
      </c>
      <c r="C495" t="e">
        <v>#N/A</v>
      </c>
      <c r="D495" t="e">
        <v>#N/A</v>
      </c>
      <c r="E495">
        <v>30</v>
      </c>
    </row>
    <row r="496" spans="1:5" x14ac:dyDescent="0.25">
      <c r="A496" s="1">
        <v>43960</v>
      </c>
      <c r="B496" s="2">
        <f>IFERROR(Torres!K495, 0) + IFERROR('San José'!K495, 0) + IFERROR(Terraplaza!K495, 0)</f>
        <v>38.5</v>
      </c>
      <c r="C496" t="e">
        <v>#N/A</v>
      </c>
      <c r="D496" t="e">
        <v>#N/A</v>
      </c>
      <c r="E496">
        <v>38.5</v>
      </c>
    </row>
    <row r="497" spans="1:5" x14ac:dyDescent="0.25">
      <c r="A497" s="1">
        <v>43961</v>
      </c>
      <c r="B497" s="2">
        <f>IFERROR(Torres!K496, 0) + IFERROR('San José'!K496, 0) + IFERROR(Terraplaza!K496, 0)</f>
        <v>62.375</v>
      </c>
      <c r="C497" t="e">
        <v>#N/A</v>
      </c>
      <c r="D497" t="e">
        <v>#N/A</v>
      </c>
      <c r="E497">
        <v>62.375</v>
      </c>
    </row>
    <row r="498" spans="1:5" x14ac:dyDescent="0.25">
      <c r="A498" s="1">
        <v>43962</v>
      </c>
      <c r="B498" s="2">
        <f>IFERROR(Torres!K497, 0) + IFERROR('San José'!K497, 0) + IFERROR(Terraplaza!K497, 0)</f>
        <v>24.625</v>
      </c>
      <c r="C498" t="e">
        <v>#N/A</v>
      </c>
      <c r="D498" t="e">
        <v>#N/A</v>
      </c>
      <c r="E498">
        <v>24.625</v>
      </c>
    </row>
    <row r="499" spans="1:5" x14ac:dyDescent="0.25">
      <c r="A499" s="1">
        <v>43963</v>
      </c>
      <c r="B499" s="2">
        <f>IFERROR(Torres!K498, 0) + IFERROR('San José'!K498, 0) + IFERROR(Terraplaza!K498, 0)</f>
        <v>29.5</v>
      </c>
      <c r="C499" t="e">
        <v>#N/A</v>
      </c>
      <c r="D499" t="e">
        <v>#N/A</v>
      </c>
      <c r="E499">
        <v>29.5</v>
      </c>
    </row>
    <row r="500" spans="1:5" x14ac:dyDescent="0.25">
      <c r="A500" s="1">
        <v>43964</v>
      </c>
      <c r="B500" s="2">
        <f>IFERROR(Torres!K499, 0) + IFERROR('San José'!K499, 0) + IFERROR(Terraplaza!K499, 0)</f>
        <v>15</v>
      </c>
      <c r="C500" t="e">
        <v>#N/A</v>
      </c>
      <c r="D500" t="e">
        <v>#N/A</v>
      </c>
      <c r="E500">
        <v>15</v>
      </c>
    </row>
    <row r="501" spans="1:5" x14ac:dyDescent="0.25">
      <c r="A501" s="1">
        <v>43965</v>
      </c>
      <c r="B501" s="2">
        <f>IFERROR(Torres!K500, 0) + IFERROR('San José'!K500, 0) + IFERROR(Terraplaza!K500, 0)</f>
        <v>26.375</v>
      </c>
      <c r="C501" t="e">
        <v>#N/A</v>
      </c>
      <c r="D501" t="e">
        <v>#N/A</v>
      </c>
      <c r="E501">
        <v>26.375</v>
      </c>
    </row>
    <row r="502" spans="1:5" x14ac:dyDescent="0.25">
      <c r="A502" s="1">
        <v>43966</v>
      </c>
      <c r="B502" s="2">
        <f>IFERROR(Torres!K501, 0) + IFERROR('San José'!K501, 0) + IFERROR(Terraplaza!K501, 0)</f>
        <v>37.875</v>
      </c>
      <c r="C502" t="e">
        <v>#N/A</v>
      </c>
      <c r="D502" t="e">
        <v>#N/A</v>
      </c>
      <c r="E502">
        <v>37.875</v>
      </c>
    </row>
    <row r="503" spans="1:5" x14ac:dyDescent="0.25">
      <c r="A503" s="1">
        <v>43967</v>
      </c>
      <c r="B503" s="2">
        <f>IFERROR(Torres!K502, 0) + IFERROR('San José'!K502, 0) + IFERROR(Terraplaza!K502, 0)</f>
        <v>46</v>
      </c>
      <c r="C503" t="e">
        <v>#N/A</v>
      </c>
      <c r="D503" t="e">
        <v>#N/A</v>
      </c>
      <c r="E503">
        <v>46</v>
      </c>
    </row>
    <row r="504" spans="1:5" x14ac:dyDescent="0.25">
      <c r="A504" s="1">
        <v>43968</v>
      </c>
      <c r="B504" s="2">
        <f>IFERROR(Torres!K503, 0) + IFERROR('San José'!K503, 0) + IFERROR(Terraplaza!K503, 0)</f>
        <v>52.75</v>
      </c>
      <c r="C504" t="e">
        <v>#N/A</v>
      </c>
      <c r="D504" t="e">
        <v>#N/A</v>
      </c>
      <c r="E504">
        <v>52.75</v>
      </c>
    </row>
    <row r="505" spans="1:5" x14ac:dyDescent="0.25">
      <c r="A505" s="1">
        <v>43969</v>
      </c>
      <c r="B505" s="2">
        <f>IFERROR(Torres!K504, 0) + IFERROR('San José'!K504, 0) + IFERROR(Terraplaza!K504, 0)</f>
        <v>17.5</v>
      </c>
      <c r="C505" t="e">
        <v>#N/A</v>
      </c>
      <c r="D505" t="e">
        <v>#N/A</v>
      </c>
      <c r="E505">
        <v>17.5</v>
      </c>
    </row>
    <row r="506" spans="1:5" x14ac:dyDescent="0.25">
      <c r="A506" s="1">
        <v>43970</v>
      </c>
      <c r="B506" s="2">
        <f>IFERROR(Torres!K505, 0) + IFERROR('San José'!K505, 0) + IFERROR(Terraplaza!K505, 0)</f>
        <v>18.25</v>
      </c>
      <c r="C506" t="e">
        <v>#N/A</v>
      </c>
      <c r="D506" t="e">
        <v>#N/A</v>
      </c>
      <c r="E506">
        <v>18.25</v>
      </c>
    </row>
    <row r="507" spans="1:5" x14ac:dyDescent="0.25">
      <c r="A507" s="1">
        <v>43971</v>
      </c>
      <c r="B507" s="2">
        <f>IFERROR(Torres!K506, 0) + IFERROR('San José'!K506, 0) + IFERROR(Terraplaza!K506, 0)</f>
        <v>24.5</v>
      </c>
      <c r="C507" t="e">
        <v>#N/A</v>
      </c>
      <c r="D507" t="e">
        <v>#N/A</v>
      </c>
      <c r="E507">
        <v>24.5</v>
      </c>
    </row>
    <row r="508" spans="1:5" x14ac:dyDescent="0.25">
      <c r="A508" s="1">
        <v>43972</v>
      </c>
      <c r="B508" s="2">
        <f>IFERROR(Torres!K507, 0) + IFERROR('San José'!K507, 0) + IFERROR(Terraplaza!K507, 0)</f>
        <v>28</v>
      </c>
      <c r="C508" t="e">
        <v>#N/A</v>
      </c>
      <c r="D508" t="e">
        <v>#N/A</v>
      </c>
      <c r="E508">
        <v>28</v>
      </c>
    </row>
    <row r="509" spans="1:5" x14ac:dyDescent="0.25">
      <c r="A509" s="1">
        <v>43973</v>
      </c>
      <c r="B509" s="2">
        <f>IFERROR(Torres!K508, 0) + IFERROR('San José'!K508, 0) + IFERROR(Terraplaza!K508, 0)</f>
        <v>32.25</v>
      </c>
      <c r="C509" t="e">
        <v>#N/A</v>
      </c>
      <c r="D509" t="e">
        <v>#N/A</v>
      </c>
      <c r="E509">
        <v>32.25</v>
      </c>
    </row>
    <row r="510" spans="1:5" x14ac:dyDescent="0.25">
      <c r="A510" s="1">
        <v>43974</v>
      </c>
      <c r="B510" s="2">
        <f>IFERROR(Torres!K509, 0) + IFERROR('San José'!K509, 0) + IFERROR(Terraplaza!K509, 0)</f>
        <v>37</v>
      </c>
      <c r="C510" t="e">
        <v>#N/A</v>
      </c>
      <c r="D510" t="e">
        <v>#N/A</v>
      </c>
      <c r="E510">
        <v>37</v>
      </c>
    </row>
    <row r="511" spans="1:5" x14ac:dyDescent="0.25">
      <c r="A511" s="1">
        <v>43975</v>
      </c>
      <c r="B511" s="2">
        <f>IFERROR(Torres!K510, 0) + IFERROR('San José'!K510, 0) + IFERROR(Terraplaza!K510, 0)</f>
        <v>41</v>
      </c>
      <c r="C511" t="e">
        <v>#N/A</v>
      </c>
      <c r="D511" t="e">
        <v>#N/A</v>
      </c>
      <c r="E511">
        <v>41</v>
      </c>
    </row>
    <row r="512" spans="1:5" x14ac:dyDescent="0.25">
      <c r="A512" s="1">
        <v>43976</v>
      </c>
      <c r="B512" s="2">
        <f>IFERROR(Torres!K511, 0) + IFERROR('San José'!K511, 0) + IFERROR(Terraplaza!K511, 0)</f>
        <v>44</v>
      </c>
      <c r="C512" t="e">
        <v>#N/A</v>
      </c>
      <c r="D512" t="e">
        <v>#N/A</v>
      </c>
      <c r="E512">
        <v>44</v>
      </c>
    </row>
    <row r="513" spans="1:5" x14ac:dyDescent="0.25">
      <c r="A513" s="1">
        <v>43977</v>
      </c>
      <c r="B513" s="2">
        <f>IFERROR(Torres!K512, 0) + IFERROR('San José'!K512, 0) + IFERROR(Terraplaza!K512, 0)</f>
        <v>16.125</v>
      </c>
      <c r="C513" t="e">
        <v>#N/A</v>
      </c>
      <c r="D513" t="e">
        <v>#N/A</v>
      </c>
      <c r="E513">
        <v>16.125</v>
      </c>
    </row>
    <row r="514" spans="1:5" x14ac:dyDescent="0.25">
      <c r="A514" s="1">
        <v>43978</v>
      </c>
      <c r="B514" s="2">
        <f>IFERROR(Torres!K513, 0) + IFERROR('San José'!K513, 0) + IFERROR(Terraplaza!K513, 0)</f>
        <v>29.375</v>
      </c>
      <c r="C514" t="e">
        <v>#N/A</v>
      </c>
      <c r="D514" t="e">
        <v>#N/A</v>
      </c>
      <c r="E514">
        <v>29.375</v>
      </c>
    </row>
    <row r="515" spans="1:5" x14ac:dyDescent="0.25">
      <c r="A515" s="1">
        <v>43979</v>
      </c>
      <c r="B515" s="2">
        <f>IFERROR(Torres!K514, 0) + IFERROR('San José'!K514, 0) + IFERROR(Terraplaza!K514, 0)</f>
        <v>29.5</v>
      </c>
      <c r="C515" t="e">
        <v>#N/A</v>
      </c>
      <c r="D515" t="e">
        <v>#N/A</v>
      </c>
      <c r="E515">
        <v>29.5</v>
      </c>
    </row>
    <row r="516" spans="1:5" x14ac:dyDescent="0.25">
      <c r="A516" s="1">
        <v>43980</v>
      </c>
      <c r="B516" s="2">
        <f>IFERROR(Torres!K515, 0) + IFERROR('San José'!K515, 0) + IFERROR(Terraplaza!K515, 0)</f>
        <v>45</v>
      </c>
      <c r="C516" t="e">
        <v>#N/A</v>
      </c>
      <c r="D516" t="e">
        <v>#N/A</v>
      </c>
      <c r="E516">
        <v>45</v>
      </c>
    </row>
    <row r="517" spans="1:5" x14ac:dyDescent="0.25">
      <c r="A517" s="1">
        <v>43981</v>
      </c>
      <c r="B517" s="2">
        <f>IFERROR(Torres!K516, 0) + IFERROR('San José'!K516, 0) + IFERROR(Terraplaza!K516, 0)</f>
        <v>46</v>
      </c>
      <c r="C517" t="e">
        <v>#N/A</v>
      </c>
      <c r="D517" t="e">
        <v>#N/A</v>
      </c>
      <c r="E517">
        <v>46</v>
      </c>
    </row>
    <row r="518" spans="1:5" x14ac:dyDescent="0.25">
      <c r="A518" s="1">
        <v>43982</v>
      </c>
      <c r="B518" s="2">
        <f>IFERROR(Torres!K517, 0) + IFERROR('San José'!K517, 0) + IFERROR(Terraplaza!K517, 0)</f>
        <v>45</v>
      </c>
      <c r="C518" t="e">
        <v>#N/A</v>
      </c>
      <c r="D518" t="e">
        <v>#N/A</v>
      </c>
      <c r="E518">
        <v>45</v>
      </c>
    </row>
    <row r="519" spans="1:5" x14ac:dyDescent="0.25">
      <c r="A519" s="1">
        <v>43983</v>
      </c>
      <c r="B519" s="2">
        <f>IFERROR(Torres!K518, 0) + IFERROR('San José'!K518, 0) + IFERROR(Terraplaza!K518, 0)</f>
        <v>27.5</v>
      </c>
      <c r="C519" t="e">
        <v>#N/A</v>
      </c>
      <c r="D519" t="e">
        <v>#N/A</v>
      </c>
      <c r="E519">
        <v>27.5</v>
      </c>
    </row>
    <row r="520" spans="1:5" x14ac:dyDescent="0.25">
      <c r="A520" s="1">
        <v>43984</v>
      </c>
      <c r="B520" s="2">
        <f>IFERROR(Torres!K519, 0) + IFERROR('San José'!K519, 0) + IFERROR(Terraplaza!K519, 0)</f>
        <v>26.125</v>
      </c>
      <c r="C520" t="e">
        <v>#N/A</v>
      </c>
      <c r="D520" t="e">
        <v>#N/A</v>
      </c>
      <c r="E520">
        <v>26.125</v>
      </c>
    </row>
    <row r="521" spans="1:5" x14ac:dyDescent="0.25">
      <c r="A521" s="1">
        <v>43985</v>
      </c>
      <c r="B521" s="2">
        <f>IFERROR(Torres!K520, 0) + IFERROR('San José'!K520, 0) + IFERROR(Terraplaza!K520, 0)</f>
        <v>28.875</v>
      </c>
      <c r="C521" t="e">
        <v>#N/A</v>
      </c>
      <c r="D521" t="e">
        <v>#N/A</v>
      </c>
      <c r="E521">
        <v>28.875</v>
      </c>
    </row>
    <row r="522" spans="1:5" x14ac:dyDescent="0.25">
      <c r="A522" s="1">
        <v>43986</v>
      </c>
      <c r="B522" s="2">
        <f>IFERROR(Torres!K521, 0) + IFERROR('San José'!K521, 0) + IFERROR(Terraplaza!K521, 0)</f>
        <v>19.5</v>
      </c>
      <c r="C522" t="e">
        <v>#N/A</v>
      </c>
      <c r="D522" t="e">
        <v>#N/A</v>
      </c>
      <c r="E522">
        <v>19.5</v>
      </c>
    </row>
    <row r="523" spans="1:5" x14ac:dyDescent="0.25">
      <c r="A523" s="1">
        <v>43987</v>
      </c>
      <c r="B523" s="2">
        <f>IFERROR(Torres!K522, 0) + IFERROR('San José'!K522, 0) + IFERROR(Terraplaza!K522, 0)</f>
        <v>45</v>
      </c>
      <c r="C523" t="e">
        <v>#N/A</v>
      </c>
      <c r="D523" t="e">
        <v>#N/A</v>
      </c>
      <c r="E523">
        <v>45</v>
      </c>
    </row>
    <row r="524" spans="1:5" x14ac:dyDescent="0.25">
      <c r="A524" s="1">
        <v>43988</v>
      </c>
      <c r="B524" s="2">
        <f>IFERROR(Torres!K523, 0) + IFERROR('San José'!K523, 0) + IFERROR(Terraplaza!K523, 0)</f>
        <v>45</v>
      </c>
      <c r="C524" t="e">
        <v>#N/A</v>
      </c>
      <c r="D524" t="e">
        <v>#N/A</v>
      </c>
      <c r="E524">
        <v>45</v>
      </c>
    </row>
    <row r="525" spans="1:5" x14ac:dyDescent="0.25">
      <c r="A525" s="1">
        <v>43989</v>
      </c>
      <c r="B525" s="2">
        <f>IFERROR(Torres!K524, 0) + IFERROR('San José'!K524, 0) + IFERROR(Terraplaza!K524, 0)</f>
        <v>35</v>
      </c>
      <c r="C525" t="e">
        <v>#N/A</v>
      </c>
      <c r="D525" t="e">
        <v>#N/A</v>
      </c>
      <c r="E525">
        <v>35</v>
      </c>
    </row>
    <row r="526" spans="1:5" x14ac:dyDescent="0.25">
      <c r="A526" s="1">
        <v>43990</v>
      </c>
      <c r="B526" s="2">
        <f>IFERROR(Torres!K525, 0) + IFERROR('San José'!K525, 0) + IFERROR(Terraplaza!K525, 0)</f>
        <v>31.25</v>
      </c>
      <c r="C526" t="e">
        <v>#N/A</v>
      </c>
      <c r="D526" t="e">
        <v>#N/A</v>
      </c>
      <c r="E526">
        <v>31.25</v>
      </c>
    </row>
    <row r="527" spans="1:5" x14ac:dyDescent="0.25">
      <c r="A527" s="1">
        <v>43991</v>
      </c>
      <c r="B527" s="2">
        <f>IFERROR(Torres!K526, 0) + IFERROR('San José'!K526, 0) + IFERROR(Terraplaza!K526, 0)</f>
        <v>21</v>
      </c>
      <c r="C527" t="e">
        <v>#N/A</v>
      </c>
      <c r="D527" t="e">
        <v>#N/A</v>
      </c>
      <c r="E527">
        <v>21</v>
      </c>
    </row>
    <row r="528" spans="1:5" x14ac:dyDescent="0.25">
      <c r="A528" s="1">
        <v>43992</v>
      </c>
      <c r="B528" s="2">
        <f>IFERROR(Torres!K527, 0) + IFERROR('San José'!K527, 0) + IFERROR(Terraplaza!K527, 0)</f>
        <v>29</v>
      </c>
      <c r="C528" t="e">
        <v>#N/A</v>
      </c>
      <c r="D528" t="e">
        <v>#N/A</v>
      </c>
      <c r="E528">
        <v>29</v>
      </c>
    </row>
    <row r="529" spans="1:5" x14ac:dyDescent="0.25">
      <c r="A529" s="1">
        <v>43993</v>
      </c>
      <c r="B529" s="2">
        <f>IFERROR(Torres!K528, 0) + IFERROR('San José'!K528, 0) + IFERROR(Terraplaza!K528, 0)</f>
        <v>37.75</v>
      </c>
      <c r="C529" t="e">
        <v>#N/A</v>
      </c>
      <c r="D529" t="e">
        <v>#N/A</v>
      </c>
      <c r="E529">
        <v>37.75</v>
      </c>
    </row>
    <row r="530" spans="1:5" x14ac:dyDescent="0.25">
      <c r="A530" s="1">
        <v>43994</v>
      </c>
      <c r="B530" s="2">
        <f>IFERROR(Torres!K529, 0) + IFERROR('San José'!K529, 0) + IFERROR(Terraplaza!K529, 0)</f>
        <v>58.5</v>
      </c>
      <c r="C530" t="e">
        <v>#N/A</v>
      </c>
      <c r="D530" t="e">
        <v>#N/A</v>
      </c>
      <c r="E530">
        <v>58.5</v>
      </c>
    </row>
    <row r="531" spans="1:5" x14ac:dyDescent="0.25">
      <c r="A531" s="1">
        <v>43995</v>
      </c>
      <c r="B531" s="2">
        <f>IFERROR(Torres!K530, 0) + IFERROR('San José'!K530, 0) + IFERROR(Terraplaza!K530, 0)</f>
        <v>36.5</v>
      </c>
      <c r="C531" t="e">
        <v>#N/A</v>
      </c>
      <c r="D531" t="e">
        <v>#N/A</v>
      </c>
      <c r="E531">
        <v>36.5</v>
      </c>
    </row>
    <row r="532" spans="1:5" x14ac:dyDescent="0.25">
      <c r="A532" s="1">
        <v>43996</v>
      </c>
      <c r="B532" s="2">
        <f>IFERROR(Torres!K531, 0) + IFERROR('San José'!K531, 0) + IFERROR(Terraplaza!K531, 0)</f>
        <v>34.5</v>
      </c>
      <c r="C532" t="e">
        <v>#N/A</v>
      </c>
      <c r="D532" t="e">
        <v>#N/A</v>
      </c>
      <c r="E532">
        <v>34.5</v>
      </c>
    </row>
    <row r="533" spans="1:5" x14ac:dyDescent="0.25">
      <c r="A533" s="1">
        <v>43997</v>
      </c>
      <c r="B533" s="2">
        <f>IFERROR(Torres!K532, 0) + IFERROR('San José'!K532, 0) + IFERROR(Terraplaza!K532, 0)</f>
        <v>34.5</v>
      </c>
      <c r="C533" t="e">
        <v>#N/A</v>
      </c>
      <c r="D533" t="e">
        <v>#N/A</v>
      </c>
      <c r="E533">
        <v>34.5</v>
      </c>
    </row>
    <row r="534" spans="1:5" x14ac:dyDescent="0.25">
      <c r="A534" s="1">
        <v>43998</v>
      </c>
      <c r="B534" s="2">
        <f>IFERROR(Torres!K533, 0) + IFERROR('San José'!K533, 0) + IFERROR(Terraplaza!K533, 0)</f>
        <v>36</v>
      </c>
      <c r="C534" t="e">
        <v>#N/A</v>
      </c>
      <c r="D534" t="e">
        <v>#N/A</v>
      </c>
      <c r="E534">
        <v>36</v>
      </c>
    </row>
    <row r="535" spans="1:5" x14ac:dyDescent="0.25">
      <c r="A535" s="1">
        <v>43999</v>
      </c>
      <c r="B535" s="2">
        <f>IFERROR(Torres!K534, 0) + IFERROR('San José'!K534, 0) + IFERROR(Terraplaza!K534, 0)</f>
        <v>30</v>
      </c>
      <c r="C535" t="e">
        <v>#N/A</v>
      </c>
      <c r="D535" t="e">
        <v>#N/A</v>
      </c>
      <c r="E535">
        <v>30</v>
      </c>
    </row>
    <row r="536" spans="1:5" x14ac:dyDescent="0.25">
      <c r="A536" s="1">
        <v>44000</v>
      </c>
      <c r="B536" s="2">
        <f>IFERROR(Torres!K535, 0) + IFERROR('San José'!K535, 0) + IFERROR(Terraplaza!K535, 0)</f>
        <v>29</v>
      </c>
      <c r="C536" t="e">
        <v>#N/A</v>
      </c>
      <c r="D536" t="e">
        <v>#N/A</v>
      </c>
      <c r="E536">
        <v>29</v>
      </c>
    </row>
    <row r="537" spans="1:5" x14ac:dyDescent="0.25">
      <c r="A537" s="1">
        <v>44001</v>
      </c>
      <c r="B537" s="2">
        <f>IFERROR(Torres!K536, 0) + IFERROR('San José'!K536, 0) + IFERROR(Terraplaza!K536, 0)</f>
        <v>45</v>
      </c>
      <c r="C537" t="e">
        <v>#N/A</v>
      </c>
      <c r="D537" t="e">
        <v>#N/A</v>
      </c>
      <c r="E537">
        <v>45</v>
      </c>
    </row>
    <row r="538" spans="1:5" x14ac:dyDescent="0.25">
      <c r="A538" s="1">
        <v>44002</v>
      </c>
      <c r="B538" s="2">
        <f>IFERROR(Torres!K537, 0) + IFERROR('San José'!K537, 0) + IFERROR(Terraplaza!K537, 0)</f>
        <v>47</v>
      </c>
      <c r="C538" t="e">
        <v>#N/A</v>
      </c>
      <c r="D538" t="e">
        <v>#N/A</v>
      </c>
      <c r="E538">
        <v>47</v>
      </c>
    </row>
    <row r="539" spans="1:5" x14ac:dyDescent="0.25">
      <c r="A539" s="1">
        <v>44003</v>
      </c>
      <c r="B539" s="2">
        <f>IFERROR(Torres!K538, 0) + IFERROR('San José'!K538, 0) + IFERROR(Terraplaza!K538, 0)</f>
        <v>27</v>
      </c>
      <c r="C539" t="e">
        <v>#N/A</v>
      </c>
      <c r="D539" t="e">
        <v>#N/A</v>
      </c>
      <c r="E539">
        <v>27</v>
      </c>
    </row>
    <row r="540" spans="1:5" x14ac:dyDescent="0.25">
      <c r="A540" s="1">
        <v>44004</v>
      </c>
      <c r="B540" s="2">
        <f>IFERROR(Torres!K539, 0) + IFERROR('San José'!K539, 0) + IFERROR(Terraplaza!K539, 0)</f>
        <v>38.5</v>
      </c>
      <c r="C540" t="e">
        <v>#N/A</v>
      </c>
      <c r="D540" t="e">
        <v>#N/A</v>
      </c>
      <c r="E540">
        <v>38.5</v>
      </c>
    </row>
    <row r="541" spans="1:5" x14ac:dyDescent="0.25">
      <c r="A541" s="1">
        <v>44005</v>
      </c>
      <c r="B541" s="2">
        <f>IFERROR(Torres!K540, 0) + IFERROR('San José'!K540, 0) + IFERROR(Terraplaza!K540, 0)</f>
        <v>26.5</v>
      </c>
      <c r="C541" t="e">
        <v>#N/A</v>
      </c>
      <c r="D541" t="e">
        <v>#N/A</v>
      </c>
      <c r="E541">
        <v>26.5</v>
      </c>
    </row>
    <row r="542" spans="1:5" x14ac:dyDescent="0.25">
      <c r="A542" s="1">
        <v>44006</v>
      </c>
      <c r="B542" s="2">
        <f>IFERROR(Torres!K541, 0) + IFERROR('San José'!K541, 0) + IFERROR(Terraplaza!K541, 0)</f>
        <v>20.5</v>
      </c>
      <c r="C542" t="e">
        <v>#N/A</v>
      </c>
      <c r="D542" t="e">
        <v>#N/A</v>
      </c>
      <c r="E542">
        <v>20.5</v>
      </c>
    </row>
    <row r="543" spans="1:5" x14ac:dyDescent="0.25">
      <c r="A543" s="1">
        <v>44007</v>
      </c>
      <c r="B543" s="2">
        <f>IFERROR(Torres!K542, 0) + IFERROR('San José'!K542, 0) + IFERROR(Terraplaza!K542, 0)</f>
        <v>35</v>
      </c>
      <c r="C543" t="e">
        <v>#N/A</v>
      </c>
      <c r="D543" t="e">
        <v>#N/A</v>
      </c>
      <c r="E543">
        <v>35</v>
      </c>
    </row>
    <row r="544" spans="1:5" x14ac:dyDescent="0.25">
      <c r="A544" s="1">
        <v>44008</v>
      </c>
      <c r="B544" s="2">
        <f>IFERROR(Torres!K543, 0) + IFERROR('San José'!K543, 0) + IFERROR(Terraplaza!K543, 0)</f>
        <v>58</v>
      </c>
      <c r="C544" t="e">
        <v>#N/A</v>
      </c>
      <c r="D544" t="e">
        <v>#N/A</v>
      </c>
      <c r="E544">
        <v>58</v>
      </c>
    </row>
    <row r="545" spans="1:5" x14ac:dyDescent="0.25">
      <c r="A545" s="1">
        <v>44009</v>
      </c>
      <c r="B545" s="2">
        <f>IFERROR(Torres!K544, 0) + IFERROR('San José'!K544, 0) + IFERROR(Terraplaza!K544, 0)</f>
        <v>58</v>
      </c>
      <c r="C545" t="e">
        <v>#N/A</v>
      </c>
      <c r="D545" t="e">
        <v>#N/A</v>
      </c>
      <c r="E545">
        <v>58</v>
      </c>
    </row>
    <row r="546" spans="1:5" x14ac:dyDescent="0.25">
      <c r="A546" s="1">
        <v>44010</v>
      </c>
      <c r="B546" s="2">
        <f>IFERROR(Torres!K545, 0) + IFERROR('San José'!K545, 0) + IFERROR(Terraplaza!K545, 0)</f>
        <v>37.5</v>
      </c>
      <c r="C546" t="e">
        <v>#N/A</v>
      </c>
      <c r="D546" t="e">
        <v>#N/A</v>
      </c>
      <c r="E546">
        <v>37.5</v>
      </c>
    </row>
    <row r="547" spans="1:5" x14ac:dyDescent="0.25">
      <c r="A547" s="1">
        <v>44011</v>
      </c>
      <c r="B547" s="2">
        <f>IFERROR(Torres!K546, 0) + IFERROR('San José'!K546, 0) + IFERROR(Terraplaza!K546, 0)</f>
        <v>40.5</v>
      </c>
      <c r="C547" t="e">
        <v>#N/A</v>
      </c>
      <c r="D547" t="e">
        <v>#N/A</v>
      </c>
      <c r="E547">
        <v>40.5</v>
      </c>
    </row>
    <row r="548" spans="1:5" x14ac:dyDescent="0.25">
      <c r="A548" s="1">
        <v>44012</v>
      </c>
      <c r="B548" s="2">
        <f>IFERROR(Torres!K547, 0) + IFERROR('San José'!K547, 0) + IFERROR(Terraplaza!K547, 0)</f>
        <v>37.5</v>
      </c>
      <c r="C548" t="e">
        <v>#N/A</v>
      </c>
      <c r="D548" t="e">
        <v>#N/A</v>
      </c>
      <c r="E548">
        <v>37.5</v>
      </c>
    </row>
    <row r="549" spans="1:5" x14ac:dyDescent="0.25">
      <c r="A549" s="1">
        <v>44013</v>
      </c>
      <c r="B549" s="2">
        <f>IFERROR(Torres!K548, 0) + IFERROR('San José'!K548, 0) + IFERROR(Terraplaza!K548, 0)</f>
        <v>31.125</v>
      </c>
      <c r="C549" t="e">
        <v>#N/A</v>
      </c>
      <c r="D549" t="e">
        <v>#N/A</v>
      </c>
      <c r="E549">
        <v>31.125</v>
      </c>
    </row>
    <row r="550" spans="1:5" x14ac:dyDescent="0.25">
      <c r="A550" s="1">
        <v>44014</v>
      </c>
      <c r="B550" s="2">
        <f>IFERROR(Torres!K549, 0) + IFERROR('San José'!K549, 0) + IFERROR(Terraplaza!K549, 0)</f>
        <v>44.875</v>
      </c>
      <c r="C550" t="e">
        <v>#N/A</v>
      </c>
      <c r="D550" t="e">
        <v>#N/A</v>
      </c>
      <c r="E550">
        <v>44.875</v>
      </c>
    </row>
    <row r="551" spans="1:5" x14ac:dyDescent="0.25">
      <c r="A551" s="1">
        <v>44015</v>
      </c>
      <c r="B551" s="2">
        <f>IFERROR(Torres!K550, 0) + IFERROR('San José'!K550, 0) + IFERROR(Terraplaza!K550, 0)</f>
        <v>58</v>
      </c>
      <c r="C551" t="e">
        <v>#N/A</v>
      </c>
      <c r="D551" t="e">
        <v>#N/A</v>
      </c>
      <c r="E551">
        <v>58</v>
      </c>
    </row>
    <row r="552" spans="1:5" x14ac:dyDescent="0.25">
      <c r="A552" s="1">
        <v>44016</v>
      </c>
      <c r="B552" s="2">
        <f>IFERROR(Torres!K551, 0) + IFERROR('San José'!K551, 0) + IFERROR(Terraplaza!K551, 0)</f>
        <v>58</v>
      </c>
      <c r="C552" t="e">
        <v>#N/A</v>
      </c>
      <c r="D552" t="e">
        <v>#N/A</v>
      </c>
      <c r="E552">
        <v>58</v>
      </c>
    </row>
    <row r="553" spans="1:5" x14ac:dyDescent="0.25">
      <c r="A553" s="1">
        <v>44017</v>
      </c>
      <c r="B553" s="2">
        <f>IFERROR(Torres!K552, 0) + IFERROR('San José'!K552, 0) + IFERROR(Terraplaza!K552, 0)</f>
        <v>31</v>
      </c>
      <c r="C553" t="e">
        <v>#N/A</v>
      </c>
      <c r="D553" t="e">
        <v>#N/A</v>
      </c>
      <c r="E553">
        <v>31</v>
      </c>
    </row>
    <row r="554" spans="1:5" x14ac:dyDescent="0.25">
      <c r="A554" s="1">
        <v>44018</v>
      </c>
      <c r="B554" s="2">
        <f>IFERROR(Torres!K553, 0) + IFERROR('San José'!K553, 0) + IFERROR(Terraplaza!K553, 0)</f>
        <v>28</v>
      </c>
      <c r="C554" t="e">
        <v>#N/A</v>
      </c>
      <c r="D554" t="e">
        <v>#N/A</v>
      </c>
      <c r="E554">
        <v>28</v>
      </c>
    </row>
    <row r="555" spans="1:5" x14ac:dyDescent="0.25">
      <c r="A555" s="1">
        <v>44019</v>
      </c>
      <c r="B555" s="2">
        <f>IFERROR(Torres!K554, 0) + IFERROR('San José'!K554, 0) + IFERROR(Terraplaza!K554, 0)</f>
        <v>22</v>
      </c>
      <c r="C555" t="e">
        <v>#N/A</v>
      </c>
      <c r="D555" t="e">
        <v>#N/A</v>
      </c>
      <c r="E555">
        <v>22</v>
      </c>
    </row>
    <row r="556" spans="1:5" x14ac:dyDescent="0.25">
      <c r="A556" s="1">
        <v>44020</v>
      </c>
      <c r="B556" s="2">
        <f>IFERROR(Torres!K555, 0) + IFERROR('San José'!K555, 0) + IFERROR(Terraplaza!K555, 0)</f>
        <v>30</v>
      </c>
      <c r="C556" t="e">
        <v>#N/A</v>
      </c>
      <c r="D556" t="e">
        <v>#N/A</v>
      </c>
      <c r="E556">
        <v>30</v>
      </c>
    </row>
    <row r="557" spans="1:5" x14ac:dyDescent="0.25">
      <c r="A557" s="1">
        <v>44021</v>
      </c>
      <c r="B557" s="2">
        <f>IFERROR(Torres!K556, 0) + IFERROR('San José'!K556, 0) + IFERROR(Terraplaza!K556, 0)</f>
        <v>34</v>
      </c>
      <c r="C557" t="e">
        <v>#N/A</v>
      </c>
      <c r="D557" t="e">
        <v>#N/A</v>
      </c>
      <c r="E557">
        <v>34</v>
      </c>
    </row>
    <row r="558" spans="1:5" x14ac:dyDescent="0.25">
      <c r="A558" s="1">
        <v>44022</v>
      </c>
      <c r="B558" s="2">
        <f>IFERROR(Torres!K557, 0) + IFERROR('San José'!K557, 0) + IFERROR(Terraplaza!K557, 0)</f>
        <v>46.5</v>
      </c>
      <c r="C558" t="e">
        <v>#N/A</v>
      </c>
      <c r="D558" t="e">
        <v>#N/A</v>
      </c>
      <c r="E558">
        <v>46.5</v>
      </c>
    </row>
    <row r="559" spans="1:5" x14ac:dyDescent="0.25">
      <c r="A559" s="1">
        <v>44023</v>
      </c>
      <c r="B559" s="2">
        <f>IFERROR(Torres!K558, 0) + IFERROR('San José'!K558, 0) + IFERROR(Terraplaza!K558, 0)</f>
        <v>44.5</v>
      </c>
      <c r="C559" t="e">
        <v>#N/A</v>
      </c>
      <c r="D559" t="e">
        <v>#N/A</v>
      </c>
      <c r="E559">
        <v>44.5</v>
      </c>
    </row>
    <row r="560" spans="1:5" x14ac:dyDescent="0.25">
      <c r="A560" s="1">
        <v>44024</v>
      </c>
      <c r="B560" s="2">
        <f>IFERROR(Torres!K559, 0) + IFERROR('San José'!K559, 0) + IFERROR(Terraplaza!K559, 0)</f>
        <v>38</v>
      </c>
      <c r="C560" t="e">
        <v>#N/A</v>
      </c>
      <c r="D560" t="e">
        <v>#N/A</v>
      </c>
      <c r="E560">
        <v>38</v>
      </c>
    </row>
    <row r="561" spans="1:5" x14ac:dyDescent="0.25">
      <c r="A561" s="1">
        <v>44025</v>
      </c>
      <c r="B561" s="2">
        <f>IFERROR(Torres!K560, 0) + IFERROR('San José'!K560, 0) + IFERROR(Terraplaza!K560, 0)</f>
        <v>21.25</v>
      </c>
      <c r="C561" t="e">
        <v>#N/A</v>
      </c>
      <c r="D561" t="e">
        <v>#N/A</v>
      </c>
      <c r="E561">
        <v>21.25</v>
      </c>
    </row>
    <row r="562" spans="1:5" x14ac:dyDescent="0.25">
      <c r="A562" s="1">
        <v>44026</v>
      </c>
      <c r="B562" s="2">
        <f>IFERROR(Torres!K561, 0) + IFERROR('San José'!K561, 0) + IFERROR(Terraplaza!K561, 0)</f>
        <v>25.25</v>
      </c>
      <c r="C562" t="e">
        <v>#N/A</v>
      </c>
      <c r="D562" t="e">
        <v>#N/A</v>
      </c>
      <c r="E562">
        <v>25.25</v>
      </c>
    </row>
    <row r="563" spans="1:5" x14ac:dyDescent="0.25">
      <c r="A563" s="1">
        <v>44027</v>
      </c>
      <c r="B563" s="2">
        <f>IFERROR(Torres!K562, 0) + IFERROR('San José'!K562, 0) + IFERROR(Terraplaza!K562, 0)</f>
        <v>34.5</v>
      </c>
      <c r="C563" t="e">
        <v>#N/A</v>
      </c>
      <c r="D563" t="e">
        <v>#N/A</v>
      </c>
      <c r="E563">
        <v>34.5</v>
      </c>
    </row>
    <row r="564" spans="1:5" x14ac:dyDescent="0.25">
      <c r="A564" s="1">
        <v>44028</v>
      </c>
      <c r="B564" s="2">
        <f>IFERROR(Torres!K563, 0) + IFERROR('San José'!K563, 0) + IFERROR(Terraplaza!K563, 0)</f>
        <v>20</v>
      </c>
      <c r="C564" t="e">
        <v>#N/A</v>
      </c>
      <c r="D564" t="e">
        <v>#N/A</v>
      </c>
      <c r="E564">
        <v>20</v>
      </c>
    </row>
    <row r="565" spans="1:5" x14ac:dyDescent="0.25">
      <c r="A565" s="1">
        <v>44029</v>
      </c>
      <c r="B565" s="2">
        <f>IFERROR(Torres!K564, 0) + IFERROR('San José'!K564, 0) + IFERROR(Terraplaza!K564, 0)</f>
        <v>34</v>
      </c>
      <c r="C565" t="e">
        <v>#N/A</v>
      </c>
      <c r="D565" t="e">
        <v>#N/A</v>
      </c>
      <c r="E565">
        <v>34</v>
      </c>
    </row>
    <row r="566" spans="1:5" x14ac:dyDescent="0.25">
      <c r="A566" s="1">
        <v>44030</v>
      </c>
      <c r="B566" s="2">
        <f>IFERROR(Torres!K565, 0) + IFERROR('San José'!K565, 0) + IFERROR(Terraplaza!K565, 0)</f>
        <v>39</v>
      </c>
      <c r="C566" t="e">
        <v>#N/A</v>
      </c>
      <c r="D566" t="e">
        <v>#N/A</v>
      </c>
      <c r="E566">
        <v>39</v>
      </c>
    </row>
    <row r="567" spans="1:5" x14ac:dyDescent="0.25">
      <c r="A567" s="1">
        <v>44031</v>
      </c>
      <c r="B567" s="2">
        <f>IFERROR(Torres!K566, 0) + IFERROR('San José'!K566, 0) + IFERROR(Terraplaza!K566, 0)</f>
        <v>37</v>
      </c>
      <c r="C567" t="e">
        <v>#N/A</v>
      </c>
      <c r="D567" t="e">
        <v>#N/A</v>
      </c>
      <c r="E567">
        <v>37</v>
      </c>
    </row>
    <row r="568" spans="1:5" x14ac:dyDescent="0.25">
      <c r="A568" s="1">
        <v>44032</v>
      </c>
      <c r="B568" s="2">
        <f>IFERROR(Torres!K567, 0) + IFERROR('San José'!K567, 0) + IFERROR(Terraplaza!K567, 0)</f>
        <v>46</v>
      </c>
      <c r="C568" t="e">
        <v>#N/A</v>
      </c>
      <c r="D568" t="e">
        <v>#N/A</v>
      </c>
      <c r="E568">
        <v>46</v>
      </c>
    </row>
    <row r="569" spans="1:5" x14ac:dyDescent="0.25">
      <c r="A569" s="1">
        <v>44033</v>
      </c>
      <c r="B569" s="2">
        <f>IFERROR(Torres!K568, 0) + IFERROR('San José'!K568, 0) + IFERROR(Terraplaza!K568, 0)</f>
        <v>29</v>
      </c>
      <c r="C569" t="e">
        <v>#N/A</v>
      </c>
      <c r="D569" t="e">
        <v>#N/A</v>
      </c>
      <c r="E569">
        <v>29</v>
      </c>
    </row>
    <row r="570" spans="1:5" x14ac:dyDescent="0.25">
      <c r="A570" s="1">
        <v>44034</v>
      </c>
      <c r="B570" s="2">
        <f>IFERROR(Torres!K569, 0) + IFERROR('San José'!K569, 0) + IFERROR(Terraplaza!K569, 0)</f>
        <v>24</v>
      </c>
      <c r="C570" t="e">
        <v>#N/A</v>
      </c>
      <c r="D570" t="e">
        <v>#N/A</v>
      </c>
      <c r="E570">
        <v>24</v>
      </c>
    </row>
    <row r="571" spans="1:5" x14ac:dyDescent="0.25">
      <c r="A571" s="1">
        <v>44035</v>
      </c>
      <c r="B571" s="2">
        <f>IFERROR(Torres!K570, 0) + IFERROR('San José'!K570, 0) + IFERROR(Terraplaza!K570, 0)</f>
        <v>35.5</v>
      </c>
      <c r="C571" t="e">
        <v>#N/A</v>
      </c>
      <c r="D571" t="e">
        <v>#N/A</v>
      </c>
      <c r="E571">
        <v>35.5</v>
      </c>
    </row>
    <row r="572" spans="1:5" x14ac:dyDescent="0.25">
      <c r="A572" s="1">
        <v>44036</v>
      </c>
      <c r="B572" s="2">
        <f>IFERROR(Torres!K571, 0) + IFERROR('San José'!K571, 0) + IFERROR(Terraplaza!K571, 0)</f>
        <v>43</v>
      </c>
      <c r="C572" t="e">
        <v>#N/A</v>
      </c>
      <c r="D572" t="e">
        <v>#N/A</v>
      </c>
      <c r="E572">
        <v>43</v>
      </c>
    </row>
    <row r="573" spans="1:5" x14ac:dyDescent="0.25">
      <c r="A573" s="1">
        <v>44037</v>
      </c>
      <c r="B573" s="2">
        <f>IFERROR(Torres!K572, 0) + IFERROR('San José'!K572, 0) + IFERROR(Terraplaza!K572, 0)</f>
        <v>48</v>
      </c>
      <c r="C573" t="e">
        <v>#N/A</v>
      </c>
      <c r="D573" t="e">
        <v>#N/A</v>
      </c>
      <c r="E573">
        <v>48</v>
      </c>
    </row>
    <row r="574" spans="1:5" x14ac:dyDescent="0.25">
      <c r="A574" s="1">
        <v>44038</v>
      </c>
      <c r="B574" s="2">
        <f>IFERROR(Torres!K573, 0) + IFERROR('San José'!K573, 0) + IFERROR(Terraplaza!K573, 0)</f>
        <v>46.5</v>
      </c>
      <c r="C574" t="e">
        <v>#N/A</v>
      </c>
      <c r="D574" t="e">
        <v>#N/A</v>
      </c>
      <c r="E574">
        <v>46.5</v>
      </c>
    </row>
    <row r="575" spans="1:5" x14ac:dyDescent="0.25">
      <c r="A575" s="1">
        <v>44039</v>
      </c>
      <c r="B575" s="2">
        <f>IFERROR(Torres!K574, 0) + IFERROR('San José'!K574, 0) + IFERROR(Terraplaza!K574, 0)</f>
        <v>26.5</v>
      </c>
      <c r="C575" t="e">
        <v>#N/A</v>
      </c>
      <c r="D575" t="e">
        <v>#N/A</v>
      </c>
      <c r="E575">
        <v>26.5</v>
      </c>
    </row>
    <row r="576" spans="1:5" x14ac:dyDescent="0.25">
      <c r="A576" s="1">
        <v>44040</v>
      </c>
      <c r="B576" s="2">
        <f>IFERROR(Torres!K575, 0) + IFERROR('San José'!K575, 0) + IFERROR(Terraplaza!K575, 0)</f>
        <v>27.5</v>
      </c>
      <c r="C576" t="e">
        <v>#N/A</v>
      </c>
      <c r="D576" t="e">
        <v>#N/A</v>
      </c>
      <c r="E576">
        <v>27.5</v>
      </c>
    </row>
    <row r="577" spans="1:5" x14ac:dyDescent="0.25">
      <c r="A577" s="1">
        <v>44041</v>
      </c>
      <c r="B577" s="2">
        <f>IFERROR(Torres!K576, 0) + IFERROR('San José'!K576, 0) + IFERROR(Terraplaza!K576, 0)</f>
        <v>24</v>
      </c>
      <c r="C577" t="e">
        <v>#N/A</v>
      </c>
      <c r="D577" t="e">
        <v>#N/A</v>
      </c>
      <c r="E577">
        <v>24</v>
      </c>
    </row>
    <row r="578" spans="1:5" x14ac:dyDescent="0.25">
      <c r="A578" s="1">
        <v>44042</v>
      </c>
      <c r="B578" s="2">
        <f>IFERROR(Torres!K577, 0) + IFERROR('San José'!K577, 0) + IFERROR(Terraplaza!K577, 0)</f>
        <v>31</v>
      </c>
      <c r="C578" t="e">
        <v>#N/A</v>
      </c>
      <c r="D578" t="e">
        <v>#N/A</v>
      </c>
      <c r="E578">
        <v>31</v>
      </c>
    </row>
    <row r="579" spans="1:5" x14ac:dyDescent="0.25">
      <c r="A579" s="1">
        <v>44043</v>
      </c>
      <c r="B579" s="2">
        <f>IFERROR(Torres!K578, 0) + IFERROR('San José'!K578, 0) + IFERROR(Terraplaza!K578, 0)</f>
        <v>41</v>
      </c>
      <c r="C579" t="e">
        <v>#N/A</v>
      </c>
      <c r="D579" t="e">
        <v>#N/A</v>
      </c>
      <c r="E579">
        <v>41</v>
      </c>
    </row>
    <row r="580" spans="1:5" x14ac:dyDescent="0.25">
      <c r="A580" s="1">
        <v>44044</v>
      </c>
      <c r="B580" s="2">
        <f>IFERROR(Torres!K579, 0) + IFERROR('San José'!K579, 0) + IFERROR(Terraplaza!K579, 0)</f>
        <v>56</v>
      </c>
      <c r="C580" t="e">
        <v>#N/A</v>
      </c>
      <c r="D580" t="e">
        <v>#N/A</v>
      </c>
      <c r="E580">
        <v>56</v>
      </c>
    </row>
    <row r="581" spans="1:5" x14ac:dyDescent="0.25">
      <c r="A581" s="1">
        <v>44045</v>
      </c>
      <c r="B581" s="2">
        <f>IFERROR(Torres!K580, 0) + IFERROR('San José'!K580, 0) + IFERROR(Terraplaza!K580, 0)</f>
        <v>40</v>
      </c>
      <c r="C581" t="e">
        <v>#N/A</v>
      </c>
      <c r="D581" t="e">
        <v>#N/A</v>
      </c>
      <c r="E581">
        <v>40</v>
      </c>
    </row>
    <row r="582" spans="1:5" x14ac:dyDescent="0.25">
      <c r="A582" s="1">
        <v>44046</v>
      </c>
      <c r="B582" s="2">
        <f>IFERROR(Torres!K581, 0) + IFERROR('San José'!K581, 0) + IFERROR(Terraplaza!K581, 0)</f>
        <v>23</v>
      </c>
      <c r="C582" t="e">
        <v>#N/A</v>
      </c>
      <c r="D582" t="e">
        <v>#N/A</v>
      </c>
      <c r="E582">
        <v>23</v>
      </c>
    </row>
    <row r="583" spans="1:5" x14ac:dyDescent="0.25">
      <c r="A583" s="1">
        <v>44047</v>
      </c>
      <c r="B583" s="2">
        <f>IFERROR(Torres!K582, 0) + IFERROR('San José'!K582, 0) + IFERROR(Terraplaza!K582, 0)</f>
        <v>23</v>
      </c>
      <c r="C583" t="e">
        <v>#N/A</v>
      </c>
      <c r="D583" t="e">
        <v>#N/A</v>
      </c>
      <c r="E583">
        <v>23</v>
      </c>
    </row>
    <row r="584" spans="1:5" x14ac:dyDescent="0.25">
      <c r="A584" s="1">
        <v>44048</v>
      </c>
      <c r="B584" s="2">
        <f>IFERROR(Torres!K583, 0) + IFERROR('San José'!K583, 0) + IFERROR(Terraplaza!K583, 0)</f>
        <v>27.5</v>
      </c>
      <c r="C584" t="e">
        <v>#N/A</v>
      </c>
      <c r="D584" t="e">
        <v>#N/A</v>
      </c>
      <c r="E584">
        <v>27.5</v>
      </c>
    </row>
    <row r="585" spans="1:5" x14ac:dyDescent="0.25">
      <c r="A585" s="1">
        <v>44049</v>
      </c>
      <c r="B585" s="2">
        <f>IFERROR(Torres!K584, 0) + IFERROR('San José'!K584, 0) + IFERROR(Terraplaza!K584, 0)</f>
        <v>34</v>
      </c>
      <c r="C585" t="e">
        <v>#N/A</v>
      </c>
      <c r="D585" t="e">
        <v>#N/A</v>
      </c>
      <c r="E585">
        <v>34</v>
      </c>
    </row>
    <row r="586" spans="1:5" x14ac:dyDescent="0.25">
      <c r="A586" s="1">
        <v>44050</v>
      </c>
      <c r="B586" s="2">
        <f>IFERROR(Torres!K585, 0) + IFERROR('San José'!K585, 0) + IFERROR(Terraplaza!K585, 0)</f>
        <v>52.5</v>
      </c>
      <c r="C586" t="e">
        <v>#N/A</v>
      </c>
      <c r="D586" t="e">
        <v>#N/A</v>
      </c>
      <c r="E586">
        <v>52.5</v>
      </c>
    </row>
    <row r="587" spans="1:5" x14ac:dyDescent="0.25">
      <c r="A587" s="1">
        <v>44051</v>
      </c>
      <c r="B587" s="2">
        <f>IFERROR(Torres!K586, 0) + IFERROR('San José'!K586, 0) + IFERROR(Terraplaza!K586, 0)</f>
        <v>51.5</v>
      </c>
      <c r="C587" t="e">
        <v>#N/A</v>
      </c>
      <c r="D587" t="e">
        <v>#N/A</v>
      </c>
      <c r="E587">
        <v>51.5</v>
      </c>
    </row>
    <row r="588" spans="1:5" x14ac:dyDescent="0.25">
      <c r="A588" s="1">
        <v>44052</v>
      </c>
      <c r="B588" s="2">
        <f>IFERROR(Torres!K587, 0) + IFERROR('San José'!K587, 0) + IFERROR(Terraplaza!K587, 0)</f>
        <v>47</v>
      </c>
      <c r="C588" t="e">
        <v>#N/A</v>
      </c>
      <c r="D588" t="e">
        <v>#N/A</v>
      </c>
      <c r="E588">
        <v>47</v>
      </c>
    </row>
    <row r="589" spans="1:5" x14ac:dyDescent="0.25">
      <c r="A589" s="1">
        <v>44053</v>
      </c>
      <c r="B589" s="2">
        <f>IFERROR(Torres!K588, 0) + IFERROR('San José'!K588, 0) + IFERROR(Terraplaza!K588, 0)</f>
        <v>29.25</v>
      </c>
      <c r="C589" t="e">
        <v>#N/A</v>
      </c>
      <c r="D589" t="e">
        <v>#N/A</v>
      </c>
      <c r="E589">
        <v>29.25</v>
      </c>
    </row>
    <row r="590" spans="1:5" x14ac:dyDescent="0.25">
      <c r="A590" s="1">
        <v>44054</v>
      </c>
      <c r="B590" s="2">
        <f>IFERROR(Torres!K589, 0) + IFERROR('San José'!K589, 0) + IFERROR(Terraplaza!K589, 0)</f>
        <v>24.25</v>
      </c>
      <c r="C590" t="e">
        <v>#N/A</v>
      </c>
      <c r="D590" t="e">
        <v>#N/A</v>
      </c>
      <c r="E590">
        <v>24.25</v>
      </c>
    </row>
    <row r="591" spans="1:5" x14ac:dyDescent="0.25">
      <c r="A591" s="1">
        <v>44055</v>
      </c>
      <c r="B591" s="2">
        <f>IFERROR(Torres!K590, 0) + IFERROR('San José'!K590, 0) + IFERROR(Terraplaza!K590, 0)</f>
        <v>25</v>
      </c>
      <c r="C591" t="e">
        <v>#N/A</v>
      </c>
      <c r="D591" t="e">
        <v>#N/A</v>
      </c>
      <c r="E591">
        <v>25</v>
      </c>
    </row>
    <row r="592" spans="1:5" x14ac:dyDescent="0.25">
      <c r="A592" s="1">
        <v>44056</v>
      </c>
      <c r="B592" s="2">
        <f>IFERROR(Torres!K591, 0) + IFERROR('San José'!K591, 0) + IFERROR(Terraplaza!K591, 0)</f>
        <v>28.5</v>
      </c>
      <c r="C592" t="e">
        <v>#N/A</v>
      </c>
      <c r="D592" t="e">
        <v>#N/A</v>
      </c>
      <c r="E592">
        <v>28.5</v>
      </c>
    </row>
    <row r="593" spans="1:5" x14ac:dyDescent="0.25">
      <c r="A593" s="1">
        <v>44057</v>
      </c>
      <c r="B593" s="2">
        <f>IFERROR(Torres!K592, 0) + IFERROR('San José'!K592, 0) + IFERROR(Terraplaza!K592, 0)</f>
        <v>45.5</v>
      </c>
      <c r="C593" t="e">
        <v>#N/A</v>
      </c>
      <c r="D593" t="e">
        <v>#N/A</v>
      </c>
      <c r="E593">
        <v>45.5</v>
      </c>
    </row>
    <row r="594" spans="1:5" x14ac:dyDescent="0.25">
      <c r="A594" s="1">
        <v>44058</v>
      </c>
      <c r="B594" s="2">
        <f>IFERROR(Torres!K593, 0) + IFERROR('San José'!K593, 0) + IFERROR(Terraplaza!K593, 0)</f>
        <v>46.5</v>
      </c>
      <c r="C594" t="e">
        <v>#N/A</v>
      </c>
      <c r="D594" t="e">
        <v>#N/A</v>
      </c>
      <c r="E594">
        <v>46.5</v>
      </c>
    </row>
    <row r="595" spans="1:5" x14ac:dyDescent="0.25">
      <c r="A595" s="1">
        <v>44059</v>
      </c>
      <c r="B595" s="2">
        <f>IFERROR(Torres!K594, 0) + IFERROR('San José'!K594, 0) + IFERROR(Terraplaza!K594, 0)</f>
        <v>40.5</v>
      </c>
      <c r="C595" t="e">
        <v>#N/A</v>
      </c>
      <c r="D595" t="e">
        <v>#N/A</v>
      </c>
      <c r="E595">
        <v>40.5</v>
      </c>
    </row>
    <row r="596" spans="1:5" x14ac:dyDescent="0.25">
      <c r="A596" s="1">
        <v>44060</v>
      </c>
      <c r="B596" s="2">
        <f>IFERROR(Torres!K595, 0) + IFERROR('San José'!K595, 0) + IFERROR(Terraplaza!K595, 0)</f>
        <v>40</v>
      </c>
      <c r="C596" t="e">
        <v>#N/A</v>
      </c>
      <c r="D596" t="e">
        <v>#N/A</v>
      </c>
      <c r="E596">
        <v>40</v>
      </c>
    </row>
    <row r="597" spans="1:5" x14ac:dyDescent="0.25">
      <c r="A597" s="1">
        <v>44061</v>
      </c>
      <c r="B597" s="2">
        <f>IFERROR(Torres!K596, 0) + IFERROR('San José'!K596, 0) + IFERROR(Terraplaza!K596, 0)</f>
        <v>28.5</v>
      </c>
      <c r="C597" t="e">
        <v>#N/A</v>
      </c>
      <c r="D597" t="e">
        <v>#N/A</v>
      </c>
      <c r="E597">
        <v>28.5</v>
      </c>
    </row>
    <row r="598" spans="1:5" x14ac:dyDescent="0.25">
      <c r="A598" s="1">
        <v>44062</v>
      </c>
      <c r="B598" s="2">
        <f>IFERROR(Torres!K597, 0) + IFERROR('San José'!K597, 0) + IFERROR(Terraplaza!K597, 0)</f>
        <v>19.5</v>
      </c>
      <c r="C598" t="e">
        <v>#N/A</v>
      </c>
      <c r="D598" t="e">
        <v>#N/A</v>
      </c>
      <c r="E598">
        <v>19.5</v>
      </c>
    </row>
    <row r="599" spans="1:5" x14ac:dyDescent="0.25">
      <c r="A599" s="1">
        <v>44063</v>
      </c>
      <c r="B599" s="2">
        <f>IFERROR(Torres!K598, 0) + IFERROR('San José'!K598, 0) + IFERROR(Terraplaza!K598, 0)</f>
        <v>32</v>
      </c>
      <c r="C599" t="e">
        <v>#N/A</v>
      </c>
      <c r="D599" t="e">
        <v>#N/A</v>
      </c>
      <c r="E599">
        <v>32</v>
      </c>
    </row>
    <row r="600" spans="1:5" x14ac:dyDescent="0.25">
      <c r="A600" s="1">
        <v>44064</v>
      </c>
      <c r="B600" s="2">
        <f>IFERROR(Torres!K599, 0) + IFERROR('San José'!K599, 0) + IFERROR(Terraplaza!K599, 0)</f>
        <v>38.5</v>
      </c>
      <c r="C600" t="e">
        <v>#N/A</v>
      </c>
      <c r="D600" t="e">
        <v>#N/A</v>
      </c>
      <c r="E600">
        <v>38.5</v>
      </c>
    </row>
    <row r="601" spans="1:5" x14ac:dyDescent="0.25">
      <c r="A601" s="1">
        <v>44065</v>
      </c>
      <c r="B601" s="2">
        <f>IFERROR(Torres!K600, 0) + IFERROR('San José'!K600, 0) + IFERROR(Terraplaza!K600, 0)</f>
        <v>54.5</v>
      </c>
      <c r="C601" t="e">
        <v>#N/A</v>
      </c>
      <c r="D601" t="e">
        <v>#N/A</v>
      </c>
      <c r="E601">
        <v>54.5</v>
      </c>
    </row>
    <row r="602" spans="1:5" x14ac:dyDescent="0.25">
      <c r="A602" s="1">
        <v>44066</v>
      </c>
      <c r="B602" s="2">
        <f>IFERROR(Torres!K601, 0) + IFERROR('San José'!K601, 0) + IFERROR(Terraplaza!K601, 0)</f>
        <v>47</v>
      </c>
      <c r="C602" t="e">
        <v>#N/A</v>
      </c>
      <c r="D602" t="e">
        <v>#N/A</v>
      </c>
      <c r="E602">
        <v>47</v>
      </c>
    </row>
    <row r="603" spans="1:5" x14ac:dyDescent="0.25">
      <c r="A603" s="1">
        <v>44067</v>
      </c>
      <c r="B603" s="2">
        <f>IFERROR(Torres!K602, 0) + IFERROR('San José'!K602, 0) + IFERROR(Terraplaza!K602, 0)</f>
        <v>23</v>
      </c>
      <c r="C603" t="e">
        <v>#N/A</v>
      </c>
      <c r="D603" t="e">
        <v>#N/A</v>
      </c>
      <c r="E603">
        <v>23</v>
      </c>
    </row>
    <row r="604" spans="1:5" x14ac:dyDescent="0.25">
      <c r="A604" s="1">
        <v>44068</v>
      </c>
      <c r="B604" s="2">
        <f>IFERROR(Torres!K603, 0) + IFERROR('San José'!K603, 0) + IFERROR(Terraplaza!K603, 0)</f>
        <v>28</v>
      </c>
      <c r="C604" t="e">
        <v>#N/A</v>
      </c>
      <c r="D604" t="e">
        <v>#N/A</v>
      </c>
      <c r="E604">
        <v>28</v>
      </c>
    </row>
    <row r="605" spans="1:5" x14ac:dyDescent="0.25">
      <c r="A605" s="1">
        <v>44069</v>
      </c>
      <c r="B605" s="2">
        <f>IFERROR(Torres!K604, 0) + IFERROR('San José'!K604, 0) + IFERROR(Terraplaza!K604, 0)</f>
        <v>34</v>
      </c>
      <c r="C605" t="e">
        <v>#N/A</v>
      </c>
      <c r="D605" t="e">
        <v>#N/A</v>
      </c>
      <c r="E605">
        <v>34</v>
      </c>
    </row>
    <row r="606" spans="1:5" x14ac:dyDescent="0.25">
      <c r="A606" s="1">
        <v>44070</v>
      </c>
      <c r="B606" s="2">
        <f>IFERROR(Torres!K605, 0) + IFERROR('San José'!K605, 0) + IFERROR(Terraplaza!K605, 0)</f>
        <v>42</v>
      </c>
      <c r="C606" t="e">
        <v>#N/A</v>
      </c>
      <c r="D606" t="e">
        <v>#N/A</v>
      </c>
      <c r="E606">
        <v>42</v>
      </c>
    </row>
    <row r="607" spans="1:5" x14ac:dyDescent="0.25">
      <c r="A607" s="1">
        <v>44071</v>
      </c>
      <c r="B607" s="2">
        <f>IFERROR(Torres!K606, 0) + IFERROR('San José'!K606, 0) + IFERROR(Terraplaza!K606, 0)</f>
        <v>52.5</v>
      </c>
      <c r="C607" t="e">
        <v>#N/A</v>
      </c>
      <c r="D607" t="e">
        <v>#N/A</v>
      </c>
      <c r="E607">
        <v>52.5</v>
      </c>
    </row>
    <row r="608" spans="1:5" x14ac:dyDescent="0.25">
      <c r="A608" s="1">
        <v>44072</v>
      </c>
      <c r="B608" s="2">
        <f>IFERROR(Torres!K607, 0) + IFERROR('San José'!K607, 0) + IFERROR(Terraplaza!K607, 0)</f>
        <v>53.5</v>
      </c>
      <c r="C608" t="e">
        <v>#N/A</v>
      </c>
      <c r="D608" t="e">
        <v>#N/A</v>
      </c>
      <c r="E608">
        <v>53.5</v>
      </c>
    </row>
    <row r="609" spans="1:5" x14ac:dyDescent="0.25">
      <c r="A609" s="1">
        <v>44073</v>
      </c>
      <c r="B609" s="2">
        <f>IFERROR(Torres!K608, 0) + IFERROR('San José'!K608, 0) + IFERROR(Terraplaza!K608, 0)</f>
        <v>37</v>
      </c>
      <c r="C609" t="e">
        <v>#N/A</v>
      </c>
      <c r="D609" t="e">
        <v>#N/A</v>
      </c>
      <c r="E609">
        <v>37</v>
      </c>
    </row>
    <row r="610" spans="1:5" x14ac:dyDescent="0.25">
      <c r="A610" s="1">
        <v>44074</v>
      </c>
      <c r="B610" s="2">
        <f>IFERROR(Torres!K609, 0) + IFERROR('San José'!K609, 0) + IFERROR(Terraplaza!K609, 0)</f>
        <v>35.5</v>
      </c>
      <c r="C610" t="e">
        <v>#N/A</v>
      </c>
      <c r="D610" t="e">
        <v>#N/A</v>
      </c>
      <c r="E610">
        <v>35.5</v>
      </c>
    </row>
    <row r="611" spans="1:5" x14ac:dyDescent="0.25">
      <c r="A611" s="1">
        <v>44075</v>
      </c>
      <c r="B611" s="2">
        <f>IFERROR(Torres!K610, 0) + IFERROR('San José'!K610, 0) + IFERROR(Terraplaza!K610, 0)</f>
        <v>0</v>
      </c>
      <c r="C611" t="e">
        <v>#N/A</v>
      </c>
      <c r="D611" t="e">
        <v>#N/A</v>
      </c>
      <c r="E611" t="e">
        <v>#N/A</v>
      </c>
    </row>
    <row r="612" spans="1:5" x14ac:dyDescent="0.25">
      <c r="A612" s="1">
        <v>44076</v>
      </c>
      <c r="B612" s="2">
        <f>IFERROR(Torres!K611, 0) + IFERROR('San José'!K611, 0) + IFERROR(Terraplaza!K611, 0)</f>
        <v>0</v>
      </c>
      <c r="C612" t="e">
        <v>#N/A</v>
      </c>
      <c r="D612" t="e">
        <v>#N/A</v>
      </c>
      <c r="E612" t="e">
        <v>#N/A</v>
      </c>
    </row>
    <row r="613" spans="1:5" x14ac:dyDescent="0.25">
      <c r="A613" s="1">
        <v>44077</v>
      </c>
      <c r="B613" s="2">
        <f>IFERROR(Torres!K612, 0) + IFERROR('San José'!K612, 0) + IFERROR(Terraplaza!K612, 0)</f>
        <v>0</v>
      </c>
      <c r="C613" t="e">
        <v>#N/A</v>
      </c>
      <c r="D613" t="e">
        <v>#N/A</v>
      </c>
      <c r="E613" t="e">
        <v>#N/A</v>
      </c>
    </row>
    <row r="614" spans="1:5" x14ac:dyDescent="0.25">
      <c r="A614" s="1">
        <v>44078</v>
      </c>
      <c r="B614" s="2">
        <f>IFERROR(Torres!K613, 0) + IFERROR('San José'!K613, 0) + IFERROR(Terraplaza!K613, 0)</f>
        <v>0</v>
      </c>
      <c r="C614" t="e">
        <v>#N/A</v>
      </c>
      <c r="D614" t="e">
        <v>#N/A</v>
      </c>
      <c r="E614" t="e">
        <v>#N/A</v>
      </c>
    </row>
    <row r="615" spans="1:5" x14ac:dyDescent="0.25">
      <c r="A615" s="1">
        <v>44079</v>
      </c>
      <c r="B615" s="2">
        <f>IFERROR(Torres!K614, 0) + IFERROR('San José'!K614, 0) + IFERROR(Terraplaza!K614, 0)</f>
        <v>0</v>
      </c>
      <c r="C615" t="e">
        <v>#N/A</v>
      </c>
      <c r="D615" t="e">
        <v>#N/A</v>
      </c>
      <c r="E615" t="e">
        <v>#N/A</v>
      </c>
    </row>
    <row r="616" spans="1:5" x14ac:dyDescent="0.25">
      <c r="A616" s="1">
        <v>44080</v>
      </c>
      <c r="B616" s="2">
        <f>IFERROR(Torres!K615, 0) + IFERROR('San José'!K615, 0) + IFERROR(Terraplaza!K615, 0)</f>
        <v>0</v>
      </c>
      <c r="C616" t="e">
        <v>#N/A</v>
      </c>
      <c r="D616" t="e">
        <v>#N/A</v>
      </c>
      <c r="E616" t="e">
        <v>#N/A</v>
      </c>
    </row>
    <row r="617" spans="1:5" x14ac:dyDescent="0.25">
      <c r="A617" s="1">
        <v>44081</v>
      </c>
      <c r="B617" s="2">
        <f>IFERROR(Torres!K616, 0) + IFERROR('San José'!K616, 0) + IFERROR(Terraplaza!K616, 0)</f>
        <v>0</v>
      </c>
      <c r="C617" t="e">
        <v>#N/A</v>
      </c>
      <c r="D617" t="e">
        <v>#N/A</v>
      </c>
      <c r="E617" t="e">
        <v>#N/A</v>
      </c>
    </row>
    <row r="618" spans="1:5" x14ac:dyDescent="0.25">
      <c r="A618" s="1">
        <v>44082</v>
      </c>
      <c r="B618" s="2">
        <f>IFERROR(Torres!K617, 0) + IFERROR('San José'!K617, 0) + IFERROR(Terraplaza!K617, 0)</f>
        <v>0</v>
      </c>
      <c r="C618" t="e">
        <v>#N/A</v>
      </c>
      <c r="D618" t="e">
        <v>#N/A</v>
      </c>
      <c r="E618" t="e">
        <v>#N/A</v>
      </c>
    </row>
    <row r="619" spans="1:5" x14ac:dyDescent="0.25">
      <c r="A619" s="1">
        <v>44083</v>
      </c>
      <c r="B619" s="2">
        <f>IFERROR(Torres!K618, 0) + IFERROR('San José'!K618, 0) + IFERROR(Terraplaza!K618, 0)</f>
        <v>0</v>
      </c>
      <c r="C619" t="e">
        <v>#N/A</v>
      </c>
      <c r="D619" t="e">
        <v>#N/A</v>
      </c>
      <c r="E619" t="e">
        <v>#N/A</v>
      </c>
    </row>
    <row r="620" spans="1:5" x14ac:dyDescent="0.25">
      <c r="A620" s="1">
        <v>44084</v>
      </c>
      <c r="B620" s="2">
        <f>IFERROR(Torres!K619, 0) + IFERROR('San José'!K619, 0) + IFERROR(Terraplaza!K619, 0)</f>
        <v>0</v>
      </c>
      <c r="C620" t="e">
        <v>#N/A</v>
      </c>
      <c r="D620" t="e">
        <v>#N/A</v>
      </c>
      <c r="E620" t="e">
        <v>#N/A</v>
      </c>
    </row>
    <row r="621" spans="1:5" x14ac:dyDescent="0.25">
      <c r="A621" s="1">
        <v>44085</v>
      </c>
      <c r="B621" s="2">
        <f>IFERROR(Torres!K620, 0) + IFERROR('San José'!K620, 0) + IFERROR(Terraplaza!K620, 0)</f>
        <v>0</v>
      </c>
      <c r="C621" t="e">
        <v>#N/A</v>
      </c>
      <c r="D621" t="e">
        <v>#N/A</v>
      </c>
      <c r="E621" t="e">
        <v>#N/A</v>
      </c>
    </row>
    <row r="622" spans="1:5" x14ac:dyDescent="0.25">
      <c r="A622" s="1">
        <v>44086</v>
      </c>
      <c r="B622" s="2">
        <f>IFERROR(Torres!K621, 0) + IFERROR('San José'!K621, 0) + IFERROR(Terraplaza!K621, 0)</f>
        <v>0</v>
      </c>
      <c r="C622" t="e">
        <v>#N/A</v>
      </c>
      <c r="D622" t="e">
        <v>#N/A</v>
      </c>
      <c r="E622" t="e">
        <v>#N/A</v>
      </c>
    </row>
    <row r="623" spans="1:5" x14ac:dyDescent="0.25">
      <c r="A623" s="1">
        <v>44087</v>
      </c>
      <c r="B623" s="2">
        <f>IFERROR(Torres!K622, 0) + IFERROR('San José'!K622, 0) + IFERROR(Terraplaza!K622, 0)</f>
        <v>0</v>
      </c>
      <c r="C623" t="e">
        <v>#N/A</v>
      </c>
      <c r="D623" t="e">
        <v>#N/A</v>
      </c>
      <c r="E623" t="e">
        <v>#N/A</v>
      </c>
    </row>
    <row r="624" spans="1:5" x14ac:dyDescent="0.25">
      <c r="A624" s="1">
        <v>44088</v>
      </c>
      <c r="B624" s="2">
        <f>IFERROR(Torres!K623, 0) + IFERROR('San José'!K623, 0) + IFERROR(Terraplaza!K623, 0)</f>
        <v>0</v>
      </c>
      <c r="C624" t="e">
        <v>#N/A</v>
      </c>
      <c r="D624" t="e">
        <v>#N/A</v>
      </c>
      <c r="E624" t="e">
        <v>#N/A</v>
      </c>
    </row>
    <row r="625" spans="1:5" x14ac:dyDescent="0.25">
      <c r="A625" s="1">
        <v>44089</v>
      </c>
      <c r="B625" s="2">
        <f>IFERROR(Torres!K624, 0) + IFERROR('San José'!K624, 0) + IFERROR(Terraplaza!K624, 0)</f>
        <v>0</v>
      </c>
      <c r="C625" t="e">
        <v>#N/A</v>
      </c>
      <c r="D625" t="e">
        <v>#N/A</v>
      </c>
      <c r="E625" t="e">
        <v>#N/A</v>
      </c>
    </row>
    <row r="626" spans="1:5" x14ac:dyDescent="0.25">
      <c r="A626" s="1">
        <v>44090</v>
      </c>
      <c r="B626" s="2">
        <f>IFERROR(Torres!K625, 0) + IFERROR('San José'!K625, 0) + IFERROR(Terraplaza!K625, 0)</f>
        <v>0</v>
      </c>
      <c r="C626" t="e">
        <v>#N/A</v>
      </c>
      <c r="D626" t="e">
        <v>#N/A</v>
      </c>
      <c r="E626" t="e">
        <v>#N/A</v>
      </c>
    </row>
    <row r="627" spans="1:5" x14ac:dyDescent="0.25">
      <c r="A627" s="1">
        <v>44091</v>
      </c>
      <c r="B627" s="2">
        <f>IFERROR(Torres!K626, 0) + IFERROR('San José'!K626, 0) + IFERROR(Terraplaza!K626, 0)</f>
        <v>0</v>
      </c>
      <c r="C627" t="e">
        <v>#N/A</v>
      </c>
      <c r="D627" t="e">
        <v>#N/A</v>
      </c>
      <c r="E627" t="e">
        <v>#N/A</v>
      </c>
    </row>
    <row r="628" spans="1:5" x14ac:dyDescent="0.25">
      <c r="A628" s="1">
        <v>44092</v>
      </c>
      <c r="B628" s="2">
        <f>IFERROR(Torres!K627, 0) + IFERROR('San José'!K627, 0) + IFERROR(Terraplaza!K627, 0)</f>
        <v>0</v>
      </c>
      <c r="C628" t="e">
        <v>#N/A</v>
      </c>
      <c r="D628" t="e">
        <v>#N/A</v>
      </c>
      <c r="E628" t="e">
        <v>#N/A</v>
      </c>
    </row>
    <row r="629" spans="1:5" x14ac:dyDescent="0.25">
      <c r="A629" s="1">
        <v>44093</v>
      </c>
      <c r="B629" s="2">
        <f>IFERROR(Torres!K628, 0) + IFERROR('San José'!K628, 0) + IFERROR(Terraplaza!K628, 0)</f>
        <v>0</v>
      </c>
      <c r="C629" t="e">
        <v>#N/A</v>
      </c>
      <c r="D629" t="e">
        <v>#N/A</v>
      </c>
      <c r="E629" t="e">
        <v>#N/A</v>
      </c>
    </row>
    <row r="630" spans="1:5" x14ac:dyDescent="0.25">
      <c r="A630" s="1">
        <v>44094</v>
      </c>
      <c r="B630" s="2">
        <f>IFERROR(Torres!K629, 0) + IFERROR('San José'!K629, 0) + IFERROR(Terraplaza!K629, 0)</f>
        <v>0</v>
      </c>
      <c r="C630" t="e">
        <v>#N/A</v>
      </c>
      <c r="D630" t="e">
        <v>#N/A</v>
      </c>
      <c r="E630" t="e">
        <v>#N/A</v>
      </c>
    </row>
    <row r="631" spans="1:5" x14ac:dyDescent="0.25">
      <c r="A631" s="1">
        <v>44095</v>
      </c>
      <c r="B631" s="2">
        <f>IFERROR(Torres!K630, 0) + IFERROR('San José'!K630, 0) + IFERROR(Terraplaza!K630, 0)</f>
        <v>0</v>
      </c>
      <c r="C631" t="e">
        <v>#N/A</v>
      </c>
      <c r="D631" t="e">
        <v>#N/A</v>
      </c>
      <c r="E631" t="e">
        <v>#N/A</v>
      </c>
    </row>
    <row r="632" spans="1:5" x14ac:dyDescent="0.25">
      <c r="A632" s="1">
        <v>44096</v>
      </c>
      <c r="B632" s="2">
        <f>IFERROR(Torres!K631, 0) + IFERROR('San José'!K631, 0) + IFERROR(Terraplaza!K631, 0)</f>
        <v>0</v>
      </c>
      <c r="C632" t="e">
        <v>#N/A</v>
      </c>
      <c r="D632" t="e">
        <v>#N/A</v>
      </c>
      <c r="E632" t="e">
        <v>#N/A</v>
      </c>
    </row>
    <row r="633" spans="1:5" x14ac:dyDescent="0.25">
      <c r="A633" s="1">
        <v>44097</v>
      </c>
      <c r="B633" s="2">
        <f>IFERROR(Torres!K632, 0) + IFERROR('San José'!K632, 0) + IFERROR(Terraplaza!K632, 0)</f>
        <v>0</v>
      </c>
      <c r="C633" t="e">
        <v>#N/A</v>
      </c>
      <c r="D633" t="e">
        <v>#N/A</v>
      </c>
      <c r="E633" t="e">
        <v>#N/A</v>
      </c>
    </row>
    <row r="634" spans="1:5" x14ac:dyDescent="0.25">
      <c r="A634" s="1">
        <v>44098</v>
      </c>
      <c r="B634" s="2">
        <f>IFERROR(Torres!K633, 0) + IFERROR('San José'!K633, 0) + IFERROR(Terraplaza!K633, 0)</f>
        <v>0</v>
      </c>
      <c r="C634" t="e">
        <v>#N/A</v>
      </c>
      <c r="D634" t="e">
        <v>#N/A</v>
      </c>
      <c r="E634" t="e">
        <v>#N/A</v>
      </c>
    </row>
    <row r="635" spans="1:5" x14ac:dyDescent="0.25">
      <c r="A635" s="1">
        <v>44099</v>
      </c>
      <c r="B635" s="2">
        <f>IFERROR(Torres!K634, 0) + IFERROR('San José'!K634, 0) + IFERROR(Terraplaza!K634, 0)</f>
        <v>0</v>
      </c>
      <c r="C635" t="e">
        <v>#N/A</v>
      </c>
      <c r="D635" t="e">
        <v>#N/A</v>
      </c>
      <c r="E635" t="e">
        <v>#N/A</v>
      </c>
    </row>
    <row r="636" spans="1:5" x14ac:dyDescent="0.25">
      <c r="A636" s="1">
        <v>44100</v>
      </c>
      <c r="B636" s="2">
        <f>IFERROR(Torres!K635, 0) + IFERROR('San José'!K635, 0) + IFERROR(Terraplaza!K635, 0)</f>
        <v>0</v>
      </c>
      <c r="C636" t="e">
        <v>#N/A</v>
      </c>
      <c r="D636" t="e">
        <v>#N/A</v>
      </c>
      <c r="E636" t="e">
        <v>#N/A</v>
      </c>
    </row>
    <row r="637" spans="1:5" x14ac:dyDescent="0.25">
      <c r="A637" s="1">
        <v>44101</v>
      </c>
      <c r="B637" s="2">
        <f>IFERROR(Torres!K636, 0) + IFERROR('San José'!K636, 0) + IFERROR(Terraplaza!K636, 0)</f>
        <v>0</v>
      </c>
      <c r="C637" t="e">
        <v>#N/A</v>
      </c>
      <c r="D637" t="e">
        <v>#N/A</v>
      </c>
      <c r="E637" t="e">
        <v>#N/A</v>
      </c>
    </row>
    <row r="638" spans="1:5" x14ac:dyDescent="0.25">
      <c r="A638" s="1">
        <v>44102</v>
      </c>
      <c r="B638" s="2">
        <f>IFERROR(Torres!K637, 0) + IFERROR('San José'!K637, 0) + IFERROR(Terraplaza!K637, 0)</f>
        <v>0</v>
      </c>
      <c r="C638" t="e">
        <v>#N/A</v>
      </c>
      <c r="D638" t="e">
        <v>#N/A</v>
      </c>
      <c r="E638" t="e">
        <v>#N/A</v>
      </c>
    </row>
    <row r="639" spans="1:5" x14ac:dyDescent="0.25">
      <c r="A639" s="1">
        <v>44103</v>
      </c>
      <c r="B639" s="2">
        <f>IFERROR(Torres!K638, 0) + IFERROR('San José'!K638, 0) + IFERROR(Terraplaza!K638, 0)</f>
        <v>0</v>
      </c>
      <c r="C639" t="e">
        <v>#N/A</v>
      </c>
      <c r="D639" t="e">
        <v>#N/A</v>
      </c>
      <c r="E639" t="e">
        <v>#N/A</v>
      </c>
    </row>
    <row r="640" spans="1:5" x14ac:dyDescent="0.25">
      <c r="A640" s="1">
        <v>44104</v>
      </c>
      <c r="B640" s="2">
        <f>IFERROR(Torres!K639, 0) + IFERROR('San José'!K639, 0) + IFERROR(Terraplaza!K639, 0)</f>
        <v>0</v>
      </c>
      <c r="C640" t="e">
        <v>#N/A</v>
      </c>
      <c r="D640" t="e">
        <v>#N/A</v>
      </c>
      <c r="E640" t="e">
        <v>#N/A</v>
      </c>
    </row>
    <row r="641" spans="1:5" x14ac:dyDescent="0.25">
      <c r="A641" s="1">
        <v>44105</v>
      </c>
      <c r="B641" s="2">
        <f>IFERROR(Torres!K640, 0) + IFERROR('San José'!K640, 0) + IFERROR(Terraplaza!K640, 0)</f>
        <v>41.5</v>
      </c>
      <c r="C641" t="e">
        <v>#N/A</v>
      </c>
      <c r="D641" t="e">
        <v>#N/A</v>
      </c>
      <c r="E641">
        <v>41.5</v>
      </c>
    </row>
    <row r="642" spans="1:5" x14ac:dyDescent="0.25">
      <c r="A642" s="1">
        <v>44106</v>
      </c>
      <c r="B642" s="2">
        <f>IFERROR(Torres!K641, 0) + IFERROR('San José'!K641, 0) + IFERROR(Terraplaza!K641, 0)</f>
        <v>53</v>
      </c>
      <c r="C642" t="e">
        <v>#N/A</v>
      </c>
      <c r="D642" t="e">
        <v>#N/A</v>
      </c>
      <c r="E642">
        <v>53</v>
      </c>
    </row>
    <row r="643" spans="1:5" x14ac:dyDescent="0.25">
      <c r="A643" s="1">
        <v>44107</v>
      </c>
      <c r="B643" s="2">
        <f>IFERROR(Torres!K642, 0) + IFERROR('San José'!K642, 0) + IFERROR(Terraplaza!K642, 0)</f>
        <v>61</v>
      </c>
      <c r="C643" t="e">
        <v>#N/A</v>
      </c>
      <c r="D643" t="e">
        <v>#N/A</v>
      </c>
      <c r="E643">
        <v>61</v>
      </c>
    </row>
    <row r="644" spans="1:5" x14ac:dyDescent="0.25">
      <c r="A644" s="1">
        <v>44108</v>
      </c>
      <c r="B644" s="2">
        <f>IFERROR(Torres!K643, 0) + IFERROR('San José'!K643, 0) + IFERROR(Terraplaza!K643, 0)</f>
        <v>79</v>
      </c>
      <c r="C644" t="e">
        <v>#N/A</v>
      </c>
      <c r="D644" t="e">
        <v>#N/A</v>
      </c>
      <c r="E644">
        <v>79</v>
      </c>
    </row>
    <row r="645" spans="1:5" x14ac:dyDescent="0.25">
      <c r="A645" s="1">
        <v>44109</v>
      </c>
      <c r="B645" s="2">
        <f>IFERROR(Torres!K644, 0) + IFERROR('San José'!K644, 0) + IFERROR(Terraplaza!K644, 0)</f>
        <v>37</v>
      </c>
      <c r="C645" t="e">
        <v>#N/A</v>
      </c>
      <c r="D645" t="e">
        <v>#N/A</v>
      </c>
      <c r="E645">
        <v>37</v>
      </c>
    </row>
    <row r="646" spans="1:5" x14ac:dyDescent="0.25">
      <c r="A646" s="1">
        <v>44110</v>
      </c>
      <c r="B646" s="2">
        <f>IFERROR(Torres!K645, 0) + IFERROR('San José'!K645, 0) + IFERROR(Terraplaza!K645, 0)</f>
        <v>43</v>
      </c>
      <c r="C646" t="e">
        <v>#N/A</v>
      </c>
      <c r="D646" t="e">
        <v>#N/A</v>
      </c>
      <c r="E646">
        <v>43</v>
      </c>
    </row>
    <row r="647" spans="1:5" x14ac:dyDescent="0.25">
      <c r="A647" s="1">
        <v>44111</v>
      </c>
      <c r="B647" s="2">
        <f>IFERROR(Torres!K646, 0) + IFERROR('San José'!K646, 0) + IFERROR(Terraplaza!K646, 0)</f>
        <v>55.5</v>
      </c>
      <c r="C647" t="e">
        <v>#N/A</v>
      </c>
      <c r="D647" t="e">
        <v>#N/A</v>
      </c>
      <c r="E647">
        <v>55.5</v>
      </c>
    </row>
    <row r="648" spans="1:5" x14ac:dyDescent="0.25">
      <c r="A648" s="1">
        <v>44112</v>
      </c>
      <c r="B648" s="2">
        <f>IFERROR(Torres!K647, 0) + IFERROR('San José'!K647, 0) + IFERROR(Terraplaza!K647, 0)</f>
        <v>46</v>
      </c>
      <c r="C648" t="e">
        <v>#N/A</v>
      </c>
      <c r="D648" t="e">
        <v>#N/A</v>
      </c>
      <c r="E648">
        <v>46</v>
      </c>
    </row>
    <row r="649" spans="1:5" x14ac:dyDescent="0.25">
      <c r="A649" s="1">
        <v>44113</v>
      </c>
      <c r="B649" s="2">
        <f>IFERROR(Torres!K648, 0) + IFERROR('San José'!K648, 0) + IFERROR(Terraplaza!K648, 0)</f>
        <v>63</v>
      </c>
      <c r="C649" t="e">
        <v>#N/A</v>
      </c>
      <c r="D649" t="e">
        <v>#N/A</v>
      </c>
      <c r="E649">
        <v>63</v>
      </c>
    </row>
    <row r="650" spans="1:5" x14ac:dyDescent="0.25">
      <c r="A650" s="1">
        <v>44114</v>
      </c>
      <c r="B650" s="2">
        <f>IFERROR(Torres!K649, 0) + IFERROR('San José'!K649, 0) + IFERROR(Terraplaza!K649, 0)</f>
        <v>76</v>
      </c>
      <c r="C650" t="e">
        <v>#N/A</v>
      </c>
      <c r="D650" t="e">
        <v>#N/A</v>
      </c>
      <c r="E650">
        <v>76</v>
      </c>
    </row>
    <row r="651" spans="1:5" x14ac:dyDescent="0.25">
      <c r="A651" s="1">
        <v>44115</v>
      </c>
      <c r="B651" s="2">
        <f>IFERROR(Torres!K650, 0) + IFERROR('San José'!K650, 0) + IFERROR(Terraplaza!K650, 0)</f>
        <v>64.5</v>
      </c>
      <c r="C651" t="e">
        <v>#N/A</v>
      </c>
      <c r="D651" t="e">
        <v>#N/A</v>
      </c>
      <c r="E651">
        <v>64.5</v>
      </c>
    </row>
    <row r="652" spans="1:5" x14ac:dyDescent="0.25">
      <c r="A652" s="1">
        <v>44116</v>
      </c>
      <c r="B652" s="2">
        <f>IFERROR(Torres!K651, 0) + IFERROR('San José'!K651, 0) + IFERROR(Terraplaza!K651, 0)</f>
        <v>50</v>
      </c>
      <c r="C652" t="e">
        <v>#N/A</v>
      </c>
      <c r="D652" t="e">
        <v>#N/A</v>
      </c>
      <c r="E652">
        <v>50</v>
      </c>
    </row>
    <row r="653" spans="1:5" x14ac:dyDescent="0.25">
      <c r="A653" s="1">
        <v>44117</v>
      </c>
      <c r="B653" s="2">
        <f>IFERROR(Torres!K652, 0) + IFERROR('San José'!K652, 0) + IFERROR(Terraplaza!K652, 0)</f>
        <v>36.5</v>
      </c>
      <c r="C653" t="e">
        <v>#N/A</v>
      </c>
      <c r="D653" t="e">
        <v>#N/A</v>
      </c>
      <c r="E653">
        <v>36.5</v>
      </c>
    </row>
    <row r="654" spans="1:5" x14ac:dyDescent="0.25">
      <c r="A654" s="1">
        <v>44118</v>
      </c>
      <c r="B654" s="2">
        <f>IFERROR(Torres!K653, 0) + IFERROR('San José'!K653, 0) + IFERROR(Terraplaza!K653, 0)</f>
        <v>32</v>
      </c>
      <c r="C654" t="e">
        <v>#N/A</v>
      </c>
      <c r="D654" t="e">
        <v>#N/A</v>
      </c>
      <c r="E654">
        <v>32</v>
      </c>
    </row>
    <row r="655" spans="1:5" x14ac:dyDescent="0.25">
      <c r="A655" s="1">
        <v>44119</v>
      </c>
      <c r="B655" s="2">
        <f>IFERROR(Torres!K654, 0) + IFERROR('San José'!K654, 0) + IFERROR(Terraplaza!K654, 0)</f>
        <v>40</v>
      </c>
      <c r="C655" t="e">
        <v>#N/A</v>
      </c>
      <c r="D655" t="e">
        <v>#N/A</v>
      </c>
      <c r="E655">
        <v>40</v>
      </c>
    </row>
    <row r="656" spans="1:5" x14ac:dyDescent="0.25">
      <c r="A656" s="1">
        <v>44120</v>
      </c>
      <c r="B656" s="2">
        <f>IFERROR(Torres!K655, 0) + IFERROR('San José'!K655, 0) + IFERROR(Terraplaza!K655, 0)</f>
        <v>44</v>
      </c>
      <c r="C656" t="e">
        <v>#N/A</v>
      </c>
      <c r="D656" t="e">
        <v>#N/A</v>
      </c>
      <c r="E656">
        <v>44</v>
      </c>
    </row>
    <row r="657" spans="1:5" x14ac:dyDescent="0.25">
      <c r="A657" s="1">
        <v>44121</v>
      </c>
      <c r="B657" s="2">
        <f>IFERROR(Torres!K656, 0) + IFERROR('San José'!K656, 0) + IFERROR(Terraplaza!K656, 0)</f>
        <v>63.5</v>
      </c>
      <c r="C657" t="e">
        <v>#N/A</v>
      </c>
      <c r="D657" t="e">
        <v>#N/A</v>
      </c>
      <c r="E657">
        <v>63.5</v>
      </c>
    </row>
    <row r="658" spans="1:5" x14ac:dyDescent="0.25">
      <c r="A658" s="1">
        <v>44122</v>
      </c>
      <c r="B658" s="2">
        <f>IFERROR(Torres!K657, 0) + IFERROR('San José'!K657, 0) + IFERROR(Terraplaza!K657, 0)</f>
        <v>54.5</v>
      </c>
      <c r="C658" t="e">
        <v>#N/A</v>
      </c>
      <c r="D658" t="e">
        <v>#N/A</v>
      </c>
      <c r="E658">
        <v>54.5</v>
      </c>
    </row>
    <row r="659" spans="1:5" x14ac:dyDescent="0.25">
      <c r="A659" s="1">
        <v>44123</v>
      </c>
      <c r="B659" s="2">
        <f>IFERROR(Torres!K658, 0) + IFERROR('San José'!K658, 0) + IFERROR(Terraplaza!K658, 0)</f>
        <v>31</v>
      </c>
      <c r="C659" t="e">
        <v>#N/A</v>
      </c>
      <c r="D659" t="e">
        <v>#N/A</v>
      </c>
      <c r="E659">
        <v>31</v>
      </c>
    </row>
    <row r="660" spans="1:5" x14ac:dyDescent="0.25">
      <c r="A660" s="1">
        <v>44124</v>
      </c>
      <c r="B660" s="2">
        <f>IFERROR(Torres!K659, 0) + IFERROR('San José'!K659, 0) + IFERROR(Terraplaza!K659, 0)</f>
        <v>27.5</v>
      </c>
      <c r="C660" t="e">
        <v>#N/A</v>
      </c>
      <c r="D660" t="e">
        <v>#N/A</v>
      </c>
      <c r="E660">
        <v>27.5</v>
      </c>
    </row>
    <row r="661" spans="1:5" x14ac:dyDescent="0.25">
      <c r="A661" s="1">
        <v>44125</v>
      </c>
      <c r="B661" s="2">
        <f>IFERROR(Torres!K660, 0) + IFERROR('San José'!K660, 0) + IFERROR(Terraplaza!K660, 0)</f>
        <v>35.5</v>
      </c>
      <c r="C661" t="e">
        <v>#N/A</v>
      </c>
      <c r="D661" t="e">
        <v>#N/A</v>
      </c>
      <c r="E661">
        <v>35.5</v>
      </c>
    </row>
    <row r="662" spans="1:5" x14ac:dyDescent="0.25">
      <c r="A662" s="1">
        <v>44126</v>
      </c>
      <c r="B662" s="2">
        <f>IFERROR(Torres!K661, 0) + IFERROR('San José'!K661, 0) + IFERROR(Terraplaza!K661, 0)</f>
        <v>39</v>
      </c>
      <c r="C662" t="e">
        <v>#N/A</v>
      </c>
      <c r="D662" t="e">
        <v>#N/A</v>
      </c>
      <c r="E662">
        <v>39</v>
      </c>
    </row>
    <row r="663" spans="1:5" x14ac:dyDescent="0.25">
      <c r="A663" s="1">
        <v>44127</v>
      </c>
      <c r="B663" s="2">
        <f>IFERROR(Torres!K662, 0) + IFERROR('San José'!K662, 0) + IFERROR(Terraplaza!K662, 0)</f>
        <v>33</v>
      </c>
      <c r="C663" t="e">
        <v>#N/A</v>
      </c>
      <c r="D663" t="e">
        <v>#N/A</v>
      </c>
      <c r="E663">
        <v>33</v>
      </c>
    </row>
    <row r="664" spans="1:5" x14ac:dyDescent="0.25">
      <c r="A664" s="1">
        <v>44128</v>
      </c>
      <c r="B664" s="2">
        <f>IFERROR(Torres!K663, 0) + IFERROR('San José'!K663, 0) + IFERROR(Terraplaza!K663, 0)</f>
        <v>65.5</v>
      </c>
      <c r="C664" t="e">
        <v>#N/A</v>
      </c>
      <c r="D664" t="e">
        <v>#N/A</v>
      </c>
      <c r="E664">
        <v>65.5</v>
      </c>
    </row>
    <row r="665" spans="1:5" x14ac:dyDescent="0.25">
      <c r="A665" s="1">
        <v>44129</v>
      </c>
      <c r="B665" s="2">
        <f>IFERROR(Torres!K664, 0) + IFERROR('San José'!K664, 0) + IFERROR(Terraplaza!K664, 0)</f>
        <v>62</v>
      </c>
      <c r="C665" t="e">
        <v>#N/A</v>
      </c>
      <c r="D665" t="e">
        <v>#N/A</v>
      </c>
      <c r="E665">
        <v>62</v>
      </c>
    </row>
    <row r="666" spans="1:5" x14ac:dyDescent="0.25">
      <c r="A666" s="1">
        <v>44130</v>
      </c>
      <c r="B666" s="2">
        <f>IFERROR(Torres!K665, 0) + IFERROR('San José'!K665, 0) + IFERROR(Terraplaza!K665, 0)</f>
        <v>28</v>
      </c>
      <c r="C666" t="e">
        <v>#N/A</v>
      </c>
      <c r="D666" t="e">
        <v>#N/A</v>
      </c>
      <c r="E666">
        <v>28</v>
      </c>
    </row>
    <row r="667" spans="1:5" x14ac:dyDescent="0.25">
      <c r="A667" s="1">
        <v>44131</v>
      </c>
      <c r="B667" s="2">
        <f>IFERROR(Torres!K666, 0) + IFERROR('San José'!K666, 0) + IFERROR(Terraplaza!K666, 0)</f>
        <v>30</v>
      </c>
      <c r="C667" t="e">
        <v>#N/A</v>
      </c>
      <c r="D667" t="e">
        <v>#N/A</v>
      </c>
      <c r="E667">
        <v>30</v>
      </c>
    </row>
    <row r="668" spans="1:5" x14ac:dyDescent="0.25">
      <c r="A668" s="1">
        <v>44132</v>
      </c>
      <c r="B668" s="2">
        <f>IFERROR(Torres!K667, 0) + IFERROR('San José'!K667, 0) + IFERROR(Terraplaza!K667, 0)</f>
        <v>38</v>
      </c>
      <c r="C668" t="e">
        <v>#N/A</v>
      </c>
      <c r="D668" t="e">
        <v>#N/A</v>
      </c>
      <c r="E668">
        <v>38</v>
      </c>
    </row>
    <row r="669" spans="1:5" x14ac:dyDescent="0.25">
      <c r="A669" s="1">
        <v>44133</v>
      </c>
      <c r="B669" s="2">
        <f>IFERROR(Torres!K668, 0) + IFERROR('San José'!K668, 0) + IFERROR(Terraplaza!K668, 0)</f>
        <v>44</v>
      </c>
      <c r="C669" t="e">
        <v>#N/A</v>
      </c>
      <c r="D669" t="e">
        <v>#N/A</v>
      </c>
      <c r="E669">
        <v>44</v>
      </c>
    </row>
    <row r="670" spans="1:5" x14ac:dyDescent="0.25">
      <c r="A670" s="1">
        <v>44134</v>
      </c>
      <c r="B670" s="2">
        <f>IFERROR(Torres!K669, 0) + IFERROR('San José'!K669, 0) + IFERROR(Terraplaza!K669, 0)</f>
        <v>56.5</v>
      </c>
      <c r="C670" t="e">
        <v>#N/A</v>
      </c>
      <c r="D670" t="e">
        <v>#N/A</v>
      </c>
      <c r="E670">
        <v>56.5</v>
      </c>
    </row>
    <row r="671" spans="1:5" x14ac:dyDescent="0.25">
      <c r="A671" s="1">
        <v>44135</v>
      </c>
      <c r="B671" s="2">
        <f>IFERROR(Torres!K670, 0) + IFERROR('San José'!K670, 0) + IFERROR(Terraplaza!K670, 0)</f>
        <v>95</v>
      </c>
      <c r="C671" t="e">
        <v>#N/A</v>
      </c>
      <c r="D671" t="e">
        <v>#N/A</v>
      </c>
      <c r="E671">
        <v>95</v>
      </c>
    </row>
    <row r="672" spans="1:5" x14ac:dyDescent="0.25">
      <c r="A672" s="1">
        <v>44136</v>
      </c>
      <c r="B672" s="2">
        <f>IFERROR(Torres!K671, 0) + IFERROR('San José'!K671, 0) + IFERROR(Terraplaza!K671, 0)</f>
        <v>85</v>
      </c>
      <c r="C672">
        <v>18</v>
      </c>
      <c r="D672" t="e">
        <v>#N/A</v>
      </c>
      <c r="E672">
        <v>67</v>
      </c>
    </row>
    <row r="673" spans="1:5" x14ac:dyDescent="0.25">
      <c r="A673" s="1">
        <v>44137</v>
      </c>
      <c r="B673" s="2">
        <f>IFERROR(Torres!K672, 0) + IFERROR('San José'!K672, 0) + IFERROR(Terraplaza!K672, 0)</f>
        <v>71.625</v>
      </c>
      <c r="C673">
        <v>16.125</v>
      </c>
      <c r="D673" t="e">
        <v>#N/A</v>
      </c>
      <c r="E673">
        <v>55.5</v>
      </c>
    </row>
    <row r="674" spans="1:5" x14ac:dyDescent="0.25">
      <c r="A674" s="1">
        <v>44138</v>
      </c>
      <c r="B674" s="2">
        <f>IFERROR(Torres!K673, 0) + IFERROR('San José'!K673, 0) + IFERROR(Terraplaza!K673, 0)</f>
        <v>36.75</v>
      </c>
      <c r="C674">
        <v>7.75</v>
      </c>
      <c r="D674" t="e">
        <v>#N/A</v>
      </c>
      <c r="E674">
        <v>29</v>
      </c>
    </row>
    <row r="675" spans="1:5" x14ac:dyDescent="0.25">
      <c r="A675" s="1">
        <v>44139</v>
      </c>
      <c r="B675" s="2">
        <f>IFERROR(Torres!K674, 0) + IFERROR('San José'!K674, 0) + IFERROR(Terraplaza!K674, 0)</f>
        <v>35.125</v>
      </c>
      <c r="C675">
        <v>7.125</v>
      </c>
      <c r="D675" t="e">
        <v>#N/A</v>
      </c>
      <c r="E675">
        <v>28</v>
      </c>
    </row>
    <row r="676" spans="1:5" x14ac:dyDescent="0.25">
      <c r="A676" s="1">
        <v>44140</v>
      </c>
      <c r="B676" s="2">
        <f>IFERROR(Torres!K675, 0) + IFERROR('San José'!K675, 0) + IFERROR(Terraplaza!K675, 0)</f>
        <v>34.25</v>
      </c>
      <c r="C676">
        <v>8.25</v>
      </c>
      <c r="D676" t="e">
        <v>#N/A</v>
      </c>
      <c r="E676">
        <v>26</v>
      </c>
    </row>
    <row r="677" spans="1:5" x14ac:dyDescent="0.25">
      <c r="A677" s="1">
        <v>44141</v>
      </c>
      <c r="B677" s="2">
        <f>IFERROR(Torres!K676, 0) + IFERROR('San José'!K676, 0) + IFERROR(Terraplaza!K676, 0)</f>
        <v>62</v>
      </c>
      <c r="C677">
        <v>17</v>
      </c>
      <c r="D677" t="e">
        <v>#N/A</v>
      </c>
      <c r="E677">
        <v>45</v>
      </c>
    </row>
    <row r="678" spans="1:5" x14ac:dyDescent="0.25">
      <c r="A678" s="1">
        <v>44142</v>
      </c>
      <c r="B678" s="2">
        <f>IFERROR(Torres!K677, 0) + IFERROR('San José'!K677, 0) + IFERROR(Terraplaza!K677, 0)</f>
        <v>82.375</v>
      </c>
      <c r="C678">
        <v>19.375</v>
      </c>
      <c r="D678" t="e">
        <v>#N/A</v>
      </c>
      <c r="E678">
        <v>63</v>
      </c>
    </row>
    <row r="679" spans="1:5" x14ac:dyDescent="0.25">
      <c r="A679" s="1">
        <v>44143</v>
      </c>
      <c r="B679" s="2">
        <f>IFERROR(Torres!K678, 0) + IFERROR('San José'!K678, 0) + IFERROR(Terraplaza!K678, 0)</f>
        <v>79.25</v>
      </c>
      <c r="C679">
        <v>24.25</v>
      </c>
      <c r="D679" t="e">
        <v>#N/A</v>
      </c>
      <c r="E679">
        <v>55</v>
      </c>
    </row>
    <row r="680" spans="1:5" x14ac:dyDescent="0.25">
      <c r="A680" s="1">
        <v>44144</v>
      </c>
      <c r="B680" s="2">
        <f>IFERROR(Torres!K679, 0) + IFERROR('San José'!K679, 0) + IFERROR(Terraplaza!K679, 0)</f>
        <v>41.5</v>
      </c>
      <c r="C680">
        <v>8</v>
      </c>
      <c r="D680" t="e">
        <v>#N/A</v>
      </c>
      <c r="E680">
        <v>33.5</v>
      </c>
    </row>
    <row r="681" spans="1:5" x14ac:dyDescent="0.25">
      <c r="A681" s="1">
        <v>44145</v>
      </c>
      <c r="B681" s="2">
        <f>IFERROR(Torres!K680, 0) + IFERROR('San José'!K680, 0) + IFERROR(Terraplaza!K680, 0)</f>
        <v>35.25</v>
      </c>
      <c r="C681">
        <v>7.75</v>
      </c>
      <c r="D681" t="e">
        <v>#N/A</v>
      </c>
      <c r="E681">
        <v>27.5</v>
      </c>
    </row>
    <row r="682" spans="1:5" x14ac:dyDescent="0.25">
      <c r="A682" s="1">
        <v>44146</v>
      </c>
      <c r="B682" s="2">
        <f>IFERROR(Torres!K681, 0) + IFERROR('San José'!K681, 0) + IFERROR(Terraplaza!K681, 0)</f>
        <v>36.5</v>
      </c>
      <c r="C682">
        <v>7</v>
      </c>
      <c r="D682" t="e">
        <v>#N/A</v>
      </c>
      <c r="E682">
        <v>29.5</v>
      </c>
    </row>
    <row r="683" spans="1:5" x14ac:dyDescent="0.25">
      <c r="A683" s="1">
        <v>44147</v>
      </c>
      <c r="B683" s="2">
        <f>IFERROR(Torres!K682, 0) + IFERROR('San José'!K682, 0) + IFERROR(Terraplaza!K682, 0)</f>
        <v>54</v>
      </c>
      <c r="C683">
        <v>12.5</v>
      </c>
      <c r="D683" t="e">
        <v>#N/A</v>
      </c>
      <c r="E683">
        <v>41.5</v>
      </c>
    </row>
    <row r="684" spans="1:5" x14ac:dyDescent="0.25">
      <c r="A684" s="1">
        <v>44148</v>
      </c>
      <c r="B684" s="2">
        <f>IFERROR(Torres!K683, 0) + IFERROR('San José'!K683, 0) + IFERROR(Terraplaza!K683, 0)</f>
        <v>70.25</v>
      </c>
      <c r="C684">
        <v>13.25</v>
      </c>
      <c r="D684" t="e">
        <v>#N/A</v>
      </c>
      <c r="E684">
        <v>57</v>
      </c>
    </row>
    <row r="685" spans="1:5" x14ac:dyDescent="0.25">
      <c r="A685" s="1">
        <v>44149</v>
      </c>
      <c r="B685" s="2">
        <f>IFERROR(Torres!K684, 0) + IFERROR('San José'!K684, 0) + IFERROR(Terraplaza!K684, 0)</f>
        <v>87.5</v>
      </c>
      <c r="C685">
        <v>31.5</v>
      </c>
      <c r="D685" t="e">
        <v>#N/A</v>
      </c>
      <c r="E685">
        <v>56</v>
      </c>
    </row>
    <row r="686" spans="1:5" x14ac:dyDescent="0.25">
      <c r="A686" s="1">
        <v>44150</v>
      </c>
      <c r="B686" s="2">
        <f>IFERROR(Torres!K685, 0) + IFERROR('San José'!K685, 0) + IFERROR(Terraplaza!K685, 0)</f>
        <v>84.375</v>
      </c>
      <c r="C686">
        <v>26.375</v>
      </c>
      <c r="D686" t="e">
        <v>#N/A</v>
      </c>
      <c r="E686">
        <v>58</v>
      </c>
    </row>
    <row r="687" spans="1:5" x14ac:dyDescent="0.25">
      <c r="A687" s="1">
        <v>44151</v>
      </c>
      <c r="B687" s="2">
        <f>IFERROR(Torres!K686, 0) + IFERROR('San José'!K686, 0) + IFERROR(Terraplaza!K686, 0)</f>
        <v>68.125</v>
      </c>
      <c r="C687">
        <v>21.625</v>
      </c>
      <c r="D687" t="e">
        <v>#N/A</v>
      </c>
      <c r="E687">
        <v>46.5</v>
      </c>
    </row>
    <row r="688" spans="1:5" x14ac:dyDescent="0.25">
      <c r="A688" s="1">
        <v>44152</v>
      </c>
      <c r="B688" s="2">
        <f>IFERROR(Torres!K687, 0) + IFERROR('San José'!K687, 0) + IFERROR(Terraplaza!K687, 0)</f>
        <v>40.375</v>
      </c>
      <c r="C688">
        <v>11.625</v>
      </c>
      <c r="D688" t="e">
        <v>#N/A</v>
      </c>
      <c r="E688">
        <v>28.75</v>
      </c>
    </row>
    <row r="689" spans="1:5" x14ac:dyDescent="0.25">
      <c r="A689" s="1">
        <v>44153</v>
      </c>
      <c r="B689" s="2">
        <f>IFERROR(Torres!K688, 0) + IFERROR('San José'!K688, 0) + IFERROR(Terraplaza!K688, 0)</f>
        <v>44.125</v>
      </c>
      <c r="C689">
        <v>10.375</v>
      </c>
      <c r="D689" t="e">
        <v>#N/A</v>
      </c>
      <c r="E689">
        <v>33.75</v>
      </c>
    </row>
    <row r="690" spans="1:5" x14ac:dyDescent="0.25">
      <c r="A690" s="1">
        <v>44154</v>
      </c>
      <c r="B690" s="2">
        <f>IFERROR(Torres!K689, 0) + IFERROR('San José'!K689, 0) + IFERROR(Terraplaza!K689, 0)</f>
        <v>55</v>
      </c>
      <c r="C690">
        <v>10</v>
      </c>
      <c r="D690" t="e">
        <v>#N/A</v>
      </c>
      <c r="E690">
        <v>45</v>
      </c>
    </row>
    <row r="691" spans="1:5" x14ac:dyDescent="0.25">
      <c r="A691" s="1">
        <v>44155</v>
      </c>
      <c r="B691" s="2">
        <f>IFERROR(Torres!K690, 0) + IFERROR('San José'!K690, 0) + IFERROR(Terraplaza!K690, 0)</f>
        <v>52</v>
      </c>
      <c r="C691">
        <v>14</v>
      </c>
      <c r="D691" t="e">
        <v>#N/A</v>
      </c>
      <c r="E691">
        <v>38</v>
      </c>
    </row>
    <row r="692" spans="1:5" x14ac:dyDescent="0.25">
      <c r="A692" s="1">
        <v>44156</v>
      </c>
      <c r="B692" s="2">
        <f>IFERROR(Torres!K691, 0) + IFERROR('San José'!K691, 0) + IFERROR(Terraplaza!K691, 0)</f>
        <v>69.5</v>
      </c>
      <c r="C692">
        <v>23.5</v>
      </c>
      <c r="D692" t="e">
        <v>#N/A</v>
      </c>
      <c r="E692">
        <v>46</v>
      </c>
    </row>
    <row r="693" spans="1:5" x14ac:dyDescent="0.25">
      <c r="A693" s="1">
        <v>44157</v>
      </c>
      <c r="B693" s="2">
        <f>IFERROR(Torres!K692, 0) + IFERROR('San José'!K692, 0) + IFERROR(Terraplaza!K692, 0)</f>
        <v>94</v>
      </c>
      <c r="C693">
        <v>29</v>
      </c>
      <c r="D693" t="e">
        <v>#N/A</v>
      </c>
      <c r="E693">
        <v>65</v>
      </c>
    </row>
    <row r="694" spans="1:5" x14ac:dyDescent="0.25">
      <c r="A694" s="1">
        <v>44158</v>
      </c>
      <c r="B694" s="2">
        <f>IFERROR(Torres!K693, 0) + IFERROR('San José'!K693, 0) + IFERROR(Terraplaza!K693, 0)</f>
        <v>40.25</v>
      </c>
      <c r="C694">
        <v>10.75</v>
      </c>
      <c r="D694" t="e">
        <v>#N/A</v>
      </c>
      <c r="E694">
        <v>29.5</v>
      </c>
    </row>
    <row r="695" spans="1:5" x14ac:dyDescent="0.25">
      <c r="A695" s="1">
        <v>44159</v>
      </c>
      <c r="B695" s="2">
        <f>IFERROR(Torres!K694, 0) + IFERROR('San José'!K694, 0) + IFERROR(Terraplaza!K694, 0)</f>
        <v>42</v>
      </c>
      <c r="C695">
        <v>11</v>
      </c>
      <c r="D695" t="e">
        <v>#N/A</v>
      </c>
      <c r="E695">
        <v>31</v>
      </c>
    </row>
    <row r="696" spans="1:5" x14ac:dyDescent="0.25">
      <c r="A696" s="1">
        <v>44160</v>
      </c>
      <c r="B696" s="2">
        <f>IFERROR(Torres!K695, 0) + IFERROR('San José'!K695, 0) + IFERROR(Terraplaza!K695, 0)</f>
        <v>39.5</v>
      </c>
      <c r="C696">
        <v>11</v>
      </c>
      <c r="D696" t="e">
        <v>#N/A</v>
      </c>
      <c r="E696">
        <v>28.5</v>
      </c>
    </row>
    <row r="697" spans="1:5" x14ac:dyDescent="0.25">
      <c r="A697" s="1">
        <v>44161</v>
      </c>
      <c r="B697" s="2">
        <f>IFERROR(Torres!K696, 0) + IFERROR('San José'!K696, 0) + IFERROR(Terraplaza!K696, 0)</f>
        <v>52.875</v>
      </c>
      <c r="C697">
        <v>11.875</v>
      </c>
      <c r="D697" t="e">
        <v>#N/A</v>
      </c>
      <c r="E697">
        <v>41</v>
      </c>
    </row>
    <row r="698" spans="1:5" x14ac:dyDescent="0.25">
      <c r="A698" s="1">
        <v>44162</v>
      </c>
      <c r="B698" s="2">
        <f>IFERROR(Torres!K697, 0) + IFERROR('San José'!K697, 0) + IFERROR(Terraplaza!K697, 0)</f>
        <v>60.75</v>
      </c>
      <c r="C698">
        <v>15.75</v>
      </c>
      <c r="D698" t="e">
        <v>#N/A</v>
      </c>
      <c r="E698">
        <v>45</v>
      </c>
    </row>
    <row r="699" spans="1:5" x14ac:dyDescent="0.25">
      <c r="A699" s="1">
        <v>44163</v>
      </c>
      <c r="B699" s="2">
        <f>IFERROR(Torres!K698, 0) + IFERROR('San José'!K698, 0) + IFERROR(Terraplaza!K698, 0)</f>
        <v>108.375</v>
      </c>
      <c r="C699">
        <v>31.375</v>
      </c>
      <c r="D699" t="e">
        <v>#N/A</v>
      </c>
      <c r="E699">
        <v>77</v>
      </c>
    </row>
    <row r="700" spans="1:5" x14ac:dyDescent="0.25">
      <c r="A700" s="1">
        <v>44164</v>
      </c>
      <c r="B700" s="2">
        <f>IFERROR(Torres!K699, 0) + IFERROR('San José'!K699, 0) + IFERROR(Terraplaza!K699, 0)</f>
        <v>100</v>
      </c>
      <c r="C700">
        <v>33</v>
      </c>
      <c r="D700" t="e">
        <v>#N/A</v>
      </c>
      <c r="E700">
        <v>67</v>
      </c>
    </row>
    <row r="701" spans="1:5" x14ac:dyDescent="0.25">
      <c r="A701" s="1">
        <v>44165</v>
      </c>
      <c r="B701" s="2">
        <f>IFERROR(Torres!K700, 0) + IFERROR('San José'!K700, 0) + IFERROR(Terraplaza!K700, 0)</f>
        <v>38.25</v>
      </c>
      <c r="C701">
        <v>11.25</v>
      </c>
      <c r="D701" t="e">
        <v>#N/A</v>
      </c>
      <c r="E701">
        <v>27</v>
      </c>
    </row>
    <row r="702" spans="1:5" x14ac:dyDescent="0.25">
      <c r="A702" s="1">
        <v>44166</v>
      </c>
      <c r="B702" s="2">
        <f>IFERROR(Torres!K701, 0) + IFERROR('San José'!K701, 0) + IFERROR(Terraplaza!K701, 0)</f>
        <v>44.5</v>
      </c>
      <c r="C702">
        <v>11.5</v>
      </c>
      <c r="D702" t="e">
        <v>#N/A</v>
      </c>
      <c r="E702">
        <v>33</v>
      </c>
    </row>
    <row r="703" spans="1:5" x14ac:dyDescent="0.25">
      <c r="A703" s="1">
        <v>44167</v>
      </c>
      <c r="B703" s="2">
        <f>IFERROR(Torres!K702, 0) + IFERROR('San José'!K702, 0) + IFERROR(Terraplaza!K702, 0)</f>
        <v>54.375</v>
      </c>
      <c r="C703">
        <v>18.375</v>
      </c>
      <c r="D703" t="e">
        <v>#N/A</v>
      </c>
      <c r="E703">
        <v>36</v>
      </c>
    </row>
    <row r="704" spans="1:5" x14ac:dyDescent="0.25">
      <c r="A704" s="1">
        <v>44168</v>
      </c>
      <c r="B704" s="2">
        <f>IFERROR(Torres!K703, 0) + IFERROR('San José'!K703, 0) + IFERROR(Terraplaza!K703, 0)</f>
        <v>51.375</v>
      </c>
      <c r="C704">
        <v>11.375</v>
      </c>
      <c r="D704" t="e">
        <v>#N/A</v>
      </c>
      <c r="E704">
        <v>40</v>
      </c>
    </row>
    <row r="705" spans="1:5" x14ac:dyDescent="0.25">
      <c r="A705" s="1">
        <v>44169</v>
      </c>
      <c r="B705" s="2">
        <f>IFERROR(Torres!K704, 0) + IFERROR('San José'!K704, 0) + IFERROR(Terraplaza!K704, 0)</f>
        <v>90.5</v>
      </c>
      <c r="C705">
        <v>23.5</v>
      </c>
      <c r="D705" t="e">
        <v>#N/A</v>
      </c>
      <c r="E705">
        <v>67</v>
      </c>
    </row>
    <row r="706" spans="1:5" x14ac:dyDescent="0.25">
      <c r="A706" s="1">
        <v>44170</v>
      </c>
      <c r="B706" s="2">
        <f>IFERROR(Torres!K705, 0) + IFERROR('San José'!K705, 0) + IFERROR(Terraplaza!K705, 0)</f>
        <v>64</v>
      </c>
      <c r="C706">
        <v>20</v>
      </c>
      <c r="D706" t="e">
        <v>#N/A</v>
      </c>
      <c r="E706">
        <v>44</v>
      </c>
    </row>
    <row r="707" spans="1:5" x14ac:dyDescent="0.25">
      <c r="A707" s="1">
        <v>44171</v>
      </c>
      <c r="B707" s="2">
        <f>IFERROR(Torres!K706, 0) + IFERROR('San José'!K706, 0) + IFERROR(Terraplaza!K706, 0)</f>
        <v>66.25</v>
      </c>
      <c r="C707">
        <v>22.25</v>
      </c>
      <c r="D707" t="e">
        <v>#N/A</v>
      </c>
      <c r="E707">
        <v>44</v>
      </c>
    </row>
    <row r="708" spans="1:5" x14ac:dyDescent="0.25">
      <c r="A708" s="1">
        <v>44172</v>
      </c>
      <c r="B708" s="2">
        <f>IFERROR(Torres!K707, 0) + IFERROR('San José'!K707, 0) + IFERROR(Terraplaza!K707, 0)</f>
        <v>124.3</v>
      </c>
      <c r="C708">
        <v>29.3</v>
      </c>
      <c r="D708" t="e">
        <v>#N/A</v>
      </c>
      <c r="E708">
        <v>95</v>
      </c>
    </row>
    <row r="709" spans="1:5" x14ac:dyDescent="0.25">
      <c r="A709" s="1">
        <v>44173</v>
      </c>
      <c r="B709" s="2">
        <f>IFERROR(Torres!K708, 0) + IFERROR('San José'!K708, 0) + IFERROR(Terraplaza!K708, 0)</f>
        <v>71.45</v>
      </c>
      <c r="C709">
        <v>17.45</v>
      </c>
      <c r="D709" t="e">
        <v>#N/A</v>
      </c>
      <c r="E709">
        <v>54</v>
      </c>
    </row>
    <row r="710" spans="1:5" x14ac:dyDescent="0.25">
      <c r="A710" s="1">
        <v>44174</v>
      </c>
      <c r="B710" s="2">
        <f>IFERROR(Torres!K709, 0) + IFERROR('San José'!K709, 0) + IFERROR(Terraplaza!K709, 0)</f>
        <v>35</v>
      </c>
      <c r="C710">
        <v>8</v>
      </c>
      <c r="D710" t="e">
        <v>#N/A</v>
      </c>
      <c r="E710">
        <v>27</v>
      </c>
    </row>
    <row r="711" spans="1:5" x14ac:dyDescent="0.25">
      <c r="A711" s="1">
        <v>44175</v>
      </c>
      <c r="B711" s="2">
        <f>IFERROR(Torres!K710, 0) + IFERROR('San José'!K710, 0) + IFERROR(Terraplaza!K710, 0)</f>
        <v>58.725000000000001</v>
      </c>
      <c r="C711">
        <v>13.725</v>
      </c>
      <c r="D711" t="e">
        <v>#N/A</v>
      </c>
      <c r="E711">
        <v>45</v>
      </c>
    </row>
    <row r="712" spans="1:5" x14ac:dyDescent="0.25">
      <c r="A712" s="1">
        <v>44176</v>
      </c>
      <c r="B712" s="2">
        <f>IFERROR(Torres!K711, 0) + IFERROR('San José'!K711, 0) + IFERROR(Terraplaza!K711, 0)</f>
        <v>56.274999999999999</v>
      </c>
      <c r="C712">
        <v>17.274999999999999</v>
      </c>
      <c r="D712" t="e">
        <v>#N/A</v>
      </c>
      <c r="E712">
        <v>39</v>
      </c>
    </row>
    <row r="713" spans="1:5" x14ac:dyDescent="0.25">
      <c r="A713" s="1">
        <v>44177</v>
      </c>
      <c r="B713" s="2">
        <f>IFERROR(Torres!K712, 0) + IFERROR('San José'!K712, 0) + IFERROR(Terraplaza!K712, 0)</f>
        <v>79.75</v>
      </c>
      <c r="C713">
        <v>14.75</v>
      </c>
      <c r="D713" t="e">
        <v>#N/A</v>
      </c>
      <c r="E713">
        <v>65</v>
      </c>
    </row>
    <row r="714" spans="1:5" x14ac:dyDescent="0.25">
      <c r="A714" s="1">
        <v>44178</v>
      </c>
      <c r="B714" s="2">
        <f>IFERROR(Torres!K713, 0) + IFERROR('San José'!K713, 0) + IFERROR(Terraplaza!K713, 0)</f>
        <v>103</v>
      </c>
      <c r="C714">
        <v>35</v>
      </c>
      <c r="D714" t="e">
        <v>#N/A</v>
      </c>
      <c r="E714">
        <v>68</v>
      </c>
    </row>
    <row r="715" spans="1:5" x14ac:dyDescent="0.25">
      <c r="A715" s="1">
        <v>44179</v>
      </c>
      <c r="B715" s="2">
        <f>IFERROR(Torres!K714, 0) + IFERROR('San José'!K714, 0) + IFERROR(Terraplaza!K714, 0)</f>
        <v>38</v>
      </c>
      <c r="C715">
        <v>10</v>
      </c>
      <c r="D715" t="e">
        <v>#N/A</v>
      </c>
      <c r="E715">
        <v>28</v>
      </c>
    </row>
    <row r="716" spans="1:5" x14ac:dyDescent="0.25">
      <c r="A716" s="1">
        <v>44180</v>
      </c>
      <c r="B716" s="2">
        <f>IFERROR(Torres!K715, 0) + IFERROR('San José'!K715, 0) + IFERROR(Terraplaza!K715, 0)</f>
        <v>71.125</v>
      </c>
      <c r="C716">
        <v>17.125</v>
      </c>
      <c r="D716" t="e">
        <v>#N/A</v>
      </c>
      <c r="E716">
        <v>54</v>
      </c>
    </row>
    <row r="717" spans="1:5" x14ac:dyDescent="0.25">
      <c r="A717" s="1">
        <v>44181</v>
      </c>
      <c r="B717" s="2">
        <f>IFERROR(Torres!K716, 0) + IFERROR('San José'!K716, 0) + IFERROR(Terraplaza!K716, 0)</f>
        <v>50.875</v>
      </c>
      <c r="C717">
        <v>10.875</v>
      </c>
      <c r="D717" t="e">
        <v>#N/A</v>
      </c>
      <c r="E717">
        <v>40</v>
      </c>
    </row>
    <row r="718" spans="1:5" x14ac:dyDescent="0.25">
      <c r="A718" s="1">
        <v>44182</v>
      </c>
      <c r="B718" s="2">
        <f>IFERROR(Torres!K717, 0) + IFERROR('San José'!K717, 0) + IFERROR(Terraplaza!K717, 0)</f>
        <v>61</v>
      </c>
      <c r="C718">
        <v>13</v>
      </c>
      <c r="D718" t="e">
        <v>#N/A</v>
      </c>
      <c r="E718">
        <v>48</v>
      </c>
    </row>
    <row r="719" spans="1:5" x14ac:dyDescent="0.25">
      <c r="A719" s="1">
        <v>44183</v>
      </c>
      <c r="B719" s="2">
        <f>IFERROR(Torres!K718, 0) + IFERROR('San José'!K718, 0) + IFERROR(Terraplaza!K718, 0)</f>
        <v>82.5</v>
      </c>
      <c r="C719">
        <v>30</v>
      </c>
      <c r="D719" t="e">
        <v>#N/A</v>
      </c>
      <c r="E719">
        <v>52.5</v>
      </c>
    </row>
    <row r="720" spans="1:5" x14ac:dyDescent="0.25">
      <c r="A720" s="1">
        <v>44184</v>
      </c>
      <c r="B720" s="2">
        <f>IFERROR(Torres!K719, 0) + IFERROR('San José'!K719, 0) + IFERROR(Terraplaza!K719, 0)</f>
        <v>92.5</v>
      </c>
      <c r="C720">
        <v>19</v>
      </c>
      <c r="D720" t="e">
        <v>#N/A</v>
      </c>
      <c r="E720">
        <v>73.5</v>
      </c>
    </row>
    <row r="721" spans="1:5" x14ac:dyDescent="0.25">
      <c r="A721" s="1">
        <v>44185</v>
      </c>
      <c r="B721" s="2">
        <f>IFERROR(Torres!K720, 0) + IFERROR('San José'!K720, 0) + IFERROR(Terraplaza!K720, 0)</f>
        <v>81</v>
      </c>
      <c r="C721">
        <v>20</v>
      </c>
      <c r="D721" t="e">
        <v>#N/A</v>
      </c>
      <c r="E721">
        <v>61</v>
      </c>
    </row>
    <row r="722" spans="1:5" x14ac:dyDescent="0.25">
      <c r="A722" s="1">
        <v>44186</v>
      </c>
      <c r="B722" s="2">
        <f>IFERROR(Torres!K721, 0) + IFERROR('San José'!K721, 0) + IFERROR(Terraplaza!K721, 0)</f>
        <v>67.125</v>
      </c>
      <c r="C722">
        <v>14.625</v>
      </c>
      <c r="D722" t="e">
        <v>#N/A</v>
      </c>
      <c r="E722">
        <v>52.5</v>
      </c>
    </row>
    <row r="723" spans="1:5" x14ac:dyDescent="0.25">
      <c r="A723" s="1">
        <v>44187</v>
      </c>
      <c r="B723" s="2">
        <f>IFERROR(Torres!K722, 0) + IFERROR('San José'!K722, 0) + IFERROR(Terraplaza!K722, 0)</f>
        <v>84.125</v>
      </c>
      <c r="C723">
        <v>19.625</v>
      </c>
      <c r="D723" t="e">
        <v>#N/A</v>
      </c>
      <c r="E723">
        <v>64.5</v>
      </c>
    </row>
    <row r="724" spans="1:5" x14ac:dyDescent="0.25">
      <c r="A724" s="1">
        <v>44188</v>
      </c>
      <c r="B724" s="2">
        <f>IFERROR(Torres!K723, 0) + IFERROR('San José'!K723, 0) + IFERROR(Terraplaza!K723, 0)</f>
        <v>81.75</v>
      </c>
      <c r="C724">
        <v>18.75</v>
      </c>
      <c r="D724" t="e">
        <v>#N/A</v>
      </c>
      <c r="E724">
        <v>63</v>
      </c>
    </row>
    <row r="725" spans="1:5" x14ac:dyDescent="0.25">
      <c r="A725" s="1">
        <v>44189</v>
      </c>
      <c r="B725" s="2">
        <f>IFERROR(Torres!K724, 0) + IFERROR('San José'!K724, 0) + IFERROR(Terraplaza!K724, 0)</f>
        <v>0</v>
      </c>
      <c r="C725" t="e">
        <v>#N/A</v>
      </c>
      <c r="D725" t="e">
        <v>#N/A</v>
      </c>
      <c r="E725" t="e">
        <v>#N/A</v>
      </c>
    </row>
    <row r="726" spans="1:5" x14ac:dyDescent="0.25">
      <c r="A726" s="1">
        <v>44190</v>
      </c>
      <c r="B726" s="2">
        <f>IFERROR(Torres!K725, 0) + IFERROR('San José'!K725, 0) + IFERROR(Terraplaza!K725, 0)</f>
        <v>101</v>
      </c>
      <c r="C726">
        <v>32</v>
      </c>
      <c r="D726" t="e">
        <v>#N/A</v>
      </c>
      <c r="E726">
        <v>69</v>
      </c>
    </row>
    <row r="727" spans="1:5" x14ac:dyDescent="0.25">
      <c r="A727" s="1">
        <v>44191</v>
      </c>
      <c r="B727" s="2">
        <f>IFERROR(Torres!K726, 0) + IFERROR('San José'!K726, 0) + IFERROR(Terraplaza!K726, 0)</f>
        <v>101</v>
      </c>
      <c r="C727">
        <v>26</v>
      </c>
      <c r="D727" t="e">
        <v>#N/A</v>
      </c>
      <c r="E727">
        <v>75</v>
      </c>
    </row>
    <row r="728" spans="1:5" x14ac:dyDescent="0.25">
      <c r="A728" s="1">
        <v>44192</v>
      </c>
      <c r="B728" s="2">
        <f>IFERROR(Torres!K727, 0) + IFERROR('San José'!K727, 0) + IFERROR(Terraplaza!K727, 0)</f>
        <v>77</v>
      </c>
      <c r="C728">
        <v>20</v>
      </c>
      <c r="D728" t="e">
        <v>#N/A</v>
      </c>
      <c r="E728">
        <v>57</v>
      </c>
    </row>
    <row r="729" spans="1:5" x14ac:dyDescent="0.25">
      <c r="A729" s="1">
        <v>44193</v>
      </c>
      <c r="B729" s="2">
        <f>IFERROR(Torres!K728, 0) + IFERROR('San José'!K728, 0) + IFERROR(Terraplaza!K728, 0)</f>
        <v>55.5</v>
      </c>
      <c r="C729">
        <v>20</v>
      </c>
      <c r="D729" t="e">
        <v>#N/A</v>
      </c>
      <c r="E729">
        <v>35.5</v>
      </c>
    </row>
    <row r="730" spans="1:5" x14ac:dyDescent="0.25">
      <c r="A730" s="1">
        <v>44194</v>
      </c>
      <c r="B730" s="2">
        <f>IFERROR(Torres!K729, 0) + IFERROR('San José'!K729, 0) + IFERROR(Terraplaza!K729, 0)</f>
        <v>73.5</v>
      </c>
      <c r="C730">
        <v>21</v>
      </c>
      <c r="D730" t="e">
        <v>#N/A</v>
      </c>
      <c r="E730">
        <v>52.5</v>
      </c>
    </row>
    <row r="731" spans="1:5" x14ac:dyDescent="0.25">
      <c r="A731" s="1">
        <v>44195</v>
      </c>
      <c r="B731" s="2">
        <f>IFERROR(Torres!K730, 0) + IFERROR('San José'!K730, 0) + IFERROR(Terraplaza!K730, 0)</f>
        <v>83.125</v>
      </c>
      <c r="C731">
        <v>16.125</v>
      </c>
      <c r="D731" t="e">
        <v>#N/A</v>
      </c>
      <c r="E731">
        <v>67</v>
      </c>
    </row>
    <row r="732" spans="1:5" x14ac:dyDescent="0.25">
      <c r="A732" s="1">
        <v>44196</v>
      </c>
      <c r="B732" s="2">
        <f>IFERROR(Torres!K731, 0) + IFERROR('San José'!K731, 0) + IFERROR(Terraplaza!K731, 0)</f>
        <v>0</v>
      </c>
      <c r="C732" t="e">
        <v>#N/A</v>
      </c>
      <c r="D732" t="e">
        <v>#N/A</v>
      </c>
      <c r="E732" t="e">
        <v>#N/A</v>
      </c>
    </row>
    <row r="733" spans="1:5" x14ac:dyDescent="0.25">
      <c r="A733" s="1">
        <v>44197</v>
      </c>
      <c r="B733" s="2">
        <f>IFERROR(Torres!K732, 0) + IFERROR('San José'!K732, 0) + IFERROR(Terraplaza!K732, 0)</f>
        <v>108.75</v>
      </c>
      <c r="C733">
        <v>27.25</v>
      </c>
      <c r="D733" t="e">
        <v>#N/A</v>
      </c>
      <c r="E733">
        <v>81.5</v>
      </c>
    </row>
    <row r="734" spans="1:5" x14ac:dyDescent="0.25">
      <c r="A734" s="1">
        <v>44198</v>
      </c>
      <c r="B734" s="2">
        <f>IFERROR(Torres!K733, 0) + IFERROR('San José'!K733, 0) + IFERROR(Terraplaza!K733, 0)</f>
        <v>104.125</v>
      </c>
      <c r="C734">
        <v>31.625</v>
      </c>
      <c r="D734" t="e">
        <v>#N/A</v>
      </c>
      <c r="E734">
        <v>72.5</v>
      </c>
    </row>
    <row r="735" spans="1:5" x14ac:dyDescent="0.25">
      <c r="A735" s="1">
        <v>44199</v>
      </c>
      <c r="B735" s="2">
        <f>IFERROR(Torres!K734, 0) + IFERROR('San José'!K734, 0) + IFERROR(Terraplaza!K734, 0)</f>
        <v>79</v>
      </c>
      <c r="C735">
        <v>20</v>
      </c>
      <c r="D735" t="e">
        <v>#N/A</v>
      </c>
      <c r="E735">
        <v>59</v>
      </c>
    </row>
    <row r="736" spans="1:5" x14ac:dyDescent="0.25">
      <c r="A736" s="1">
        <v>44200</v>
      </c>
      <c r="B736" s="2">
        <f>IFERROR(Torres!K735, 0) + IFERROR('San José'!K735, 0) + IFERROR(Terraplaza!K735, 0)</f>
        <v>58</v>
      </c>
      <c r="C736">
        <v>12</v>
      </c>
      <c r="D736" t="e">
        <v>#N/A</v>
      </c>
      <c r="E736">
        <v>46</v>
      </c>
    </row>
    <row r="737" spans="1:5" x14ac:dyDescent="0.25">
      <c r="A737" s="1">
        <v>44201</v>
      </c>
      <c r="B737" s="2">
        <f>IFERROR(Torres!K736, 0) + IFERROR('San José'!K736, 0) + IFERROR(Terraplaza!K736, 0)</f>
        <v>43.625</v>
      </c>
      <c r="C737">
        <v>11.625</v>
      </c>
      <c r="D737" t="e">
        <v>#N/A</v>
      </c>
      <c r="E737">
        <v>32</v>
      </c>
    </row>
    <row r="738" spans="1:5" x14ac:dyDescent="0.25">
      <c r="A738" s="1">
        <v>44202</v>
      </c>
      <c r="B738" s="2">
        <f>IFERROR(Torres!K737, 0) + IFERROR('San José'!K737, 0) + IFERROR(Terraplaza!K737, 0)</f>
        <v>32.125</v>
      </c>
      <c r="C738">
        <v>8.125</v>
      </c>
      <c r="D738" t="e">
        <v>#N/A</v>
      </c>
      <c r="E738">
        <v>24</v>
      </c>
    </row>
    <row r="739" spans="1:5" x14ac:dyDescent="0.25">
      <c r="A739" s="1">
        <v>44203</v>
      </c>
      <c r="B739" s="2">
        <f>IFERROR(Torres!K738, 0) + IFERROR('San José'!K738, 0) + IFERROR(Terraplaza!K738, 0)</f>
        <v>67</v>
      </c>
      <c r="C739">
        <v>16</v>
      </c>
      <c r="D739" t="e">
        <v>#N/A</v>
      </c>
      <c r="E739">
        <v>51</v>
      </c>
    </row>
    <row r="740" spans="1:5" x14ac:dyDescent="0.25">
      <c r="A740" s="1">
        <v>44204</v>
      </c>
      <c r="B740" s="2">
        <f>IFERROR(Torres!K739, 0) + IFERROR('San José'!K739, 0) + IFERROR(Terraplaza!K739, 0)</f>
        <v>38.25</v>
      </c>
      <c r="C740">
        <v>11.25</v>
      </c>
      <c r="D740" t="e">
        <v>#N/A</v>
      </c>
      <c r="E740">
        <v>27</v>
      </c>
    </row>
    <row r="741" spans="1:5" x14ac:dyDescent="0.25">
      <c r="A741" s="1">
        <v>44205</v>
      </c>
      <c r="B741" s="2">
        <f>IFERROR(Torres!K740, 0) + IFERROR('San José'!K740, 0) + IFERROR(Terraplaza!K740, 0)</f>
        <v>55.75</v>
      </c>
      <c r="C741">
        <v>15.25</v>
      </c>
      <c r="D741" t="e">
        <v>#N/A</v>
      </c>
      <c r="E741">
        <v>40.5</v>
      </c>
    </row>
    <row r="742" spans="1:5" x14ac:dyDescent="0.25">
      <c r="A742" s="1">
        <v>44206</v>
      </c>
      <c r="B742" s="2">
        <f>IFERROR(Torres!K741, 0) + IFERROR('San José'!K741, 0) + IFERROR(Terraplaza!K741, 0)</f>
        <v>55</v>
      </c>
      <c r="C742">
        <v>19.5</v>
      </c>
      <c r="D742" t="e">
        <v>#N/A</v>
      </c>
      <c r="E742">
        <v>35.5</v>
      </c>
    </row>
    <row r="743" spans="1:5" x14ac:dyDescent="0.25">
      <c r="A743" s="1">
        <v>44207</v>
      </c>
      <c r="B743" s="2">
        <f>IFERROR(Torres!K742, 0) + IFERROR('San José'!K742, 0) + IFERROR(Terraplaza!K742, 0)</f>
        <v>52.25</v>
      </c>
      <c r="C743">
        <v>16.25</v>
      </c>
      <c r="D743" t="e">
        <v>#N/A</v>
      </c>
      <c r="E743">
        <v>36</v>
      </c>
    </row>
    <row r="744" spans="1:5" x14ac:dyDescent="0.25">
      <c r="A744" s="1">
        <v>44208</v>
      </c>
      <c r="B744" s="2">
        <f>IFERROR(Torres!K743, 0) + IFERROR('San José'!K743, 0) + IFERROR(Terraplaza!K743, 0)</f>
        <v>45.75</v>
      </c>
      <c r="C744">
        <v>11.75</v>
      </c>
      <c r="D744" t="e">
        <v>#N/A</v>
      </c>
      <c r="E744">
        <v>34</v>
      </c>
    </row>
    <row r="745" spans="1:5" x14ac:dyDescent="0.25">
      <c r="A745" s="1">
        <v>44209</v>
      </c>
      <c r="B745" s="2">
        <f>IFERROR(Torres!K744, 0) + IFERROR('San José'!K744, 0) + IFERROR(Terraplaza!K744, 0)</f>
        <v>30.125</v>
      </c>
      <c r="C745">
        <v>3.125</v>
      </c>
      <c r="D745" t="e">
        <v>#N/A</v>
      </c>
      <c r="E745">
        <v>27</v>
      </c>
    </row>
    <row r="746" spans="1:5" x14ac:dyDescent="0.25">
      <c r="A746" s="1">
        <v>44210</v>
      </c>
      <c r="B746" s="2">
        <f>IFERROR(Torres!K745, 0) + IFERROR('San José'!K745, 0) + IFERROR(Terraplaza!K745, 0)</f>
        <v>38.125</v>
      </c>
      <c r="C746">
        <v>11.125</v>
      </c>
      <c r="D746" t="e">
        <v>#N/A</v>
      </c>
      <c r="E746">
        <v>27</v>
      </c>
    </row>
    <row r="747" spans="1:5" x14ac:dyDescent="0.25">
      <c r="A747" s="1">
        <v>44211</v>
      </c>
      <c r="B747" s="2">
        <f>IFERROR(Torres!K746, 0) + IFERROR('San José'!K746, 0) + IFERROR(Terraplaza!K746, 0)</f>
        <v>43.5</v>
      </c>
      <c r="C747">
        <v>6</v>
      </c>
      <c r="D747" t="e">
        <v>#N/A</v>
      </c>
      <c r="E747">
        <v>37.5</v>
      </c>
    </row>
    <row r="748" spans="1:5" x14ac:dyDescent="0.25">
      <c r="A748" s="1">
        <v>44212</v>
      </c>
      <c r="B748" s="2">
        <f>IFERROR(Torres!K747, 0) + IFERROR('San José'!K747, 0) + IFERROR(Terraplaza!K747, 0)</f>
        <v>17.5</v>
      </c>
      <c r="C748">
        <v>10.5</v>
      </c>
      <c r="D748" t="e">
        <v>#N/A</v>
      </c>
      <c r="E748">
        <v>7</v>
      </c>
    </row>
    <row r="749" spans="1:5" x14ac:dyDescent="0.25">
      <c r="A749" s="1">
        <v>44213</v>
      </c>
      <c r="B749" s="2">
        <f>IFERROR(Torres!K748, 0) + IFERROR('San José'!K748, 0) + IFERROR(Terraplaza!K748, 0)</f>
        <v>38</v>
      </c>
      <c r="C749">
        <v>11.5</v>
      </c>
      <c r="D749" t="e">
        <v>#N/A</v>
      </c>
      <c r="E749">
        <v>26.5</v>
      </c>
    </row>
    <row r="750" spans="1:5" x14ac:dyDescent="0.25">
      <c r="A750" s="1">
        <v>44214</v>
      </c>
      <c r="B750" s="2">
        <f>IFERROR(Torres!K749, 0) + IFERROR('San José'!K749, 0) + IFERROR(Terraplaza!K749, 0)</f>
        <v>33.25</v>
      </c>
      <c r="C750">
        <v>6</v>
      </c>
      <c r="D750" t="e">
        <v>#N/A</v>
      </c>
      <c r="E750">
        <v>27.25</v>
      </c>
    </row>
    <row r="751" spans="1:5" x14ac:dyDescent="0.25">
      <c r="A751" s="1">
        <v>44215</v>
      </c>
      <c r="B751" s="2">
        <f>IFERROR(Torres!K750, 0) + IFERROR('San José'!K750, 0) + IFERROR(Terraplaza!K750, 0)</f>
        <v>34.375</v>
      </c>
      <c r="C751">
        <v>6.125</v>
      </c>
      <c r="D751" t="e">
        <v>#N/A</v>
      </c>
      <c r="E751">
        <v>28.25</v>
      </c>
    </row>
    <row r="752" spans="1:5" x14ac:dyDescent="0.25">
      <c r="A752" s="1">
        <v>44216</v>
      </c>
      <c r="B752" s="2">
        <f>IFERROR(Torres!K751, 0) + IFERROR('San José'!K751, 0) + IFERROR(Terraplaza!K751, 0)</f>
        <v>22.875</v>
      </c>
      <c r="C752">
        <v>3.875</v>
      </c>
      <c r="D752" t="e">
        <v>#N/A</v>
      </c>
      <c r="E752">
        <v>19</v>
      </c>
    </row>
    <row r="753" spans="1:5" x14ac:dyDescent="0.25">
      <c r="A753" s="1">
        <v>44217</v>
      </c>
      <c r="B753" s="2">
        <f>IFERROR(Torres!K752, 0) + IFERROR('San José'!K752, 0) + IFERROR(Terraplaza!K752, 0)</f>
        <v>27</v>
      </c>
      <c r="C753">
        <v>9.5</v>
      </c>
      <c r="D753" t="e">
        <v>#N/A</v>
      </c>
      <c r="E753">
        <v>17.5</v>
      </c>
    </row>
    <row r="754" spans="1:5" x14ac:dyDescent="0.25">
      <c r="A754" s="1">
        <v>44218</v>
      </c>
      <c r="B754" s="2">
        <f>IFERROR(Torres!K753, 0) + IFERROR('San José'!K753, 0) + IFERROR(Terraplaza!K753, 0)</f>
        <v>44.5</v>
      </c>
      <c r="C754">
        <v>15</v>
      </c>
      <c r="D754" t="e">
        <v>#N/A</v>
      </c>
      <c r="E754">
        <v>29.5</v>
      </c>
    </row>
    <row r="755" spans="1:5" x14ac:dyDescent="0.25">
      <c r="A755" s="1">
        <v>44219</v>
      </c>
      <c r="B755" s="2">
        <f>IFERROR(Torres!K754, 0) + IFERROR('San José'!K754, 0) + IFERROR(Terraplaza!K754, 0)</f>
        <v>29.125</v>
      </c>
      <c r="C755">
        <v>4.625</v>
      </c>
      <c r="D755" t="e">
        <v>#N/A</v>
      </c>
      <c r="E755">
        <v>24.5</v>
      </c>
    </row>
    <row r="756" spans="1:5" x14ac:dyDescent="0.25">
      <c r="A756" s="1">
        <v>44220</v>
      </c>
      <c r="B756" s="2">
        <f>IFERROR(Torres!K755, 0) + IFERROR('San José'!K755, 0) + IFERROR(Terraplaza!K755, 0)</f>
        <v>28.625</v>
      </c>
      <c r="C756">
        <v>5.125</v>
      </c>
      <c r="D756" t="e">
        <v>#N/A</v>
      </c>
      <c r="E756">
        <v>23.5</v>
      </c>
    </row>
    <row r="757" spans="1:5" x14ac:dyDescent="0.25">
      <c r="A757" s="1">
        <v>44221</v>
      </c>
      <c r="B757" s="2">
        <f>IFERROR(Torres!K756, 0) + IFERROR('San José'!K756, 0) + IFERROR(Terraplaza!K756, 0)</f>
        <v>39.25</v>
      </c>
      <c r="C757">
        <v>11.75</v>
      </c>
      <c r="D757" t="e">
        <v>#N/A</v>
      </c>
      <c r="E757">
        <v>27.5</v>
      </c>
    </row>
    <row r="758" spans="1:5" x14ac:dyDescent="0.25">
      <c r="A758" s="1">
        <v>44222</v>
      </c>
      <c r="B758" s="2">
        <f>IFERROR(Torres!K757, 0) + IFERROR('San José'!K757, 0) + IFERROR(Terraplaza!K757, 0)</f>
        <v>28.75</v>
      </c>
      <c r="C758">
        <v>4.75</v>
      </c>
      <c r="D758" t="e">
        <v>#N/A</v>
      </c>
      <c r="E758">
        <v>24</v>
      </c>
    </row>
    <row r="759" spans="1:5" x14ac:dyDescent="0.25">
      <c r="A759" s="1">
        <v>44223</v>
      </c>
      <c r="B759" s="2">
        <f>IFERROR(Torres!K758, 0) + IFERROR('San José'!K758, 0) + IFERROR(Terraplaza!K758, 0)</f>
        <v>36</v>
      </c>
      <c r="C759">
        <v>6</v>
      </c>
      <c r="D759" t="e">
        <v>#N/A</v>
      </c>
      <c r="E759">
        <v>30</v>
      </c>
    </row>
    <row r="760" spans="1:5" x14ac:dyDescent="0.25">
      <c r="A760" s="1">
        <v>44224</v>
      </c>
      <c r="B760" s="2">
        <f>IFERROR(Torres!K759, 0) + IFERROR('San José'!K759, 0) + IFERROR(Terraplaza!K759, 0)</f>
        <v>39.625</v>
      </c>
      <c r="C760">
        <v>11.375</v>
      </c>
      <c r="D760" t="e">
        <v>#N/A</v>
      </c>
      <c r="E760">
        <v>28.25</v>
      </c>
    </row>
    <row r="761" spans="1:5" x14ac:dyDescent="0.25">
      <c r="A761" s="1">
        <v>44225</v>
      </c>
      <c r="B761" s="2">
        <f>IFERROR(Torres!K760, 0) + IFERROR('San José'!K760, 0) + IFERROR(Terraplaza!K760, 0)</f>
        <v>50.375</v>
      </c>
      <c r="C761">
        <v>11.875</v>
      </c>
      <c r="D761" t="e">
        <v>#N/A</v>
      </c>
      <c r="E761">
        <v>38.5</v>
      </c>
    </row>
    <row r="762" spans="1:5" x14ac:dyDescent="0.25">
      <c r="A762" s="1">
        <v>44226</v>
      </c>
      <c r="B762" s="2">
        <f>IFERROR(Torres!K761, 0) + IFERROR('San José'!K761, 0) + IFERROR(Terraplaza!K761, 0)</f>
        <v>62.375</v>
      </c>
      <c r="C762">
        <v>19.125</v>
      </c>
      <c r="D762" t="e">
        <v>#N/A</v>
      </c>
      <c r="E762">
        <v>43.25</v>
      </c>
    </row>
    <row r="763" spans="1:5" x14ac:dyDescent="0.25">
      <c r="A763" s="1">
        <v>44227</v>
      </c>
      <c r="B763" s="2">
        <f>IFERROR(Torres!K762, 0) + IFERROR('San José'!K762, 0) + IFERROR(Terraplaza!K762, 0)</f>
        <v>54.25</v>
      </c>
      <c r="C763">
        <v>18.25</v>
      </c>
      <c r="D763" t="e">
        <v>#N/A</v>
      </c>
      <c r="E763">
        <v>36</v>
      </c>
    </row>
    <row r="764" spans="1:5" x14ac:dyDescent="0.25">
      <c r="A764" s="1">
        <v>44228</v>
      </c>
      <c r="B764" s="2">
        <f>IFERROR(Torres!K763, 0) + IFERROR('San José'!K763, 0) + IFERROR(Terraplaza!K763, 0)</f>
        <v>20.625</v>
      </c>
      <c r="C764">
        <v>4.625</v>
      </c>
      <c r="D764" t="e">
        <v>#N/A</v>
      </c>
      <c r="E764">
        <v>16</v>
      </c>
    </row>
    <row r="765" spans="1:5" x14ac:dyDescent="0.25">
      <c r="A765" s="1">
        <v>44229</v>
      </c>
      <c r="B765" s="2">
        <f>IFERROR(Torres!K764, 0) + IFERROR('San José'!K764, 0) + IFERROR(Terraplaza!K764, 0)</f>
        <v>45.75</v>
      </c>
      <c r="C765">
        <v>6.25</v>
      </c>
      <c r="D765" t="e">
        <v>#N/A</v>
      </c>
      <c r="E765">
        <v>39.5</v>
      </c>
    </row>
    <row r="766" spans="1:5" x14ac:dyDescent="0.25">
      <c r="A766" s="1">
        <v>44230</v>
      </c>
      <c r="B766" s="2">
        <f>IFERROR(Torres!K765, 0) + IFERROR('San José'!K765, 0) + IFERROR(Terraplaza!K765, 0)</f>
        <v>33.5</v>
      </c>
      <c r="C766">
        <v>9</v>
      </c>
      <c r="D766" t="e">
        <v>#N/A</v>
      </c>
      <c r="E766">
        <v>24.5</v>
      </c>
    </row>
    <row r="767" spans="1:5" x14ac:dyDescent="0.25">
      <c r="A767" s="1">
        <v>44231</v>
      </c>
      <c r="B767" s="2">
        <f>IFERROR(Torres!K766, 0) + IFERROR('San José'!K766, 0) + IFERROR(Terraplaza!K766, 0)</f>
        <v>36.5</v>
      </c>
      <c r="C767">
        <v>11.5</v>
      </c>
      <c r="D767" t="e">
        <v>#N/A</v>
      </c>
      <c r="E767">
        <v>25</v>
      </c>
    </row>
    <row r="768" spans="1:5" x14ac:dyDescent="0.25">
      <c r="A768" s="1">
        <v>44232</v>
      </c>
      <c r="B768" s="2">
        <f>IFERROR(Torres!K767, 0) + IFERROR('San José'!K767, 0) + IFERROR(Terraplaza!K767, 0)</f>
        <v>43.125</v>
      </c>
      <c r="C768">
        <v>12</v>
      </c>
      <c r="D768" t="e">
        <v>#N/A</v>
      </c>
      <c r="E768">
        <v>31.125</v>
      </c>
    </row>
    <row r="769" spans="1:5" x14ac:dyDescent="0.25">
      <c r="A769" s="1">
        <v>44233</v>
      </c>
      <c r="B769" s="2">
        <f>IFERROR(Torres!K768, 0) + IFERROR('San José'!K768, 0) + IFERROR(Terraplaza!K768, 0)</f>
        <v>70.75</v>
      </c>
      <c r="C769">
        <v>13.875</v>
      </c>
      <c r="D769" t="e">
        <v>#N/A</v>
      </c>
      <c r="E769">
        <v>56.875</v>
      </c>
    </row>
    <row r="770" spans="1:5" x14ac:dyDescent="0.25">
      <c r="A770" s="1">
        <v>44234</v>
      </c>
      <c r="B770" s="2">
        <f>IFERROR(Torres!K769, 0) + IFERROR('San José'!K769, 0) + IFERROR(Terraplaza!K769, 0)</f>
        <v>54.125</v>
      </c>
      <c r="C770">
        <v>13.625</v>
      </c>
      <c r="D770" t="e">
        <v>#N/A</v>
      </c>
      <c r="E770">
        <v>40.5</v>
      </c>
    </row>
    <row r="771" spans="1:5" x14ac:dyDescent="0.25">
      <c r="A771" s="1">
        <v>44235</v>
      </c>
      <c r="B771" s="2">
        <f>IFERROR(Torres!K770, 0) + IFERROR('San José'!K770, 0) + IFERROR(Terraplaza!K770, 0)</f>
        <v>31.125</v>
      </c>
      <c r="C771">
        <v>9.625</v>
      </c>
      <c r="D771" t="e">
        <v>#N/A</v>
      </c>
      <c r="E771">
        <v>21.5</v>
      </c>
    </row>
    <row r="772" spans="1:5" x14ac:dyDescent="0.25">
      <c r="A772" s="1">
        <v>44236</v>
      </c>
      <c r="B772" s="2">
        <f>IFERROR(Torres!K771, 0) + IFERROR('San José'!K771, 0) + IFERROR(Terraplaza!K771, 0)</f>
        <v>35</v>
      </c>
      <c r="C772">
        <v>10.5</v>
      </c>
      <c r="D772" t="e">
        <v>#N/A</v>
      </c>
      <c r="E772">
        <v>24.5</v>
      </c>
    </row>
    <row r="773" spans="1:5" x14ac:dyDescent="0.25">
      <c r="A773" s="1">
        <v>44237</v>
      </c>
      <c r="B773" s="2">
        <f>IFERROR(Torres!K772, 0) + IFERROR('San José'!K772, 0) + IFERROR(Terraplaza!K772, 0)</f>
        <v>32.875</v>
      </c>
      <c r="C773">
        <v>7.875</v>
      </c>
      <c r="D773" t="e">
        <v>#N/A</v>
      </c>
      <c r="E773">
        <v>25</v>
      </c>
    </row>
    <row r="774" spans="1:5" x14ac:dyDescent="0.25">
      <c r="A774" s="1">
        <v>44238</v>
      </c>
      <c r="B774" s="2">
        <f>IFERROR(Torres!K773, 0) + IFERROR('San José'!K773, 0) + IFERROR(Terraplaza!K773, 0)</f>
        <v>31.125</v>
      </c>
      <c r="C774">
        <v>6.125</v>
      </c>
      <c r="D774" t="e">
        <v>#N/A</v>
      </c>
      <c r="E774">
        <v>25</v>
      </c>
    </row>
    <row r="775" spans="1:5" x14ac:dyDescent="0.25">
      <c r="A775" s="1">
        <v>44239</v>
      </c>
      <c r="B775" s="2">
        <f>IFERROR(Torres!K774, 0) + IFERROR('San José'!K774, 0) + IFERROR(Terraplaza!K774, 0)</f>
        <v>51</v>
      </c>
      <c r="C775">
        <v>13</v>
      </c>
      <c r="D775" t="e">
        <v>#N/A</v>
      </c>
      <c r="E775">
        <v>38</v>
      </c>
    </row>
    <row r="776" spans="1:5" x14ac:dyDescent="0.25">
      <c r="A776" s="1">
        <v>44240</v>
      </c>
      <c r="B776" s="2">
        <f>IFERROR(Torres!K775, 0) + IFERROR('San José'!K775, 0) + IFERROR(Terraplaza!K775, 0)</f>
        <v>77.625</v>
      </c>
      <c r="C776">
        <v>23.125</v>
      </c>
      <c r="D776" t="e">
        <v>#N/A</v>
      </c>
      <c r="E776">
        <v>54.5</v>
      </c>
    </row>
    <row r="777" spans="1:5" x14ac:dyDescent="0.25">
      <c r="A777" s="1">
        <v>44241</v>
      </c>
      <c r="B777" s="2">
        <f>IFERROR(Torres!K776, 0) + IFERROR('San José'!K776, 0) + IFERROR(Terraplaza!K776, 0)</f>
        <v>60.5</v>
      </c>
      <c r="C777">
        <v>12.5</v>
      </c>
      <c r="D777" t="e">
        <v>#N/A</v>
      </c>
      <c r="E777">
        <v>48</v>
      </c>
    </row>
    <row r="778" spans="1:5" x14ac:dyDescent="0.25">
      <c r="A778" s="1">
        <v>44242</v>
      </c>
      <c r="B778" s="2">
        <f>IFERROR(Torres!K777, 0) + IFERROR('San José'!K777, 0) + IFERROR(Terraplaza!K777, 0)</f>
        <v>33.25</v>
      </c>
      <c r="C778">
        <v>8.75</v>
      </c>
      <c r="D778" t="e">
        <v>#N/A</v>
      </c>
      <c r="E778">
        <v>24.5</v>
      </c>
    </row>
    <row r="779" spans="1:5" x14ac:dyDescent="0.25">
      <c r="A779" s="1">
        <v>44243</v>
      </c>
      <c r="B779" s="2">
        <f>IFERROR(Torres!K778, 0) + IFERROR('San José'!K778, 0) + IFERROR(Terraplaza!K778, 0)</f>
        <v>27</v>
      </c>
      <c r="C779">
        <v>6.5</v>
      </c>
      <c r="D779" t="e">
        <v>#N/A</v>
      </c>
      <c r="E779">
        <v>20.5</v>
      </c>
    </row>
    <row r="780" spans="1:5" x14ac:dyDescent="0.25">
      <c r="A780" s="1">
        <v>44244</v>
      </c>
      <c r="B780" s="2">
        <f>IFERROR(Torres!K779, 0) + IFERROR('San José'!K779, 0) + IFERROR(Terraplaza!K779, 0)</f>
        <v>36.25</v>
      </c>
      <c r="C780">
        <v>7.25</v>
      </c>
      <c r="D780" t="e">
        <v>#N/A</v>
      </c>
      <c r="E780">
        <v>29</v>
      </c>
    </row>
    <row r="781" spans="1:5" x14ac:dyDescent="0.25">
      <c r="A781" s="1">
        <v>44245</v>
      </c>
      <c r="B781" s="2">
        <f>IFERROR(Torres!K780, 0) + IFERROR('San José'!K780, 0) + IFERROR(Terraplaza!K780, 0)</f>
        <v>34</v>
      </c>
      <c r="C781">
        <v>5.25</v>
      </c>
      <c r="D781" t="e">
        <v>#N/A</v>
      </c>
      <c r="E781">
        <v>28.75</v>
      </c>
    </row>
    <row r="782" spans="1:5" x14ac:dyDescent="0.25">
      <c r="A782" s="1">
        <v>44246</v>
      </c>
      <c r="B782" s="2">
        <f>IFERROR(Torres!K781, 0) + IFERROR('San José'!K781, 0) + IFERROR(Terraplaza!K781, 0)</f>
        <v>51.75</v>
      </c>
      <c r="C782">
        <v>13</v>
      </c>
      <c r="D782" t="e">
        <v>#N/A</v>
      </c>
      <c r="E782">
        <v>38.75</v>
      </c>
    </row>
    <row r="783" spans="1:5" x14ac:dyDescent="0.25">
      <c r="A783" s="1">
        <v>44247</v>
      </c>
      <c r="B783" s="2">
        <f>IFERROR(Torres!K782, 0) + IFERROR('San José'!K782, 0) + IFERROR(Terraplaza!K782, 0)</f>
        <v>71.625</v>
      </c>
      <c r="C783">
        <v>13.125</v>
      </c>
      <c r="D783" t="e">
        <v>#N/A</v>
      </c>
      <c r="E783">
        <v>58.5</v>
      </c>
    </row>
    <row r="784" spans="1:5" x14ac:dyDescent="0.25">
      <c r="A784" s="1">
        <v>44248</v>
      </c>
      <c r="B784" s="2">
        <f>IFERROR(Torres!K783, 0) + IFERROR('San José'!K783, 0) + IFERROR(Terraplaza!K783, 0)</f>
        <v>70.125</v>
      </c>
      <c r="C784">
        <v>15.125</v>
      </c>
      <c r="D784" t="e">
        <v>#N/A</v>
      </c>
      <c r="E784">
        <v>55</v>
      </c>
    </row>
    <row r="785" spans="1:5" x14ac:dyDescent="0.25">
      <c r="A785" s="1">
        <v>44249</v>
      </c>
      <c r="B785" s="2">
        <f>IFERROR(Torres!K784, 0) + IFERROR('San José'!K784, 0) + IFERROR(Terraplaza!K784, 0)</f>
        <v>27.125</v>
      </c>
      <c r="C785">
        <v>7.125</v>
      </c>
      <c r="D785" t="e">
        <v>#N/A</v>
      </c>
      <c r="E785">
        <v>20</v>
      </c>
    </row>
    <row r="786" spans="1:5" x14ac:dyDescent="0.25">
      <c r="A786" s="1">
        <v>44250</v>
      </c>
      <c r="B786" s="2">
        <f>IFERROR(Torres!K785, 0) + IFERROR('San José'!K785, 0) + IFERROR(Terraplaza!K785, 0)</f>
        <v>34.625</v>
      </c>
      <c r="C786">
        <v>6.625</v>
      </c>
      <c r="D786" t="e">
        <v>#N/A</v>
      </c>
      <c r="E786">
        <v>28</v>
      </c>
    </row>
    <row r="787" spans="1:5" x14ac:dyDescent="0.25">
      <c r="A787" s="1">
        <v>44251</v>
      </c>
      <c r="B787" s="2">
        <f>IFERROR(Torres!K786, 0) + IFERROR('San José'!K786, 0) + IFERROR(Terraplaza!K786, 0)</f>
        <v>35.375</v>
      </c>
      <c r="C787">
        <v>5.375</v>
      </c>
      <c r="D787" t="e">
        <v>#N/A</v>
      </c>
      <c r="E787">
        <v>30</v>
      </c>
    </row>
    <row r="788" spans="1:5" x14ac:dyDescent="0.25">
      <c r="A788" s="1">
        <v>44252</v>
      </c>
      <c r="B788" s="2">
        <f>IFERROR(Torres!K787, 0) + IFERROR('San José'!K787, 0) + IFERROR(Terraplaza!K787, 0)</f>
        <v>33.5</v>
      </c>
      <c r="C788" t="e">
        <v>#N/A</v>
      </c>
      <c r="D788" t="e">
        <v>#N/A</v>
      </c>
      <c r="E788">
        <v>33.5</v>
      </c>
    </row>
    <row r="789" spans="1:5" x14ac:dyDescent="0.25">
      <c r="A789" s="1">
        <v>44253</v>
      </c>
      <c r="B789" s="2">
        <f>IFERROR(Torres!K788, 0) + IFERROR('San José'!K788, 0) + IFERROR(Terraplaza!K788, 0)</f>
        <v>60.375</v>
      </c>
      <c r="C789">
        <v>15.375</v>
      </c>
      <c r="D789" t="e">
        <v>#N/A</v>
      </c>
      <c r="E789">
        <v>45</v>
      </c>
    </row>
    <row r="790" spans="1:5" x14ac:dyDescent="0.25">
      <c r="A790" s="1">
        <v>44254</v>
      </c>
      <c r="B790" s="2">
        <f>IFERROR(Torres!K789, 0) + IFERROR('San José'!K789, 0) + IFERROR(Terraplaza!K789, 0)</f>
        <v>89.35</v>
      </c>
      <c r="C790">
        <v>24.85</v>
      </c>
      <c r="D790" t="e">
        <v>#N/A</v>
      </c>
      <c r="E790">
        <v>64.5</v>
      </c>
    </row>
    <row r="791" spans="1:5" x14ac:dyDescent="0.25">
      <c r="A791" s="1">
        <v>44255</v>
      </c>
      <c r="B791" s="2">
        <f>IFERROR(Torres!K790, 0) + IFERROR('San José'!K790, 0) + IFERROR(Terraplaza!K790, 0)</f>
        <v>86.15</v>
      </c>
      <c r="C791">
        <v>23.15</v>
      </c>
      <c r="D791" t="e">
        <v>#N/A</v>
      </c>
      <c r="E791">
        <v>63</v>
      </c>
    </row>
    <row r="792" spans="1:5" x14ac:dyDescent="0.25">
      <c r="A792" s="1">
        <v>44256</v>
      </c>
      <c r="B792" s="2">
        <f>IFERROR(Torres!K791, 0) + IFERROR('San José'!K791, 0) + IFERROR(Terraplaza!K791, 0)</f>
        <v>26.375</v>
      </c>
      <c r="C792">
        <v>7.875</v>
      </c>
      <c r="D792" t="e">
        <v>#N/A</v>
      </c>
      <c r="E792">
        <v>18.5</v>
      </c>
    </row>
    <row r="793" spans="1:5" x14ac:dyDescent="0.25">
      <c r="A793" s="1">
        <v>44257</v>
      </c>
      <c r="B793" s="2">
        <f>IFERROR(Torres!K792, 0) + IFERROR('San José'!K792, 0) + IFERROR(Terraplaza!K792, 0)</f>
        <v>40.25</v>
      </c>
      <c r="C793">
        <v>12.75</v>
      </c>
      <c r="D793" t="e">
        <v>#N/A</v>
      </c>
      <c r="E793">
        <v>27.5</v>
      </c>
    </row>
    <row r="794" spans="1:5" x14ac:dyDescent="0.25">
      <c r="A794" s="1">
        <v>44258</v>
      </c>
      <c r="B794" s="2">
        <f>IFERROR(Torres!K793, 0) + IFERROR('San José'!K793, 0) + IFERROR(Terraplaza!K793, 0)</f>
        <v>34.25</v>
      </c>
      <c r="C794">
        <v>9.25</v>
      </c>
      <c r="D794" t="e">
        <v>#N/A</v>
      </c>
      <c r="E794">
        <v>25</v>
      </c>
    </row>
    <row r="795" spans="1:5" x14ac:dyDescent="0.25">
      <c r="A795" s="1">
        <v>44259</v>
      </c>
      <c r="B795" s="2">
        <f>IFERROR(Torres!K794, 0) + IFERROR('San José'!K794, 0) + IFERROR(Terraplaza!K794, 0)</f>
        <v>46.625</v>
      </c>
      <c r="C795">
        <v>11.125</v>
      </c>
      <c r="D795" t="e">
        <v>#N/A</v>
      </c>
      <c r="E795">
        <v>35.5</v>
      </c>
    </row>
    <row r="796" spans="1:5" x14ac:dyDescent="0.25">
      <c r="A796" s="1">
        <v>44260</v>
      </c>
      <c r="B796" s="2">
        <f>IFERROR(Torres!K795, 0) + IFERROR('San José'!K795, 0) + IFERROR(Terraplaza!K795, 0)</f>
        <v>64.625</v>
      </c>
      <c r="C796">
        <v>17.625</v>
      </c>
      <c r="D796" t="e">
        <v>#N/A</v>
      </c>
      <c r="E796">
        <v>47</v>
      </c>
    </row>
    <row r="797" spans="1:5" x14ac:dyDescent="0.25">
      <c r="A797" s="1">
        <v>44261</v>
      </c>
      <c r="B797" s="2">
        <f>IFERROR(Torres!K796, 0) + IFERROR('San José'!K796, 0) + IFERROR(Terraplaza!K796, 0)</f>
        <v>71.75</v>
      </c>
      <c r="C797">
        <v>18.25</v>
      </c>
      <c r="D797" t="e">
        <v>#N/A</v>
      </c>
      <c r="E797">
        <v>53.5</v>
      </c>
    </row>
    <row r="798" spans="1:5" x14ac:dyDescent="0.25">
      <c r="A798" s="1">
        <v>44262</v>
      </c>
      <c r="B798" s="2">
        <f>IFERROR(Torres!K797, 0) + IFERROR('San José'!K797, 0) + IFERROR(Terraplaza!K797, 0)</f>
        <v>90</v>
      </c>
      <c r="C798">
        <v>27</v>
      </c>
      <c r="D798" t="e">
        <v>#N/A</v>
      </c>
      <c r="E798">
        <v>63</v>
      </c>
    </row>
    <row r="799" spans="1:5" x14ac:dyDescent="0.25">
      <c r="A799" s="1">
        <v>44263</v>
      </c>
      <c r="B799" s="2">
        <f>IFERROR(Torres!K798, 0) + IFERROR('San José'!K798, 0) + IFERROR(Terraplaza!K798, 0)</f>
        <v>56</v>
      </c>
      <c r="C799">
        <v>12</v>
      </c>
      <c r="D799" t="e">
        <v>#N/A</v>
      </c>
      <c r="E799">
        <v>44</v>
      </c>
    </row>
    <row r="800" spans="1:5" x14ac:dyDescent="0.25">
      <c r="A800" s="1">
        <v>44264</v>
      </c>
      <c r="B800" s="2">
        <f>IFERROR(Torres!K799, 0) + IFERROR('San José'!K799, 0) + IFERROR(Terraplaza!K799, 0)</f>
        <v>20.75</v>
      </c>
      <c r="C800">
        <v>3.75</v>
      </c>
      <c r="D800" t="e">
        <v>#N/A</v>
      </c>
      <c r="E800">
        <v>17</v>
      </c>
    </row>
    <row r="801" spans="1:5" x14ac:dyDescent="0.25">
      <c r="A801" s="1">
        <v>44265</v>
      </c>
      <c r="B801" s="2">
        <f>IFERROR(Torres!K800, 0) + IFERROR('San José'!K800, 0) + IFERROR(Terraplaza!K800, 0)</f>
        <v>33.75</v>
      </c>
      <c r="C801">
        <v>9.75</v>
      </c>
      <c r="D801" t="e">
        <v>#N/A</v>
      </c>
      <c r="E801">
        <v>24</v>
      </c>
    </row>
    <row r="802" spans="1:5" x14ac:dyDescent="0.25">
      <c r="A802" s="1">
        <v>44266</v>
      </c>
      <c r="B802" s="2">
        <f>IFERROR(Torres!K801, 0) + IFERROR('San José'!K801, 0) + IFERROR(Terraplaza!K801, 0)</f>
        <v>39.625</v>
      </c>
      <c r="C802">
        <v>7.125</v>
      </c>
      <c r="D802" t="e">
        <v>#N/A</v>
      </c>
      <c r="E802">
        <v>32.5</v>
      </c>
    </row>
    <row r="803" spans="1:5" x14ac:dyDescent="0.25">
      <c r="A803" s="1">
        <v>44267</v>
      </c>
      <c r="B803" s="2">
        <f>IFERROR(Torres!K802, 0) + IFERROR('San José'!K802, 0) + IFERROR(Terraplaza!K802, 0)</f>
        <v>66.375</v>
      </c>
      <c r="C803">
        <v>18.875</v>
      </c>
      <c r="D803" t="e">
        <v>#N/A</v>
      </c>
      <c r="E803">
        <v>47.5</v>
      </c>
    </row>
    <row r="804" spans="1:5" x14ac:dyDescent="0.25">
      <c r="A804" s="1">
        <v>44268</v>
      </c>
      <c r="B804" s="2">
        <f>IFERROR(Torres!K803, 0) + IFERROR('San José'!K803, 0) + IFERROR(Terraplaza!K803, 0)</f>
        <v>67</v>
      </c>
      <c r="C804">
        <v>22</v>
      </c>
      <c r="D804" t="e">
        <v>#N/A</v>
      </c>
      <c r="E804">
        <v>45</v>
      </c>
    </row>
    <row r="805" spans="1:5" x14ac:dyDescent="0.25">
      <c r="A805" s="1">
        <v>44269</v>
      </c>
      <c r="B805" s="2">
        <f>IFERROR(Torres!K804, 0) + IFERROR('San José'!K804, 0) + IFERROR(Terraplaza!K804, 0)</f>
        <v>77.5</v>
      </c>
      <c r="C805">
        <v>23.5</v>
      </c>
      <c r="D805" t="e">
        <v>#N/A</v>
      </c>
      <c r="E805">
        <v>54</v>
      </c>
    </row>
    <row r="806" spans="1:5" x14ac:dyDescent="0.25">
      <c r="A806" s="1">
        <v>44270</v>
      </c>
      <c r="B806" s="2">
        <f>IFERROR(Torres!K805, 0) + IFERROR('San José'!K805, 0) + IFERROR(Terraplaza!K805, 0)</f>
        <v>39.5</v>
      </c>
      <c r="C806">
        <v>6.5</v>
      </c>
      <c r="D806" t="e">
        <v>#N/A</v>
      </c>
      <c r="E806">
        <v>33</v>
      </c>
    </row>
    <row r="807" spans="1:5" x14ac:dyDescent="0.25">
      <c r="A807" s="1">
        <v>44271</v>
      </c>
      <c r="B807" s="2">
        <f>IFERROR(Torres!K806, 0) + IFERROR('San José'!K806, 0) + IFERROR(Terraplaza!K806, 0)</f>
        <v>38.5</v>
      </c>
      <c r="C807">
        <v>9</v>
      </c>
      <c r="D807" t="e">
        <v>#N/A</v>
      </c>
      <c r="E807">
        <v>29.5</v>
      </c>
    </row>
    <row r="808" spans="1:5" x14ac:dyDescent="0.25">
      <c r="A808" s="1">
        <v>44272</v>
      </c>
      <c r="B808" s="2">
        <f>IFERROR(Torres!K807, 0) + IFERROR('San José'!K807, 0) + IFERROR(Terraplaza!K807, 0)</f>
        <v>44.625</v>
      </c>
      <c r="C808">
        <v>11.625</v>
      </c>
      <c r="D808" t="e">
        <v>#N/A</v>
      </c>
      <c r="E808">
        <v>33</v>
      </c>
    </row>
    <row r="809" spans="1:5" x14ac:dyDescent="0.25">
      <c r="A809" s="1">
        <v>44273</v>
      </c>
      <c r="B809" s="2">
        <f>IFERROR(Torres!K808, 0) + IFERROR('San José'!K808, 0) + IFERROR(Terraplaza!K808, 0)</f>
        <v>38.5</v>
      </c>
      <c r="C809">
        <v>14</v>
      </c>
      <c r="D809" t="e">
        <v>#N/A</v>
      </c>
      <c r="E809">
        <v>24.5</v>
      </c>
    </row>
    <row r="810" spans="1:5" x14ac:dyDescent="0.25">
      <c r="A810" s="1">
        <v>44274</v>
      </c>
      <c r="B810" s="2">
        <f>IFERROR(Torres!K809, 0) + IFERROR('San José'!K809, 0) + IFERROR(Terraplaza!K809, 0)</f>
        <v>47.875</v>
      </c>
      <c r="C810">
        <v>15.875</v>
      </c>
      <c r="D810" t="e">
        <v>#N/A</v>
      </c>
      <c r="E810">
        <v>32</v>
      </c>
    </row>
    <row r="811" spans="1:5" x14ac:dyDescent="0.25">
      <c r="A811" s="1">
        <v>44275</v>
      </c>
      <c r="B811" s="2">
        <f>IFERROR(Torres!K810, 0) + IFERROR('San José'!K810, 0) + IFERROR(Terraplaza!K810, 0)</f>
        <v>84.25</v>
      </c>
      <c r="C811">
        <v>21.25</v>
      </c>
      <c r="D811" t="e">
        <v>#N/A</v>
      </c>
      <c r="E811">
        <v>63</v>
      </c>
    </row>
    <row r="812" spans="1:5" x14ac:dyDescent="0.25">
      <c r="A812" s="1">
        <v>44276</v>
      </c>
      <c r="B812" s="2">
        <f>IFERROR(Torres!K811, 0) + IFERROR('San José'!K811, 0) + IFERROR(Terraplaza!K811, 0)</f>
        <v>84</v>
      </c>
      <c r="C812">
        <v>29.5</v>
      </c>
      <c r="D812" t="e">
        <v>#N/A</v>
      </c>
      <c r="E812">
        <v>54.5</v>
      </c>
    </row>
    <row r="813" spans="1:5" x14ac:dyDescent="0.25">
      <c r="A813" s="1">
        <v>44277</v>
      </c>
      <c r="B813" s="2">
        <f>IFERROR(Torres!K812, 0) + IFERROR('San José'!K812, 0) + IFERROR(Terraplaza!K812, 0)</f>
        <v>62.5</v>
      </c>
      <c r="C813">
        <v>21.5</v>
      </c>
      <c r="D813" t="e">
        <v>#N/A</v>
      </c>
      <c r="E813">
        <v>41</v>
      </c>
    </row>
    <row r="814" spans="1:5" x14ac:dyDescent="0.25">
      <c r="A814" s="1">
        <v>44278</v>
      </c>
      <c r="B814" s="2">
        <f>IFERROR(Torres!K813, 0) + IFERROR('San José'!K813, 0) + IFERROR(Terraplaza!K813, 0)</f>
        <v>40.75</v>
      </c>
      <c r="C814">
        <v>8.25</v>
      </c>
      <c r="D814" t="e">
        <v>#N/A</v>
      </c>
      <c r="E814">
        <v>32.5</v>
      </c>
    </row>
    <row r="815" spans="1:5" x14ac:dyDescent="0.25">
      <c r="A815" s="1">
        <v>44279</v>
      </c>
      <c r="B815" s="2">
        <f>IFERROR(Torres!K814, 0) + IFERROR('San José'!K814, 0) + IFERROR(Terraplaza!K814, 0)</f>
        <v>39.5</v>
      </c>
      <c r="C815">
        <v>7.5</v>
      </c>
      <c r="D815" t="e">
        <v>#N/A</v>
      </c>
      <c r="E815">
        <v>32</v>
      </c>
    </row>
    <row r="816" spans="1:5" x14ac:dyDescent="0.25">
      <c r="A816" s="1">
        <v>44280</v>
      </c>
      <c r="B816" s="2">
        <f>IFERROR(Torres!K815, 0) + IFERROR('San José'!K815, 0) + IFERROR(Terraplaza!K815, 0)</f>
        <v>37.625</v>
      </c>
      <c r="C816">
        <v>10.375</v>
      </c>
      <c r="D816" t="e">
        <v>#N/A</v>
      </c>
      <c r="E816">
        <v>27.25</v>
      </c>
    </row>
    <row r="817" spans="1:5" x14ac:dyDescent="0.25">
      <c r="A817" s="1">
        <v>44281</v>
      </c>
      <c r="B817" s="2">
        <f>IFERROR(Torres!K816, 0) + IFERROR('San José'!K816, 0) + IFERROR(Terraplaza!K816, 0)</f>
        <v>58</v>
      </c>
      <c r="C817">
        <v>10.75</v>
      </c>
      <c r="D817" t="e">
        <v>#N/A</v>
      </c>
      <c r="E817">
        <v>47.25</v>
      </c>
    </row>
    <row r="818" spans="1:5" x14ac:dyDescent="0.25">
      <c r="A818" s="1">
        <v>44282</v>
      </c>
      <c r="B818" s="2">
        <f>IFERROR(Torres!K817, 0) + IFERROR('San José'!K817, 0) + IFERROR(Terraplaza!K817, 0)</f>
        <v>96</v>
      </c>
      <c r="C818">
        <v>31</v>
      </c>
      <c r="D818" t="e">
        <v>#N/A</v>
      </c>
      <c r="E818">
        <v>65</v>
      </c>
    </row>
    <row r="819" spans="1:5" x14ac:dyDescent="0.25">
      <c r="A819" s="1">
        <v>44283</v>
      </c>
      <c r="B819" s="2">
        <f>IFERROR(Torres!K818, 0) + IFERROR('San José'!K818, 0) + IFERROR(Terraplaza!K818, 0)</f>
        <v>72.125</v>
      </c>
      <c r="C819">
        <v>23.125</v>
      </c>
      <c r="D819" t="e">
        <v>#N/A</v>
      </c>
      <c r="E819">
        <v>49</v>
      </c>
    </row>
    <row r="820" spans="1:5" x14ac:dyDescent="0.25">
      <c r="A820" s="1">
        <v>44284</v>
      </c>
      <c r="B820" s="2">
        <f>IFERROR(Torres!K819, 0) + IFERROR('San José'!K819, 0) + IFERROR(Terraplaza!K819, 0)</f>
        <v>46.25</v>
      </c>
      <c r="C820">
        <v>9.75</v>
      </c>
      <c r="D820" t="e">
        <v>#N/A</v>
      </c>
      <c r="E820">
        <v>36.5</v>
      </c>
    </row>
    <row r="821" spans="1:5" x14ac:dyDescent="0.25">
      <c r="A821" s="1">
        <v>44285</v>
      </c>
      <c r="B821" s="2">
        <f>IFERROR(Torres!K820, 0) + IFERROR('San José'!K820, 0) + IFERROR(Terraplaza!K820, 0)</f>
        <v>49</v>
      </c>
      <c r="C821">
        <v>10</v>
      </c>
      <c r="D821" t="e">
        <v>#N/A</v>
      </c>
      <c r="E821">
        <v>39</v>
      </c>
    </row>
    <row r="822" spans="1:5" x14ac:dyDescent="0.25">
      <c r="A822" s="1">
        <v>44286</v>
      </c>
      <c r="B822" s="2">
        <f>IFERROR(Torres!K821, 0) + IFERROR('San José'!K821, 0) + IFERROR(Terraplaza!K821, 0)</f>
        <v>91.25</v>
      </c>
      <c r="C822">
        <v>19.75</v>
      </c>
      <c r="D822" t="e">
        <v>#N/A</v>
      </c>
      <c r="E822">
        <v>71.5</v>
      </c>
    </row>
    <row r="823" spans="1:5" x14ac:dyDescent="0.25">
      <c r="A823" s="1">
        <v>44287</v>
      </c>
      <c r="B823" s="2">
        <f>IFERROR(Torres!K822, 0) + IFERROR('San José'!K822, 0) + IFERROR(Terraplaza!K822, 0)</f>
        <v>116.5</v>
      </c>
      <c r="C823">
        <v>18</v>
      </c>
      <c r="D823">
        <v>46</v>
      </c>
      <c r="E823">
        <v>52.5</v>
      </c>
    </row>
    <row r="824" spans="1:5" x14ac:dyDescent="0.25">
      <c r="A824" s="1">
        <v>44288</v>
      </c>
      <c r="B824" s="2">
        <f>IFERROR(Torres!K823, 0) + IFERROR('San José'!K823, 0) + IFERROR(Terraplaza!K823, 0)</f>
        <v>147.25</v>
      </c>
      <c r="C824">
        <v>31.25</v>
      </c>
      <c r="D824">
        <v>50</v>
      </c>
      <c r="E824">
        <v>66</v>
      </c>
    </row>
    <row r="825" spans="1:5" x14ac:dyDescent="0.25">
      <c r="A825" s="1">
        <v>44289</v>
      </c>
      <c r="B825" s="2">
        <f>IFERROR(Torres!K824, 0) + IFERROR('San José'!K824, 0) + IFERROR(Terraplaza!K824, 0)</f>
        <v>131.125</v>
      </c>
      <c r="C825">
        <v>18.125</v>
      </c>
      <c r="D825">
        <v>51</v>
      </c>
      <c r="E825">
        <v>62</v>
      </c>
    </row>
    <row r="826" spans="1:5" x14ac:dyDescent="0.25">
      <c r="A826" s="1">
        <v>44290</v>
      </c>
      <c r="B826" s="2">
        <f>IFERROR(Torres!K825, 0) + IFERROR('San José'!K825, 0) + IFERROR(Terraplaza!K825, 0)</f>
        <v>131.75</v>
      </c>
      <c r="C826">
        <v>21.75</v>
      </c>
      <c r="D826">
        <v>48</v>
      </c>
      <c r="E826">
        <v>62</v>
      </c>
    </row>
    <row r="827" spans="1:5" x14ac:dyDescent="0.25">
      <c r="A827" s="1">
        <v>44291</v>
      </c>
      <c r="B827" s="2">
        <f>IFERROR(Torres!K826, 0) + IFERROR('San José'!K826, 0) + IFERROR(Terraplaza!K826, 0)</f>
        <v>50.875</v>
      </c>
      <c r="C827">
        <v>8.375</v>
      </c>
      <c r="D827">
        <v>17.5</v>
      </c>
      <c r="E827">
        <v>25</v>
      </c>
    </row>
    <row r="828" spans="1:5" x14ac:dyDescent="0.25">
      <c r="A828" s="1">
        <v>44292</v>
      </c>
      <c r="B828" s="2">
        <f>IFERROR(Torres!K827, 0) + IFERROR('San José'!K827, 0) + IFERROR(Terraplaza!K827, 0)</f>
        <v>66</v>
      </c>
      <c r="C828">
        <v>9</v>
      </c>
      <c r="D828">
        <v>24</v>
      </c>
      <c r="E828">
        <v>33</v>
      </c>
    </row>
    <row r="829" spans="1:5" x14ac:dyDescent="0.25">
      <c r="A829" s="1">
        <v>44293</v>
      </c>
      <c r="B829" s="2">
        <f>IFERROR(Torres!K828, 0) + IFERROR('San José'!K828, 0) + IFERROR(Terraplaza!K828, 0)</f>
        <v>58.5</v>
      </c>
      <c r="C829">
        <v>9</v>
      </c>
      <c r="D829">
        <v>17.5</v>
      </c>
      <c r="E829">
        <v>32</v>
      </c>
    </row>
    <row r="830" spans="1:5" x14ac:dyDescent="0.25">
      <c r="A830" s="1">
        <v>44294</v>
      </c>
      <c r="B830" s="2">
        <f>IFERROR(Torres!K829, 0) + IFERROR('San José'!K829, 0) + IFERROR(Terraplaza!K829, 0)</f>
        <v>60.125</v>
      </c>
      <c r="C830">
        <v>9.75</v>
      </c>
      <c r="D830">
        <v>13.875</v>
      </c>
      <c r="E830">
        <v>36.5</v>
      </c>
    </row>
    <row r="831" spans="1:5" x14ac:dyDescent="0.25">
      <c r="A831" s="1">
        <v>44295</v>
      </c>
      <c r="B831" s="2">
        <f>IFERROR(Torres!K830, 0) + IFERROR('San José'!K830, 0) + IFERROR(Terraplaza!K830, 0)</f>
        <v>86</v>
      </c>
      <c r="C831">
        <v>12.375</v>
      </c>
      <c r="D831">
        <v>25.125</v>
      </c>
      <c r="E831">
        <v>48.5</v>
      </c>
    </row>
    <row r="832" spans="1:5" x14ac:dyDescent="0.25">
      <c r="A832" s="1">
        <v>44296</v>
      </c>
      <c r="B832" s="2">
        <f>IFERROR(Torres!K831, 0) + IFERROR('San José'!K831, 0) + IFERROR(Terraplaza!K831, 0)</f>
        <v>123.875</v>
      </c>
      <c r="C832">
        <v>18.875</v>
      </c>
      <c r="D832">
        <v>44</v>
      </c>
      <c r="E832">
        <v>61</v>
      </c>
    </row>
    <row r="833" spans="1:5" x14ac:dyDescent="0.25">
      <c r="A833" s="1">
        <v>44297</v>
      </c>
      <c r="B833" s="2">
        <f>IFERROR(Torres!K832, 0) + IFERROR('San José'!K832, 0) + IFERROR(Terraplaza!K832, 0)</f>
        <v>108.75</v>
      </c>
      <c r="C833">
        <v>19.25</v>
      </c>
      <c r="D833">
        <v>32.5</v>
      </c>
      <c r="E833">
        <v>57</v>
      </c>
    </row>
    <row r="834" spans="1:5" x14ac:dyDescent="0.25">
      <c r="A834" s="1">
        <v>44298</v>
      </c>
      <c r="B834" s="2">
        <f>IFERROR(Torres!K833, 0) + IFERROR('San José'!K833, 0) + IFERROR(Terraplaza!K833, 0)</f>
        <v>53.875</v>
      </c>
      <c r="C834">
        <v>8.125</v>
      </c>
      <c r="D834">
        <v>13.25</v>
      </c>
      <c r="E834">
        <v>32.5</v>
      </c>
    </row>
    <row r="835" spans="1:5" x14ac:dyDescent="0.25">
      <c r="A835" s="1">
        <v>44299</v>
      </c>
      <c r="B835" s="2">
        <f>IFERROR(Torres!K834, 0) + IFERROR('San José'!K834, 0) + IFERROR(Terraplaza!K834, 0)</f>
        <v>54.125</v>
      </c>
      <c r="C835">
        <v>9.375</v>
      </c>
      <c r="D835">
        <v>17.25</v>
      </c>
      <c r="E835">
        <v>27.5</v>
      </c>
    </row>
    <row r="836" spans="1:5" x14ac:dyDescent="0.25">
      <c r="A836" s="1">
        <v>44300</v>
      </c>
      <c r="B836" s="2">
        <f>IFERROR(Torres!K835, 0) + IFERROR('San José'!K835, 0) + IFERROR(Terraplaza!K835, 0)</f>
        <v>45.75</v>
      </c>
      <c r="C836">
        <v>5.75</v>
      </c>
      <c r="D836">
        <v>16.5</v>
      </c>
      <c r="E836">
        <v>23.5</v>
      </c>
    </row>
    <row r="837" spans="1:5" x14ac:dyDescent="0.25">
      <c r="A837" s="1">
        <v>44301</v>
      </c>
      <c r="B837" s="2">
        <f>IFERROR(Torres!K836, 0) + IFERROR('San José'!K836, 0) + IFERROR(Terraplaza!K836, 0)</f>
        <v>64.25</v>
      </c>
      <c r="C837">
        <v>8.25</v>
      </c>
      <c r="D837">
        <v>20</v>
      </c>
      <c r="E837">
        <v>36</v>
      </c>
    </row>
    <row r="838" spans="1:5" x14ac:dyDescent="0.25">
      <c r="A838" s="1">
        <v>44302</v>
      </c>
      <c r="B838" s="2">
        <f>IFERROR(Torres!K837, 0) + IFERROR('San José'!K837, 0) + IFERROR(Terraplaza!K837, 0)</f>
        <v>87</v>
      </c>
      <c r="C838">
        <v>17</v>
      </c>
      <c r="D838">
        <v>19.5</v>
      </c>
      <c r="E838">
        <v>50.5</v>
      </c>
    </row>
    <row r="839" spans="1:5" x14ac:dyDescent="0.25">
      <c r="A839" s="1">
        <v>44303</v>
      </c>
      <c r="B839" s="2">
        <f>IFERROR(Torres!K838, 0) + IFERROR('San José'!K838, 0) + IFERROR(Terraplaza!K838, 0)</f>
        <v>111.75</v>
      </c>
      <c r="C839">
        <v>19.25</v>
      </c>
      <c r="D839">
        <v>39</v>
      </c>
      <c r="E839">
        <v>53.5</v>
      </c>
    </row>
    <row r="840" spans="1:5" x14ac:dyDescent="0.25">
      <c r="A840" s="1">
        <v>44304</v>
      </c>
      <c r="B840" s="2">
        <f>IFERROR(Torres!K839, 0) + IFERROR('San José'!K839, 0) + IFERROR(Terraplaza!K839, 0)</f>
        <v>127</v>
      </c>
      <c r="C840">
        <v>30</v>
      </c>
      <c r="D840">
        <v>36.5</v>
      </c>
      <c r="E840">
        <v>60.5</v>
      </c>
    </row>
    <row r="841" spans="1:5" x14ac:dyDescent="0.25">
      <c r="A841" s="1">
        <v>44305</v>
      </c>
      <c r="B841" s="2">
        <f>IFERROR(Torres!K840, 0) + IFERROR('San José'!K840, 0) + IFERROR(Terraplaza!K840, 0)</f>
        <v>42.125</v>
      </c>
      <c r="C841">
        <v>8.625</v>
      </c>
      <c r="D841">
        <v>9.5</v>
      </c>
      <c r="E841">
        <v>24</v>
      </c>
    </row>
    <row r="842" spans="1:5" x14ac:dyDescent="0.25">
      <c r="A842" s="1">
        <v>44306</v>
      </c>
      <c r="B842" s="2">
        <f>IFERROR(Torres!K841, 0) + IFERROR('San José'!K841, 0) + IFERROR(Terraplaza!K841, 0)</f>
        <v>56.975000000000001</v>
      </c>
      <c r="C842">
        <v>9.875</v>
      </c>
      <c r="D842">
        <v>17.600000000000001</v>
      </c>
      <c r="E842">
        <v>29.5</v>
      </c>
    </row>
    <row r="843" spans="1:5" x14ac:dyDescent="0.25">
      <c r="A843" s="1">
        <v>44307</v>
      </c>
      <c r="B843" s="2">
        <f>IFERROR(Torres!K842, 0) + IFERROR('San José'!K842, 0) + IFERROR(Terraplaza!K842, 0)</f>
        <v>43.65</v>
      </c>
      <c r="C843">
        <v>9.25</v>
      </c>
      <c r="D843">
        <v>10.9</v>
      </c>
      <c r="E843">
        <v>23.5</v>
      </c>
    </row>
    <row r="844" spans="1:5" x14ac:dyDescent="0.25">
      <c r="A844" s="1">
        <v>44308</v>
      </c>
      <c r="B844" s="2">
        <f>IFERROR(Torres!K843, 0) + IFERROR('San José'!K843, 0) + IFERROR(Terraplaza!K843, 0)</f>
        <v>65.25</v>
      </c>
      <c r="C844">
        <v>12.125</v>
      </c>
      <c r="D844">
        <v>24.5</v>
      </c>
      <c r="E844">
        <v>28.625</v>
      </c>
    </row>
    <row r="845" spans="1:5" x14ac:dyDescent="0.25">
      <c r="A845" s="1">
        <v>44309</v>
      </c>
      <c r="B845" s="2">
        <f>IFERROR(Torres!K844, 0) + IFERROR('San José'!K844, 0) + IFERROR(Terraplaza!K844, 0)</f>
        <v>66.5</v>
      </c>
      <c r="C845">
        <v>9.125</v>
      </c>
      <c r="D845">
        <v>19</v>
      </c>
      <c r="E845">
        <v>38.375</v>
      </c>
    </row>
    <row r="846" spans="1:5" x14ac:dyDescent="0.25">
      <c r="A846" s="1">
        <v>44310</v>
      </c>
      <c r="B846" s="2">
        <f>IFERROR(Torres!K845, 0) + IFERROR('San José'!K845, 0) + IFERROR(Terraplaza!K845, 0)</f>
        <v>132.5</v>
      </c>
      <c r="C846">
        <v>28.5</v>
      </c>
      <c r="D846">
        <v>34</v>
      </c>
      <c r="E846">
        <v>70</v>
      </c>
    </row>
    <row r="847" spans="1:5" x14ac:dyDescent="0.25">
      <c r="A847" s="1">
        <v>44311</v>
      </c>
      <c r="B847" s="2">
        <f>IFERROR(Torres!K846, 0) + IFERROR('San José'!K846, 0) + IFERROR(Terraplaza!K846, 0)</f>
        <v>106</v>
      </c>
      <c r="C847">
        <v>21</v>
      </c>
      <c r="D847">
        <v>34</v>
      </c>
      <c r="E847">
        <v>51</v>
      </c>
    </row>
    <row r="848" spans="1:5" x14ac:dyDescent="0.25">
      <c r="A848" s="1">
        <v>44312</v>
      </c>
      <c r="B848" s="2">
        <f>IFERROR(Torres!K847, 0) + IFERROR('San José'!K847, 0) + IFERROR(Terraplaza!K847, 0)</f>
        <v>39</v>
      </c>
      <c r="C848">
        <v>7</v>
      </c>
      <c r="D848">
        <v>8</v>
      </c>
      <c r="E848">
        <v>24</v>
      </c>
    </row>
    <row r="849" spans="1:5" x14ac:dyDescent="0.25">
      <c r="A849" s="1">
        <v>44313</v>
      </c>
      <c r="B849" s="2">
        <f>IFERROR(Torres!K848, 0) + IFERROR('San José'!K848, 0) + IFERROR(Terraplaza!K848, 0)</f>
        <v>46.25</v>
      </c>
      <c r="C849">
        <v>6.75</v>
      </c>
      <c r="D849">
        <v>16.5</v>
      </c>
      <c r="E849">
        <v>23</v>
      </c>
    </row>
    <row r="850" spans="1:5" x14ac:dyDescent="0.25">
      <c r="A850" s="1">
        <v>44314</v>
      </c>
      <c r="B850" s="2">
        <f>IFERROR(Torres!K849, 0) + IFERROR('San José'!K849, 0) + IFERROR(Terraplaza!K849, 0)</f>
        <v>10.5</v>
      </c>
      <c r="C850">
        <v>3</v>
      </c>
      <c r="D850">
        <v>1.5</v>
      </c>
      <c r="E850">
        <v>6</v>
      </c>
    </row>
    <row r="851" spans="1:5" x14ac:dyDescent="0.25">
      <c r="A851" s="1">
        <v>44315</v>
      </c>
      <c r="B851" s="2">
        <f>IFERROR(Torres!K850, 0) + IFERROR('San José'!K850, 0) + IFERROR(Terraplaza!K850, 0)</f>
        <v>27.25</v>
      </c>
      <c r="C851">
        <v>4.5</v>
      </c>
      <c r="D851">
        <v>6.25</v>
      </c>
      <c r="E851">
        <v>16.5</v>
      </c>
    </row>
    <row r="852" spans="1:5" x14ac:dyDescent="0.25">
      <c r="A852" s="1">
        <v>44316</v>
      </c>
      <c r="B852" s="2">
        <f>IFERROR(Torres!K851, 0) + IFERROR('San José'!K851, 0) + IFERROR(Terraplaza!K851, 0)</f>
        <v>57.5</v>
      </c>
      <c r="C852">
        <v>6.75</v>
      </c>
      <c r="D852">
        <v>15.25</v>
      </c>
      <c r="E852">
        <v>35.5</v>
      </c>
    </row>
    <row r="853" spans="1:5" x14ac:dyDescent="0.25">
      <c r="A853" s="1">
        <v>44317</v>
      </c>
      <c r="B853" s="2">
        <f>IFERROR(Torres!K852, 0) + IFERROR('San José'!K852, 0) + IFERROR(Terraplaza!K852, 0)</f>
        <v>88.75</v>
      </c>
      <c r="C853">
        <v>17.25</v>
      </c>
      <c r="D853">
        <v>22.875</v>
      </c>
      <c r="E853">
        <v>48.625</v>
      </c>
    </row>
    <row r="854" spans="1:5" x14ac:dyDescent="0.25">
      <c r="A854" s="1">
        <v>44318</v>
      </c>
      <c r="B854" s="2">
        <f>IFERROR(Torres!K853, 0) + IFERROR('San José'!K853, 0) + IFERROR(Terraplaza!K853, 0)</f>
        <v>82.625</v>
      </c>
      <c r="C854">
        <v>13.875</v>
      </c>
      <c r="D854">
        <v>31.75</v>
      </c>
      <c r="E854">
        <v>37</v>
      </c>
    </row>
    <row r="855" spans="1:5" x14ac:dyDescent="0.25">
      <c r="A855" s="1">
        <v>44319</v>
      </c>
      <c r="B855" s="2">
        <f>IFERROR(Torres!K854, 0) + IFERROR('San José'!K854, 0) + IFERROR(Terraplaza!K854, 0)</f>
        <v>0</v>
      </c>
      <c r="C855">
        <v>0</v>
      </c>
      <c r="D855">
        <v>0</v>
      </c>
      <c r="E855">
        <v>0</v>
      </c>
    </row>
    <row r="856" spans="1:5" x14ac:dyDescent="0.25">
      <c r="A856" s="1">
        <v>44320</v>
      </c>
      <c r="B856" s="2">
        <f>IFERROR(Torres!K855, 0) + IFERROR('San José'!K855, 0) + IFERROR(Terraplaza!K855, 0)</f>
        <v>47.25</v>
      </c>
      <c r="C856">
        <v>6.5</v>
      </c>
      <c r="D856">
        <v>21.375</v>
      </c>
      <c r="E856">
        <v>19.375</v>
      </c>
    </row>
    <row r="857" spans="1:5" x14ac:dyDescent="0.25">
      <c r="A857" s="1">
        <v>44321</v>
      </c>
      <c r="B857" s="2">
        <f>IFERROR(Torres!K856, 0) + IFERROR('San José'!K856, 0) + IFERROR(Terraplaza!K856, 0)</f>
        <v>74.625</v>
      </c>
      <c r="C857">
        <v>0</v>
      </c>
      <c r="D857">
        <v>14.625</v>
      </c>
      <c r="E857">
        <v>60</v>
      </c>
    </row>
    <row r="858" spans="1:5" x14ac:dyDescent="0.25">
      <c r="A858" s="1">
        <v>44322</v>
      </c>
      <c r="B858" s="2">
        <f>IFERROR(Torres!K857, 0) + IFERROR('San José'!K857, 0) + IFERROR(Terraplaza!K857, 0)</f>
        <v>74.375</v>
      </c>
      <c r="C858">
        <v>8.5</v>
      </c>
      <c r="D858">
        <v>19.875</v>
      </c>
      <c r="E858">
        <v>46</v>
      </c>
    </row>
    <row r="859" spans="1:5" x14ac:dyDescent="0.25">
      <c r="A859" s="1">
        <v>44323</v>
      </c>
      <c r="B859" s="2">
        <f>IFERROR(Torres!K858, 0) + IFERROR('San José'!K858, 0) + IFERROR(Terraplaza!K858, 0)</f>
        <v>76.75</v>
      </c>
      <c r="C859">
        <v>9.375</v>
      </c>
      <c r="D859">
        <v>14.5</v>
      </c>
      <c r="E859">
        <v>52.875</v>
      </c>
    </row>
    <row r="860" spans="1:5" x14ac:dyDescent="0.25">
      <c r="A860" s="1">
        <v>44324</v>
      </c>
      <c r="B860" s="2">
        <f>IFERROR(Torres!K859, 0) + IFERROR('San José'!K859, 0) + IFERROR(Terraplaza!K859, 0)</f>
        <v>196.5</v>
      </c>
      <c r="C860">
        <v>17.875</v>
      </c>
      <c r="D860">
        <v>32.5</v>
      </c>
      <c r="E860">
        <v>146.125</v>
      </c>
    </row>
    <row r="861" spans="1:5" x14ac:dyDescent="0.25">
      <c r="A861" s="1">
        <v>44325</v>
      </c>
      <c r="B861" s="2">
        <f>IFERROR(Torres!K860, 0) + IFERROR('San José'!K860, 0) + IFERROR(Terraplaza!K860, 0)</f>
        <v>171.875</v>
      </c>
      <c r="C861">
        <v>38.25</v>
      </c>
      <c r="D861">
        <v>62.5</v>
      </c>
      <c r="E861">
        <v>71.125</v>
      </c>
    </row>
    <row r="862" spans="1:5" x14ac:dyDescent="0.25">
      <c r="A862" s="1">
        <v>44326</v>
      </c>
      <c r="B862" s="2">
        <f>IFERROR(Torres!K861, 0) + IFERROR('San José'!K861, 0) + IFERROR(Terraplaza!K861, 0)</f>
        <v>65.5</v>
      </c>
      <c r="C862">
        <v>4.125</v>
      </c>
      <c r="D862">
        <v>24.5</v>
      </c>
      <c r="E862">
        <v>36.875</v>
      </c>
    </row>
    <row r="863" spans="1:5" x14ac:dyDescent="0.25">
      <c r="A863" s="1">
        <v>44327</v>
      </c>
      <c r="B863" s="2">
        <f>IFERROR(Torres!K862, 0) + IFERROR('San José'!K862, 0) + IFERROR(Terraplaza!K862, 0)</f>
        <v>75.75</v>
      </c>
      <c r="C863">
        <v>14.75</v>
      </c>
      <c r="D863">
        <v>23</v>
      </c>
      <c r="E863">
        <v>38</v>
      </c>
    </row>
    <row r="864" spans="1:5" x14ac:dyDescent="0.25">
      <c r="A864" s="1">
        <v>44328</v>
      </c>
      <c r="B864" s="2">
        <f>IFERROR(Torres!K863, 0) + IFERROR('San José'!K863, 0) + IFERROR(Terraplaza!K863, 0)</f>
        <v>69.875</v>
      </c>
      <c r="C864">
        <v>8.5</v>
      </c>
      <c r="D864">
        <v>19.375</v>
      </c>
      <c r="E864">
        <v>42</v>
      </c>
    </row>
    <row r="865" spans="1:5" x14ac:dyDescent="0.25">
      <c r="A865" s="1">
        <v>44329</v>
      </c>
      <c r="B865" s="2">
        <f>IFERROR(Torres!K864, 0) + IFERROR('San José'!K864, 0) + IFERROR(Terraplaza!K864, 0)</f>
        <v>72.625</v>
      </c>
      <c r="C865">
        <v>8.5</v>
      </c>
      <c r="D865">
        <v>22.625</v>
      </c>
      <c r="E865">
        <v>41.5</v>
      </c>
    </row>
    <row r="866" spans="1:5" x14ac:dyDescent="0.25">
      <c r="A866" s="1">
        <v>44330</v>
      </c>
      <c r="B866" s="2">
        <f>IFERROR(Torres!K865, 0) + IFERROR('San José'!K865, 0) + IFERROR(Terraplaza!K865, 0)</f>
        <v>78.5</v>
      </c>
      <c r="C866">
        <v>6.5</v>
      </c>
      <c r="D866">
        <v>28.5</v>
      </c>
      <c r="E866">
        <v>43.5</v>
      </c>
    </row>
    <row r="867" spans="1:5" x14ac:dyDescent="0.25">
      <c r="A867" s="1">
        <v>44331</v>
      </c>
      <c r="B867" s="2">
        <f>IFERROR(Torres!K866, 0) + IFERROR('San José'!K866, 0) + IFERROR(Terraplaza!K866, 0)</f>
        <v>102</v>
      </c>
      <c r="C867">
        <v>20.5</v>
      </c>
      <c r="D867">
        <v>37</v>
      </c>
      <c r="E867">
        <v>44.5</v>
      </c>
    </row>
    <row r="868" spans="1:5" x14ac:dyDescent="0.25">
      <c r="A868" s="1">
        <v>44332</v>
      </c>
      <c r="B868" s="2">
        <f>IFERROR(Torres!K867, 0) + IFERROR('San José'!K867, 0) + IFERROR(Terraplaza!K867, 0)</f>
        <v>123</v>
      </c>
      <c r="C868">
        <v>25.5</v>
      </c>
      <c r="D868">
        <v>42</v>
      </c>
      <c r="E868">
        <v>55.5</v>
      </c>
    </row>
    <row r="869" spans="1:5" x14ac:dyDescent="0.25">
      <c r="A869" s="1">
        <v>44333</v>
      </c>
      <c r="B869" s="2">
        <f>IFERROR(Torres!K868, 0) + IFERROR('San José'!K868, 0) + IFERROR(Terraplaza!K868, 0)</f>
        <v>73.125</v>
      </c>
      <c r="C869">
        <v>14</v>
      </c>
      <c r="D869">
        <v>28.5</v>
      </c>
      <c r="E869">
        <v>30.625</v>
      </c>
    </row>
    <row r="870" spans="1:5" x14ac:dyDescent="0.25">
      <c r="A870" s="1">
        <v>44334</v>
      </c>
      <c r="B870" s="2">
        <f>IFERROR(Torres!K869, 0) + IFERROR('San José'!K869, 0) + IFERROR(Terraplaza!K869, 0)</f>
        <v>56.375</v>
      </c>
      <c r="C870">
        <v>6.5</v>
      </c>
      <c r="D870">
        <v>21</v>
      </c>
      <c r="E870">
        <v>28.875</v>
      </c>
    </row>
    <row r="871" spans="1:5" x14ac:dyDescent="0.25">
      <c r="A871" s="1">
        <v>44335</v>
      </c>
      <c r="B871" s="2">
        <f>IFERROR(Torres!K870, 0) + IFERROR('San José'!K870, 0) + IFERROR(Terraplaza!K870, 0)</f>
        <v>0</v>
      </c>
      <c r="C871">
        <v>0</v>
      </c>
      <c r="D871">
        <v>0</v>
      </c>
      <c r="E871">
        <v>0</v>
      </c>
    </row>
    <row r="872" spans="1:5" x14ac:dyDescent="0.25">
      <c r="A872" s="1">
        <v>44336</v>
      </c>
      <c r="B872" s="2">
        <f>IFERROR(Torres!K871, 0) + IFERROR('San José'!K871, 0) + IFERROR(Terraplaza!K871, 0)</f>
        <v>66</v>
      </c>
      <c r="C872">
        <v>11.375</v>
      </c>
      <c r="D872">
        <v>16.625</v>
      </c>
      <c r="E872">
        <v>38</v>
      </c>
    </row>
    <row r="873" spans="1:5" x14ac:dyDescent="0.25">
      <c r="A873" s="1">
        <v>44337</v>
      </c>
      <c r="B873" s="2">
        <f>IFERROR(Torres!K872, 0) + IFERROR('San José'!K872, 0) + IFERROR(Terraplaza!K872, 0)</f>
        <v>65</v>
      </c>
      <c r="C873">
        <v>8.875</v>
      </c>
      <c r="D873">
        <v>20.625</v>
      </c>
      <c r="E873">
        <v>35.5</v>
      </c>
    </row>
    <row r="874" spans="1:5" x14ac:dyDescent="0.25">
      <c r="A874" s="1">
        <v>44338</v>
      </c>
      <c r="B874" s="2">
        <f>IFERROR(Torres!K873, 0) + IFERROR('San José'!K873, 0) + IFERROR(Terraplaza!K873, 0)</f>
        <v>80.75</v>
      </c>
      <c r="C874">
        <v>7.5</v>
      </c>
      <c r="D874">
        <v>25.75</v>
      </c>
      <c r="E874">
        <v>47.5</v>
      </c>
    </row>
    <row r="875" spans="1:5" x14ac:dyDescent="0.25">
      <c r="A875" s="1">
        <v>44339</v>
      </c>
      <c r="B875" s="2">
        <f>IFERROR(Torres!K874, 0) + IFERROR('San José'!K874, 0) + IFERROR(Terraplaza!K874, 0)</f>
        <v>88.5</v>
      </c>
      <c r="C875">
        <v>22</v>
      </c>
      <c r="D875">
        <v>24</v>
      </c>
      <c r="E875">
        <v>42.5</v>
      </c>
    </row>
    <row r="876" spans="1:5" x14ac:dyDescent="0.25">
      <c r="A876" s="1">
        <v>44340</v>
      </c>
      <c r="B876" s="2">
        <f>IFERROR(Torres!K875, 0) + IFERROR('San José'!K875, 0) + IFERROR(Terraplaza!K875, 0)</f>
        <v>53</v>
      </c>
      <c r="C876">
        <v>4.75</v>
      </c>
      <c r="D876">
        <v>15.75</v>
      </c>
      <c r="E876">
        <v>32.5</v>
      </c>
    </row>
    <row r="877" spans="1:5" x14ac:dyDescent="0.25">
      <c r="A877" s="1">
        <v>44341</v>
      </c>
      <c r="B877" s="2">
        <f>IFERROR(Torres!K876, 0) + IFERROR('San José'!K876, 0) + IFERROR(Terraplaza!K876, 0)</f>
        <v>45.75</v>
      </c>
      <c r="C877">
        <v>10</v>
      </c>
      <c r="D877">
        <v>14.25</v>
      </c>
      <c r="E877">
        <v>21.5</v>
      </c>
    </row>
    <row r="878" spans="1:5" x14ac:dyDescent="0.25">
      <c r="A878" s="1">
        <v>44342</v>
      </c>
      <c r="B878" s="2">
        <f>IFERROR(Torres!K877, 0) + IFERROR('San José'!K877, 0) + IFERROR(Terraplaza!K877, 0)</f>
        <v>42.5</v>
      </c>
      <c r="C878">
        <v>7.25</v>
      </c>
      <c r="D878">
        <v>11.25</v>
      </c>
      <c r="E878">
        <v>24</v>
      </c>
    </row>
    <row r="879" spans="1:5" x14ac:dyDescent="0.25">
      <c r="A879" s="1">
        <v>44343</v>
      </c>
      <c r="B879" s="2">
        <f>IFERROR(Torres!K878, 0) + IFERROR('San José'!K878, 0) + IFERROR(Terraplaza!K878, 0)</f>
        <v>50.375</v>
      </c>
      <c r="C879">
        <v>8.375</v>
      </c>
      <c r="D879">
        <v>16.5</v>
      </c>
      <c r="E879">
        <v>25.5</v>
      </c>
    </row>
    <row r="880" spans="1:5" x14ac:dyDescent="0.25">
      <c r="A880" s="1">
        <v>44344</v>
      </c>
      <c r="B880" s="2">
        <f>IFERROR(Torres!K879, 0) + IFERROR('San José'!K879, 0) + IFERROR(Terraplaza!K879, 0)</f>
        <v>40.375</v>
      </c>
      <c r="C880">
        <v>4.625</v>
      </c>
      <c r="D880">
        <v>16.25</v>
      </c>
      <c r="E880">
        <v>19.5</v>
      </c>
    </row>
    <row r="881" spans="1:5" x14ac:dyDescent="0.25">
      <c r="A881" s="1">
        <v>44345</v>
      </c>
      <c r="B881" s="2">
        <f>IFERROR(Torres!K880, 0) + IFERROR('San José'!K880, 0) + IFERROR(Terraplaza!K880, 0)</f>
        <v>110.5</v>
      </c>
      <c r="C881">
        <v>23.5</v>
      </c>
      <c r="D881">
        <v>31</v>
      </c>
      <c r="E881">
        <v>56</v>
      </c>
    </row>
    <row r="882" spans="1:5" x14ac:dyDescent="0.25">
      <c r="A882" s="1">
        <v>44346</v>
      </c>
      <c r="B882" s="2">
        <f>IFERROR(Torres!K881, 0) + IFERROR('San José'!K881, 0) + IFERROR(Terraplaza!K881, 0)</f>
        <v>98</v>
      </c>
      <c r="C882">
        <v>18.125</v>
      </c>
      <c r="D882">
        <v>34.875</v>
      </c>
      <c r="E882">
        <v>45</v>
      </c>
    </row>
    <row r="883" spans="1:5" x14ac:dyDescent="0.25">
      <c r="A883" s="1">
        <v>44347</v>
      </c>
      <c r="B883" s="2">
        <f>IFERROR(Torres!K882, 0) + IFERROR('San José'!K882, 0) + IFERROR(Terraplaza!K882, 0)</f>
        <v>50.875</v>
      </c>
      <c r="C883">
        <v>11.75</v>
      </c>
      <c r="D883">
        <v>12.125</v>
      </c>
      <c r="E883">
        <v>27</v>
      </c>
    </row>
    <row r="884" spans="1:5" x14ac:dyDescent="0.25">
      <c r="A884" s="1">
        <v>44348</v>
      </c>
      <c r="B884" s="2">
        <f>IFERROR(Torres!K883, 0) + IFERROR('San José'!K883, 0) + IFERROR(Terraplaza!K883, 0)</f>
        <v>60.25</v>
      </c>
      <c r="C884">
        <v>8.75</v>
      </c>
      <c r="D884">
        <v>20</v>
      </c>
      <c r="E884">
        <v>31.5</v>
      </c>
    </row>
    <row r="885" spans="1:5" x14ac:dyDescent="0.25">
      <c r="A885" s="1">
        <v>44349</v>
      </c>
      <c r="B885" s="2">
        <f>IFERROR(Torres!K884, 0) + IFERROR('San José'!K884, 0) + IFERROR(Terraplaza!K884, 0)</f>
        <v>65</v>
      </c>
      <c r="C885">
        <v>20</v>
      </c>
      <c r="D885">
        <v>21</v>
      </c>
      <c r="E885">
        <v>24</v>
      </c>
    </row>
    <row r="886" spans="1:5" x14ac:dyDescent="0.25">
      <c r="A886" s="1">
        <v>44350</v>
      </c>
      <c r="B886" s="2">
        <f>IFERROR(Torres!K885, 0) + IFERROR('San José'!K885, 0) + IFERROR(Terraplaza!K885, 0)</f>
        <v>68.375</v>
      </c>
      <c r="C886">
        <v>8.875</v>
      </c>
      <c r="D886">
        <v>17.5</v>
      </c>
      <c r="E886">
        <v>42</v>
      </c>
    </row>
    <row r="887" spans="1:5" x14ac:dyDescent="0.25">
      <c r="A887" s="1">
        <v>44351</v>
      </c>
      <c r="B887" s="2">
        <f>IFERROR(Torres!K886, 0) + IFERROR('San José'!K886, 0) + IFERROR(Terraplaza!K886, 0)</f>
        <v>88.375</v>
      </c>
      <c r="C887">
        <v>21.25</v>
      </c>
      <c r="D887">
        <v>21.625</v>
      </c>
      <c r="E887">
        <v>45.5</v>
      </c>
    </row>
    <row r="888" spans="1:5" x14ac:dyDescent="0.25">
      <c r="A888" s="1">
        <v>44352</v>
      </c>
      <c r="B888" s="2">
        <f>IFERROR(Torres!K887, 0) + IFERROR('San José'!K887, 0) + IFERROR(Terraplaza!K887, 0)</f>
        <v>114.375</v>
      </c>
      <c r="C888">
        <v>25.5</v>
      </c>
      <c r="D888">
        <v>29.875</v>
      </c>
      <c r="E888">
        <v>59</v>
      </c>
    </row>
    <row r="889" spans="1:5" x14ac:dyDescent="0.25">
      <c r="A889" s="1">
        <v>44353</v>
      </c>
      <c r="B889" s="2">
        <f>IFERROR(Torres!K888, 0) + IFERROR('San José'!K888, 0) + IFERROR(Terraplaza!K888, 0)</f>
        <v>123.5</v>
      </c>
      <c r="C889">
        <v>30</v>
      </c>
      <c r="D889">
        <v>30</v>
      </c>
      <c r="E889">
        <v>63.5</v>
      </c>
    </row>
    <row r="890" spans="1:5" x14ac:dyDescent="0.25">
      <c r="A890" s="1">
        <v>44354</v>
      </c>
      <c r="B890" s="2">
        <f>IFERROR(Torres!K889, 0) + IFERROR('San José'!K889, 0) + IFERROR(Terraplaza!K889, 0)</f>
        <v>104.75</v>
      </c>
      <c r="C890">
        <v>21.5</v>
      </c>
      <c r="D890">
        <v>23.5</v>
      </c>
      <c r="E890">
        <v>59.75</v>
      </c>
    </row>
    <row r="891" spans="1:5" x14ac:dyDescent="0.25">
      <c r="A891" s="1">
        <v>44355</v>
      </c>
      <c r="B891" s="2">
        <f>IFERROR(Torres!K890, 0) + IFERROR('San José'!K890, 0) + IFERROR(Terraplaza!K890, 0)</f>
        <v>77.375</v>
      </c>
      <c r="C891">
        <v>12.875</v>
      </c>
      <c r="D891">
        <v>19.75</v>
      </c>
      <c r="E891">
        <v>44.75</v>
      </c>
    </row>
    <row r="892" spans="1:5" x14ac:dyDescent="0.25">
      <c r="A892" s="1">
        <v>44356</v>
      </c>
      <c r="B892" s="2">
        <f>IFERROR(Torres!K891, 0) + IFERROR('San José'!K891, 0) + IFERROR(Terraplaza!K891, 0)</f>
        <v>55.5</v>
      </c>
      <c r="C892">
        <v>9.625</v>
      </c>
      <c r="D892">
        <v>11.875</v>
      </c>
      <c r="E892">
        <v>34</v>
      </c>
    </row>
    <row r="893" spans="1:5" x14ac:dyDescent="0.25">
      <c r="A893" s="1">
        <v>44357</v>
      </c>
      <c r="B893" s="2">
        <f>IFERROR(Torres!K892, 0) + IFERROR('San José'!K892, 0) + IFERROR(Terraplaza!K892, 0)</f>
        <v>65.375</v>
      </c>
      <c r="C893">
        <v>13</v>
      </c>
      <c r="D893">
        <v>20.125</v>
      </c>
      <c r="E893">
        <v>32.25</v>
      </c>
    </row>
    <row r="894" spans="1:5" x14ac:dyDescent="0.25">
      <c r="A894" s="1">
        <v>44358</v>
      </c>
      <c r="B894" s="2">
        <f>IFERROR(Torres!K893, 0) + IFERROR('San José'!K893, 0) + IFERROR(Terraplaza!K893, 0)</f>
        <v>79.125</v>
      </c>
      <c r="C894">
        <v>18.5</v>
      </c>
      <c r="D894">
        <v>15.75</v>
      </c>
      <c r="E894">
        <v>44.875</v>
      </c>
    </row>
    <row r="895" spans="1:5" x14ac:dyDescent="0.25">
      <c r="A895" s="1">
        <v>44359</v>
      </c>
      <c r="B895" s="2">
        <f>IFERROR(Torres!K894, 0) + IFERROR('San José'!K894, 0) + IFERROR(Terraplaza!K894, 0)</f>
        <v>95.5</v>
      </c>
      <c r="C895">
        <v>26.25</v>
      </c>
      <c r="D895">
        <v>24.375</v>
      </c>
      <c r="E895">
        <v>44.875</v>
      </c>
    </row>
    <row r="896" spans="1:5" x14ac:dyDescent="0.25">
      <c r="A896" s="1">
        <v>44360</v>
      </c>
      <c r="B896" s="2">
        <f>IFERROR(Torres!K895, 0) + IFERROR('San José'!K895, 0) + IFERROR(Terraplaza!K895, 0)</f>
        <v>91.375</v>
      </c>
      <c r="C896">
        <v>19.5</v>
      </c>
      <c r="D896">
        <v>28.875</v>
      </c>
      <c r="E896">
        <v>43</v>
      </c>
    </row>
    <row r="897" spans="1:5" x14ac:dyDescent="0.25">
      <c r="A897" s="1">
        <v>44361</v>
      </c>
      <c r="B897" s="2">
        <f>IFERROR(Torres!K896, 0) + IFERROR('San José'!K896, 0) + IFERROR(Terraplaza!K896, 0)</f>
        <v>81</v>
      </c>
      <c r="C897">
        <v>18.5</v>
      </c>
      <c r="D897">
        <v>15.5</v>
      </c>
      <c r="E897">
        <v>47</v>
      </c>
    </row>
    <row r="898" spans="1:5" x14ac:dyDescent="0.25">
      <c r="A898" s="1">
        <v>44362</v>
      </c>
      <c r="B898" s="2">
        <f>IFERROR(Torres!K897, 0) + IFERROR('San José'!K897, 0) + IFERROR(Terraplaza!K897, 0)</f>
        <v>87.625</v>
      </c>
      <c r="C898">
        <v>32</v>
      </c>
      <c r="D898">
        <v>17.625</v>
      </c>
      <c r="E898">
        <v>38</v>
      </c>
    </row>
    <row r="899" spans="1:5" x14ac:dyDescent="0.25">
      <c r="A899" s="1">
        <v>44363</v>
      </c>
      <c r="B899" s="2">
        <f>IFERROR(Torres!K898, 0) + IFERROR('San José'!K898, 0) + IFERROR(Terraplaza!K898, 0)</f>
        <v>82.75</v>
      </c>
      <c r="C899">
        <v>24</v>
      </c>
      <c r="D899">
        <v>15.75</v>
      </c>
      <c r="E899">
        <v>43</v>
      </c>
    </row>
    <row r="900" spans="1:5" x14ac:dyDescent="0.25">
      <c r="A900" s="1">
        <v>44364</v>
      </c>
      <c r="B900" s="2">
        <f>IFERROR(Torres!K899, 0) + IFERROR('San José'!K899, 0) + IFERROR(Terraplaza!K899, 0)</f>
        <v>85.5</v>
      </c>
      <c r="C900">
        <v>21.5</v>
      </c>
      <c r="D900">
        <v>15</v>
      </c>
      <c r="E900">
        <v>49</v>
      </c>
    </row>
    <row r="901" spans="1:5" x14ac:dyDescent="0.25">
      <c r="A901" s="1">
        <v>44365</v>
      </c>
      <c r="B901" s="2">
        <f>IFERROR(Torres!K900, 0) + IFERROR('San José'!K900, 0) + IFERROR(Terraplaza!K900, 0)</f>
        <v>100</v>
      </c>
      <c r="C901">
        <v>38.5</v>
      </c>
      <c r="D901">
        <v>15.5</v>
      </c>
      <c r="E901">
        <v>46</v>
      </c>
    </row>
    <row r="902" spans="1:5" x14ac:dyDescent="0.25">
      <c r="A902" s="1">
        <v>44366</v>
      </c>
      <c r="B902" s="2">
        <f>IFERROR(Torres!K901, 0) + IFERROR('San José'!K901, 0) + IFERROR(Terraplaza!K901, 0)</f>
        <v>116.625</v>
      </c>
      <c r="C902">
        <v>28</v>
      </c>
      <c r="D902">
        <v>30.625</v>
      </c>
      <c r="E902">
        <v>58</v>
      </c>
    </row>
    <row r="903" spans="1:5" x14ac:dyDescent="0.25">
      <c r="A903" s="1">
        <v>44367</v>
      </c>
      <c r="B903" s="2">
        <f>IFERROR(Torres!K902, 0) + IFERROR('San José'!K902, 0) + IFERROR(Terraplaza!K902, 0)</f>
        <v>107.125</v>
      </c>
      <c r="C903">
        <v>25</v>
      </c>
      <c r="D903">
        <v>29.25</v>
      </c>
      <c r="E903">
        <v>52.875</v>
      </c>
    </row>
    <row r="904" spans="1:5" x14ac:dyDescent="0.25">
      <c r="A904" s="1">
        <v>44368</v>
      </c>
      <c r="B904" s="2">
        <f>IFERROR(Torres!K903, 0) + IFERROR('San José'!K903, 0) + IFERROR(Terraplaza!K903, 0)</f>
        <v>60.875</v>
      </c>
      <c r="C904">
        <v>16</v>
      </c>
      <c r="D904">
        <v>15.75</v>
      </c>
      <c r="E904">
        <v>29.125</v>
      </c>
    </row>
    <row r="905" spans="1:5" x14ac:dyDescent="0.25">
      <c r="A905" s="1">
        <v>44369</v>
      </c>
      <c r="B905" s="2">
        <f>IFERROR(Torres!K904, 0) + IFERROR('San José'!K904, 0) + IFERROR(Terraplaza!K904, 0)</f>
        <v>62.625</v>
      </c>
      <c r="C905">
        <v>14</v>
      </c>
      <c r="D905">
        <v>10.375</v>
      </c>
      <c r="E905">
        <v>38.25</v>
      </c>
    </row>
    <row r="906" spans="1:5" x14ac:dyDescent="0.25">
      <c r="A906" s="1">
        <v>44370</v>
      </c>
      <c r="B906" s="2">
        <f>IFERROR(Torres!K905, 0) + IFERROR('San José'!K905, 0) + IFERROR(Terraplaza!K905, 0)</f>
        <v>43</v>
      </c>
      <c r="C906">
        <v>5</v>
      </c>
      <c r="D906">
        <v>14</v>
      </c>
      <c r="E906">
        <v>24</v>
      </c>
    </row>
    <row r="907" spans="1:5" x14ac:dyDescent="0.25">
      <c r="A907" s="1">
        <v>44371</v>
      </c>
      <c r="B907" s="2">
        <f>IFERROR(Torres!K906, 0) + IFERROR('San José'!K906, 0) + IFERROR(Terraplaza!K906, 0)</f>
        <v>88.75</v>
      </c>
      <c r="C907">
        <v>29.625</v>
      </c>
      <c r="D907">
        <v>21.375</v>
      </c>
      <c r="E907">
        <v>37.75</v>
      </c>
    </row>
    <row r="908" spans="1:5" x14ac:dyDescent="0.25">
      <c r="A908" s="1">
        <v>44372</v>
      </c>
      <c r="B908" s="2">
        <f>IFERROR(Torres!K907, 0) + IFERROR('San José'!K907, 0) + IFERROR(Terraplaza!K907, 0)</f>
        <v>106</v>
      </c>
      <c r="C908">
        <v>31.375</v>
      </c>
      <c r="D908">
        <v>25.625</v>
      </c>
      <c r="E908">
        <v>49</v>
      </c>
    </row>
    <row r="909" spans="1:5" x14ac:dyDescent="0.25">
      <c r="A909" s="1">
        <v>44373</v>
      </c>
      <c r="B909" s="2">
        <f>IFERROR(Torres!K908, 0) + IFERROR('San José'!K908, 0) + IFERROR(Terraplaza!K908, 0)</f>
        <v>120.625</v>
      </c>
      <c r="C909">
        <v>38</v>
      </c>
      <c r="D909">
        <v>25.625</v>
      </c>
      <c r="E909">
        <v>57</v>
      </c>
    </row>
    <row r="910" spans="1:5" x14ac:dyDescent="0.25">
      <c r="A910" s="1">
        <v>44374</v>
      </c>
      <c r="B910" s="2">
        <f>IFERROR(Torres!K909, 0) + IFERROR('San José'!K909, 0) + IFERROR(Terraplaza!K909, 0)</f>
        <v>126.25</v>
      </c>
      <c r="C910">
        <v>43.25</v>
      </c>
      <c r="D910">
        <v>26</v>
      </c>
      <c r="E910">
        <v>57</v>
      </c>
    </row>
    <row r="911" spans="1:5" x14ac:dyDescent="0.25">
      <c r="A911" s="1">
        <v>44375</v>
      </c>
      <c r="B911" s="2">
        <f>IFERROR(Torres!K910, 0) + IFERROR('San José'!K910, 0) + IFERROR(Terraplaza!K910, 0)</f>
        <v>64.5</v>
      </c>
      <c r="C911">
        <v>13.75</v>
      </c>
      <c r="D911">
        <v>19.25</v>
      </c>
      <c r="E911">
        <v>31.5</v>
      </c>
    </row>
    <row r="912" spans="1:5" x14ac:dyDescent="0.25">
      <c r="A912" s="1">
        <v>44376</v>
      </c>
      <c r="B912" s="2">
        <f>IFERROR(Torres!K911, 0) + IFERROR('San José'!K911, 0) + IFERROR(Terraplaza!K911, 0)</f>
        <v>87.125</v>
      </c>
      <c r="C912">
        <v>32.25</v>
      </c>
      <c r="D912">
        <v>19.375</v>
      </c>
      <c r="E912">
        <v>35.5</v>
      </c>
    </row>
    <row r="913" spans="1:5" x14ac:dyDescent="0.25">
      <c r="A913" s="1">
        <v>44377</v>
      </c>
      <c r="B913" s="2">
        <f>IFERROR(Torres!K912, 0) + IFERROR('San José'!K912, 0) + IFERROR(Terraplaza!K912, 0)</f>
        <v>89.125</v>
      </c>
      <c r="C913">
        <v>23</v>
      </c>
      <c r="D913">
        <v>18.125</v>
      </c>
      <c r="E913">
        <v>48</v>
      </c>
    </row>
    <row r="914" spans="1:5" x14ac:dyDescent="0.25">
      <c r="A914" s="1">
        <v>44378</v>
      </c>
      <c r="B914" s="2">
        <f>IFERROR(Torres!K913, 0) + IFERROR('San José'!K913, 0) + IFERROR(Terraplaza!K913, 0)</f>
        <v>80</v>
      </c>
      <c r="C914">
        <v>22.125</v>
      </c>
      <c r="D914">
        <v>14.875</v>
      </c>
      <c r="E914">
        <v>43</v>
      </c>
    </row>
    <row r="915" spans="1:5" x14ac:dyDescent="0.25">
      <c r="A915" s="1">
        <v>44379</v>
      </c>
      <c r="B915" s="2">
        <f>IFERROR(Torres!K914, 0) + IFERROR('San José'!K914, 0) + IFERROR(Terraplaza!K914, 0)</f>
        <v>79.625</v>
      </c>
      <c r="C915">
        <v>22</v>
      </c>
      <c r="D915">
        <v>18.625</v>
      </c>
      <c r="E915">
        <v>39</v>
      </c>
    </row>
    <row r="916" spans="1:5" x14ac:dyDescent="0.25">
      <c r="A916" s="1">
        <v>44380</v>
      </c>
      <c r="B916" s="2">
        <f>IFERROR(Torres!K915, 0) + IFERROR('San José'!K915, 0) + IFERROR(Terraplaza!K915, 0)</f>
        <v>114.875</v>
      </c>
      <c r="C916">
        <v>35.875</v>
      </c>
      <c r="D916">
        <v>25</v>
      </c>
      <c r="E916">
        <v>54</v>
      </c>
    </row>
    <row r="917" spans="1:5" x14ac:dyDescent="0.25">
      <c r="A917" s="1">
        <v>44381</v>
      </c>
      <c r="B917" s="2">
        <f>IFERROR(Torres!K916, 0) + IFERROR('San José'!K916, 0) + IFERROR(Terraplaza!K916, 0)</f>
        <v>122.75</v>
      </c>
      <c r="C917">
        <v>41.25</v>
      </c>
      <c r="D917">
        <v>25.5</v>
      </c>
      <c r="E917">
        <v>56</v>
      </c>
    </row>
    <row r="918" spans="1:5" x14ac:dyDescent="0.25">
      <c r="A918" s="1">
        <v>44382</v>
      </c>
      <c r="B918" s="2">
        <f>IFERROR(Torres!K917, 0) + IFERROR('San José'!K917, 0) + IFERROR(Terraplaza!K917, 0)</f>
        <v>101.75</v>
      </c>
      <c r="C918">
        <v>31.75</v>
      </c>
      <c r="D918">
        <v>20</v>
      </c>
      <c r="E918">
        <v>50</v>
      </c>
    </row>
    <row r="919" spans="1:5" x14ac:dyDescent="0.25">
      <c r="A919" s="1">
        <v>44383</v>
      </c>
      <c r="B919" s="2">
        <f>IFERROR(Torres!K918, 0) + IFERROR('San José'!K918, 0) + IFERROR(Terraplaza!K918, 0)</f>
        <v>73.375</v>
      </c>
      <c r="C919">
        <v>17.75</v>
      </c>
      <c r="D919">
        <v>15.5</v>
      </c>
      <c r="E919">
        <v>40.125</v>
      </c>
    </row>
    <row r="920" spans="1:5" x14ac:dyDescent="0.25">
      <c r="A920" s="1">
        <v>44384</v>
      </c>
      <c r="B920" s="2">
        <f>IFERROR(Torres!K919, 0) + IFERROR('San José'!K919, 0) + IFERROR(Terraplaza!K919, 0)</f>
        <v>57</v>
      </c>
      <c r="C920">
        <v>12.75</v>
      </c>
      <c r="D920">
        <v>12.375</v>
      </c>
      <c r="E920">
        <v>31.875</v>
      </c>
    </row>
    <row r="921" spans="1:5" x14ac:dyDescent="0.25">
      <c r="A921" s="1">
        <v>44385</v>
      </c>
      <c r="B921" s="2">
        <f>IFERROR(Torres!K920, 0) + IFERROR('San José'!K920, 0) + IFERROR(Terraplaza!K920, 0)</f>
        <v>55.25</v>
      </c>
      <c r="C921">
        <v>15</v>
      </c>
      <c r="D921">
        <v>8.25</v>
      </c>
      <c r="E921">
        <v>32</v>
      </c>
    </row>
    <row r="922" spans="1:5" x14ac:dyDescent="0.25">
      <c r="A922" s="1">
        <v>44386</v>
      </c>
      <c r="B922" s="2">
        <f>IFERROR(Torres!K921, 0) + IFERROR('San José'!K921, 0) + IFERROR(Terraplaza!K921, 0)</f>
        <v>89.375</v>
      </c>
      <c r="C922">
        <v>20.5</v>
      </c>
      <c r="D922">
        <v>17.875</v>
      </c>
      <c r="E922">
        <v>51</v>
      </c>
    </row>
    <row r="923" spans="1:5" x14ac:dyDescent="0.25">
      <c r="A923" s="1">
        <v>44387</v>
      </c>
      <c r="B923" s="2">
        <f>IFERROR(Torres!K922, 0) + IFERROR('San José'!K922, 0) + IFERROR(Terraplaza!K922, 0)</f>
        <v>109.25</v>
      </c>
      <c r="C923">
        <v>30.75</v>
      </c>
      <c r="D923">
        <v>24.5</v>
      </c>
      <c r="E923">
        <v>54</v>
      </c>
    </row>
    <row r="924" spans="1:5" x14ac:dyDescent="0.25">
      <c r="A924" s="1">
        <v>44388</v>
      </c>
      <c r="B924" s="2">
        <f>IFERROR(Torres!K923, 0) + IFERROR('San José'!K923, 0) + IFERROR(Terraplaza!K923, 0)</f>
        <v>114.75</v>
      </c>
      <c r="C924">
        <v>35.25</v>
      </c>
      <c r="D924">
        <v>25.5</v>
      </c>
      <c r="E924">
        <v>54</v>
      </c>
    </row>
    <row r="925" spans="1:5" x14ac:dyDescent="0.25">
      <c r="A925" s="1">
        <v>44389</v>
      </c>
      <c r="B925" s="2">
        <f>IFERROR(Torres!K924, 0) + IFERROR('San José'!K924, 0) + IFERROR(Terraplaza!K924, 0)</f>
        <v>58.25</v>
      </c>
      <c r="C925">
        <v>14.25</v>
      </c>
      <c r="D925">
        <v>12</v>
      </c>
      <c r="E925">
        <v>32</v>
      </c>
    </row>
    <row r="926" spans="1:5" x14ac:dyDescent="0.25">
      <c r="A926" s="1">
        <v>44390</v>
      </c>
      <c r="B926" s="2">
        <f>IFERROR(Torres!K925, 0) + IFERROR('San José'!K925, 0) + IFERROR(Terraplaza!K925, 0)</f>
        <v>67.75</v>
      </c>
      <c r="C926">
        <v>18.25</v>
      </c>
      <c r="D926">
        <v>14.5</v>
      </c>
      <c r="E926">
        <v>35</v>
      </c>
    </row>
    <row r="927" spans="1:5" x14ac:dyDescent="0.25">
      <c r="A927" s="1">
        <v>44391</v>
      </c>
      <c r="B927" s="2">
        <f>IFERROR(Torres!K926, 0) + IFERROR('San José'!K926, 0) + IFERROR(Terraplaza!K926, 0)</f>
        <v>65</v>
      </c>
      <c r="C927">
        <v>18.5</v>
      </c>
      <c r="D927">
        <v>16.5</v>
      </c>
      <c r="E927">
        <v>30</v>
      </c>
    </row>
    <row r="928" spans="1:5" x14ac:dyDescent="0.25">
      <c r="A928" s="1">
        <v>44392</v>
      </c>
      <c r="B928" s="2">
        <f>IFERROR(Torres!K927, 0) + IFERROR('San José'!K927, 0) + IFERROR(Terraplaza!K927, 0)</f>
        <v>74.75</v>
      </c>
      <c r="C928">
        <v>19.25</v>
      </c>
      <c r="D928">
        <v>13.5</v>
      </c>
      <c r="E928">
        <v>42</v>
      </c>
    </row>
    <row r="929" spans="1:5" x14ac:dyDescent="0.25">
      <c r="A929" s="1">
        <v>44393</v>
      </c>
      <c r="B929" s="2">
        <f>IFERROR(Torres!K928, 0) + IFERROR('San José'!K928, 0) + IFERROR(Terraplaza!K928, 0)</f>
        <v>80.75</v>
      </c>
      <c r="C929">
        <v>26.5</v>
      </c>
      <c r="D929">
        <v>16.25</v>
      </c>
      <c r="E929">
        <v>38</v>
      </c>
    </row>
    <row r="930" spans="1:5" x14ac:dyDescent="0.25">
      <c r="A930" s="1">
        <v>44394</v>
      </c>
      <c r="B930" s="2">
        <f>IFERROR(Torres!K929, 0) + IFERROR('San José'!K929, 0) + IFERROR(Terraplaza!K929, 0)</f>
        <v>130.75</v>
      </c>
      <c r="C930">
        <v>44.5</v>
      </c>
      <c r="D930">
        <v>16.75</v>
      </c>
      <c r="E930">
        <v>69.5</v>
      </c>
    </row>
    <row r="931" spans="1:5" x14ac:dyDescent="0.25">
      <c r="A931" s="1">
        <v>44395</v>
      </c>
      <c r="B931" s="2">
        <f>IFERROR(Torres!K930, 0) + IFERROR('San José'!K930, 0) + IFERROR(Terraplaza!K930, 0)</f>
        <v>135</v>
      </c>
      <c r="C931">
        <v>47.5</v>
      </c>
      <c r="D931">
        <v>24</v>
      </c>
      <c r="E931">
        <v>63.5</v>
      </c>
    </row>
    <row r="932" spans="1:5" x14ac:dyDescent="0.25">
      <c r="A932" s="1">
        <v>44396</v>
      </c>
      <c r="B932" s="2">
        <f>IFERROR(Torres!K931, 0) + IFERROR('San José'!K931, 0) + IFERROR(Terraplaza!K931, 0)</f>
        <v>56</v>
      </c>
      <c r="C932">
        <v>17</v>
      </c>
      <c r="D932">
        <v>12</v>
      </c>
      <c r="E932">
        <v>27</v>
      </c>
    </row>
    <row r="933" spans="1:5" x14ac:dyDescent="0.25">
      <c r="A933" s="1">
        <v>44397</v>
      </c>
      <c r="B933" s="2">
        <f>IFERROR(Torres!K932, 0) + IFERROR('San José'!K932, 0) + IFERROR(Terraplaza!K932, 0)</f>
        <v>59</v>
      </c>
      <c r="C933">
        <v>0</v>
      </c>
      <c r="D933">
        <v>15</v>
      </c>
      <c r="E933">
        <v>44</v>
      </c>
    </row>
    <row r="934" spans="1:5" x14ac:dyDescent="0.25">
      <c r="A934" s="1">
        <v>44398</v>
      </c>
      <c r="B934" s="2">
        <f>IFERROR(Torres!K933, 0) + IFERROR('San José'!K933, 0) + IFERROR(Terraplaza!K933, 0)</f>
        <v>60.75</v>
      </c>
      <c r="C934">
        <v>15</v>
      </c>
      <c r="D934">
        <v>16.75</v>
      </c>
      <c r="E934">
        <v>29</v>
      </c>
    </row>
    <row r="935" spans="1:5" x14ac:dyDescent="0.25">
      <c r="A935" s="1">
        <v>44399</v>
      </c>
      <c r="B935" s="2">
        <f>IFERROR(Torres!K934, 0) + IFERROR('San José'!K934, 0) + IFERROR(Terraplaza!K934, 0)</f>
        <v>59</v>
      </c>
      <c r="C935">
        <v>9.5</v>
      </c>
      <c r="D935">
        <v>10.5</v>
      </c>
      <c r="E935">
        <v>39</v>
      </c>
    </row>
    <row r="936" spans="1:5" x14ac:dyDescent="0.25">
      <c r="A936" s="1">
        <v>44400</v>
      </c>
      <c r="B936" s="2">
        <f>IFERROR(Torres!K935, 0) + IFERROR('San José'!K935, 0) + IFERROR(Terraplaza!K935, 0)</f>
        <v>63</v>
      </c>
      <c r="C936">
        <v>16.25</v>
      </c>
      <c r="D936">
        <v>16.75</v>
      </c>
      <c r="E936">
        <v>30</v>
      </c>
    </row>
    <row r="937" spans="1:5" x14ac:dyDescent="0.25">
      <c r="A937" s="1">
        <v>44401</v>
      </c>
      <c r="B937" s="2">
        <f>IFERROR(Torres!K936, 0) + IFERROR('San José'!K936, 0) + IFERROR(Terraplaza!K936, 0)</f>
        <v>109.125</v>
      </c>
      <c r="C937">
        <v>29.75</v>
      </c>
      <c r="D937">
        <v>26</v>
      </c>
      <c r="E937">
        <v>53.375</v>
      </c>
    </row>
    <row r="938" spans="1:5" x14ac:dyDescent="0.25">
      <c r="A938" s="1">
        <v>44402</v>
      </c>
      <c r="B938" s="2">
        <f>IFERROR(Torres!K937, 0) + IFERROR('San José'!K937, 0) + IFERROR(Terraplaza!K937, 0)</f>
        <v>122.375</v>
      </c>
      <c r="C938">
        <v>40.25</v>
      </c>
      <c r="D938">
        <v>23.5</v>
      </c>
      <c r="E938">
        <v>58.625</v>
      </c>
    </row>
    <row r="939" spans="1:5" x14ac:dyDescent="0.25">
      <c r="A939" s="1">
        <v>44403</v>
      </c>
      <c r="B939" s="2">
        <f>IFERROR(Torres!K938, 0) + IFERROR('San José'!K938, 0) + IFERROR(Terraplaza!K938, 0)</f>
        <v>66</v>
      </c>
      <c r="C939">
        <v>17.25</v>
      </c>
      <c r="D939">
        <v>12.75</v>
      </c>
      <c r="E939">
        <v>36</v>
      </c>
    </row>
    <row r="940" spans="1:5" x14ac:dyDescent="0.25">
      <c r="A940" s="1">
        <v>44404</v>
      </c>
      <c r="B940" s="2">
        <f>IFERROR(Torres!K939, 0) + IFERROR('San José'!K939, 0) + IFERROR(Terraplaza!K939, 0)</f>
        <v>55.75</v>
      </c>
      <c r="C940">
        <v>15.5</v>
      </c>
      <c r="D940">
        <v>9.25</v>
      </c>
      <c r="E940">
        <v>31</v>
      </c>
    </row>
    <row r="941" spans="1:5" x14ac:dyDescent="0.25">
      <c r="A941" s="1">
        <v>44405</v>
      </c>
      <c r="B941" s="2">
        <f>IFERROR(Torres!K940, 0) + IFERROR('San José'!K940, 0) + IFERROR(Terraplaza!K940, 0)</f>
        <v>81.125</v>
      </c>
      <c r="C941">
        <v>24.125</v>
      </c>
      <c r="D941">
        <v>12</v>
      </c>
      <c r="E941">
        <v>45</v>
      </c>
    </row>
    <row r="942" spans="1:5" x14ac:dyDescent="0.25">
      <c r="A942" s="1">
        <v>44406</v>
      </c>
      <c r="B942" s="2">
        <f>IFERROR(Torres!K941, 0) + IFERROR('San José'!K941, 0) + IFERROR(Terraplaza!K941, 0)</f>
        <v>61.375</v>
      </c>
      <c r="C942">
        <v>12.375</v>
      </c>
      <c r="D942">
        <v>15</v>
      </c>
      <c r="E942">
        <v>34</v>
      </c>
    </row>
    <row r="943" spans="1:5" x14ac:dyDescent="0.25">
      <c r="A943" s="1">
        <v>44407</v>
      </c>
      <c r="B943" s="2">
        <f>IFERROR(Torres!K942, 0) + IFERROR('San José'!K942, 0) + IFERROR(Terraplaza!K942, 0)</f>
        <v>79</v>
      </c>
      <c r="C943">
        <v>20.5</v>
      </c>
      <c r="D943">
        <v>17.5</v>
      </c>
      <c r="E943">
        <v>41</v>
      </c>
    </row>
    <row r="944" spans="1:5" x14ac:dyDescent="0.25">
      <c r="A944" s="1">
        <v>44408</v>
      </c>
      <c r="B944" s="2">
        <f>IFERROR(Torres!K943, 0) + IFERROR('San José'!K943, 0) + IFERROR(Terraplaza!K943, 0)</f>
        <v>127</v>
      </c>
      <c r="C944">
        <v>49.5</v>
      </c>
      <c r="D944">
        <v>29.5</v>
      </c>
      <c r="E944">
        <v>48</v>
      </c>
    </row>
    <row r="945" spans="1:5" x14ac:dyDescent="0.25">
      <c r="A945" s="1">
        <v>44409</v>
      </c>
      <c r="B945" s="2">
        <f>IFERROR(Torres!K944, 0) + IFERROR('San José'!K944, 0) + IFERROR(Terraplaza!K944, 0)</f>
        <v>102.75</v>
      </c>
      <c r="C945">
        <v>41</v>
      </c>
      <c r="D945">
        <v>16.75</v>
      </c>
      <c r="E945">
        <v>45</v>
      </c>
    </row>
    <row r="946" spans="1:5" x14ac:dyDescent="0.25">
      <c r="A946" s="1">
        <v>44410</v>
      </c>
      <c r="B946" s="2">
        <f>IFERROR(Torres!K945, 0) + IFERROR('San José'!K945, 0) + IFERROR(Terraplaza!K945, 0)</f>
        <v>54.25</v>
      </c>
      <c r="C946">
        <v>10.75</v>
      </c>
      <c r="D946">
        <v>13</v>
      </c>
      <c r="E946">
        <v>30.5</v>
      </c>
    </row>
    <row r="947" spans="1:5" x14ac:dyDescent="0.25">
      <c r="A947" s="1">
        <v>44411</v>
      </c>
      <c r="B947" s="2">
        <f>IFERROR(Torres!K946, 0) + IFERROR('San José'!K946, 0) + IFERROR(Terraplaza!K946, 0)</f>
        <v>73.875</v>
      </c>
      <c r="C947">
        <v>18.75</v>
      </c>
      <c r="D947">
        <v>20.625</v>
      </c>
      <c r="E947">
        <v>34.5</v>
      </c>
    </row>
    <row r="948" spans="1:5" x14ac:dyDescent="0.25">
      <c r="A948" s="1">
        <v>44412</v>
      </c>
      <c r="B948" s="2">
        <f>IFERROR(Torres!K947, 0) + IFERROR('San José'!K947, 0) + IFERROR(Terraplaza!K947, 0)</f>
        <v>63.25</v>
      </c>
      <c r="C948">
        <v>25</v>
      </c>
      <c r="D948">
        <v>12.25</v>
      </c>
      <c r="E948">
        <v>26</v>
      </c>
    </row>
    <row r="949" spans="1:5" x14ac:dyDescent="0.25">
      <c r="A949" s="1">
        <v>44413</v>
      </c>
      <c r="B949" s="2">
        <f>IFERROR(Torres!K948, 0) + IFERROR('San José'!K948, 0) + IFERROR(Terraplaza!K948, 0)</f>
        <v>69.75</v>
      </c>
      <c r="C949">
        <v>20.75</v>
      </c>
      <c r="D949">
        <v>14</v>
      </c>
      <c r="E949">
        <v>35</v>
      </c>
    </row>
    <row r="950" spans="1:5" x14ac:dyDescent="0.25">
      <c r="A950" s="1">
        <v>44414</v>
      </c>
      <c r="B950" s="2">
        <f>IFERROR(Torres!K949, 0) + IFERROR('San José'!K949, 0) + IFERROR(Terraplaza!K949, 0)</f>
        <v>80.625</v>
      </c>
      <c r="C950">
        <v>31.25</v>
      </c>
      <c r="D950">
        <v>11.375</v>
      </c>
      <c r="E950">
        <v>38</v>
      </c>
    </row>
    <row r="951" spans="1:5" x14ac:dyDescent="0.25">
      <c r="A951" s="1">
        <v>44415</v>
      </c>
      <c r="B951" s="2">
        <f>IFERROR(Torres!K950, 0) + IFERROR('San José'!K950, 0) + IFERROR(Terraplaza!K950, 0)</f>
        <v>101</v>
      </c>
      <c r="C951">
        <v>33</v>
      </c>
      <c r="D951">
        <v>22</v>
      </c>
      <c r="E951">
        <v>46</v>
      </c>
    </row>
    <row r="952" spans="1:5" x14ac:dyDescent="0.25">
      <c r="A952" s="1">
        <v>44416</v>
      </c>
      <c r="B952" s="2">
        <f>IFERROR(Torres!K951, 0) + IFERROR('San José'!K951, 0) + IFERROR(Terraplaza!K951, 0)</f>
        <v>104.5</v>
      </c>
      <c r="C952">
        <v>31.25</v>
      </c>
      <c r="D952">
        <v>23.25</v>
      </c>
      <c r="E952">
        <v>50</v>
      </c>
    </row>
    <row r="953" spans="1:5" x14ac:dyDescent="0.25">
      <c r="A953" s="1">
        <v>44417</v>
      </c>
      <c r="B953" s="2">
        <f>IFERROR(Torres!K952, 0) + IFERROR('San José'!K952, 0) + IFERROR(Terraplaza!K952, 0)</f>
        <v>51.5</v>
      </c>
      <c r="C953">
        <v>8.75</v>
      </c>
      <c r="D953">
        <v>14.75</v>
      </c>
      <c r="E953">
        <v>28</v>
      </c>
    </row>
    <row r="954" spans="1:5" x14ac:dyDescent="0.25">
      <c r="A954" s="1">
        <v>44418</v>
      </c>
      <c r="B954" s="2">
        <f>IFERROR(Torres!K953, 0) + IFERROR('San José'!K953, 0) + IFERROR(Terraplaza!K953, 0)</f>
        <v>68.099999999999994</v>
      </c>
      <c r="C954">
        <v>17.125</v>
      </c>
      <c r="D954">
        <v>12.975</v>
      </c>
      <c r="E954">
        <v>38</v>
      </c>
    </row>
    <row r="955" spans="1:5" x14ac:dyDescent="0.25">
      <c r="A955" s="1">
        <v>44419</v>
      </c>
      <c r="B955" s="2">
        <f>IFERROR(Torres!K954, 0) + IFERROR('San José'!K954, 0) + IFERROR(Terraplaza!K954, 0)</f>
        <v>73.150000000000006</v>
      </c>
      <c r="C955">
        <v>26.875</v>
      </c>
      <c r="D955">
        <v>11.275</v>
      </c>
      <c r="E955">
        <v>35</v>
      </c>
    </row>
    <row r="956" spans="1:5" x14ac:dyDescent="0.25">
      <c r="A956" s="1">
        <v>44420</v>
      </c>
      <c r="B956" s="2">
        <f>IFERROR(Torres!K955, 0) + IFERROR('San José'!K955, 0) + IFERROR(Terraplaza!K955, 0)</f>
        <v>44.5</v>
      </c>
      <c r="C956">
        <v>7.5</v>
      </c>
      <c r="D956">
        <v>11</v>
      </c>
      <c r="E956">
        <v>26</v>
      </c>
    </row>
    <row r="957" spans="1:5" x14ac:dyDescent="0.25">
      <c r="A957" s="1">
        <v>44421</v>
      </c>
      <c r="B957" s="2">
        <f>IFERROR(Torres!K956, 0) + IFERROR('San José'!K956, 0) + IFERROR(Terraplaza!K956, 0)</f>
        <v>70.25</v>
      </c>
      <c r="C957">
        <v>14</v>
      </c>
      <c r="D957">
        <v>15.25</v>
      </c>
      <c r="E957">
        <v>41</v>
      </c>
    </row>
    <row r="958" spans="1:5" x14ac:dyDescent="0.25">
      <c r="A958" s="1">
        <v>44422</v>
      </c>
      <c r="B958" s="2">
        <f>IFERROR(Torres!K957, 0) + IFERROR('San José'!K957, 0) + IFERROR(Terraplaza!K957, 0)</f>
        <v>89.75</v>
      </c>
      <c r="C958">
        <v>23</v>
      </c>
      <c r="D958">
        <v>22.75</v>
      </c>
      <c r="E958">
        <v>44</v>
      </c>
    </row>
    <row r="959" spans="1:5" x14ac:dyDescent="0.25">
      <c r="A959" s="1">
        <v>44423</v>
      </c>
      <c r="B959" s="2">
        <f>IFERROR(Torres!K958, 0) + IFERROR('San José'!K958, 0) + IFERROR(Terraplaza!K958, 0)</f>
        <v>109.75</v>
      </c>
      <c r="C959">
        <v>35.5</v>
      </c>
      <c r="D959">
        <v>18.25</v>
      </c>
      <c r="E959">
        <v>56</v>
      </c>
    </row>
    <row r="960" spans="1:5" x14ac:dyDescent="0.25">
      <c r="A960" s="1">
        <v>44424</v>
      </c>
      <c r="B960" s="2">
        <f>IFERROR(Torres!K959, 0) + IFERROR('San José'!K959, 0) + IFERROR(Terraplaza!K959, 0)</f>
        <v>96.875</v>
      </c>
      <c r="C960">
        <v>31.125</v>
      </c>
      <c r="D960">
        <v>21.75</v>
      </c>
      <c r="E960">
        <v>44</v>
      </c>
    </row>
    <row r="961" spans="1:5" x14ac:dyDescent="0.25">
      <c r="A961" s="1">
        <v>44425</v>
      </c>
      <c r="B961" s="2">
        <f>IFERROR(Torres!K960, 0) + IFERROR('San José'!K960, 0) + IFERROR(Terraplaza!K960, 0)</f>
        <v>67.5</v>
      </c>
      <c r="C961">
        <v>21.875</v>
      </c>
      <c r="D961">
        <v>10.625</v>
      </c>
      <c r="E961">
        <v>35</v>
      </c>
    </row>
    <row r="962" spans="1:5" x14ac:dyDescent="0.25">
      <c r="A962" s="1">
        <v>44426</v>
      </c>
      <c r="B962" s="2">
        <f>IFERROR(Torres!K961, 0) + IFERROR('San José'!K961, 0) + IFERROR(Terraplaza!K961, 0)</f>
        <v>63</v>
      </c>
      <c r="C962">
        <v>23.5</v>
      </c>
      <c r="D962">
        <v>9.5</v>
      </c>
      <c r="E962">
        <v>30</v>
      </c>
    </row>
    <row r="963" spans="1:5" x14ac:dyDescent="0.25">
      <c r="A963" s="1">
        <v>44427</v>
      </c>
      <c r="B963" s="2">
        <f>IFERROR(Torres!K962, 0) + IFERROR('San José'!K962, 0) + IFERROR(Terraplaza!K962, 0)</f>
        <v>54.125</v>
      </c>
      <c r="C963">
        <v>10.25</v>
      </c>
      <c r="D963">
        <v>13.125</v>
      </c>
      <c r="E963">
        <v>30.75</v>
      </c>
    </row>
    <row r="964" spans="1:5" x14ac:dyDescent="0.25">
      <c r="A964" s="1">
        <v>44428</v>
      </c>
      <c r="B964" s="2">
        <f>IFERROR(Torres!K963, 0) + IFERROR('San José'!K963, 0) + IFERROR(Terraplaza!K963, 0)</f>
        <v>64.375</v>
      </c>
      <c r="C964">
        <v>21</v>
      </c>
      <c r="D964">
        <v>18.125</v>
      </c>
      <c r="E964">
        <v>25.25</v>
      </c>
    </row>
    <row r="965" spans="1:5" x14ac:dyDescent="0.25">
      <c r="A965" s="1">
        <v>44429</v>
      </c>
      <c r="B965" s="2">
        <f>IFERROR(Torres!K964, 0) + IFERROR('San José'!K964, 0) + IFERROR(Terraplaza!K964, 0)</f>
        <v>88.875</v>
      </c>
      <c r="C965">
        <v>25.75</v>
      </c>
      <c r="D965">
        <v>24.125</v>
      </c>
      <c r="E965">
        <v>39</v>
      </c>
    </row>
    <row r="966" spans="1:5" x14ac:dyDescent="0.25">
      <c r="A966" s="1">
        <v>44430</v>
      </c>
      <c r="B966" s="2">
        <f>IFERROR(Torres!K965, 0) + IFERROR('San José'!K965, 0) + IFERROR(Terraplaza!K965, 0)</f>
        <v>112.25</v>
      </c>
      <c r="C966">
        <v>38</v>
      </c>
      <c r="D966">
        <v>24.25</v>
      </c>
      <c r="E966">
        <v>50</v>
      </c>
    </row>
    <row r="967" spans="1:5" x14ac:dyDescent="0.25">
      <c r="A967" s="1">
        <v>44431</v>
      </c>
      <c r="B967" s="2">
        <f>IFERROR(Torres!K966, 0) + IFERROR('San José'!K966, 0) + IFERROR(Terraplaza!K966, 0)</f>
        <v>53.25</v>
      </c>
      <c r="C967">
        <v>14.5</v>
      </c>
      <c r="D967">
        <v>11.25</v>
      </c>
      <c r="E967">
        <v>27.5</v>
      </c>
    </row>
    <row r="968" spans="1:5" x14ac:dyDescent="0.25">
      <c r="A968" s="1">
        <v>44432</v>
      </c>
      <c r="B968" s="2">
        <f>IFERROR(Torres!K967, 0) + IFERROR('San José'!K967, 0) + IFERROR(Terraplaza!K967, 0)</f>
        <v>52.75</v>
      </c>
      <c r="C968">
        <v>19.5</v>
      </c>
      <c r="D968">
        <v>7.75</v>
      </c>
      <c r="E968">
        <v>25.5</v>
      </c>
    </row>
    <row r="969" spans="1:5" x14ac:dyDescent="0.25">
      <c r="A969" s="1">
        <v>44433</v>
      </c>
      <c r="B969" s="2">
        <f>IFERROR(Torres!K968, 0) + IFERROR('San José'!K968, 0) + IFERROR(Terraplaza!K968, 0)</f>
        <v>64</v>
      </c>
      <c r="C969">
        <v>20.5</v>
      </c>
      <c r="D969">
        <v>11.5</v>
      </c>
      <c r="E969">
        <v>32</v>
      </c>
    </row>
    <row r="970" spans="1:5" x14ac:dyDescent="0.25">
      <c r="A970" s="1">
        <v>44434</v>
      </c>
      <c r="B970" s="2">
        <f>IFERROR(Torres!K969, 0) + IFERROR('San José'!K969, 0) + IFERROR(Terraplaza!K969, 0)</f>
        <v>59.75</v>
      </c>
      <c r="C970">
        <v>19.25</v>
      </c>
      <c r="D970">
        <v>9</v>
      </c>
      <c r="E970">
        <v>31.5</v>
      </c>
    </row>
    <row r="971" spans="1:5" x14ac:dyDescent="0.25">
      <c r="A971" s="1">
        <v>44435</v>
      </c>
      <c r="B971" s="2">
        <f>IFERROR(Torres!K970, 0) + IFERROR('San José'!K970, 0) + IFERROR(Terraplaza!K970, 0)</f>
        <v>79.25</v>
      </c>
      <c r="C971">
        <v>18.25</v>
      </c>
      <c r="D971">
        <v>16.5</v>
      </c>
      <c r="E971">
        <v>44.5</v>
      </c>
    </row>
    <row r="972" spans="1:5" x14ac:dyDescent="0.25">
      <c r="A972" s="1">
        <v>44436</v>
      </c>
      <c r="B972" s="2">
        <f>IFERROR(Torres!K971, 0) + IFERROR('San José'!K971, 0) + IFERROR(Terraplaza!K971, 0)</f>
        <v>118.625</v>
      </c>
      <c r="C972">
        <v>39.25</v>
      </c>
      <c r="D972">
        <v>21.125</v>
      </c>
      <c r="E972">
        <v>58.25</v>
      </c>
    </row>
    <row r="973" spans="1:5" x14ac:dyDescent="0.25">
      <c r="A973" s="1">
        <v>44437</v>
      </c>
      <c r="B973" s="2">
        <f>IFERROR(Torres!K972, 0) + IFERROR('San José'!K972, 0) + IFERROR(Terraplaza!K972, 0)</f>
        <v>109.125</v>
      </c>
      <c r="C973">
        <v>32.25</v>
      </c>
      <c r="D973">
        <v>22.125</v>
      </c>
      <c r="E973">
        <v>54.75</v>
      </c>
    </row>
    <row r="974" spans="1:5" x14ac:dyDescent="0.25">
      <c r="A974" s="1">
        <v>44438</v>
      </c>
      <c r="B974" s="2">
        <f>IFERROR(Torres!K973, 0) + IFERROR('San José'!K973, 0) + IFERROR(Terraplaza!K973, 0)</f>
        <v>61.75</v>
      </c>
      <c r="C974">
        <v>23.5</v>
      </c>
      <c r="D974">
        <v>11.25</v>
      </c>
      <c r="E974">
        <v>27</v>
      </c>
    </row>
    <row r="975" spans="1:5" x14ac:dyDescent="0.25">
      <c r="A975" s="1">
        <v>44439</v>
      </c>
      <c r="B975" s="2">
        <f>IFERROR(Torres!K974, 0) + IFERROR('San José'!K974, 0) + IFERROR(Terraplaza!K974, 0)</f>
        <v>55.375</v>
      </c>
      <c r="C975">
        <v>16.375</v>
      </c>
      <c r="D975">
        <v>6.5</v>
      </c>
      <c r="E975">
        <v>32.5</v>
      </c>
    </row>
    <row r="976" spans="1:5" x14ac:dyDescent="0.25">
      <c r="A976" s="1">
        <v>44440</v>
      </c>
      <c r="B976" s="2">
        <f>IFERROR(Torres!K975, 0) + IFERROR('San José'!K975, 0) + IFERROR(Terraplaza!K975, 0)</f>
        <v>68.75</v>
      </c>
      <c r="C976">
        <v>17.25</v>
      </c>
      <c r="D976">
        <v>11</v>
      </c>
      <c r="E976">
        <v>40.5</v>
      </c>
    </row>
    <row r="977" spans="1:5" x14ac:dyDescent="0.25">
      <c r="A977" s="1">
        <v>44441</v>
      </c>
      <c r="B977" s="2">
        <f>IFERROR(Torres!K976, 0) + IFERROR('San José'!K976, 0) + IFERROR(Terraplaza!K976, 0)</f>
        <v>78.375</v>
      </c>
      <c r="C977">
        <v>17.375</v>
      </c>
      <c r="D977">
        <v>17</v>
      </c>
      <c r="E977">
        <v>44</v>
      </c>
    </row>
    <row r="978" spans="1:5" x14ac:dyDescent="0.25">
      <c r="A978" s="1">
        <v>44442</v>
      </c>
      <c r="B978" s="2">
        <f>IFERROR(Torres!K977, 0) + IFERROR('San José'!K977, 0) + IFERROR(Terraplaza!K977, 0)</f>
        <v>114.375</v>
      </c>
      <c r="C978">
        <v>28.5</v>
      </c>
      <c r="D978">
        <v>25.5</v>
      </c>
      <c r="E978">
        <v>60.375</v>
      </c>
    </row>
    <row r="979" spans="1:5" x14ac:dyDescent="0.25">
      <c r="A979" s="1">
        <v>44443</v>
      </c>
      <c r="B979" s="2">
        <f>IFERROR(Torres!K978, 0) + IFERROR('San José'!K978, 0) + IFERROR(Terraplaza!K978, 0)</f>
        <v>117.25</v>
      </c>
      <c r="C979">
        <v>37.5</v>
      </c>
      <c r="D979">
        <v>25.625</v>
      </c>
      <c r="E979">
        <v>54.125</v>
      </c>
    </row>
    <row r="980" spans="1:5" x14ac:dyDescent="0.25">
      <c r="A980" s="1">
        <v>44444</v>
      </c>
      <c r="B980" s="2">
        <f>IFERROR(Torres!K979, 0) + IFERROR('San José'!K979, 0) + IFERROR(Terraplaza!K979, 0)</f>
        <v>124.375</v>
      </c>
      <c r="C980">
        <v>40</v>
      </c>
      <c r="D980">
        <v>29.875</v>
      </c>
      <c r="E980">
        <v>54.5</v>
      </c>
    </row>
    <row r="981" spans="1:5" x14ac:dyDescent="0.25">
      <c r="A981" s="1">
        <v>44445</v>
      </c>
      <c r="B981" s="2">
        <f>IFERROR(Torres!K980, 0) + IFERROR('San José'!K980, 0) + IFERROR(Terraplaza!K980, 0)</f>
        <v>53.45</v>
      </c>
      <c r="C981">
        <v>12.75</v>
      </c>
      <c r="D981">
        <v>8.5</v>
      </c>
      <c r="E981">
        <v>32.200000000000003</v>
      </c>
    </row>
    <row r="982" spans="1:5" x14ac:dyDescent="0.25">
      <c r="A982" s="1">
        <v>44446</v>
      </c>
      <c r="B982" s="2">
        <f>IFERROR(Torres!K981, 0) + IFERROR('San José'!K981, 0) + IFERROR(Terraplaza!K981, 0)</f>
        <v>57.3</v>
      </c>
      <c r="C982">
        <v>14.75</v>
      </c>
      <c r="D982">
        <v>10.75</v>
      </c>
      <c r="E982">
        <v>31.8</v>
      </c>
    </row>
    <row r="983" spans="1:5" x14ac:dyDescent="0.25">
      <c r="A983" s="1">
        <v>44447</v>
      </c>
      <c r="B983" s="2">
        <f>IFERROR(Torres!K982, 0) + IFERROR('San José'!K982, 0) + IFERROR(Terraplaza!K982, 0)</f>
        <v>64.75</v>
      </c>
      <c r="C983">
        <v>27.5</v>
      </c>
      <c r="D983">
        <v>8.25</v>
      </c>
      <c r="E983">
        <v>29</v>
      </c>
    </row>
    <row r="984" spans="1:5" x14ac:dyDescent="0.25">
      <c r="A984" s="1">
        <v>44448</v>
      </c>
      <c r="B984" s="2">
        <f>IFERROR(Torres!K983, 0) + IFERROR('San José'!K983, 0) + IFERROR(Terraplaza!K983, 0)</f>
        <v>57.125</v>
      </c>
      <c r="C984">
        <v>20</v>
      </c>
      <c r="D984">
        <v>6.375</v>
      </c>
      <c r="E984">
        <v>30.75</v>
      </c>
    </row>
    <row r="985" spans="1:5" x14ac:dyDescent="0.25">
      <c r="A985" s="1">
        <v>44449</v>
      </c>
      <c r="B985" s="2">
        <f>IFERROR(Torres!K984, 0) + IFERROR('San José'!K984, 0) + IFERROR(Terraplaza!K984, 0)</f>
        <v>90.55</v>
      </c>
      <c r="C985">
        <v>29.8</v>
      </c>
      <c r="D985">
        <v>13.5</v>
      </c>
      <c r="E985">
        <v>47.25</v>
      </c>
    </row>
    <row r="986" spans="1:5" x14ac:dyDescent="0.25">
      <c r="A986" s="1">
        <v>44450</v>
      </c>
      <c r="B986" s="2">
        <f>IFERROR(Torres!K985, 0) + IFERROR('San José'!K985, 0) + IFERROR(Terraplaza!K985, 0)</f>
        <v>123.7</v>
      </c>
      <c r="C986">
        <v>41.2</v>
      </c>
      <c r="D986">
        <v>25.875</v>
      </c>
      <c r="E986">
        <v>56.625</v>
      </c>
    </row>
    <row r="987" spans="1:5" x14ac:dyDescent="0.25">
      <c r="A987" s="1">
        <v>44451</v>
      </c>
      <c r="B987" s="2">
        <f>IFERROR(Torres!K986, 0) + IFERROR('San José'!K986, 0) + IFERROR(Terraplaza!K986, 0)</f>
        <v>105.375</v>
      </c>
      <c r="C987">
        <v>37</v>
      </c>
      <c r="D987">
        <v>22.75</v>
      </c>
      <c r="E987">
        <v>45.625</v>
      </c>
    </row>
    <row r="988" spans="1:5" x14ac:dyDescent="0.25">
      <c r="A988" s="1">
        <v>44452</v>
      </c>
      <c r="B988" s="2">
        <f>IFERROR(Torres!K987, 0) + IFERROR('San José'!K987, 0) + IFERROR(Terraplaza!K987, 0)</f>
        <v>51.875</v>
      </c>
      <c r="C988">
        <v>11.25</v>
      </c>
      <c r="D988">
        <v>10.375</v>
      </c>
      <c r="E988">
        <v>30.25</v>
      </c>
    </row>
    <row r="989" spans="1:5" x14ac:dyDescent="0.25">
      <c r="A989" s="1">
        <v>44453</v>
      </c>
      <c r="B989" s="2">
        <f>IFERROR(Torres!K988, 0) + IFERROR('San José'!K988, 0) + IFERROR(Terraplaza!K988, 0)</f>
        <v>58.5</v>
      </c>
      <c r="C989">
        <v>14.375</v>
      </c>
      <c r="D989">
        <v>13.625</v>
      </c>
      <c r="E989">
        <v>30.5</v>
      </c>
    </row>
    <row r="990" spans="1:5" x14ac:dyDescent="0.25">
      <c r="A990" s="1">
        <v>44454</v>
      </c>
      <c r="B990" s="2">
        <f>IFERROR(Torres!K989, 0) + IFERROR('San José'!K989, 0) + IFERROR(Terraplaza!K989, 0)</f>
        <v>62.125</v>
      </c>
      <c r="C990">
        <v>19.375</v>
      </c>
      <c r="D990">
        <v>11.75</v>
      </c>
      <c r="E990">
        <v>31</v>
      </c>
    </row>
    <row r="991" spans="1:5" x14ac:dyDescent="0.25">
      <c r="A991" s="1">
        <v>44455</v>
      </c>
      <c r="B991" s="2">
        <f>IFERROR(Torres!K990, 0) + IFERROR('San José'!K990, 0) + IFERROR(Terraplaza!K990, 0)</f>
        <v>58.5</v>
      </c>
      <c r="C991">
        <v>20.5</v>
      </c>
      <c r="D991">
        <v>9</v>
      </c>
      <c r="E991">
        <v>29</v>
      </c>
    </row>
    <row r="992" spans="1:5" x14ac:dyDescent="0.25">
      <c r="A992" s="1">
        <v>44456</v>
      </c>
      <c r="B992" s="2">
        <f>IFERROR(Torres!K991, 0) + IFERROR('San José'!K991, 0) + IFERROR(Terraplaza!K991, 0)</f>
        <v>96.875</v>
      </c>
      <c r="C992">
        <v>30.5</v>
      </c>
      <c r="D992">
        <v>16.25</v>
      </c>
      <c r="E992">
        <v>50.125</v>
      </c>
    </row>
    <row r="993" spans="1:5" x14ac:dyDescent="0.25">
      <c r="A993" s="1">
        <v>44457</v>
      </c>
      <c r="B993" s="2">
        <f>IFERROR(Torres!K992, 0) + IFERROR('San José'!K992, 0) + IFERROR(Terraplaza!K992, 0)</f>
        <v>137</v>
      </c>
      <c r="C993">
        <v>37</v>
      </c>
      <c r="D993">
        <v>30.5</v>
      </c>
      <c r="E993">
        <v>69.5</v>
      </c>
    </row>
    <row r="994" spans="1:5" x14ac:dyDescent="0.25">
      <c r="A994" s="1">
        <v>44458</v>
      </c>
      <c r="B994" s="2">
        <f>IFERROR(Torres!K993, 0) + IFERROR('San José'!K993, 0) + IFERROR(Terraplaza!K993, 0)</f>
        <v>113.125</v>
      </c>
      <c r="C994">
        <v>37</v>
      </c>
      <c r="D994">
        <v>25.5</v>
      </c>
      <c r="E994">
        <v>50.625</v>
      </c>
    </row>
    <row r="995" spans="1:5" x14ac:dyDescent="0.25">
      <c r="A995" s="1">
        <v>44459</v>
      </c>
      <c r="B995" s="2">
        <f>IFERROR(Torres!K994, 0) + IFERROR('San José'!K994, 0) + IFERROR(Terraplaza!K994, 0)</f>
        <v>48.25</v>
      </c>
      <c r="C995">
        <v>7.25</v>
      </c>
      <c r="D995">
        <v>8.625</v>
      </c>
      <c r="E995">
        <v>32.375</v>
      </c>
    </row>
    <row r="996" spans="1:5" x14ac:dyDescent="0.25">
      <c r="A996" s="1">
        <v>44460</v>
      </c>
      <c r="B996" s="2">
        <f>IFERROR(Torres!K995, 0) + IFERROR('San José'!K995, 0) + IFERROR(Terraplaza!K995, 0)</f>
        <v>46.5</v>
      </c>
      <c r="C996">
        <v>10</v>
      </c>
      <c r="D996">
        <v>10.375</v>
      </c>
      <c r="E996">
        <v>26.125</v>
      </c>
    </row>
    <row r="997" spans="1:5" x14ac:dyDescent="0.25">
      <c r="A997" s="1">
        <v>44461</v>
      </c>
      <c r="B997" s="2">
        <f>IFERROR(Torres!K996, 0) + IFERROR('San José'!K996, 0) + IFERROR(Terraplaza!K996, 0)</f>
        <v>53.75</v>
      </c>
      <c r="C997">
        <v>15.75</v>
      </c>
      <c r="D997">
        <v>6.25</v>
      </c>
      <c r="E997">
        <v>31.75</v>
      </c>
    </row>
    <row r="998" spans="1:5" x14ac:dyDescent="0.25">
      <c r="A998" s="1">
        <v>44462</v>
      </c>
      <c r="B998" s="2">
        <f>IFERROR(Torres!K997, 0) + IFERROR('San José'!K997, 0) + IFERROR(Terraplaza!K997, 0)</f>
        <v>58.75</v>
      </c>
      <c r="C998">
        <v>16</v>
      </c>
      <c r="D998">
        <v>6.75</v>
      </c>
      <c r="E998">
        <v>36</v>
      </c>
    </row>
    <row r="999" spans="1:5" x14ac:dyDescent="0.25">
      <c r="A999" s="1">
        <v>44463</v>
      </c>
      <c r="B999" s="2">
        <f>IFERROR(Torres!K998, 0) + IFERROR('San José'!K998, 0) + IFERROR(Terraplaza!K998, 0)</f>
        <v>98</v>
      </c>
      <c r="C999">
        <v>49</v>
      </c>
      <c r="D999">
        <v>13</v>
      </c>
      <c r="E999">
        <v>36</v>
      </c>
    </row>
    <row r="1000" spans="1:5" x14ac:dyDescent="0.25">
      <c r="A1000" s="1">
        <v>44464</v>
      </c>
      <c r="B1000" s="2">
        <f>IFERROR(Torres!K999, 0) + IFERROR('San José'!K999, 0) + IFERROR(Terraplaza!K999, 0)</f>
        <v>104.375</v>
      </c>
      <c r="C1000">
        <v>24</v>
      </c>
      <c r="D1000">
        <v>23.5</v>
      </c>
      <c r="E1000">
        <v>56.875</v>
      </c>
    </row>
    <row r="1001" spans="1:5" x14ac:dyDescent="0.25">
      <c r="A1001" s="1">
        <v>44465</v>
      </c>
      <c r="B1001" s="2">
        <f>IFERROR(Torres!K1000, 0) + IFERROR('San José'!K1000, 0) + IFERROR(Terraplaza!K1000, 0)</f>
        <v>104.625</v>
      </c>
      <c r="C1001">
        <v>30.25</v>
      </c>
      <c r="D1001">
        <v>18.25</v>
      </c>
      <c r="E1001">
        <v>56.125</v>
      </c>
    </row>
    <row r="1002" spans="1:5" x14ac:dyDescent="0.25">
      <c r="A1002" s="1">
        <v>44466</v>
      </c>
      <c r="B1002" s="2">
        <f>IFERROR(Torres!K1001, 0) + IFERROR('San José'!K1001, 0) + IFERROR(Terraplaza!K1001, 0)</f>
        <v>47</v>
      </c>
      <c r="C1002">
        <v>13.75</v>
      </c>
      <c r="D1002">
        <v>8</v>
      </c>
      <c r="E1002">
        <v>25.25</v>
      </c>
    </row>
    <row r="1003" spans="1:5" x14ac:dyDescent="0.25">
      <c r="A1003" s="1">
        <v>44467</v>
      </c>
      <c r="B1003" s="2">
        <f>IFERROR(Torres!K1002, 0) + IFERROR('San José'!K1002, 0) + IFERROR(Terraplaza!K1002, 0)</f>
        <v>54.75</v>
      </c>
      <c r="C1003">
        <v>14.25</v>
      </c>
      <c r="D1003">
        <v>9.5</v>
      </c>
      <c r="E1003">
        <v>31</v>
      </c>
    </row>
    <row r="1004" spans="1:5" x14ac:dyDescent="0.25">
      <c r="A1004" s="1">
        <v>44468</v>
      </c>
      <c r="B1004" s="2">
        <f>IFERROR(Torres!K1003, 0) + IFERROR('San José'!K1003, 0) + IFERROR(Terraplaza!K1003, 0)</f>
        <v>62.125</v>
      </c>
      <c r="C1004">
        <v>16.875</v>
      </c>
      <c r="D1004">
        <v>11</v>
      </c>
      <c r="E1004">
        <v>34.25</v>
      </c>
    </row>
    <row r="1005" spans="1:5" x14ac:dyDescent="0.25">
      <c r="A1005" s="1">
        <v>44469</v>
      </c>
      <c r="B1005" s="2">
        <f>IFERROR(Torres!K1004, 0) + IFERROR('San José'!K1004, 0) + IFERROR(Terraplaza!K1004, 0)</f>
        <v>72.125</v>
      </c>
      <c r="C1005">
        <v>20.125</v>
      </c>
      <c r="D1005">
        <v>8.375</v>
      </c>
      <c r="E1005">
        <v>43.625</v>
      </c>
    </row>
    <row r="1006" spans="1:5" x14ac:dyDescent="0.25">
      <c r="A1006" s="1">
        <v>44470</v>
      </c>
      <c r="B1006" s="2">
        <f>IFERROR(Torres!K1005, 0) + IFERROR('San José'!K1005, 0) + IFERROR(Terraplaza!K1005, 0)</f>
        <v>86.25</v>
      </c>
      <c r="C1006">
        <v>26.75</v>
      </c>
      <c r="D1006">
        <v>18.375</v>
      </c>
      <c r="E1006">
        <v>41.125</v>
      </c>
    </row>
    <row r="1007" spans="1:5" x14ac:dyDescent="0.25">
      <c r="A1007" s="1">
        <v>44471</v>
      </c>
      <c r="B1007" s="2">
        <f>IFERROR(Torres!K1006, 0) + IFERROR('San José'!K1006, 0) + IFERROR(Terraplaza!K1006, 0)</f>
        <v>124.75</v>
      </c>
      <c r="C1007">
        <v>33</v>
      </c>
      <c r="D1007">
        <v>25</v>
      </c>
      <c r="E1007">
        <v>66.75</v>
      </c>
    </row>
    <row r="1008" spans="1:5" x14ac:dyDescent="0.25">
      <c r="A1008" s="1">
        <v>44472</v>
      </c>
      <c r="B1008" s="2">
        <f>IFERROR(Torres!K1007, 0) + IFERROR('San José'!K1007, 0) + IFERROR(Terraplaza!K1007, 0)</f>
        <v>133.5</v>
      </c>
      <c r="C1008">
        <v>43</v>
      </c>
      <c r="D1008">
        <v>26.25</v>
      </c>
      <c r="E1008">
        <v>64.25</v>
      </c>
    </row>
    <row r="1009" spans="1:5" x14ac:dyDescent="0.25">
      <c r="A1009" s="1">
        <v>44473</v>
      </c>
      <c r="B1009" s="2">
        <f>IFERROR(Torres!K1008, 0) + IFERROR('San José'!K1008, 0) + IFERROR(Terraplaza!K1008, 0)</f>
        <v>49.375</v>
      </c>
      <c r="C1009">
        <v>13.75</v>
      </c>
      <c r="D1009">
        <v>9.75</v>
      </c>
      <c r="E1009">
        <v>25.875</v>
      </c>
    </row>
    <row r="1010" spans="1:5" x14ac:dyDescent="0.25">
      <c r="A1010" s="1">
        <v>44474</v>
      </c>
      <c r="B1010" s="2">
        <f>IFERROR(Torres!K1009, 0) + IFERROR('San José'!K1009, 0) + IFERROR(Terraplaza!K1009, 0)</f>
        <v>60.75</v>
      </c>
      <c r="C1010">
        <v>14.25</v>
      </c>
      <c r="D1010">
        <v>10</v>
      </c>
      <c r="E1010">
        <v>36.5</v>
      </c>
    </row>
    <row r="1011" spans="1:5" x14ac:dyDescent="0.25">
      <c r="A1011" s="1">
        <v>44475</v>
      </c>
      <c r="B1011" s="2">
        <f>IFERROR(Torres!K1010, 0) + IFERROR('San José'!K1010, 0) + IFERROR(Terraplaza!K1010, 0)</f>
        <v>62.75</v>
      </c>
      <c r="C1011">
        <v>19.625</v>
      </c>
      <c r="D1011">
        <v>11</v>
      </c>
      <c r="E1011">
        <v>32.125</v>
      </c>
    </row>
    <row r="1012" spans="1:5" x14ac:dyDescent="0.25">
      <c r="A1012" s="1">
        <v>44476</v>
      </c>
      <c r="B1012" s="2">
        <f>IFERROR(Torres!K1011, 0) + IFERROR('San José'!K1011, 0) + IFERROR(Terraplaza!K1011, 0)</f>
        <v>66.625</v>
      </c>
      <c r="C1012">
        <v>18.375</v>
      </c>
      <c r="D1012">
        <v>8</v>
      </c>
      <c r="E1012">
        <v>40.25</v>
      </c>
    </row>
    <row r="1013" spans="1:5" x14ac:dyDescent="0.25">
      <c r="A1013" s="1">
        <v>44477</v>
      </c>
      <c r="B1013" s="2">
        <f>IFERROR(Torres!K1012, 0) + IFERROR('San José'!K1012, 0) + IFERROR(Terraplaza!K1012, 0)</f>
        <v>89.625</v>
      </c>
      <c r="C1013">
        <v>28.5</v>
      </c>
      <c r="D1013">
        <v>12.125</v>
      </c>
      <c r="E1013">
        <v>49</v>
      </c>
    </row>
    <row r="1014" spans="1:5" x14ac:dyDescent="0.25">
      <c r="A1014" s="1">
        <v>44478</v>
      </c>
      <c r="B1014" s="2">
        <f>IFERROR(Torres!K1013, 0) + IFERROR('San José'!K1013, 0) + IFERROR(Terraplaza!K1013, 0)</f>
        <v>114.375</v>
      </c>
      <c r="C1014">
        <v>32</v>
      </c>
      <c r="D1014">
        <v>26.375</v>
      </c>
      <c r="E1014">
        <v>56</v>
      </c>
    </row>
    <row r="1015" spans="1:5" x14ac:dyDescent="0.25">
      <c r="A1015" s="1">
        <v>44479</v>
      </c>
      <c r="B1015" s="2">
        <f>IFERROR(Torres!K1014, 0) + IFERROR('San José'!K1014, 0) + IFERROR(Terraplaza!K1014, 0)</f>
        <v>107.25</v>
      </c>
      <c r="C1015">
        <v>31.5</v>
      </c>
      <c r="D1015">
        <v>25.5</v>
      </c>
      <c r="E1015">
        <v>50.25</v>
      </c>
    </row>
    <row r="1016" spans="1:5" x14ac:dyDescent="0.25">
      <c r="A1016" s="1">
        <v>44480</v>
      </c>
      <c r="B1016" s="2">
        <f>IFERROR(Torres!K1015, 0) + IFERROR('San José'!K1015, 0) + IFERROR(Terraplaza!K1015, 0)</f>
        <v>70.25</v>
      </c>
      <c r="C1016">
        <v>21</v>
      </c>
      <c r="D1016">
        <v>16.25</v>
      </c>
      <c r="E1016">
        <v>33</v>
      </c>
    </row>
    <row r="1017" spans="1:5" x14ac:dyDescent="0.25">
      <c r="A1017" s="1">
        <v>44481</v>
      </c>
      <c r="B1017" s="2">
        <f>IFERROR(Torres!K1016, 0) + IFERROR('San José'!K1016, 0) + IFERROR(Terraplaza!K1016, 0)</f>
        <v>73.125</v>
      </c>
      <c r="C1017">
        <v>22.75</v>
      </c>
      <c r="D1017">
        <v>8.875</v>
      </c>
      <c r="E1017">
        <v>41.5</v>
      </c>
    </row>
    <row r="1018" spans="1:5" x14ac:dyDescent="0.25">
      <c r="A1018" s="1">
        <v>44482</v>
      </c>
      <c r="B1018" s="2">
        <f>IFERROR(Torres!K1017, 0) + IFERROR('San José'!K1017, 0) + IFERROR(Terraplaza!K1017, 0)</f>
        <v>73.875</v>
      </c>
      <c r="C1018">
        <v>27.75</v>
      </c>
      <c r="D1018">
        <v>10.125</v>
      </c>
      <c r="E1018">
        <v>36</v>
      </c>
    </row>
    <row r="1019" spans="1:5" x14ac:dyDescent="0.25">
      <c r="A1019" s="1">
        <v>44483</v>
      </c>
      <c r="B1019" s="2">
        <f>IFERROR(Torres!K1018, 0) + IFERROR('San José'!K1018, 0) + IFERROR(Terraplaza!K1018, 0)</f>
        <v>77.25</v>
      </c>
      <c r="C1019">
        <v>23.5</v>
      </c>
      <c r="D1019">
        <v>8.25</v>
      </c>
      <c r="E1019">
        <v>45.5</v>
      </c>
    </row>
    <row r="1020" spans="1:5" x14ac:dyDescent="0.25">
      <c r="A1020" s="1">
        <v>44484</v>
      </c>
      <c r="B1020" s="2">
        <f>IFERROR(Torres!K1019, 0) + IFERROR('San José'!K1019, 0) + IFERROR(Terraplaza!K1019, 0)</f>
        <v>101.5</v>
      </c>
      <c r="C1020">
        <v>30.5</v>
      </c>
      <c r="D1020">
        <v>13.75</v>
      </c>
      <c r="E1020">
        <v>57.25</v>
      </c>
    </row>
    <row r="1021" spans="1:5" x14ac:dyDescent="0.25">
      <c r="A1021" s="1">
        <v>44485</v>
      </c>
      <c r="B1021" s="2">
        <f>IFERROR(Torres!K1020, 0) + IFERROR('San José'!K1020, 0) + IFERROR(Terraplaza!K1020, 0)</f>
        <v>129.25</v>
      </c>
      <c r="C1021">
        <v>46.5</v>
      </c>
      <c r="D1021">
        <v>25.25</v>
      </c>
      <c r="E1021">
        <v>57.5</v>
      </c>
    </row>
    <row r="1022" spans="1:5" x14ac:dyDescent="0.25">
      <c r="A1022" s="1">
        <v>44486</v>
      </c>
      <c r="B1022" s="2">
        <f>IFERROR(Torres!K1021, 0) + IFERROR('San José'!K1021, 0) + IFERROR(Terraplaza!K1021, 0)</f>
        <v>142.875</v>
      </c>
      <c r="C1022">
        <v>51</v>
      </c>
      <c r="D1022">
        <v>27.5</v>
      </c>
      <c r="E1022">
        <v>64.375</v>
      </c>
    </row>
    <row r="1023" spans="1:5" x14ac:dyDescent="0.25">
      <c r="A1023" s="1">
        <v>44487</v>
      </c>
      <c r="B1023" s="2">
        <f>IFERROR(Torres!K1022, 0) + IFERROR('San José'!K1022, 0) + IFERROR(Terraplaza!K1022, 0)</f>
        <v>106.875</v>
      </c>
      <c r="C1023">
        <v>42</v>
      </c>
      <c r="D1023">
        <v>21.375</v>
      </c>
      <c r="E1023">
        <v>43.5</v>
      </c>
    </row>
    <row r="1024" spans="1:5" x14ac:dyDescent="0.25">
      <c r="A1024" s="1">
        <v>44488</v>
      </c>
      <c r="B1024" s="2">
        <f>IFERROR(Torres!K1023, 0) + IFERROR('San José'!K1023, 0) + IFERROR(Terraplaza!K1023, 0)</f>
        <v>55.25</v>
      </c>
      <c r="C1024">
        <v>15.5</v>
      </c>
      <c r="D1024">
        <v>8.125</v>
      </c>
      <c r="E1024">
        <v>31.625</v>
      </c>
    </row>
    <row r="1025" spans="1:5" x14ac:dyDescent="0.25">
      <c r="A1025" s="1">
        <v>44489</v>
      </c>
      <c r="B1025" s="2">
        <f>IFERROR(Torres!K1024, 0) + IFERROR('San José'!K1024, 0) + IFERROR(Terraplaza!K1024, 0)</f>
        <v>58</v>
      </c>
      <c r="C1025">
        <v>20.25</v>
      </c>
      <c r="D1025">
        <v>11</v>
      </c>
      <c r="E1025">
        <v>26.75</v>
      </c>
    </row>
    <row r="1026" spans="1:5" x14ac:dyDescent="0.25">
      <c r="A1026" s="1">
        <v>44490</v>
      </c>
      <c r="B1026" s="2">
        <f>IFERROR(Torres!K1025, 0) + IFERROR('San José'!K1025, 0) + IFERROR(Terraplaza!K1025, 0)</f>
        <v>60.875</v>
      </c>
      <c r="C1026">
        <v>10.75</v>
      </c>
      <c r="D1026">
        <v>13.5</v>
      </c>
      <c r="E1026">
        <v>36.625</v>
      </c>
    </row>
    <row r="1027" spans="1:5" x14ac:dyDescent="0.25">
      <c r="A1027" s="1">
        <v>44491</v>
      </c>
      <c r="B1027" s="2">
        <f>IFERROR(Torres!K1026, 0) + IFERROR('San José'!K1026, 0) + IFERROR(Terraplaza!K1026, 0)</f>
        <v>90.125</v>
      </c>
      <c r="C1027">
        <v>25</v>
      </c>
      <c r="D1027">
        <v>12.5</v>
      </c>
      <c r="E1027">
        <v>52.625</v>
      </c>
    </row>
    <row r="1028" spans="1:5" x14ac:dyDescent="0.25">
      <c r="A1028" s="1">
        <v>44492</v>
      </c>
      <c r="B1028" s="2">
        <f>IFERROR(Torres!K1027, 0) + IFERROR('San José'!K1027, 0) + IFERROR(Terraplaza!K1027, 0)</f>
        <v>119.75</v>
      </c>
      <c r="C1028">
        <v>40.75</v>
      </c>
      <c r="D1028">
        <v>27.5</v>
      </c>
      <c r="E1028">
        <v>51.5</v>
      </c>
    </row>
    <row r="1029" spans="1:5" x14ac:dyDescent="0.25">
      <c r="A1029" s="1">
        <v>44493</v>
      </c>
      <c r="B1029" s="2">
        <f>IFERROR(Torres!K1028, 0) + IFERROR('San José'!K1028, 0) + IFERROR(Terraplaza!K1028, 0)</f>
        <v>119</v>
      </c>
      <c r="C1029">
        <v>36.25</v>
      </c>
      <c r="D1029">
        <v>30.5</v>
      </c>
      <c r="E1029">
        <v>52.25</v>
      </c>
    </row>
    <row r="1030" spans="1:5" x14ac:dyDescent="0.25">
      <c r="A1030" s="1">
        <v>44494</v>
      </c>
      <c r="B1030" s="2">
        <f>IFERROR(Torres!K1029, 0) + IFERROR('San José'!K1029, 0) + IFERROR(Terraplaza!K1029, 0)</f>
        <v>49.75</v>
      </c>
      <c r="C1030">
        <v>13.75</v>
      </c>
      <c r="D1030">
        <v>7.5</v>
      </c>
      <c r="E1030">
        <v>28.5</v>
      </c>
    </row>
    <row r="1031" spans="1:5" x14ac:dyDescent="0.25">
      <c r="A1031" s="1">
        <v>44495</v>
      </c>
      <c r="B1031" s="2">
        <f>IFERROR(Torres!K1030, 0) + IFERROR('San José'!K1030, 0) + IFERROR(Terraplaza!K1030, 0)</f>
        <v>44.875</v>
      </c>
      <c r="C1031">
        <v>10</v>
      </c>
      <c r="D1031">
        <v>12</v>
      </c>
      <c r="E1031">
        <v>22.875</v>
      </c>
    </row>
    <row r="1032" spans="1:5" x14ac:dyDescent="0.25">
      <c r="A1032" s="1">
        <v>44496</v>
      </c>
      <c r="B1032" s="2">
        <f>IFERROR(Torres!K1031, 0) + IFERROR('San José'!K1031, 0) + IFERROR(Terraplaza!K1031, 0)</f>
        <v>60.375</v>
      </c>
      <c r="C1032">
        <v>19.5</v>
      </c>
      <c r="D1032">
        <v>10.25</v>
      </c>
      <c r="E1032">
        <v>30.625</v>
      </c>
    </row>
    <row r="1033" spans="1:5" x14ac:dyDescent="0.25">
      <c r="A1033" s="1">
        <v>44497</v>
      </c>
      <c r="B1033" s="2">
        <f>IFERROR(Torres!K1032, 0) + IFERROR('San José'!K1032, 0) + IFERROR(Terraplaza!K1032, 0)</f>
        <v>75.75</v>
      </c>
      <c r="C1033">
        <v>14</v>
      </c>
      <c r="D1033">
        <v>14</v>
      </c>
      <c r="E1033">
        <v>47.75</v>
      </c>
    </row>
    <row r="1034" spans="1:5" x14ac:dyDescent="0.25">
      <c r="A1034" s="1">
        <v>44498</v>
      </c>
      <c r="B1034" s="2">
        <f>IFERROR(Torres!K1033, 0) + IFERROR('San José'!K1033, 0) + IFERROR(Terraplaza!K1033, 0)</f>
        <v>113.25</v>
      </c>
      <c r="C1034">
        <v>28.5</v>
      </c>
      <c r="D1034">
        <v>33.25</v>
      </c>
      <c r="E1034">
        <v>51.5</v>
      </c>
    </row>
    <row r="1035" spans="1:5" x14ac:dyDescent="0.25">
      <c r="A1035" s="1">
        <v>44499</v>
      </c>
      <c r="B1035" s="2">
        <f>IFERROR(Torres!K1034, 0) + IFERROR('San José'!K1034, 0) + IFERROR(Terraplaza!K1034, 0)</f>
        <v>107.375</v>
      </c>
      <c r="C1035">
        <v>40.5</v>
      </c>
      <c r="D1035">
        <v>13.5</v>
      </c>
      <c r="E1035">
        <v>53.375</v>
      </c>
    </row>
    <row r="1036" spans="1:5" x14ac:dyDescent="0.25">
      <c r="A1036" s="1">
        <v>44500</v>
      </c>
      <c r="B1036" s="2">
        <f>IFERROR(Torres!K1035, 0) + IFERROR('San José'!K1035, 0) + IFERROR(Terraplaza!K1035, 0)</f>
        <v>272.375</v>
      </c>
      <c r="C1036">
        <v>98.75</v>
      </c>
      <c r="D1036">
        <v>45</v>
      </c>
      <c r="E1036">
        <v>128.625</v>
      </c>
    </row>
    <row r="1037" spans="1:5" x14ac:dyDescent="0.25">
      <c r="A1037" s="1">
        <v>44501</v>
      </c>
      <c r="B1037" s="2">
        <f>IFERROR(Torres!K1036, 0) + IFERROR('San José'!K1036, 0) + IFERROR(Terraplaza!K1036, 0)</f>
        <v>116.125</v>
      </c>
      <c r="C1037">
        <v>47.125</v>
      </c>
      <c r="D1037">
        <v>17.5</v>
      </c>
      <c r="E1037">
        <v>51.5</v>
      </c>
    </row>
    <row r="1038" spans="1:5" x14ac:dyDescent="0.25">
      <c r="A1038" s="1">
        <v>44502</v>
      </c>
      <c r="B1038" s="2">
        <f>IFERROR(Torres!K1037, 0) + IFERROR('San José'!K1037, 0) + IFERROR(Terraplaza!K1037, 0)</f>
        <v>54.75</v>
      </c>
      <c r="C1038">
        <v>17.5</v>
      </c>
      <c r="D1038">
        <v>7.75</v>
      </c>
      <c r="E1038">
        <v>29.5</v>
      </c>
    </row>
    <row r="1039" spans="1:5" x14ac:dyDescent="0.25">
      <c r="A1039" s="1">
        <v>44503</v>
      </c>
      <c r="B1039" s="2">
        <f>IFERROR(Torres!K1038, 0) + IFERROR('San José'!K1038, 0) + IFERROR(Terraplaza!K1038, 0)</f>
        <v>66.875</v>
      </c>
      <c r="C1039">
        <v>21.875</v>
      </c>
      <c r="D1039">
        <v>9.75</v>
      </c>
      <c r="E1039">
        <v>35.25</v>
      </c>
    </row>
    <row r="1040" spans="1:5" x14ac:dyDescent="0.25">
      <c r="A1040" s="1">
        <v>44504</v>
      </c>
      <c r="B1040" s="2">
        <f>IFERROR(Torres!K1039, 0) + IFERROR('San José'!K1039, 0) + IFERROR(Terraplaza!K1039, 0)</f>
        <v>56.375</v>
      </c>
      <c r="C1040">
        <v>16</v>
      </c>
      <c r="D1040">
        <v>6.625</v>
      </c>
      <c r="E1040">
        <v>33.75</v>
      </c>
    </row>
    <row r="1041" spans="1:5" x14ac:dyDescent="0.25">
      <c r="A1041" s="1">
        <v>44505</v>
      </c>
      <c r="B1041" s="2">
        <f>IFERROR(Torres!K1040, 0) + IFERROR('San José'!K1040, 0) + IFERROR(Terraplaza!K1040, 0)</f>
        <v>88.75</v>
      </c>
      <c r="C1041">
        <v>23.75</v>
      </c>
      <c r="D1041">
        <v>19.5</v>
      </c>
      <c r="E1041">
        <v>45.5</v>
      </c>
    </row>
    <row r="1042" spans="1:5" x14ac:dyDescent="0.25">
      <c r="A1042" s="1">
        <v>44506</v>
      </c>
      <c r="B1042" s="2">
        <f>IFERROR(Torres!K1041, 0) + IFERROR('San José'!K1041, 0) + IFERROR(Terraplaza!K1041, 0)</f>
        <v>116.175</v>
      </c>
      <c r="C1042">
        <v>42.174999999999997</v>
      </c>
      <c r="D1042">
        <v>24.625</v>
      </c>
      <c r="E1042">
        <v>49.375</v>
      </c>
    </row>
    <row r="1043" spans="1:5" x14ac:dyDescent="0.25">
      <c r="A1043" s="1">
        <v>44507</v>
      </c>
      <c r="B1043" s="2">
        <f>IFERROR(Torres!K1042, 0) + IFERROR('San José'!K1042, 0) + IFERROR(Terraplaza!K1042, 0)</f>
        <v>122.575</v>
      </c>
      <c r="C1043">
        <v>47.325000000000003</v>
      </c>
      <c r="D1043">
        <v>18.25</v>
      </c>
      <c r="E1043">
        <v>57</v>
      </c>
    </row>
    <row r="1044" spans="1:5" x14ac:dyDescent="0.25">
      <c r="A1044" s="1">
        <v>44508</v>
      </c>
      <c r="B1044" s="2">
        <f>IFERROR(Torres!K1043, 0) + IFERROR('San José'!K1043, 0) + IFERROR(Terraplaza!K1043, 0)</f>
        <v>43.125</v>
      </c>
      <c r="C1044">
        <v>8.25</v>
      </c>
      <c r="D1044">
        <v>11</v>
      </c>
      <c r="E1044">
        <v>23.875</v>
      </c>
    </row>
    <row r="1045" spans="1:5" x14ac:dyDescent="0.25">
      <c r="A1045" s="1">
        <v>44509</v>
      </c>
      <c r="B1045" s="2">
        <f>IFERROR(Torres!K1044, 0) + IFERROR('San José'!K1044, 0) + IFERROR(Terraplaza!K1044, 0)</f>
        <v>55.25</v>
      </c>
      <c r="C1045">
        <v>12.5</v>
      </c>
      <c r="D1045">
        <v>9.25</v>
      </c>
      <c r="E1045">
        <v>33.5</v>
      </c>
    </row>
    <row r="1046" spans="1:5" x14ac:dyDescent="0.25">
      <c r="A1046" s="1">
        <v>44510</v>
      </c>
      <c r="B1046" s="2">
        <f>IFERROR(Torres!K1045, 0) + IFERROR('San José'!K1045, 0) + IFERROR(Terraplaza!K1045, 0)</f>
        <v>62.5</v>
      </c>
      <c r="C1046">
        <v>20</v>
      </c>
      <c r="D1046">
        <v>12.75</v>
      </c>
      <c r="E1046">
        <v>29.75</v>
      </c>
    </row>
    <row r="1047" spans="1:5" x14ac:dyDescent="0.25">
      <c r="A1047" s="1">
        <v>44511</v>
      </c>
      <c r="B1047" s="2">
        <f>IFERROR(Torres!K1046, 0) + IFERROR('San José'!K1046, 0) + IFERROR(Terraplaza!K1046, 0)</f>
        <v>66.875</v>
      </c>
      <c r="C1047">
        <v>20</v>
      </c>
      <c r="D1047">
        <v>11.375</v>
      </c>
      <c r="E1047">
        <v>35.5</v>
      </c>
    </row>
    <row r="1048" spans="1:5" x14ac:dyDescent="0.25">
      <c r="A1048" s="1">
        <v>44512</v>
      </c>
      <c r="B1048" s="2">
        <f>IFERROR(Torres!K1047, 0) + IFERROR('San José'!K1047, 0) + IFERROR(Terraplaza!K1047, 0)</f>
        <v>56.5</v>
      </c>
      <c r="C1048">
        <v>21</v>
      </c>
      <c r="D1048">
        <v>5.25</v>
      </c>
      <c r="E1048">
        <v>30.25</v>
      </c>
    </row>
    <row r="1049" spans="1:5" x14ac:dyDescent="0.25">
      <c r="A1049" s="1">
        <v>44513</v>
      </c>
      <c r="B1049" s="2">
        <f>IFERROR(Torres!K1048, 0) + IFERROR('San José'!K1048, 0) + IFERROR(Terraplaza!K1048, 0)</f>
        <v>113.75</v>
      </c>
      <c r="C1049">
        <v>38.25</v>
      </c>
      <c r="D1049">
        <v>16.75</v>
      </c>
      <c r="E1049">
        <v>58.75</v>
      </c>
    </row>
    <row r="1050" spans="1:5" x14ac:dyDescent="0.25">
      <c r="A1050" s="1">
        <v>44514</v>
      </c>
      <c r="B1050" s="2">
        <f>IFERROR(Torres!K1049, 0) + IFERROR('San José'!K1049, 0) + IFERROR(Terraplaza!K1049, 0)</f>
        <v>119.625</v>
      </c>
      <c r="C1050">
        <v>35.25</v>
      </c>
      <c r="D1050">
        <v>23.875</v>
      </c>
      <c r="E1050">
        <v>60.5</v>
      </c>
    </row>
    <row r="1051" spans="1:5" x14ac:dyDescent="0.25">
      <c r="A1051" s="1">
        <v>44515</v>
      </c>
      <c r="B1051" s="2">
        <f>IFERROR(Torres!K1050, 0) + IFERROR('San José'!K1050, 0) + IFERROR(Terraplaza!K1050, 0)</f>
        <v>102.25</v>
      </c>
      <c r="C1051">
        <v>32.5</v>
      </c>
      <c r="D1051">
        <v>12.25</v>
      </c>
      <c r="E1051">
        <v>57.5</v>
      </c>
    </row>
    <row r="1052" spans="1:5" x14ac:dyDescent="0.25">
      <c r="A1052" s="1">
        <v>44516</v>
      </c>
      <c r="B1052" s="2">
        <f>IFERROR(Torres!K1051, 0) + IFERROR('San José'!K1051, 0) + IFERROR(Terraplaza!K1051, 0)</f>
        <v>64</v>
      </c>
      <c r="C1052">
        <v>9.25</v>
      </c>
      <c r="D1052">
        <v>13.75</v>
      </c>
      <c r="E1052">
        <v>41</v>
      </c>
    </row>
    <row r="1053" spans="1:5" x14ac:dyDescent="0.25">
      <c r="A1053" s="1">
        <v>44517</v>
      </c>
      <c r="B1053" s="2">
        <f>IFERROR(Torres!K1052, 0) + IFERROR('San José'!K1052, 0) + IFERROR(Terraplaza!K1052, 0)</f>
        <v>56.13</v>
      </c>
      <c r="C1053">
        <v>14.75</v>
      </c>
      <c r="D1053">
        <v>10.38</v>
      </c>
      <c r="E1053">
        <v>31</v>
      </c>
    </row>
    <row r="1054" spans="1:5" x14ac:dyDescent="0.25">
      <c r="A1054" s="1">
        <v>44518</v>
      </c>
      <c r="B1054" s="2">
        <f>IFERROR(Torres!K1053, 0) + IFERROR('San José'!K1053, 0) + IFERROR(Terraplaza!K1053, 0)</f>
        <v>44.370000000000005</v>
      </c>
      <c r="C1054">
        <v>15</v>
      </c>
      <c r="D1054">
        <v>4.4950000000000001</v>
      </c>
      <c r="E1054">
        <v>24.875</v>
      </c>
    </row>
    <row r="1055" spans="1:5" x14ac:dyDescent="0.25">
      <c r="A1055" s="1">
        <v>44519</v>
      </c>
      <c r="B1055" s="2">
        <f>IFERROR(Torres!K1054, 0) + IFERROR('San José'!K1054, 0) + IFERROR(Terraplaza!K1054, 0)</f>
        <v>90.625</v>
      </c>
      <c r="C1055">
        <v>24.25</v>
      </c>
      <c r="D1055">
        <v>13.75</v>
      </c>
      <c r="E1055">
        <v>52.625</v>
      </c>
    </row>
    <row r="1056" spans="1:5" x14ac:dyDescent="0.25">
      <c r="A1056" s="1">
        <v>44520</v>
      </c>
      <c r="B1056" s="2">
        <f>IFERROR(Torres!K1055, 0) + IFERROR('San José'!K1055, 0) + IFERROR(Terraplaza!K1055, 0)</f>
        <v>111.5</v>
      </c>
      <c r="C1056">
        <v>30.875</v>
      </c>
      <c r="D1056">
        <v>23.375</v>
      </c>
      <c r="E1056">
        <v>57.25</v>
      </c>
    </row>
    <row r="1057" spans="1:5" x14ac:dyDescent="0.25">
      <c r="A1057" s="1">
        <v>44521</v>
      </c>
      <c r="B1057" s="2">
        <f>IFERROR(Torres!K1056, 0) + IFERROR('San José'!K1056, 0) + IFERROR(Terraplaza!K1056, 0)</f>
        <v>106.125</v>
      </c>
      <c r="C1057">
        <v>35.875</v>
      </c>
      <c r="D1057">
        <v>18.75</v>
      </c>
      <c r="E1057">
        <v>51.5</v>
      </c>
    </row>
    <row r="1058" spans="1:5" x14ac:dyDescent="0.25">
      <c r="A1058" s="1">
        <v>44522</v>
      </c>
      <c r="B1058" s="2">
        <f>IFERROR(Torres!K1057, 0) + IFERROR('San José'!K1057, 0) + IFERROR(Terraplaza!K1057, 0)</f>
        <v>48.325000000000003</v>
      </c>
      <c r="C1058">
        <v>17.375</v>
      </c>
      <c r="D1058">
        <v>5.7</v>
      </c>
      <c r="E1058">
        <v>25.25</v>
      </c>
    </row>
    <row r="1059" spans="1:5" x14ac:dyDescent="0.25">
      <c r="A1059" s="1">
        <v>44523</v>
      </c>
      <c r="B1059" s="2">
        <f>IFERROR(Torres!K1058, 0) + IFERROR('San José'!K1058, 0) + IFERROR(Terraplaza!K1058, 0)</f>
        <v>58.174999999999997</v>
      </c>
      <c r="C1059">
        <v>17.875</v>
      </c>
      <c r="D1059">
        <v>9.5500000000000007</v>
      </c>
      <c r="E1059">
        <v>30.75</v>
      </c>
    </row>
    <row r="1060" spans="1:5" x14ac:dyDescent="0.25">
      <c r="A1060" s="1">
        <v>44524</v>
      </c>
      <c r="B1060" s="2">
        <f>IFERROR(Torres!K1059, 0) + IFERROR('San José'!K1059, 0) + IFERROR(Terraplaza!K1059, 0)</f>
        <v>75.875</v>
      </c>
      <c r="C1060">
        <v>21</v>
      </c>
      <c r="D1060">
        <v>11.375</v>
      </c>
      <c r="E1060">
        <v>43.5</v>
      </c>
    </row>
    <row r="1061" spans="1:5" x14ac:dyDescent="0.25">
      <c r="A1061" s="1">
        <v>44525</v>
      </c>
      <c r="B1061" s="2">
        <f>IFERROR(Torres!K1060, 0) + IFERROR('San José'!K1060, 0) + IFERROR(Terraplaza!K1060, 0)</f>
        <v>72.25</v>
      </c>
      <c r="C1061">
        <v>24.75</v>
      </c>
      <c r="D1061">
        <v>10.5</v>
      </c>
      <c r="E1061">
        <v>37</v>
      </c>
    </row>
    <row r="1062" spans="1:5" x14ac:dyDescent="0.25">
      <c r="A1062" s="1">
        <v>44526</v>
      </c>
      <c r="B1062" s="2">
        <f>IFERROR(Torres!K1061, 0) + IFERROR('San José'!K1061, 0) + IFERROR(Terraplaza!K1061, 0)</f>
        <v>92.75</v>
      </c>
      <c r="C1062">
        <v>28.375</v>
      </c>
      <c r="D1062">
        <v>12.625</v>
      </c>
      <c r="E1062">
        <v>51.75</v>
      </c>
    </row>
    <row r="1063" spans="1:5" x14ac:dyDescent="0.25">
      <c r="A1063" s="1">
        <v>44527</v>
      </c>
      <c r="B1063" s="2">
        <f>IFERROR(Torres!K1062, 0) + IFERROR('San José'!K1062, 0) + IFERROR(Terraplaza!K1062, 0)</f>
        <v>132.125</v>
      </c>
      <c r="C1063">
        <v>47.125</v>
      </c>
      <c r="D1063">
        <v>25</v>
      </c>
      <c r="E1063">
        <v>60</v>
      </c>
    </row>
    <row r="1064" spans="1:5" x14ac:dyDescent="0.25">
      <c r="A1064" s="1">
        <v>44528</v>
      </c>
      <c r="B1064" s="2">
        <f>IFERROR(Torres!K1063, 0) + IFERROR('San José'!K1063, 0) + IFERROR(Terraplaza!K1063, 0)</f>
        <v>137.75</v>
      </c>
      <c r="C1064">
        <v>49.875</v>
      </c>
      <c r="D1064">
        <v>21.875</v>
      </c>
      <c r="E1064">
        <v>66</v>
      </c>
    </row>
    <row r="1065" spans="1:5" x14ac:dyDescent="0.25">
      <c r="A1065" s="1">
        <v>44529</v>
      </c>
      <c r="B1065" s="2">
        <f>IFERROR(Torres!K1064, 0) + IFERROR('San José'!K1064, 0) + IFERROR(Terraplaza!K1064, 0)</f>
        <v>60.125</v>
      </c>
      <c r="C1065">
        <v>15.5</v>
      </c>
      <c r="D1065">
        <v>10.125</v>
      </c>
      <c r="E1065">
        <v>34.5</v>
      </c>
    </row>
    <row r="1066" spans="1:5" x14ac:dyDescent="0.25">
      <c r="A1066" s="1">
        <v>44530</v>
      </c>
      <c r="B1066" s="2">
        <f>IFERROR(Torres!K1065, 0) + IFERROR('San José'!K1065, 0) + IFERROR(Terraplaza!K1065, 0)</f>
        <v>75.75</v>
      </c>
      <c r="C1066">
        <v>26.75</v>
      </c>
      <c r="D1066">
        <v>9</v>
      </c>
      <c r="E1066">
        <v>40</v>
      </c>
    </row>
    <row r="1067" spans="1:5" x14ac:dyDescent="0.25">
      <c r="A1067" s="1">
        <v>44531</v>
      </c>
      <c r="B1067" s="2">
        <f>IFERROR(Torres!K1066, 0) + IFERROR('San José'!K1066, 0) + IFERROR(Terraplaza!K1066, 0)</f>
        <v>98.375</v>
      </c>
      <c r="C1067">
        <v>33.375</v>
      </c>
      <c r="D1067">
        <v>14.5</v>
      </c>
      <c r="E1067">
        <v>50.5</v>
      </c>
    </row>
    <row r="1068" spans="1:5" x14ac:dyDescent="0.25">
      <c r="A1068" s="1">
        <v>44532</v>
      </c>
      <c r="B1068" s="2">
        <f>IFERROR(Torres!K1067, 0) + IFERROR('San José'!K1067, 0) + IFERROR(Terraplaza!K1067, 0)</f>
        <v>77</v>
      </c>
      <c r="C1068">
        <v>21.5</v>
      </c>
      <c r="D1068">
        <v>9.5</v>
      </c>
      <c r="E1068">
        <v>46</v>
      </c>
    </row>
    <row r="1069" spans="1:5" x14ac:dyDescent="0.25">
      <c r="A1069" s="1">
        <v>44533</v>
      </c>
      <c r="B1069" s="2">
        <f>IFERROR(Torres!K1068, 0) + IFERROR('San José'!K1068, 0) + IFERROR(Terraplaza!K1068, 0)</f>
        <v>116.25</v>
      </c>
      <c r="C1069">
        <v>30.5</v>
      </c>
      <c r="D1069">
        <v>15.25</v>
      </c>
      <c r="E1069">
        <v>70.5</v>
      </c>
    </row>
    <row r="1070" spans="1:5" x14ac:dyDescent="0.25">
      <c r="A1070" s="1">
        <v>44534</v>
      </c>
      <c r="B1070" s="2">
        <f>IFERROR(Torres!K1069, 0) + IFERROR('San José'!K1069, 0) + IFERROR(Terraplaza!K1069, 0)</f>
        <v>116</v>
      </c>
      <c r="C1070">
        <v>37</v>
      </c>
      <c r="D1070">
        <v>22.5</v>
      </c>
      <c r="E1070">
        <v>56.5</v>
      </c>
    </row>
    <row r="1071" spans="1:5" x14ac:dyDescent="0.25">
      <c r="A1071" s="1">
        <v>44535</v>
      </c>
      <c r="B1071" s="2">
        <f>IFERROR(Torres!K1070, 0) + IFERROR('San José'!K1070, 0) + IFERROR(Terraplaza!K1070, 0)</f>
        <v>123.125</v>
      </c>
      <c r="C1071">
        <v>39.5</v>
      </c>
      <c r="D1071">
        <v>24.75</v>
      </c>
      <c r="E1071">
        <v>58.875</v>
      </c>
    </row>
    <row r="1072" spans="1:5" x14ac:dyDescent="0.25">
      <c r="A1072" s="1">
        <v>44536</v>
      </c>
      <c r="B1072" s="2">
        <f>IFERROR(Torres!K1071, 0) + IFERROR('San José'!K1071, 0) + IFERROR(Terraplaza!K1071, 0)</f>
        <v>57.5</v>
      </c>
      <c r="C1072">
        <v>15.125</v>
      </c>
      <c r="D1072">
        <v>6.75</v>
      </c>
      <c r="E1072">
        <v>35.625</v>
      </c>
    </row>
    <row r="1073" spans="1:5" x14ac:dyDescent="0.25">
      <c r="A1073" s="1">
        <v>44537</v>
      </c>
      <c r="B1073" s="2">
        <f>IFERROR(Torres!K1072, 0) + IFERROR('San José'!K1072, 0) + IFERROR(Terraplaza!K1072, 0)</f>
        <v>125.25</v>
      </c>
      <c r="C1073">
        <v>36</v>
      </c>
      <c r="D1073">
        <v>24.75</v>
      </c>
      <c r="E1073">
        <v>64.5</v>
      </c>
    </row>
    <row r="1074" spans="1:5" x14ac:dyDescent="0.25">
      <c r="A1074" s="1">
        <v>44538</v>
      </c>
      <c r="B1074" s="2">
        <f>IFERROR(Torres!K1073, 0) + IFERROR('San José'!K1073, 0) + IFERROR(Terraplaza!K1073, 0)</f>
        <v>115.25</v>
      </c>
      <c r="C1074">
        <v>34.375</v>
      </c>
      <c r="D1074">
        <v>16.875</v>
      </c>
      <c r="E1074">
        <v>64</v>
      </c>
    </row>
    <row r="1075" spans="1:5" x14ac:dyDescent="0.25">
      <c r="A1075" s="1">
        <v>44539</v>
      </c>
      <c r="B1075" s="2">
        <f>IFERROR(Torres!K1074, 0) + IFERROR('San José'!K1074, 0) + IFERROR(Terraplaza!K1074, 0)</f>
        <v>63.625</v>
      </c>
      <c r="C1075">
        <v>15.5</v>
      </c>
      <c r="D1075">
        <v>5.375</v>
      </c>
      <c r="E1075">
        <v>42.75</v>
      </c>
    </row>
    <row r="1076" spans="1:5" x14ac:dyDescent="0.25">
      <c r="A1076" s="1">
        <v>44540</v>
      </c>
      <c r="B1076" s="2">
        <f>IFERROR(Torres!K1075, 0) + IFERROR('San José'!K1075, 0) + IFERROR(Terraplaza!K1075, 0)</f>
        <v>79</v>
      </c>
      <c r="C1076">
        <v>20</v>
      </c>
      <c r="D1076">
        <v>8</v>
      </c>
      <c r="E1076">
        <v>51</v>
      </c>
    </row>
    <row r="1077" spans="1:5" x14ac:dyDescent="0.25">
      <c r="A1077" s="1">
        <v>44541</v>
      </c>
      <c r="B1077" s="2">
        <f>IFERROR(Torres!K1076, 0) + IFERROR('San José'!K1076, 0) + IFERROR(Terraplaza!K1076, 0)</f>
        <v>120.5</v>
      </c>
      <c r="C1077">
        <v>40</v>
      </c>
      <c r="D1077">
        <v>18.25</v>
      </c>
      <c r="E1077">
        <v>62.25</v>
      </c>
    </row>
    <row r="1078" spans="1:5" x14ac:dyDescent="0.25">
      <c r="A1078" s="1">
        <v>44542</v>
      </c>
      <c r="B1078" s="2">
        <f>IFERROR(Torres!K1077, 0) + IFERROR('San José'!K1077, 0) + IFERROR(Terraplaza!K1077, 0)</f>
        <v>102.125</v>
      </c>
      <c r="C1078">
        <v>39.75</v>
      </c>
      <c r="D1078">
        <v>17.875</v>
      </c>
      <c r="E1078">
        <v>44.5</v>
      </c>
    </row>
    <row r="1079" spans="1:5" x14ac:dyDescent="0.25">
      <c r="A1079" s="1">
        <v>44543</v>
      </c>
      <c r="B1079" s="2">
        <f>IFERROR(Torres!K1078, 0) + IFERROR('San José'!K1078, 0) + IFERROR(Terraplaza!K1078, 0)</f>
        <v>64.125</v>
      </c>
      <c r="C1079">
        <v>16.75</v>
      </c>
      <c r="D1079">
        <v>10.375</v>
      </c>
      <c r="E1079">
        <v>37</v>
      </c>
    </row>
    <row r="1080" spans="1:5" x14ac:dyDescent="0.25">
      <c r="A1080" s="1">
        <v>44544</v>
      </c>
      <c r="B1080" s="2">
        <f>IFERROR(Torres!K1079, 0) + IFERROR('San José'!K1079, 0) + IFERROR(Terraplaza!K1079, 0)</f>
        <v>74</v>
      </c>
      <c r="C1080">
        <v>22</v>
      </c>
      <c r="D1080">
        <v>11</v>
      </c>
      <c r="E1080">
        <v>41</v>
      </c>
    </row>
    <row r="1081" spans="1:5" x14ac:dyDescent="0.25">
      <c r="A1081" s="1">
        <v>44545</v>
      </c>
      <c r="B1081" s="2">
        <f>IFERROR(Torres!K1080, 0) + IFERROR('San José'!K1080, 0) + IFERROR(Terraplaza!K1080, 0)</f>
        <v>89.875</v>
      </c>
      <c r="C1081">
        <v>28.625</v>
      </c>
      <c r="D1081">
        <v>8.75</v>
      </c>
      <c r="E1081">
        <v>52.5</v>
      </c>
    </row>
    <row r="1082" spans="1:5" x14ac:dyDescent="0.25">
      <c r="A1082" s="1">
        <v>44546</v>
      </c>
      <c r="B1082" s="2">
        <f>IFERROR(Torres!K1081, 0) + IFERROR('San José'!K1081, 0) + IFERROR(Terraplaza!K1081, 0)</f>
        <v>84.875</v>
      </c>
      <c r="C1082">
        <v>26.125</v>
      </c>
      <c r="D1082">
        <v>10.75</v>
      </c>
      <c r="E1082">
        <v>48</v>
      </c>
    </row>
    <row r="1083" spans="1:5" x14ac:dyDescent="0.25">
      <c r="A1083" s="1">
        <v>44547</v>
      </c>
      <c r="B1083" s="2">
        <f>IFERROR(Torres!K1082, 0) + IFERROR('San José'!K1082, 0) + IFERROR(Terraplaza!K1082, 0)</f>
        <v>96.875</v>
      </c>
      <c r="C1083">
        <v>34.25</v>
      </c>
      <c r="D1083">
        <v>12</v>
      </c>
      <c r="E1083">
        <v>50.625</v>
      </c>
    </row>
    <row r="1084" spans="1:5" x14ac:dyDescent="0.25">
      <c r="A1084" s="1">
        <v>44548</v>
      </c>
      <c r="B1084" s="2">
        <f>IFERROR(Torres!K1083, 0) + IFERROR('San José'!K1083, 0) + IFERROR(Terraplaza!K1083, 0)</f>
        <v>132.875</v>
      </c>
      <c r="C1084">
        <v>50</v>
      </c>
      <c r="D1084">
        <v>27</v>
      </c>
      <c r="E1084">
        <v>55.875</v>
      </c>
    </row>
    <row r="1085" spans="1:5" x14ac:dyDescent="0.25">
      <c r="A1085" s="1">
        <v>44549</v>
      </c>
      <c r="B1085" s="2">
        <f>IFERROR(Torres!K1084, 0) + IFERROR('San José'!K1084, 0) + IFERROR(Terraplaza!K1084, 0)</f>
        <v>142.75</v>
      </c>
      <c r="C1085">
        <v>48.25</v>
      </c>
      <c r="D1085">
        <v>16.5</v>
      </c>
      <c r="E1085">
        <v>78</v>
      </c>
    </row>
    <row r="1086" spans="1:5" x14ac:dyDescent="0.25">
      <c r="A1086" s="1">
        <v>44550</v>
      </c>
      <c r="B1086" s="2">
        <f>IFERROR(Torres!K1085, 0) + IFERROR('San José'!K1085, 0) + IFERROR(Terraplaza!K1085, 0)</f>
        <v>105.375</v>
      </c>
      <c r="C1086">
        <v>33.625</v>
      </c>
      <c r="D1086">
        <v>22.75</v>
      </c>
      <c r="E1086">
        <v>49</v>
      </c>
    </row>
    <row r="1087" spans="1:5" x14ac:dyDescent="0.25">
      <c r="A1087" s="1">
        <v>44551</v>
      </c>
      <c r="B1087" s="2">
        <f>IFERROR(Torres!K1086, 0) + IFERROR('San José'!K1086, 0) + IFERROR(Terraplaza!K1086, 0)</f>
        <v>117.25</v>
      </c>
      <c r="C1087">
        <v>38.375</v>
      </c>
      <c r="D1087">
        <v>20.75</v>
      </c>
      <c r="E1087">
        <v>58.125</v>
      </c>
    </row>
    <row r="1088" spans="1:5" x14ac:dyDescent="0.25">
      <c r="A1088" s="1">
        <v>44552</v>
      </c>
      <c r="B1088" s="2">
        <f>IFERROR(Torres!K1087, 0) + IFERROR('San José'!K1087, 0) + IFERROR(Terraplaza!K1087, 0)</f>
        <v>106.875</v>
      </c>
      <c r="C1088">
        <v>35.625</v>
      </c>
      <c r="D1088">
        <v>13.125</v>
      </c>
      <c r="E1088">
        <v>58.125</v>
      </c>
    </row>
    <row r="1089" spans="1:5" x14ac:dyDescent="0.25">
      <c r="A1089" s="1">
        <v>44553</v>
      </c>
      <c r="B1089" s="2">
        <f>IFERROR(Torres!K1088, 0) + IFERROR('San José'!K1088, 0) + IFERROR(Terraplaza!K1088, 0)</f>
        <v>109.25</v>
      </c>
      <c r="C1089">
        <v>39.75</v>
      </c>
      <c r="D1089">
        <v>15.5</v>
      </c>
      <c r="E1089">
        <v>54</v>
      </c>
    </row>
    <row r="1090" spans="1:5" x14ac:dyDescent="0.25">
      <c r="A1090" s="1">
        <v>44554</v>
      </c>
      <c r="B1090" s="2">
        <f>IFERROR(Torres!K1089, 0) + IFERROR('San José'!K1089, 0) + IFERROR(Terraplaza!K1089, 0)</f>
        <v>0</v>
      </c>
      <c r="C1090">
        <v>0</v>
      </c>
      <c r="D1090">
        <v>0</v>
      </c>
      <c r="E1090">
        <v>0</v>
      </c>
    </row>
    <row r="1091" spans="1:5" x14ac:dyDescent="0.25">
      <c r="A1091" s="1">
        <v>44555</v>
      </c>
      <c r="B1091" s="2">
        <f>IFERROR(Torres!K1090, 0) + IFERROR('San José'!K1090, 0) + IFERROR(Terraplaza!K1090, 0)</f>
        <v>155.25</v>
      </c>
      <c r="C1091">
        <v>48.625</v>
      </c>
      <c r="D1091">
        <v>26.375</v>
      </c>
      <c r="E1091">
        <v>80.25</v>
      </c>
    </row>
    <row r="1092" spans="1:5" x14ac:dyDescent="0.25">
      <c r="A1092" s="1">
        <v>44556</v>
      </c>
      <c r="B1092" s="2">
        <f>IFERROR(Torres!K1091, 0) + IFERROR('San José'!K1091, 0) + IFERROR(Terraplaza!K1091, 0)</f>
        <v>161.5</v>
      </c>
      <c r="C1092">
        <v>60</v>
      </c>
      <c r="D1092">
        <v>22.5</v>
      </c>
      <c r="E1092">
        <v>79</v>
      </c>
    </row>
    <row r="1093" spans="1:5" x14ac:dyDescent="0.25">
      <c r="A1093" s="1">
        <v>44557</v>
      </c>
      <c r="B1093" s="2">
        <f>IFERROR(Torres!K1092, 0) + IFERROR('San José'!K1092, 0) + IFERROR(Terraplaza!K1092, 0)</f>
        <v>77.875</v>
      </c>
      <c r="C1093">
        <v>30</v>
      </c>
      <c r="D1093">
        <v>11.5</v>
      </c>
      <c r="E1093">
        <v>36.375</v>
      </c>
    </row>
    <row r="1094" spans="1:5" x14ac:dyDescent="0.25">
      <c r="A1094" s="1">
        <v>44558</v>
      </c>
      <c r="B1094" s="2">
        <f>IFERROR(Torres!K1093, 0) + IFERROR('San José'!K1093, 0) + IFERROR(Terraplaza!K1093, 0)</f>
        <v>92.875</v>
      </c>
      <c r="C1094">
        <v>38.25</v>
      </c>
      <c r="D1094">
        <v>14</v>
      </c>
      <c r="E1094">
        <v>40.625</v>
      </c>
    </row>
    <row r="1095" spans="1:5" x14ac:dyDescent="0.25">
      <c r="A1095" s="1">
        <v>44559</v>
      </c>
      <c r="B1095" s="2">
        <f>IFERROR(Torres!K1094, 0) + IFERROR('San José'!K1094, 0) + IFERROR(Terraplaza!K1094, 0)</f>
        <v>97.5</v>
      </c>
      <c r="C1095">
        <v>45.375</v>
      </c>
      <c r="D1095">
        <v>8.125</v>
      </c>
      <c r="E1095">
        <v>44</v>
      </c>
    </row>
    <row r="1096" spans="1:5" x14ac:dyDescent="0.25">
      <c r="A1096" s="1">
        <v>44560</v>
      </c>
      <c r="B1096" s="2">
        <f>IFERROR(Torres!K1095, 0) + IFERROR('San José'!K1095, 0) + IFERROR(Terraplaza!K1095, 0)</f>
        <v>102.375</v>
      </c>
      <c r="C1096">
        <v>29.75</v>
      </c>
      <c r="D1096">
        <v>20.625</v>
      </c>
      <c r="E1096">
        <v>52</v>
      </c>
    </row>
    <row r="1097" spans="1:5" x14ac:dyDescent="0.25">
      <c r="A1097" s="1">
        <v>44561</v>
      </c>
      <c r="B1097" s="2">
        <f>IFERROR(Torres!K1096, 0) + IFERROR('San José'!K1096, 0) + IFERROR(Terraplaza!K1096, 0)</f>
        <v>43.875</v>
      </c>
      <c r="C1097">
        <v>0</v>
      </c>
      <c r="D1097">
        <v>43.875</v>
      </c>
      <c r="E1097">
        <v>0</v>
      </c>
    </row>
    <row r="1098" spans="1:5" x14ac:dyDescent="0.25">
      <c r="A1098" s="1">
        <v>44562</v>
      </c>
      <c r="B1098" s="2">
        <f>IFERROR(Torres!K1097, 0) + IFERROR('San José'!K1097, 0) + IFERROR(Terraplaza!K1097, 0)</f>
        <v>88.625</v>
      </c>
      <c r="C1098">
        <v>47.375</v>
      </c>
      <c r="D1098">
        <v>41.25</v>
      </c>
      <c r="E1098" t="e">
        <v>#N/A</v>
      </c>
    </row>
    <row r="1099" spans="1:5" x14ac:dyDescent="0.25">
      <c r="A1099" s="1">
        <v>44563</v>
      </c>
      <c r="B1099" s="2">
        <f>IFERROR(Torres!K1098, 0) + IFERROR('San José'!K1098, 0) + IFERROR(Terraplaza!K1098, 0)</f>
        <v>83.875</v>
      </c>
      <c r="C1099">
        <v>53.875</v>
      </c>
      <c r="D1099">
        <v>30</v>
      </c>
      <c r="E1099" t="e">
        <v>#N/A</v>
      </c>
    </row>
    <row r="1100" spans="1:5" x14ac:dyDescent="0.25">
      <c r="A1100" s="1">
        <v>44564</v>
      </c>
      <c r="B1100" s="2">
        <f>IFERROR(Torres!K1099, 0) + IFERROR('San José'!K1099, 0) + IFERROR(Terraplaza!K1099, 0)</f>
        <v>43.625</v>
      </c>
      <c r="C1100">
        <v>27.875</v>
      </c>
      <c r="D1100">
        <v>15.75</v>
      </c>
      <c r="E1100" t="e">
        <v>#N/A</v>
      </c>
    </row>
    <row r="1101" spans="1:5" x14ac:dyDescent="0.25">
      <c r="A1101" s="1">
        <v>44565</v>
      </c>
      <c r="B1101" s="2">
        <f>IFERROR(Torres!K1100, 0) + IFERROR('San José'!K1100, 0) + IFERROR(Terraplaza!K1100, 0)</f>
        <v>47.75</v>
      </c>
      <c r="C1101">
        <v>31</v>
      </c>
      <c r="D1101">
        <v>16.75</v>
      </c>
      <c r="E1101" t="e">
        <v>#N/A</v>
      </c>
    </row>
    <row r="1102" spans="1:5" x14ac:dyDescent="0.25">
      <c r="A1102" s="1">
        <v>44566</v>
      </c>
      <c r="B1102" s="2">
        <f>IFERROR(Torres!K1101, 0) + IFERROR('San José'!K1101, 0) + IFERROR(Terraplaza!K1101, 0)</f>
        <v>51.875</v>
      </c>
      <c r="C1102">
        <v>33.25</v>
      </c>
      <c r="D1102">
        <v>18.625</v>
      </c>
      <c r="E1102" t="e">
        <v>#N/A</v>
      </c>
    </row>
    <row r="1103" spans="1:5" x14ac:dyDescent="0.25">
      <c r="A1103" s="1">
        <v>44567</v>
      </c>
      <c r="B1103" s="2">
        <f>IFERROR(Torres!K1102, 0) + IFERROR('San José'!K1102, 0) + IFERROR(Terraplaza!K1102, 0)</f>
        <v>34.25</v>
      </c>
      <c r="C1103">
        <v>22.375</v>
      </c>
      <c r="D1103">
        <v>11.875</v>
      </c>
      <c r="E1103" t="e">
        <v>#N/A</v>
      </c>
    </row>
    <row r="1104" spans="1:5" x14ac:dyDescent="0.25">
      <c r="A1104" s="1">
        <v>44568</v>
      </c>
      <c r="B1104" s="2">
        <f>IFERROR(Torres!K1103, 0) + IFERROR('San José'!K1103, 0) + IFERROR(Terraplaza!K1103, 0)</f>
        <v>53.625</v>
      </c>
      <c r="C1104">
        <v>28</v>
      </c>
      <c r="D1104">
        <v>25.625</v>
      </c>
      <c r="E1104" t="e">
        <v>#N/A</v>
      </c>
    </row>
    <row r="1105" spans="1:5" x14ac:dyDescent="0.25">
      <c r="A1105" s="1">
        <v>44569</v>
      </c>
      <c r="B1105" s="2">
        <f>IFERROR(Torres!K1104, 0) + IFERROR('San José'!K1104, 0) + IFERROR(Terraplaza!K1104, 0)</f>
        <v>44.225000000000001</v>
      </c>
      <c r="C1105">
        <v>31.975000000000001</v>
      </c>
      <c r="D1105">
        <v>12.25</v>
      </c>
      <c r="E1105" t="e">
        <v>#N/A</v>
      </c>
    </row>
    <row r="1106" spans="1:5" x14ac:dyDescent="0.25">
      <c r="A1106" s="1">
        <v>44570</v>
      </c>
      <c r="B1106" s="2">
        <f>IFERROR(Torres!K1105, 0) + IFERROR('San José'!K1105, 0) + IFERROR(Terraplaza!K1105, 0)</f>
        <v>46.15</v>
      </c>
      <c r="C1106">
        <v>31.65</v>
      </c>
      <c r="D1106">
        <v>14.5</v>
      </c>
      <c r="E1106" t="e">
        <v>#N/A</v>
      </c>
    </row>
    <row r="1107" spans="1:5" x14ac:dyDescent="0.25">
      <c r="A1107" s="1">
        <v>44571</v>
      </c>
      <c r="B1107" s="2">
        <f>IFERROR(Torres!K1106, 0) + IFERROR('San José'!K1106, 0) + IFERROR(Terraplaza!K1106, 0)</f>
        <v>49</v>
      </c>
      <c r="C1107">
        <v>32.75</v>
      </c>
      <c r="D1107">
        <v>16.25</v>
      </c>
      <c r="E1107" t="e">
        <v>#N/A</v>
      </c>
    </row>
    <row r="1108" spans="1:5" x14ac:dyDescent="0.25">
      <c r="A1108" s="1">
        <v>44572</v>
      </c>
      <c r="B1108" s="2">
        <f>IFERROR(Torres!K1107, 0) + IFERROR('San José'!K1107, 0) + IFERROR(Terraplaza!K1107, 0)</f>
        <v>30.25</v>
      </c>
      <c r="C1108">
        <v>21.375</v>
      </c>
      <c r="D1108">
        <v>8.875</v>
      </c>
      <c r="E1108" t="e">
        <v>#N/A</v>
      </c>
    </row>
    <row r="1109" spans="1:5" x14ac:dyDescent="0.25">
      <c r="A1109" s="1">
        <v>44573</v>
      </c>
      <c r="B1109" s="2">
        <f>IFERROR(Torres!K1108, 0) + IFERROR('San José'!K1108, 0) + IFERROR(Terraplaza!K1108, 0)</f>
        <v>42.5</v>
      </c>
      <c r="C1109">
        <v>27.125</v>
      </c>
      <c r="D1109">
        <v>15.375</v>
      </c>
      <c r="E1109" t="e">
        <v>#N/A</v>
      </c>
    </row>
    <row r="1110" spans="1:5" x14ac:dyDescent="0.25">
      <c r="A1110" s="1">
        <v>44574</v>
      </c>
      <c r="B1110" s="2">
        <f>IFERROR(Torres!K1109, 0) + IFERROR('San José'!K1109, 0) + IFERROR(Terraplaza!K1109, 0)</f>
        <v>27.625</v>
      </c>
      <c r="C1110">
        <v>17.875</v>
      </c>
      <c r="D1110">
        <v>9.75</v>
      </c>
      <c r="E1110" t="e">
        <v>#N/A</v>
      </c>
    </row>
    <row r="1111" spans="1:5" x14ac:dyDescent="0.25">
      <c r="A1111" s="1">
        <v>44575</v>
      </c>
      <c r="B1111" s="2">
        <f>IFERROR(Torres!K1110, 0) + IFERROR('San José'!K1110, 0) + IFERROR(Terraplaza!K1110, 0)</f>
        <v>34.25</v>
      </c>
      <c r="C1111">
        <v>21.875</v>
      </c>
      <c r="D1111">
        <v>12.375</v>
      </c>
      <c r="E1111" t="e">
        <v>#N/A</v>
      </c>
    </row>
    <row r="1112" spans="1:5" x14ac:dyDescent="0.25">
      <c r="A1112" s="1">
        <v>44576</v>
      </c>
      <c r="B1112" s="2">
        <f>IFERROR(Torres!K1111, 0) + IFERROR('San José'!K1111, 0) + IFERROR(Terraplaza!K1111, 0)</f>
        <v>48.222999999999999</v>
      </c>
      <c r="C1112">
        <v>28.847999999999999</v>
      </c>
      <c r="D1112">
        <v>19.375</v>
      </c>
      <c r="E1112" t="e">
        <v>#N/A</v>
      </c>
    </row>
    <row r="1113" spans="1:5" x14ac:dyDescent="0.25">
      <c r="A1113" s="1">
        <v>44577</v>
      </c>
      <c r="B1113" s="2">
        <f>IFERROR(Torres!K1112, 0) + IFERROR('San José'!K1112, 0) + IFERROR(Terraplaza!K1112, 0)</f>
        <v>48.402000000000001</v>
      </c>
      <c r="C1113">
        <v>28.277000000000001</v>
      </c>
      <c r="D1113">
        <v>20.125</v>
      </c>
      <c r="E1113" t="e">
        <v>#N/A</v>
      </c>
    </row>
    <row r="1114" spans="1:5" x14ac:dyDescent="0.25">
      <c r="A1114" s="1">
        <v>44578</v>
      </c>
      <c r="B1114" s="2">
        <f>IFERROR(Torres!K1113, 0) + IFERROR('San José'!K1113, 0) + IFERROR(Terraplaza!K1113, 0)</f>
        <v>21.625</v>
      </c>
      <c r="C1114">
        <v>12.625</v>
      </c>
      <c r="D1114">
        <v>9</v>
      </c>
      <c r="E1114" t="e">
        <v>#N/A</v>
      </c>
    </row>
    <row r="1115" spans="1:5" x14ac:dyDescent="0.25">
      <c r="A1115" s="1">
        <v>44579</v>
      </c>
      <c r="B1115" s="2">
        <f>IFERROR(Torres!K1114, 0) + IFERROR('San José'!K1114, 0) + IFERROR(Terraplaza!K1114, 0)</f>
        <v>26.625</v>
      </c>
      <c r="C1115">
        <v>15.625</v>
      </c>
      <c r="D1115">
        <v>11</v>
      </c>
      <c r="E1115" t="e">
        <v>#N/A</v>
      </c>
    </row>
    <row r="1116" spans="1:5" x14ac:dyDescent="0.25">
      <c r="A1116" s="1">
        <v>44580</v>
      </c>
      <c r="B1116" s="2">
        <f>IFERROR(Torres!K1115, 0) + IFERROR('San José'!K1115, 0) + IFERROR(Terraplaza!K1115, 0)</f>
        <v>25</v>
      </c>
      <c r="C1116">
        <v>13.25</v>
      </c>
      <c r="D1116">
        <v>11.75</v>
      </c>
      <c r="E1116" t="e">
        <v>#N/A</v>
      </c>
    </row>
    <row r="1117" spans="1:5" x14ac:dyDescent="0.25">
      <c r="A1117" s="1">
        <v>44581</v>
      </c>
      <c r="B1117" s="2">
        <f>IFERROR(Torres!K1116, 0) + IFERROR('San José'!K1116, 0) + IFERROR(Terraplaza!K1116, 0)</f>
        <v>26.725000000000001</v>
      </c>
      <c r="C1117">
        <v>16</v>
      </c>
      <c r="D1117">
        <v>10.725</v>
      </c>
      <c r="E1117" t="e">
        <v>#N/A</v>
      </c>
    </row>
    <row r="1118" spans="1:5" x14ac:dyDescent="0.25">
      <c r="A1118" s="1">
        <v>44582</v>
      </c>
      <c r="B1118" s="2">
        <f>IFERROR(Torres!K1117, 0) + IFERROR('San José'!K1117, 0) + IFERROR(Terraplaza!K1117, 0)</f>
        <v>37.024999999999999</v>
      </c>
      <c r="C1118">
        <v>24</v>
      </c>
      <c r="D1118">
        <v>13.025</v>
      </c>
      <c r="E1118" t="e">
        <v>#N/A</v>
      </c>
    </row>
    <row r="1119" spans="1:5" x14ac:dyDescent="0.25">
      <c r="A1119" s="1">
        <v>44583</v>
      </c>
      <c r="B1119" s="2">
        <f>IFERROR(Torres!K1118, 0) + IFERROR('San José'!K1118, 0) + IFERROR(Terraplaza!K1118, 0)</f>
        <v>56.25</v>
      </c>
      <c r="C1119">
        <v>41.375</v>
      </c>
      <c r="D1119">
        <v>14.875</v>
      </c>
      <c r="E1119" t="e">
        <v>#N/A</v>
      </c>
    </row>
    <row r="1120" spans="1:5" x14ac:dyDescent="0.25">
      <c r="A1120" s="1">
        <v>44584</v>
      </c>
      <c r="B1120" s="2">
        <f>IFERROR(Torres!K1119, 0) + IFERROR('San José'!K1119, 0) + IFERROR(Terraplaza!K1119, 0)</f>
        <v>64.75</v>
      </c>
      <c r="C1120">
        <v>40.125</v>
      </c>
      <c r="D1120">
        <v>24.625</v>
      </c>
      <c r="E1120" t="e">
        <v>#N/A</v>
      </c>
    </row>
    <row r="1121" spans="1:5" x14ac:dyDescent="0.25">
      <c r="A1121" s="1">
        <v>44585</v>
      </c>
      <c r="B1121" s="2">
        <f>IFERROR(Torres!K1120, 0) + IFERROR('San José'!K1120, 0) + IFERROR(Terraplaza!K1120, 0)</f>
        <v>13.875</v>
      </c>
      <c r="C1121">
        <v>6.875</v>
      </c>
      <c r="D1121">
        <v>7</v>
      </c>
      <c r="E1121" t="e">
        <v>#N/A</v>
      </c>
    </row>
    <row r="1122" spans="1:5" x14ac:dyDescent="0.25">
      <c r="A1122" s="1">
        <v>44586</v>
      </c>
      <c r="B1122" s="2">
        <f>IFERROR(Torres!K1121, 0) + IFERROR('San José'!K1121, 0) + IFERROR(Terraplaza!K1121, 0)</f>
        <v>25.75</v>
      </c>
      <c r="C1122">
        <v>11.75</v>
      </c>
      <c r="D1122">
        <v>14</v>
      </c>
      <c r="E1122" t="e">
        <v>#N/A</v>
      </c>
    </row>
    <row r="1123" spans="1:5" x14ac:dyDescent="0.25">
      <c r="A1123" s="1">
        <v>44587</v>
      </c>
      <c r="B1123" s="2">
        <f>IFERROR(Torres!K1122, 0) + IFERROR('San José'!K1122, 0) + IFERROR(Terraplaza!K1122, 0)</f>
        <v>22</v>
      </c>
      <c r="C1123">
        <v>14.375</v>
      </c>
      <c r="D1123">
        <v>7.625</v>
      </c>
      <c r="E1123" t="e">
        <v>#N/A</v>
      </c>
    </row>
    <row r="1124" spans="1:5" x14ac:dyDescent="0.25">
      <c r="A1124" s="1">
        <v>44588</v>
      </c>
      <c r="B1124" s="2">
        <f>IFERROR(Torres!K1123, 0) + IFERROR('San José'!K1123, 0) + IFERROR(Terraplaza!K1123, 0)</f>
        <v>20.75</v>
      </c>
      <c r="C1124">
        <v>14.625</v>
      </c>
      <c r="D1124">
        <v>6.125</v>
      </c>
      <c r="E1124" t="e">
        <v>#N/A</v>
      </c>
    </row>
    <row r="1125" spans="1:5" x14ac:dyDescent="0.25">
      <c r="A1125" s="1">
        <v>44589</v>
      </c>
      <c r="B1125" s="2">
        <f>IFERROR(Torres!K1124, 0) + IFERROR('San José'!K1124, 0) + IFERROR(Terraplaza!K1124, 0)</f>
        <v>34.5</v>
      </c>
      <c r="C1125">
        <v>20.75</v>
      </c>
      <c r="D1125">
        <v>13.75</v>
      </c>
      <c r="E1125" t="e">
        <v>#N/A</v>
      </c>
    </row>
    <row r="1126" spans="1:5" x14ac:dyDescent="0.25">
      <c r="A1126" s="1">
        <v>44590</v>
      </c>
      <c r="B1126" s="2">
        <f>IFERROR(Torres!K1125, 0) + IFERROR('San José'!K1125, 0) + IFERROR(Terraplaza!K1125, 0)</f>
        <v>51.75</v>
      </c>
      <c r="C1126">
        <v>30</v>
      </c>
      <c r="D1126">
        <v>21.75</v>
      </c>
      <c r="E1126" t="e">
        <v>#N/A</v>
      </c>
    </row>
    <row r="1127" spans="1:5" x14ac:dyDescent="0.25">
      <c r="A1127" s="1">
        <v>44591</v>
      </c>
      <c r="B1127" s="2">
        <f>IFERROR(Torres!K1126, 0) + IFERROR('San José'!K1126, 0) + IFERROR(Terraplaza!K1126, 0)</f>
        <v>52.875</v>
      </c>
      <c r="C1127">
        <v>35</v>
      </c>
      <c r="D1127">
        <v>17.875</v>
      </c>
      <c r="E1127" t="e">
        <v>#N/A</v>
      </c>
    </row>
    <row r="1128" spans="1:5" x14ac:dyDescent="0.25">
      <c r="A1128" s="1">
        <v>44592</v>
      </c>
      <c r="B1128" s="2">
        <f>IFERROR(Torres!K1127, 0) + IFERROR('San José'!K1127, 0) + IFERROR(Terraplaza!K1127, 0)</f>
        <v>27.25</v>
      </c>
      <c r="C1128">
        <v>13.625</v>
      </c>
      <c r="D1128">
        <v>13.625</v>
      </c>
      <c r="E1128" t="e">
        <v>#N/A</v>
      </c>
    </row>
    <row r="1129" spans="1:5" x14ac:dyDescent="0.25">
      <c r="A1129" s="1">
        <v>44593</v>
      </c>
      <c r="B1129" s="2">
        <f>IFERROR(Torres!K1128, 0) + IFERROR('San José'!K1128, 0) + IFERROR(Terraplaza!K1128, 0)</f>
        <v>50</v>
      </c>
      <c r="C1129">
        <v>7.375</v>
      </c>
      <c r="D1129">
        <v>7.875</v>
      </c>
      <c r="E1129">
        <v>34.75</v>
      </c>
    </row>
    <row r="1130" spans="1:5" x14ac:dyDescent="0.25">
      <c r="A1130" s="1">
        <v>44594</v>
      </c>
      <c r="B1130" s="2">
        <f>IFERROR(Torres!K1129, 0) + IFERROR('San José'!K1129, 0) + IFERROR(Terraplaza!K1129, 0)</f>
        <v>44.875</v>
      </c>
      <c r="C1130">
        <v>14.375</v>
      </c>
      <c r="D1130">
        <v>8.875</v>
      </c>
      <c r="E1130">
        <v>21.625</v>
      </c>
    </row>
    <row r="1131" spans="1:5" x14ac:dyDescent="0.25">
      <c r="A1131" s="1">
        <v>44595</v>
      </c>
      <c r="B1131" s="2">
        <f>IFERROR(Torres!K1130, 0) + IFERROR('San José'!K1130, 0) + IFERROR(Terraplaza!K1130, 0)</f>
        <v>44.25</v>
      </c>
      <c r="C1131">
        <v>14.125</v>
      </c>
      <c r="D1131">
        <v>8.25</v>
      </c>
      <c r="E1131">
        <v>21.875</v>
      </c>
    </row>
    <row r="1132" spans="1:5" x14ac:dyDescent="0.25">
      <c r="A1132" s="1">
        <v>44596</v>
      </c>
      <c r="B1132" s="2">
        <f>IFERROR(Torres!K1131, 0) + IFERROR('San José'!K1131, 0) + IFERROR(Terraplaza!K1131, 0)</f>
        <v>67.875</v>
      </c>
      <c r="C1132">
        <v>18.5</v>
      </c>
      <c r="D1132">
        <v>9</v>
      </c>
      <c r="E1132">
        <v>40.375</v>
      </c>
    </row>
    <row r="1133" spans="1:5" x14ac:dyDescent="0.25">
      <c r="A1133" s="1">
        <v>44597</v>
      </c>
      <c r="B1133" s="2">
        <f>IFERROR(Torres!K1132, 0) + IFERROR('San José'!K1132, 0) + IFERROR(Terraplaza!K1132, 0)</f>
        <v>90.625</v>
      </c>
      <c r="C1133">
        <v>35.5</v>
      </c>
      <c r="D1133">
        <v>15.625</v>
      </c>
      <c r="E1133">
        <v>39.5</v>
      </c>
    </row>
    <row r="1134" spans="1:5" x14ac:dyDescent="0.25">
      <c r="A1134" s="1">
        <v>44598</v>
      </c>
      <c r="B1134" s="2">
        <f>IFERROR(Torres!K1133, 0) + IFERROR('San José'!K1133, 0) + IFERROR(Terraplaza!K1133, 0)</f>
        <v>101.25</v>
      </c>
      <c r="C1134">
        <v>33</v>
      </c>
      <c r="D1134">
        <v>16.125</v>
      </c>
      <c r="E1134">
        <v>52.125</v>
      </c>
    </row>
    <row r="1135" spans="1:5" x14ac:dyDescent="0.25">
      <c r="A1135" s="1">
        <v>44599</v>
      </c>
      <c r="B1135" s="2">
        <f>IFERROR(Torres!K1134, 0) + IFERROR('San José'!K1134, 0) + IFERROR(Terraplaza!K1134, 0)</f>
        <v>40.75</v>
      </c>
      <c r="C1135">
        <v>8.75</v>
      </c>
      <c r="D1135">
        <v>10</v>
      </c>
      <c r="E1135">
        <v>22</v>
      </c>
    </row>
    <row r="1136" spans="1:5" x14ac:dyDescent="0.25">
      <c r="A1136" s="1">
        <v>44600</v>
      </c>
      <c r="B1136" s="2">
        <f>IFERROR(Torres!K1135, 0) + IFERROR('San José'!K1135, 0) + IFERROR(Terraplaza!K1135, 0)</f>
        <v>49.5</v>
      </c>
      <c r="C1136">
        <v>14.875</v>
      </c>
      <c r="D1136">
        <v>13</v>
      </c>
      <c r="E1136">
        <v>21.625</v>
      </c>
    </row>
    <row r="1137" spans="1:5" x14ac:dyDescent="0.25">
      <c r="A1137" s="1">
        <v>44601</v>
      </c>
      <c r="B1137" s="2">
        <f>IFERROR(Torres!K1136, 0) + IFERROR('San José'!K1136, 0) + IFERROR(Terraplaza!K1136, 0)</f>
        <v>56.875</v>
      </c>
      <c r="C1137">
        <v>13.375</v>
      </c>
      <c r="D1137">
        <v>12.75</v>
      </c>
      <c r="E1137">
        <v>30.75</v>
      </c>
    </row>
    <row r="1138" spans="1:5" x14ac:dyDescent="0.25">
      <c r="A1138" s="1">
        <v>44602</v>
      </c>
      <c r="B1138" s="2">
        <f>IFERROR(Torres!K1137, 0) + IFERROR('San José'!K1137, 0) + IFERROR(Terraplaza!K1137, 0)</f>
        <v>42</v>
      </c>
      <c r="C1138">
        <v>11</v>
      </c>
      <c r="D1138">
        <v>6.25</v>
      </c>
      <c r="E1138">
        <v>24.75</v>
      </c>
    </row>
    <row r="1139" spans="1:5" x14ac:dyDescent="0.25">
      <c r="A1139" s="1">
        <v>44603</v>
      </c>
      <c r="B1139" s="2">
        <f>IFERROR(Torres!K1138, 0) + IFERROR('San José'!K1138, 0) + IFERROR(Terraplaza!K1138, 0)</f>
        <v>82.5</v>
      </c>
      <c r="C1139">
        <v>24.125</v>
      </c>
      <c r="D1139">
        <v>12</v>
      </c>
      <c r="E1139">
        <v>46.375</v>
      </c>
    </row>
    <row r="1140" spans="1:5" x14ac:dyDescent="0.25">
      <c r="A1140" s="1">
        <v>44604</v>
      </c>
      <c r="B1140" s="2">
        <f>IFERROR(Torres!K1139, 0) + IFERROR('San José'!K1139, 0) + IFERROR(Terraplaza!K1139, 0)</f>
        <v>110.5</v>
      </c>
      <c r="C1140">
        <v>30.5</v>
      </c>
      <c r="D1140">
        <v>23.25</v>
      </c>
      <c r="E1140">
        <v>56.75</v>
      </c>
    </row>
    <row r="1141" spans="1:5" x14ac:dyDescent="0.25">
      <c r="A1141" s="1">
        <v>44605</v>
      </c>
      <c r="B1141" s="2">
        <f>IFERROR(Torres!K1140, 0) + IFERROR('San José'!K1140, 0) + IFERROR(Terraplaza!K1140, 0)</f>
        <v>93.375</v>
      </c>
      <c r="C1141">
        <v>40.5</v>
      </c>
      <c r="D1141">
        <v>18.125</v>
      </c>
      <c r="E1141">
        <v>34.75</v>
      </c>
    </row>
    <row r="1142" spans="1:5" x14ac:dyDescent="0.25">
      <c r="A1142" s="1">
        <v>44606</v>
      </c>
      <c r="B1142" s="2">
        <f>IFERROR(Torres!K1141, 0) + IFERROR('San José'!K1141, 0) + IFERROR(Terraplaza!K1141, 0)</f>
        <v>62.25</v>
      </c>
      <c r="C1142">
        <v>16.375</v>
      </c>
      <c r="D1142">
        <v>9.625</v>
      </c>
      <c r="E1142">
        <v>36.25</v>
      </c>
    </row>
    <row r="1143" spans="1:5" x14ac:dyDescent="0.25">
      <c r="A1143" s="1">
        <v>44607</v>
      </c>
      <c r="B1143" s="2">
        <f>IFERROR(Torres!K1142, 0) + IFERROR('San José'!K1142, 0) + IFERROR(Terraplaza!K1142, 0)</f>
        <v>51</v>
      </c>
      <c r="C1143">
        <v>9.5</v>
      </c>
      <c r="D1143">
        <v>14.125</v>
      </c>
      <c r="E1143">
        <v>27.375</v>
      </c>
    </row>
    <row r="1144" spans="1:5" x14ac:dyDescent="0.25">
      <c r="A1144" s="1">
        <v>44608</v>
      </c>
      <c r="B1144" s="2">
        <f>IFERROR(Torres!K1143, 0) + IFERROR('San José'!K1143, 0) + IFERROR(Terraplaza!K1143, 0)</f>
        <v>53.25</v>
      </c>
      <c r="C1144">
        <v>11.5</v>
      </c>
      <c r="D1144">
        <v>10.375</v>
      </c>
      <c r="E1144">
        <v>31.375</v>
      </c>
    </row>
    <row r="1145" spans="1:5" x14ac:dyDescent="0.25">
      <c r="A1145" s="1">
        <v>44609</v>
      </c>
      <c r="B1145" s="2">
        <f>IFERROR(Torres!K1144, 0) + IFERROR('San José'!K1144, 0) + IFERROR(Terraplaza!K1144, 0)</f>
        <v>42.75</v>
      </c>
      <c r="C1145">
        <v>16.5</v>
      </c>
      <c r="D1145">
        <v>7.5</v>
      </c>
      <c r="E1145">
        <v>18.75</v>
      </c>
    </row>
    <row r="1146" spans="1:5" x14ac:dyDescent="0.25">
      <c r="A1146" s="1">
        <v>44610</v>
      </c>
      <c r="B1146" s="2">
        <f>IFERROR(Torres!K1145, 0) + IFERROR('San José'!K1145, 0) + IFERROR(Terraplaza!K1145, 0)</f>
        <v>61.625</v>
      </c>
      <c r="C1146">
        <v>20.625</v>
      </c>
      <c r="D1146">
        <v>8.25</v>
      </c>
      <c r="E1146">
        <v>32.75</v>
      </c>
    </row>
    <row r="1147" spans="1:5" x14ac:dyDescent="0.25">
      <c r="A1147" s="1">
        <v>44611</v>
      </c>
      <c r="B1147" s="2">
        <f>IFERROR(Torres!K1146, 0) + IFERROR('San José'!K1146, 0) + IFERROR(Terraplaza!K1146, 0)</f>
        <v>91</v>
      </c>
      <c r="C1147">
        <v>29.125</v>
      </c>
      <c r="D1147">
        <v>23.125</v>
      </c>
      <c r="E1147">
        <v>38.75</v>
      </c>
    </row>
    <row r="1148" spans="1:5" x14ac:dyDescent="0.25">
      <c r="A1148" s="1">
        <v>44612</v>
      </c>
      <c r="B1148" s="2">
        <f>IFERROR(Torres!K1147, 0) + IFERROR('San José'!K1147, 0) + IFERROR(Terraplaza!K1147, 0)</f>
        <v>81.125</v>
      </c>
      <c r="C1148">
        <v>32.125</v>
      </c>
      <c r="D1148">
        <v>14.625</v>
      </c>
      <c r="E1148">
        <v>34.375</v>
      </c>
    </row>
    <row r="1149" spans="1:5" x14ac:dyDescent="0.25">
      <c r="A1149" s="1">
        <v>44613</v>
      </c>
      <c r="B1149" s="2">
        <f>IFERROR(Torres!K1148, 0) + IFERROR('San José'!K1148, 0) + IFERROR(Terraplaza!K1148, 0)</f>
        <v>35</v>
      </c>
      <c r="C1149">
        <v>11.5</v>
      </c>
      <c r="D1149">
        <v>6.625</v>
      </c>
      <c r="E1149">
        <v>16.875</v>
      </c>
    </row>
    <row r="1150" spans="1:5" x14ac:dyDescent="0.25">
      <c r="A1150" s="1">
        <v>44614</v>
      </c>
      <c r="B1150" s="2">
        <f>IFERROR(Torres!K1149, 0) + IFERROR('San José'!K1149, 0) + IFERROR(Terraplaza!K1149, 0)</f>
        <v>34.25</v>
      </c>
      <c r="C1150">
        <v>10.25</v>
      </c>
      <c r="D1150">
        <v>5.25</v>
      </c>
      <c r="E1150">
        <v>18.75</v>
      </c>
    </row>
    <row r="1151" spans="1:5" x14ac:dyDescent="0.25">
      <c r="A1151" s="1">
        <v>44615</v>
      </c>
      <c r="B1151" s="2">
        <f>IFERROR(Torres!K1150, 0) + IFERROR('San José'!K1150, 0) + IFERROR(Terraplaza!K1150, 0)</f>
        <v>41.375</v>
      </c>
      <c r="C1151">
        <v>11.25</v>
      </c>
      <c r="D1151">
        <v>6.875</v>
      </c>
      <c r="E1151">
        <v>23.25</v>
      </c>
    </row>
    <row r="1152" spans="1:5" x14ac:dyDescent="0.25">
      <c r="A1152" s="1">
        <v>44616</v>
      </c>
      <c r="B1152" s="2">
        <f>IFERROR(Torres!K1151, 0) + IFERROR('San José'!K1151, 0) + IFERROR(Terraplaza!K1151, 0)</f>
        <v>35.25</v>
      </c>
      <c r="C1152">
        <v>10.25</v>
      </c>
      <c r="D1152">
        <v>8.625</v>
      </c>
      <c r="E1152">
        <v>16.375</v>
      </c>
    </row>
    <row r="1153" spans="1:5" x14ac:dyDescent="0.25">
      <c r="A1153" s="1">
        <v>44617</v>
      </c>
      <c r="B1153" s="2">
        <f>IFERROR(Torres!K1152, 0) + IFERROR('San José'!K1152, 0) + IFERROR(Terraplaza!K1152, 0)</f>
        <v>78.375</v>
      </c>
      <c r="C1153">
        <v>22.875</v>
      </c>
      <c r="D1153">
        <v>7.875</v>
      </c>
      <c r="E1153">
        <v>47.625</v>
      </c>
    </row>
    <row r="1154" spans="1:5" x14ac:dyDescent="0.25">
      <c r="A1154" s="1">
        <v>44618</v>
      </c>
      <c r="B1154" s="2">
        <f>IFERROR(Torres!K1153, 0) + IFERROR('San José'!K1153, 0) + IFERROR(Terraplaza!K1153, 0)</f>
        <v>98</v>
      </c>
      <c r="C1154">
        <v>27.25</v>
      </c>
      <c r="D1154">
        <v>21.75</v>
      </c>
      <c r="E1154">
        <v>49</v>
      </c>
    </row>
    <row r="1155" spans="1:5" x14ac:dyDescent="0.25">
      <c r="A1155" s="1">
        <v>44619</v>
      </c>
      <c r="B1155" s="2">
        <f>IFERROR(Torres!K1154, 0) + IFERROR('San José'!K1154, 0) + IFERROR(Terraplaza!K1154, 0)</f>
        <v>109.875</v>
      </c>
      <c r="C1155">
        <v>36.75</v>
      </c>
      <c r="D1155">
        <v>13.625</v>
      </c>
      <c r="E1155">
        <v>59.5</v>
      </c>
    </row>
    <row r="1156" spans="1:5" x14ac:dyDescent="0.25">
      <c r="A1156" s="1">
        <v>44620</v>
      </c>
      <c r="B1156" s="2">
        <f>IFERROR(Torres!K1155, 0) + IFERROR('San José'!K1155, 0) + IFERROR(Terraplaza!K1155, 0)</f>
        <v>49</v>
      </c>
      <c r="C1156">
        <v>9.875</v>
      </c>
      <c r="D1156">
        <v>7.375</v>
      </c>
      <c r="E1156">
        <v>31.75</v>
      </c>
    </row>
    <row r="1157" spans="1:5" x14ac:dyDescent="0.25">
      <c r="A1157" s="1">
        <v>44621</v>
      </c>
      <c r="B1157" s="2">
        <f>IFERROR(Torres!K1156, 0) + IFERROR('San José'!K1156, 0) + IFERROR(Terraplaza!K1156, 0)</f>
        <v>41.125</v>
      </c>
      <c r="C1157">
        <v>10.375</v>
      </c>
      <c r="D1157">
        <v>9.625</v>
      </c>
      <c r="E1157">
        <v>21.125</v>
      </c>
    </row>
    <row r="1158" spans="1:5" x14ac:dyDescent="0.25">
      <c r="A1158" s="1">
        <v>44622</v>
      </c>
      <c r="B1158" s="2">
        <f>IFERROR(Torres!K1157, 0) + IFERROR('San José'!K1157, 0) + IFERROR(Terraplaza!K1157, 0)</f>
        <v>50</v>
      </c>
      <c r="C1158">
        <v>19.375</v>
      </c>
      <c r="D1158">
        <v>10</v>
      </c>
      <c r="E1158">
        <v>20.625</v>
      </c>
    </row>
    <row r="1159" spans="1:5" x14ac:dyDescent="0.25">
      <c r="A1159" s="1">
        <v>44623</v>
      </c>
      <c r="B1159" s="2">
        <f>IFERROR(Torres!K1158, 0) + IFERROR('San José'!K1158, 0) + IFERROR(Terraplaza!K1158, 0)</f>
        <v>54.25</v>
      </c>
      <c r="C1159">
        <v>20</v>
      </c>
      <c r="D1159">
        <v>11.375</v>
      </c>
      <c r="E1159">
        <v>22.875</v>
      </c>
    </row>
    <row r="1160" spans="1:5" x14ac:dyDescent="0.25">
      <c r="A1160" s="1">
        <v>44624</v>
      </c>
      <c r="B1160" s="2">
        <f>IFERROR(Torres!K1159, 0) + IFERROR('San José'!K1159, 0) + IFERROR(Terraplaza!K1159, 0)</f>
        <v>76.875</v>
      </c>
      <c r="C1160">
        <v>24.625</v>
      </c>
      <c r="D1160">
        <v>13.25</v>
      </c>
      <c r="E1160">
        <v>39</v>
      </c>
    </row>
    <row r="1161" spans="1:5" x14ac:dyDescent="0.25">
      <c r="A1161" s="1">
        <v>44625</v>
      </c>
      <c r="B1161" s="2">
        <f>IFERROR(Torres!K1160, 0) + IFERROR('San José'!K1160, 0) + IFERROR(Terraplaza!K1160, 0)</f>
        <v>107.125</v>
      </c>
      <c r="C1161">
        <v>37.375</v>
      </c>
      <c r="D1161">
        <v>19.625</v>
      </c>
      <c r="E1161">
        <v>50.125</v>
      </c>
    </row>
    <row r="1162" spans="1:5" x14ac:dyDescent="0.25">
      <c r="A1162" s="1">
        <v>44626</v>
      </c>
      <c r="B1162" s="2">
        <f>IFERROR(Torres!K1161, 0) + IFERROR('San José'!K1161, 0) + IFERROR(Terraplaza!K1161, 0)</f>
        <v>102.25</v>
      </c>
      <c r="C1162">
        <v>35.375</v>
      </c>
      <c r="D1162">
        <v>20.375</v>
      </c>
      <c r="E1162">
        <v>46.5</v>
      </c>
    </row>
    <row r="1163" spans="1:5" x14ac:dyDescent="0.25">
      <c r="A1163" s="1">
        <v>44627</v>
      </c>
      <c r="B1163" s="2">
        <f>IFERROR(Torres!K1162, 0) + IFERROR('San José'!K1162, 0) + IFERROR(Terraplaza!K1162, 0)</f>
        <v>47.625</v>
      </c>
      <c r="C1163">
        <v>15.875</v>
      </c>
      <c r="D1163">
        <v>10</v>
      </c>
      <c r="E1163">
        <v>21.75</v>
      </c>
    </row>
    <row r="1164" spans="1:5" x14ac:dyDescent="0.25">
      <c r="A1164" s="1">
        <v>44628</v>
      </c>
      <c r="B1164" s="2">
        <f>IFERROR(Torres!K1163, 0) + IFERROR('San José'!K1163, 0) + IFERROR(Terraplaza!K1163, 0)</f>
        <v>96.625</v>
      </c>
      <c r="C1164">
        <v>18.125</v>
      </c>
      <c r="D1164">
        <v>22.75</v>
      </c>
      <c r="E1164">
        <v>55.75</v>
      </c>
    </row>
    <row r="1165" spans="1:5" x14ac:dyDescent="0.25">
      <c r="A1165" s="1">
        <v>44629</v>
      </c>
      <c r="B1165" s="2">
        <f>IFERROR(Torres!K1164, 0) + IFERROR('San José'!K1164, 0) + IFERROR(Terraplaza!K1164, 0)</f>
        <v>54.875</v>
      </c>
      <c r="C1165">
        <v>18.5</v>
      </c>
      <c r="D1165">
        <v>9.5</v>
      </c>
      <c r="E1165">
        <v>26.875</v>
      </c>
    </row>
    <row r="1166" spans="1:5" x14ac:dyDescent="0.25">
      <c r="A1166" s="1">
        <v>44630</v>
      </c>
      <c r="B1166" s="2">
        <f>IFERROR(Torres!K1165, 0) + IFERROR('San José'!K1165, 0) + IFERROR(Terraplaza!K1165, 0)</f>
        <v>56.25</v>
      </c>
      <c r="C1166">
        <v>13.5</v>
      </c>
      <c r="D1166">
        <v>12.125</v>
      </c>
      <c r="E1166">
        <v>30.625</v>
      </c>
    </row>
    <row r="1167" spans="1:5" x14ac:dyDescent="0.25">
      <c r="A1167" s="1">
        <v>44631</v>
      </c>
      <c r="B1167" s="2">
        <f>IFERROR(Torres!K1166, 0) + IFERROR('San José'!K1166, 0) + IFERROR(Terraplaza!K1166, 0)</f>
        <v>109.125</v>
      </c>
      <c r="C1167">
        <v>25</v>
      </c>
      <c r="D1167">
        <v>18.125</v>
      </c>
      <c r="E1167">
        <v>66</v>
      </c>
    </row>
    <row r="1168" spans="1:5" x14ac:dyDescent="0.25">
      <c r="A1168" s="1">
        <v>44632</v>
      </c>
      <c r="B1168" s="2">
        <f>IFERROR(Torres!K1167, 0) + IFERROR('San José'!K1167, 0) + IFERROR(Terraplaza!K1167, 0)</f>
        <v>127.5</v>
      </c>
      <c r="C1168">
        <v>43.625</v>
      </c>
      <c r="D1168">
        <v>24.625</v>
      </c>
      <c r="E1168">
        <v>59.25</v>
      </c>
    </row>
    <row r="1169" spans="1:5" x14ac:dyDescent="0.25">
      <c r="A1169" s="1">
        <v>44633</v>
      </c>
      <c r="B1169" s="2">
        <f>IFERROR(Torres!K1168, 0) + IFERROR('San José'!K1168, 0) + IFERROR(Terraplaza!K1168, 0)</f>
        <v>107</v>
      </c>
      <c r="C1169">
        <v>38.125</v>
      </c>
      <c r="D1169">
        <v>16.625</v>
      </c>
      <c r="E1169">
        <v>52.25</v>
      </c>
    </row>
    <row r="1170" spans="1:5" x14ac:dyDescent="0.25">
      <c r="A1170" s="1">
        <v>44634</v>
      </c>
      <c r="B1170" s="2">
        <f>IFERROR(Torres!K1169, 0) + IFERROR('San José'!K1169, 0) + IFERROR(Terraplaza!K1169, 0)</f>
        <v>28.375</v>
      </c>
      <c r="C1170">
        <v>8.625</v>
      </c>
      <c r="D1170">
        <v>4.75</v>
      </c>
      <c r="E1170">
        <v>15</v>
      </c>
    </row>
    <row r="1171" spans="1:5" x14ac:dyDescent="0.25">
      <c r="A1171" s="1">
        <v>44635</v>
      </c>
      <c r="B1171" s="2">
        <f>IFERROR(Torres!K1170, 0) + IFERROR('San José'!K1170, 0) + IFERROR(Terraplaza!K1170, 0)</f>
        <v>52.375</v>
      </c>
      <c r="C1171">
        <v>10.75</v>
      </c>
      <c r="D1171">
        <v>11.25</v>
      </c>
      <c r="E1171">
        <v>30.375</v>
      </c>
    </row>
    <row r="1172" spans="1:5" x14ac:dyDescent="0.25">
      <c r="A1172" s="1">
        <v>44636</v>
      </c>
      <c r="B1172" s="2">
        <f>IFERROR(Torres!K1171, 0) + IFERROR('San José'!K1171, 0) + IFERROR(Terraplaza!K1171, 0)</f>
        <v>55.75</v>
      </c>
      <c r="C1172">
        <v>16.375</v>
      </c>
      <c r="D1172">
        <v>6.375</v>
      </c>
      <c r="E1172">
        <v>33</v>
      </c>
    </row>
    <row r="1173" spans="1:5" x14ac:dyDescent="0.25">
      <c r="A1173" s="1">
        <v>44637</v>
      </c>
      <c r="B1173" s="2">
        <f>IFERROR(Torres!K1172, 0) + IFERROR('San José'!K1172, 0) + IFERROR(Terraplaza!K1172, 0)</f>
        <v>45.5</v>
      </c>
      <c r="C1173">
        <v>12.5</v>
      </c>
      <c r="D1173">
        <v>6.375</v>
      </c>
      <c r="E1173">
        <v>26.625</v>
      </c>
    </row>
    <row r="1174" spans="1:5" x14ac:dyDescent="0.25">
      <c r="A1174" s="1">
        <v>44638</v>
      </c>
      <c r="B1174" s="2">
        <f>IFERROR(Torres!K1173, 0) + IFERROR('San José'!K1173, 0) + IFERROR(Terraplaza!K1173, 0)</f>
        <v>76.625</v>
      </c>
      <c r="C1174">
        <v>27.5</v>
      </c>
      <c r="D1174">
        <v>10.875</v>
      </c>
      <c r="E1174">
        <v>38.25</v>
      </c>
    </row>
    <row r="1175" spans="1:5" x14ac:dyDescent="0.25">
      <c r="A1175" s="1">
        <v>44639</v>
      </c>
      <c r="B1175" s="2">
        <f>IFERROR(Torres!K1174, 0) + IFERROR('San José'!K1174, 0) + IFERROR(Terraplaza!K1174, 0)</f>
        <v>92.875</v>
      </c>
      <c r="C1175">
        <v>30.75</v>
      </c>
      <c r="D1175">
        <v>13.375</v>
      </c>
      <c r="E1175">
        <v>48.75</v>
      </c>
    </row>
    <row r="1176" spans="1:5" x14ac:dyDescent="0.25">
      <c r="A1176" s="1">
        <v>44640</v>
      </c>
      <c r="B1176" s="2">
        <f>IFERROR(Torres!K1175, 0) + IFERROR('San José'!K1175, 0) + IFERROR(Terraplaza!K1175, 0)</f>
        <v>117.75</v>
      </c>
      <c r="C1176">
        <v>43</v>
      </c>
      <c r="D1176">
        <v>10.25</v>
      </c>
      <c r="E1176">
        <v>64.5</v>
      </c>
    </row>
    <row r="1177" spans="1:5" x14ac:dyDescent="0.25">
      <c r="A1177" s="1">
        <v>44641</v>
      </c>
      <c r="B1177" s="2">
        <f>IFERROR(Torres!K1176, 0) + IFERROR('San José'!K1176, 0) + IFERROR(Terraplaza!K1176, 0)</f>
        <v>87.75</v>
      </c>
      <c r="C1177">
        <v>29.625</v>
      </c>
      <c r="D1177">
        <v>11.625</v>
      </c>
      <c r="E1177">
        <v>46.5</v>
      </c>
    </row>
    <row r="1178" spans="1:5" x14ac:dyDescent="0.25">
      <c r="A1178" s="1">
        <v>44642</v>
      </c>
      <c r="B1178" s="2">
        <f>IFERROR(Torres!K1177, 0) + IFERROR('San José'!K1177, 0) + IFERROR(Terraplaza!K1177, 0)</f>
        <v>32.625</v>
      </c>
      <c r="C1178">
        <v>16.375</v>
      </c>
      <c r="D1178">
        <v>4.125</v>
      </c>
      <c r="E1178">
        <v>12.125</v>
      </c>
    </row>
    <row r="1179" spans="1:5" x14ac:dyDescent="0.25">
      <c r="A1179" s="1">
        <v>44643</v>
      </c>
      <c r="B1179" s="2">
        <f>IFERROR(Torres!K1178, 0) + IFERROR('San José'!K1178, 0) + IFERROR(Terraplaza!K1178, 0)</f>
        <v>43.625</v>
      </c>
      <c r="C1179">
        <v>12.5</v>
      </c>
      <c r="D1179">
        <v>6.375</v>
      </c>
      <c r="E1179">
        <v>24.75</v>
      </c>
    </row>
    <row r="1180" spans="1:5" x14ac:dyDescent="0.25">
      <c r="A1180" s="1">
        <v>44644</v>
      </c>
      <c r="B1180" s="2">
        <f>IFERROR(Torres!K1179, 0) + IFERROR('San José'!K1179, 0) + IFERROR(Terraplaza!K1179, 0)</f>
        <v>37.125</v>
      </c>
      <c r="C1180">
        <v>12.5</v>
      </c>
      <c r="D1180">
        <v>9.75</v>
      </c>
      <c r="E1180">
        <v>14.875</v>
      </c>
    </row>
    <row r="1181" spans="1:5" x14ac:dyDescent="0.25">
      <c r="A1181" s="1">
        <v>44645</v>
      </c>
      <c r="B1181" s="2">
        <f>IFERROR(Torres!K1180, 0) + IFERROR('San José'!K1180, 0) + IFERROR(Terraplaza!K1180, 0)</f>
        <v>56.75</v>
      </c>
      <c r="C1181">
        <v>20.25</v>
      </c>
      <c r="D1181">
        <v>6</v>
      </c>
      <c r="E1181">
        <v>30.5</v>
      </c>
    </row>
    <row r="1182" spans="1:5" x14ac:dyDescent="0.25">
      <c r="A1182" s="1">
        <v>44646</v>
      </c>
      <c r="B1182" s="2">
        <f>IFERROR(Torres!K1181, 0) + IFERROR('San José'!K1181, 0) + IFERROR(Terraplaza!K1181, 0)</f>
        <v>100.375</v>
      </c>
      <c r="C1182">
        <v>30.25</v>
      </c>
      <c r="D1182">
        <v>14.625</v>
      </c>
      <c r="E1182">
        <v>55.5</v>
      </c>
    </row>
    <row r="1183" spans="1:5" x14ac:dyDescent="0.25">
      <c r="A1183" s="1">
        <v>44647</v>
      </c>
      <c r="B1183" s="2">
        <f>IFERROR(Torres!K1182, 0) + IFERROR('San José'!K1182, 0) + IFERROR(Terraplaza!K1182, 0)</f>
        <v>100</v>
      </c>
      <c r="C1183">
        <v>33.5</v>
      </c>
      <c r="D1183">
        <v>16.375</v>
      </c>
      <c r="E1183">
        <v>50.125</v>
      </c>
    </row>
    <row r="1184" spans="1:5" x14ac:dyDescent="0.25">
      <c r="A1184" s="1">
        <v>44648</v>
      </c>
      <c r="B1184" s="2">
        <f>IFERROR(Torres!K1183, 0) + IFERROR('San José'!K1183, 0) + IFERROR(Terraplaza!K1183, 0)</f>
        <v>43.625</v>
      </c>
      <c r="C1184">
        <v>13.625</v>
      </c>
      <c r="D1184">
        <v>9.875</v>
      </c>
      <c r="E1184">
        <v>20.125</v>
      </c>
    </row>
    <row r="1185" spans="1:5" x14ac:dyDescent="0.25">
      <c r="A1185" s="1">
        <v>44649</v>
      </c>
      <c r="B1185" s="2">
        <f>IFERROR(Torres!K1184, 0) + IFERROR('San José'!K1184, 0) + IFERROR(Terraplaza!K1184, 0)</f>
        <v>48.625</v>
      </c>
      <c r="C1185">
        <v>11.5</v>
      </c>
      <c r="D1185">
        <v>7.875</v>
      </c>
      <c r="E1185">
        <v>29.25</v>
      </c>
    </row>
    <row r="1186" spans="1:5" x14ac:dyDescent="0.25">
      <c r="A1186" s="1">
        <v>44650</v>
      </c>
      <c r="B1186" s="2">
        <f>IFERROR(Torres!K1185, 0) + IFERROR('San José'!K1185, 0) + IFERROR(Terraplaza!K1185, 0)</f>
        <v>53</v>
      </c>
      <c r="C1186">
        <v>15.375</v>
      </c>
      <c r="D1186">
        <v>10.375</v>
      </c>
      <c r="E1186">
        <v>27.25</v>
      </c>
    </row>
    <row r="1187" spans="1:5" x14ac:dyDescent="0.25">
      <c r="A1187" s="1">
        <v>44651</v>
      </c>
      <c r="B1187" s="2">
        <f>IFERROR(Torres!K1186, 0) + IFERROR('San José'!K1186, 0) + IFERROR(Terraplaza!K1186, 0)</f>
        <v>44.375</v>
      </c>
      <c r="C1187">
        <v>14.125</v>
      </c>
      <c r="D1187">
        <v>7.75</v>
      </c>
      <c r="E1187">
        <v>22.5</v>
      </c>
    </row>
    <row r="1188" spans="1:5" x14ac:dyDescent="0.25">
      <c r="A1188" s="1">
        <v>44652</v>
      </c>
      <c r="B1188" s="2">
        <f>IFERROR(Torres!K1187, 0) + IFERROR('San José'!K1187, 0) + IFERROR(Terraplaza!K1187, 0)</f>
        <v>75.125</v>
      </c>
      <c r="C1188">
        <v>26.375</v>
      </c>
      <c r="D1188">
        <v>10.25</v>
      </c>
      <c r="E1188">
        <v>38.5</v>
      </c>
    </row>
    <row r="1189" spans="1:5" x14ac:dyDescent="0.25">
      <c r="A1189" s="1">
        <v>44653</v>
      </c>
      <c r="B1189" s="2">
        <f>IFERROR(Torres!K1188, 0) + IFERROR('San José'!K1188, 0) + IFERROR(Terraplaza!K1188, 0)</f>
        <v>96.25</v>
      </c>
      <c r="C1189">
        <v>32.25</v>
      </c>
      <c r="D1189">
        <v>12.625</v>
      </c>
      <c r="E1189">
        <v>51.375</v>
      </c>
    </row>
    <row r="1190" spans="1:5" x14ac:dyDescent="0.25">
      <c r="A1190" s="1">
        <v>44654</v>
      </c>
      <c r="B1190" s="2">
        <f>IFERROR(Torres!K1189, 0) + IFERROR('San José'!K1189, 0) + IFERROR(Terraplaza!K1189, 0)</f>
        <v>132.25</v>
      </c>
      <c r="C1190">
        <v>39</v>
      </c>
      <c r="D1190">
        <v>30.125</v>
      </c>
      <c r="E1190">
        <v>63.125</v>
      </c>
    </row>
    <row r="1191" spans="1:5" x14ac:dyDescent="0.25">
      <c r="A1191" s="1">
        <v>44655</v>
      </c>
      <c r="B1191" s="2">
        <f>IFERROR(Torres!K1190, 0) + IFERROR('San José'!K1190, 0) + IFERROR(Terraplaza!K1190, 0)</f>
        <v>39.25</v>
      </c>
      <c r="C1191">
        <v>12.5</v>
      </c>
      <c r="D1191">
        <v>4.5</v>
      </c>
      <c r="E1191">
        <v>22.25</v>
      </c>
    </row>
    <row r="1192" spans="1:5" x14ac:dyDescent="0.25">
      <c r="A1192" s="1">
        <v>44656</v>
      </c>
      <c r="B1192" s="2">
        <f>IFERROR(Torres!K1191, 0) + IFERROR('San José'!K1191, 0) + IFERROR(Terraplaza!K1191, 0)</f>
        <v>40.75</v>
      </c>
      <c r="C1192">
        <v>9.875</v>
      </c>
      <c r="D1192">
        <v>7.5</v>
      </c>
      <c r="E1192">
        <v>23.375</v>
      </c>
    </row>
    <row r="1193" spans="1:5" x14ac:dyDescent="0.25">
      <c r="A1193" s="1">
        <v>44657</v>
      </c>
      <c r="B1193" s="2">
        <f>IFERROR(Torres!K1192, 0) + IFERROR('San José'!K1192, 0) + IFERROR(Terraplaza!K1192, 0)</f>
        <v>48.225000000000001</v>
      </c>
      <c r="C1193">
        <v>13.25</v>
      </c>
      <c r="D1193">
        <v>7.9749999999999996</v>
      </c>
      <c r="E1193">
        <v>27</v>
      </c>
    </row>
    <row r="1194" spans="1:5" x14ac:dyDescent="0.25">
      <c r="A1194" s="1">
        <v>44658</v>
      </c>
      <c r="B1194" s="2">
        <f>IFERROR(Torres!K1193, 0) + IFERROR('San José'!K1193, 0) + IFERROR(Terraplaza!K1193, 0)</f>
        <v>44.15</v>
      </c>
      <c r="C1194">
        <v>14.875</v>
      </c>
      <c r="D1194">
        <v>6.7750000000000004</v>
      </c>
      <c r="E1194">
        <v>22.5</v>
      </c>
    </row>
    <row r="1195" spans="1:5" x14ac:dyDescent="0.25">
      <c r="A1195" s="1">
        <v>44659</v>
      </c>
      <c r="B1195" s="2">
        <f>IFERROR(Torres!K1194, 0) + IFERROR('San José'!K1194, 0) + IFERROR(Terraplaza!K1194, 0)</f>
        <v>66.75</v>
      </c>
      <c r="C1195">
        <v>23.25</v>
      </c>
      <c r="D1195">
        <v>10.5</v>
      </c>
      <c r="E1195">
        <v>33</v>
      </c>
    </row>
    <row r="1196" spans="1:5" x14ac:dyDescent="0.25">
      <c r="A1196" s="1">
        <v>44660</v>
      </c>
      <c r="B1196" s="2">
        <f>IFERROR(Torres!K1195, 0) + IFERROR('San José'!K1195, 0) + IFERROR(Terraplaza!K1195, 0)</f>
        <v>113.125</v>
      </c>
      <c r="C1196">
        <v>41.75</v>
      </c>
      <c r="D1196">
        <v>12.5</v>
      </c>
      <c r="E1196">
        <v>58.875</v>
      </c>
    </row>
    <row r="1197" spans="1:5" x14ac:dyDescent="0.25">
      <c r="A1197" s="1">
        <v>44661</v>
      </c>
      <c r="B1197" s="2">
        <f>IFERROR(Torres!K1196, 0) + IFERROR('San José'!K1196, 0) + IFERROR(Terraplaza!K1196, 0)</f>
        <v>130.5</v>
      </c>
      <c r="C1197">
        <v>44.5</v>
      </c>
      <c r="D1197">
        <v>16</v>
      </c>
      <c r="E1197">
        <v>70</v>
      </c>
    </row>
    <row r="1198" spans="1:5" x14ac:dyDescent="0.25">
      <c r="A1198" s="1">
        <v>44662</v>
      </c>
      <c r="B1198" s="2">
        <f>IFERROR(Torres!K1197, 0) + IFERROR('San José'!K1197, 0) + IFERROR(Terraplaza!K1197, 0)</f>
        <v>62</v>
      </c>
      <c r="C1198">
        <v>22.875</v>
      </c>
      <c r="D1198">
        <v>10.875</v>
      </c>
      <c r="E1198">
        <v>28.25</v>
      </c>
    </row>
    <row r="1199" spans="1:5" x14ac:dyDescent="0.25">
      <c r="A1199" s="1">
        <v>44663</v>
      </c>
      <c r="B1199" s="2">
        <f>IFERROR(Torres!K1198, 0) + IFERROR('San José'!K1198, 0) + IFERROR(Terraplaza!K1198, 0)</f>
        <v>72.125</v>
      </c>
      <c r="C1199">
        <v>37</v>
      </c>
      <c r="D1199">
        <v>8.625</v>
      </c>
      <c r="E1199">
        <v>26.5</v>
      </c>
    </row>
    <row r="1200" spans="1:5" x14ac:dyDescent="0.25">
      <c r="A1200" s="1">
        <v>44664</v>
      </c>
      <c r="B1200" s="2">
        <f>IFERROR(Torres!K1199, 0) + IFERROR('San José'!K1199, 0) + IFERROR(Terraplaza!K1199, 0)</f>
        <v>78.75</v>
      </c>
      <c r="C1200">
        <v>23.375</v>
      </c>
      <c r="D1200">
        <v>13.125</v>
      </c>
      <c r="E1200">
        <v>42.25</v>
      </c>
    </row>
    <row r="1201" spans="1:5" x14ac:dyDescent="0.25">
      <c r="A1201" s="1">
        <v>44665</v>
      </c>
      <c r="B1201" s="2">
        <f>IFERROR(Torres!K1200, 0) + IFERROR('San José'!K1200, 0) + IFERROR(Terraplaza!K1200, 0)</f>
        <v>103.125</v>
      </c>
      <c r="C1201">
        <v>35</v>
      </c>
      <c r="D1201">
        <v>17.25</v>
      </c>
      <c r="E1201">
        <v>50.875</v>
      </c>
    </row>
    <row r="1202" spans="1:5" x14ac:dyDescent="0.25">
      <c r="A1202" s="1">
        <v>44666</v>
      </c>
      <c r="B1202" s="2">
        <f>IFERROR(Torres!K1201, 0) + IFERROR('San José'!K1201, 0) + IFERROR(Terraplaza!K1201, 0)</f>
        <v>107.375</v>
      </c>
      <c r="C1202">
        <v>36.375</v>
      </c>
      <c r="D1202">
        <v>18.625</v>
      </c>
      <c r="E1202">
        <v>52.375</v>
      </c>
    </row>
    <row r="1203" spans="1:5" x14ac:dyDescent="0.25">
      <c r="A1203" s="1">
        <v>44667</v>
      </c>
      <c r="B1203" s="2">
        <f>IFERROR(Torres!K1202, 0) + IFERROR('San José'!K1202, 0) + IFERROR(Terraplaza!K1202, 0)</f>
        <v>82.5</v>
      </c>
      <c r="C1203">
        <v>30.125</v>
      </c>
      <c r="D1203">
        <v>9.25</v>
      </c>
      <c r="E1203">
        <v>43.125</v>
      </c>
    </row>
    <row r="1204" spans="1:5" x14ac:dyDescent="0.25">
      <c r="A1204" s="1">
        <v>44668</v>
      </c>
      <c r="B1204" s="2">
        <f>IFERROR(Torres!K1203, 0) + IFERROR('San José'!K1203, 0) + IFERROR(Terraplaza!K1203, 0)</f>
        <v>103.625</v>
      </c>
      <c r="C1204">
        <v>39</v>
      </c>
      <c r="D1204">
        <v>16.5</v>
      </c>
      <c r="E1204">
        <v>48.125</v>
      </c>
    </row>
    <row r="1205" spans="1:5" x14ac:dyDescent="0.25">
      <c r="A1205" s="1">
        <v>44669</v>
      </c>
      <c r="B1205" s="2">
        <f>IFERROR(Torres!K1204, 0) + IFERROR('San José'!K1204, 0) + IFERROR(Terraplaza!K1204, 0)</f>
        <v>41.625</v>
      </c>
      <c r="C1205">
        <v>12</v>
      </c>
      <c r="D1205">
        <v>6.625</v>
      </c>
      <c r="E1205">
        <v>23</v>
      </c>
    </row>
    <row r="1206" spans="1:5" x14ac:dyDescent="0.25">
      <c r="A1206" s="1">
        <v>44670</v>
      </c>
      <c r="B1206" s="2">
        <f>IFERROR(Torres!K1205, 0) + IFERROR('San José'!K1205, 0) + IFERROR(Terraplaza!K1205, 0)</f>
        <v>34</v>
      </c>
      <c r="C1206">
        <v>9.875</v>
      </c>
      <c r="D1206">
        <v>9.125</v>
      </c>
      <c r="E1206">
        <v>15</v>
      </c>
    </row>
    <row r="1207" spans="1:5" x14ac:dyDescent="0.25">
      <c r="A1207" s="1">
        <v>44671</v>
      </c>
      <c r="B1207" s="2">
        <f>IFERROR(Torres!K1206, 0) + IFERROR('San José'!K1206, 0) + IFERROR(Terraplaza!K1206, 0)</f>
        <v>39.75</v>
      </c>
      <c r="C1207">
        <v>16.375</v>
      </c>
      <c r="D1207">
        <v>3.625</v>
      </c>
      <c r="E1207">
        <v>19.75</v>
      </c>
    </row>
    <row r="1208" spans="1:5" x14ac:dyDescent="0.25">
      <c r="A1208" s="1">
        <v>44672</v>
      </c>
      <c r="B1208" s="2">
        <f>IFERROR(Torres!K1207, 0) + IFERROR('San José'!K1207, 0) + IFERROR(Terraplaza!K1207, 0)</f>
        <v>37.5</v>
      </c>
      <c r="C1208">
        <v>14.5</v>
      </c>
      <c r="D1208">
        <v>6.625</v>
      </c>
      <c r="E1208">
        <v>16.375</v>
      </c>
    </row>
    <row r="1209" spans="1:5" x14ac:dyDescent="0.25">
      <c r="A1209" s="1">
        <v>44673</v>
      </c>
      <c r="B1209" s="2">
        <f>IFERROR(Torres!K1208, 0) + IFERROR('San José'!K1208, 0) + IFERROR(Terraplaza!K1208, 0)</f>
        <v>67.625</v>
      </c>
      <c r="C1209">
        <v>24.75</v>
      </c>
      <c r="D1209">
        <v>14.5</v>
      </c>
      <c r="E1209">
        <v>28.375</v>
      </c>
    </row>
    <row r="1210" spans="1:5" x14ac:dyDescent="0.25">
      <c r="A1210" s="1">
        <v>44674</v>
      </c>
      <c r="B1210" s="2">
        <f>IFERROR(Torres!K1209, 0) + IFERROR('San José'!K1209, 0) + IFERROR(Terraplaza!K1209, 0)</f>
        <v>91.625</v>
      </c>
      <c r="C1210">
        <v>36.25</v>
      </c>
      <c r="D1210">
        <v>8.875</v>
      </c>
      <c r="E1210">
        <v>46.5</v>
      </c>
    </row>
    <row r="1211" spans="1:5" x14ac:dyDescent="0.25">
      <c r="A1211" s="1">
        <v>44675</v>
      </c>
      <c r="B1211" s="2">
        <f>IFERROR(Torres!K1210, 0) + IFERROR('San José'!K1210, 0) + IFERROR(Terraplaza!K1210, 0)</f>
        <v>107</v>
      </c>
      <c r="C1211">
        <v>45.5</v>
      </c>
      <c r="D1211">
        <v>18.125</v>
      </c>
      <c r="E1211">
        <v>43.375</v>
      </c>
    </row>
    <row r="1212" spans="1:5" x14ac:dyDescent="0.25">
      <c r="A1212" s="1">
        <v>44676</v>
      </c>
      <c r="B1212" s="2">
        <f>IFERROR(Torres!K1211, 0) + IFERROR('San José'!K1211, 0) + IFERROR(Terraplaza!K1211, 0)</f>
        <v>39.75</v>
      </c>
      <c r="C1212">
        <v>12.25</v>
      </c>
      <c r="D1212">
        <v>6.5</v>
      </c>
      <c r="E1212">
        <v>21</v>
      </c>
    </row>
    <row r="1213" spans="1:5" x14ac:dyDescent="0.25">
      <c r="A1213" s="1">
        <v>44677</v>
      </c>
      <c r="B1213" s="2">
        <f>IFERROR(Torres!K1212, 0) + IFERROR('San José'!K1212, 0) + IFERROR(Terraplaza!K1212, 0)</f>
        <v>46.475000000000001</v>
      </c>
      <c r="C1213">
        <v>10.375</v>
      </c>
      <c r="D1213">
        <v>8.9749999999999996</v>
      </c>
      <c r="E1213">
        <v>27.125</v>
      </c>
    </row>
    <row r="1214" spans="1:5" x14ac:dyDescent="0.25">
      <c r="A1214" s="1">
        <v>44678</v>
      </c>
      <c r="B1214" s="2">
        <f>IFERROR(Torres!K1213, 0) + IFERROR('San José'!K1213, 0) + IFERROR(Terraplaza!K1213, 0)</f>
        <v>41.024999999999999</v>
      </c>
      <c r="C1214">
        <v>14.125</v>
      </c>
      <c r="D1214">
        <v>7.0250000000000004</v>
      </c>
      <c r="E1214">
        <v>19.875</v>
      </c>
    </row>
    <row r="1215" spans="1:5" x14ac:dyDescent="0.25">
      <c r="A1215" s="1">
        <v>44679</v>
      </c>
      <c r="B1215" s="2">
        <f>IFERROR(Torres!K1214, 0) + IFERROR('San José'!K1214, 0) + IFERROR(Terraplaza!K1214, 0)</f>
        <v>44.875</v>
      </c>
      <c r="C1215">
        <v>13.75</v>
      </c>
      <c r="D1215">
        <v>6.125</v>
      </c>
      <c r="E1215">
        <v>25</v>
      </c>
    </row>
    <row r="1216" spans="1:5" x14ac:dyDescent="0.25">
      <c r="A1216" s="1">
        <v>44680</v>
      </c>
      <c r="B1216" s="2">
        <f>IFERROR(Torres!K1215, 0) + IFERROR('San José'!K1215, 0) + IFERROR(Terraplaza!K1215, 0)</f>
        <v>67.625</v>
      </c>
      <c r="C1216">
        <v>22</v>
      </c>
      <c r="D1216">
        <v>8.75</v>
      </c>
      <c r="E1216">
        <v>36.875</v>
      </c>
    </row>
    <row r="1217" spans="1:5" x14ac:dyDescent="0.25">
      <c r="A1217" s="1">
        <v>44681</v>
      </c>
      <c r="B1217" s="2">
        <f>IFERROR(Torres!K1216, 0) + IFERROR('San José'!K1216, 0) + IFERROR(Terraplaza!K1216, 0)</f>
        <v>142.375</v>
      </c>
      <c r="C1217">
        <v>54</v>
      </c>
      <c r="D1217">
        <v>21.125</v>
      </c>
      <c r="E1217">
        <v>67.25</v>
      </c>
    </row>
    <row r="1218" spans="1:5" x14ac:dyDescent="0.25">
      <c r="A1218" s="1">
        <v>44682</v>
      </c>
      <c r="B1218" s="2">
        <f>IFERROR(Torres!K1217, 0) + IFERROR('San José'!K1217, 0) + IFERROR(Terraplaza!K1217, 0)</f>
        <v>115.25</v>
      </c>
      <c r="C1218">
        <v>39.75</v>
      </c>
      <c r="D1218">
        <v>26.25</v>
      </c>
      <c r="E1218">
        <v>49.25</v>
      </c>
    </row>
    <row r="1219" spans="1:5" x14ac:dyDescent="0.25">
      <c r="A1219" s="1">
        <v>44683</v>
      </c>
      <c r="B1219" s="2">
        <f>IFERROR(Torres!K1218, 0) + IFERROR('San José'!K1218, 0) + IFERROR(Terraplaza!K1218, 0)</f>
        <v>48.5</v>
      </c>
      <c r="C1219">
        <v>12.75</v>
      </c>
      <c r="D1219">
        <v>11.125</v>
      </c>
      <c r="E1219">
        <v>24.625</v>
      </c>
    </row>
    <row r="1220" spans="1:5" x14ac:dyDescent="0.25">
      <c r="A1220" s="1">
        <v>44684</v>
      </c>
      <c r="B1220" s="2">
        <f>IFERROR(Torres!K1219, 0) + IFERROR('San José'!K1219, 0) + IFERROR(Terraplaza!K1219, 0)</f>
        <v>48</v>
      </c>
      <c r="C1220">
        <v>14.875</v>
      </c>
      <c r="D1220">
        <v>7</v>
      </c>
      <c r="E1220">
        <v>26.125</v>
      </c>
    </row>
    <row r="1221" spans="1:5" x14ac:dyDescent="0.25">
      <c r="A1221" s="1">
        <v>44685</v>
      </c>
      <c r="B1221" s="2">
        <f>IFERROR(Torres!K1220, 0) + IFERROR('San José'!K1220, 0) + IFERROR(Terraplaza!K1220, 0)</f>
        <v>60</v>
      </c>
      <c r="C1221">
        <v>23.125</v>
      </c>
      <c r="D1221">
        <v>7.625</v>
      </c>
      <c r="E1221">
        <v>29.25</v>
      </c>
    </row>
    <row r="1222" spans="1:5" x14ac:dyDescent="0.25">
      <c r="A1222" s="1">
        <v>44686</v>
      </c>
      <c r="B1222" s="2">
        <f>IFERROR(Torres!K1221, 0) + IFERROR('San José'!K1221, 0) + IFERROR(Terraplaza!K1221, 0)</f>
        <v>67.25</v>
      </c>
      <c r="C1222">
        <v>29.375</v>
      </c>
      <c r="D1222">
        <v>7.375</v>
      </c>
      <c r="E1222">
        <v>30.5</v>
      </c>
    </row>
    <row r="1223" spans="1:5" x14ac:dyDescent="0.25">
      <c r="A1223" s="1">
        <v>44687</v>
      </c>
      <c r="B1223" s="2">
        <f>IFERROR(Torres!K1222, 0) + IFERROR('San José'!K1222, 0) + IFERROR(Terraplaza!K1222, 0)</f>
        <v>70.75</v>
      </c>
      <c r="C1223">
        <v>26.875</v>
      </c>
      <c r="D1223">
        <v>7.625</v>
      </c>
      <c r="E1223">
        <v>36.25</v>
      </c>
    </row>
    <row r="1224" spans="1:5" x14ac:dyDescent="0.25">
      <c r="A1224" s="1">
        <v>44688</v>
      </c>
      <c r="B1224" s="2">
        <f>IFERROR(Torres!K1223, 0) + IFERROR('San José'!K1223, 0) + IFERROR(Terraplaza!K1223, 0)</f>
        <v>135.625</v>
      </c>
      <c r="C1224">
        <v>40.125</v>
      </c>
      <c r="D1224">
        <v>15</v>
      </c>
      <c r="E1224">
        <v>80.5</v>
      </c>
    </row>
    <row r="1225" spans="1:5" x14ac:dyDescent="0.25">
      <c r="A1225" s="1">
        <v>44689</v>
      </c>
      <c r="B1225" s="2">
        <f>IFERROR(Torres!K1224, 0) + IFERROR('San José'!K1224, 0) + IFERROR(Terraplaza!K1224, 0)</f>
        <v>124.25</v>
      </c>
      <c r="C1225">
        <v>43.875</v>
      </c>
      <c r="D1225">
        <v>27.5</v>
      </c>
      <c r="E1225">
        <v>52.875</v>
      </c>
    </row>
    <row r="1226" spans="1:5" x14ac:dyDescent="0.25">
      <c r="A1226" s="1">
        <v>44690</v>
      </c>
      <c r="B1226" s="2">
        <f>IFERROR(Torres!K1225, 0) + IFERROR('San José'!K1225, 0) + IFERROR(Terraplaza!K1225, 0)</f>
        <v>48.125</v>
      </c>
      <c r="C1226">
        <v>11.625</v>
      </c>
      <c r="D1226">
        <v>6.875</v>
      </c>
      <c r="E1226">
        <v>29.625</v>
      </c>
    </row>
    <row r="1227" spans="1:5" x14ac:dyDescent="0.25">
      <c r="A1227" s="1">
        <v>44691</v>
      </c>
      <c r="B1227" s="2">
        <f>IFERROR(Torres!K1226, 0) + IFERROR('San José'!K1226, 0) + IFERROR(Terraplaza!K1226, 0)</f>
        <v>43.625</v>
      </c>
      <c r="C1227">
        <v>12.125</v>
      </c>
      <c r="D1227">
        <v>7.25</v>
      </c>
      <c r="E1227">
        <v>24.25</v>
      </c>
    </row>
    <row r="1228" spans="1:5" x14ac:dyDescent="0.25">
      <c r="A1228" s="1">
        <v>44692</v>
      </c>
      <c r="B1228" s="2">
        <f>IFERROR(Torres!K1227, 0) + IFERROR('San José'!K1227, 0) + IFERROR(Terraplaza!K1227, 0)</f>
        <v>62.375</v>
      </c>
      <c r="C1228">
        <v>23.75</v>
      </c>
      <c r="D1228">
        <v>4.875</v>
      </c>
      <c r="E1228">
        <v>33.75</v>
      </c>
    </row>
    <row r="1229" spans="1:5" x14ac:dyDescent="0.25">
      <c r="A1229" s="1">
        <v>44693</v>
      </c>
      <c r="B1229" s="2">
        <f>IFERROR(Torres!K1228, 0) + IFERROR('San José'!K1228, 0) + IFERROR(Terraplaza!K1228, 0)</f>
        <v>47</v>
      </c>
      <c r="C1229">
        <v>18.25</v>
      </c>
      <c r="D1229">
        <v>6.75</v>
      </c>
      <c r="E1229">
        <v>22</v>
      </c>
    </row>
    <row r="1230" spans="1:5" x14ac:dyDescent="0.25">
      <c r="A1230" s="1">
        <v>44694</v>
      </c>
      <c r="B1230" s="2">
        <f>IFERROR(Torres!K1229, 0) + IFERROR('San José'!K1229, 0) + IFERROR(Terraplaza!K1229, 0)</f>
        <v>94.5</v>
      </c>
      <c r="C1230">
        <v>29.25</v>
      </c>
      <c r="D1230">
        <v>14.25</v>
      </c>
      <c r="E1230">
        <v>51</v>
      </c>
    </row>
    <row r="1231" spans="1:5" x14ac:dyDescent="0.25">
      <c r="A1231" s="1">
        <v>44695</v>
      </c>
      <c r="B1231" s="2">
        <f>IFERROR(Torres!K1230, 0) + IFERROR('San José'!K1230, 0) + IFERROR(Terraplaza!K1230, 0)</f>
        <v>102.875</v>
      </c>
      <c r="C1231">
        <v>34</v>
      </c>
      <c r="D1231">
        <v>17.75</v>
      </c>
      <c r="E1231">
        <v>51.125</v>
      </c>
    </row>
    <row r="1232" spans="1:5" x14ac:dyDescent="0.25">
      <c r="A1232" s="1">
        <v>44696</v>
      </c>
      <c r="B1232" s="2">
        <f>IFERROR(Torres!K1231, 0) + IFERROR('San José'!K1231, 0) + IFERROR(Terraplaza!K1231, 0)</f>
        <v>93.125</v>
      </c>
      <c r="C1232">
        <v>41.875</v>
      </c>
      <c r="D1232">
        <v>13.875</v>
      </c>
      <c r="E1232">
        <v>37.375</v>
      </c>
    </row>
    <row r="1233" spans="1:5" x14ac:dyDescent="0.25">
      <c r="A1233" s="1">
        <v>44697</v>
      </c>
      <c r="B1233" s="2">
        <f>IFERROR(Torres!K1232, 0) + IFERROR('San José'!K1232, 0) + IFERROR(Terraplaza!K1232, 0)</f>
        <v>44.125</v>
      </c>
      <c r="C1233">
        <v>10.375</v>
      </c>
      <c r="D1233">
        <v>6.25</v>
      </c>
      <c r="E1233">
        <v>27.5</v>
      </c>
    </row>
    <row r="1234" spans="1:5" x14ac:dyDescent="0.25">
      <c r="A1234" s="1">
        <v>44698</v>
      </c>
      <c r="B1234" s="2">
        <f>IFERROR(Torres!K1233, 0) + IFERROR('San José'!K1233, 0) + IFERROR(Terraplaza!K1233, 0)</f>
        <v>44.875</v>
      </c>
      <c r="C1234">
        <v>11.125</v>
      </c>
      <c r="D1234">
        <v>8.5</v>
      </c>
      <c r="E1234">
        <v>25.25</v>
      </c>
    </row>
    <row r="1235" spans="1:5" x14ac:dyDescent="0.25">
      <c r="A1235" s="1">
        <v>44699</v>
      </c>
      <c r="B1235" s="2">
        <f>IFERROR(Torres!K1234, 0) + IFERROR('San José'!K1234, 0) + IFERROR(Terraplaza!K1234, 0)</f>
        <v>53.5</v>
      </c>
      <c r="C1235">
        <v>21.625</v>
      </c>
      <c r="D1235">
        <v>8.125</v>
      </c>
      <c r="E1235">
        <v>23.75</v>
      </c>
    </row>
    <row r="1236" spans="1:5" x14ac:dyDescent="0.25">
      <c r="A1236" s="1">
        <v>44700</v>
      </c>
      <c r="B1236" s="2">
        <f>IFERROR(Torres!K1235, 0) + IFERROR('San José'!K1235, 0) + IFERROR(Terraplaza!K1235, 0)</f>
        <v>45.25</v>
      </c>
      <c r="C1236">
        <v>12.75</v>
      </c>
      <c r="D1236">
        <v>6.75</v>
      </c>
      <c r="E1236">
        <v>25.75</v>
      </c>
    </row>
    <row r="1237" spans="1:5" x14ac:dyDescent="0.25">
      <c r="A1237" s="1">
        <v>44701</v>
      </c>
      <c r="B1237" s="2">
        <f>IFERROR(Torres!K1236, 0) + IFERROR('San José'!K1236, 0) + IFERROR(Terraplaza!K1236, 0)</f>
        <v>69.375</v>
      </c>
      <c r="C1237">
        <v>27.75</v>
      </c>
      <c r="D1237">
        <v>8.25</v>
      </c>
      <c r="E1237">
        <v>33.375</v>
      </c>
    </row>
    <row r="1238" spans="1:5" x14ac:dyDescent="0.25">
      <c r="A1238" s="1">
        <v>44702</v>
      </c>
      <c r="B1238" s="2">
        <f>IFERROR(Torres!K1237, 0) + IFERROR('San José'!K1237, 0) + IFERROR(Terraplaza!K1237, 0)</f>
        <v>106.125</v>
      </c>
      <c r="C1238">
        <v>42.375</v>
      </c>
      <c r="D1238">
        <v>16.625</v>
      </c>
      <c r="E1238">
        <v>47.125</v>
      </c>
    </row>
    <row r="1239" spans="1:5" x14ac:dyDescent="0.25">
      <c r="A1239" s="1">
        <v>44703</v>
      </c>
      <c r="B1239" s="2">
        <f>IFERROR(Torres!K1238, 0) + IFERROR('San José'!K1238, 0) + IFERROR(Terraplaza!K1238, 0)</f>
        <v>115.375</v>
      </c>
      <c r="C1239">
        <v>55.25</v>
      </c>
      <c r="D1239">
        <v>18.625</v>
      </c>
      <c r="E1239">
        <v>41.5</v>
      </c>
    </row>
    <row r="1240" spans="1:5" x14ac:dyDescent="0.25">
      <c r="A1240" s="1">
        <v>44704</v>
      </c>
      <c r="B1240" s="2">
        <f>IFERROR(Torres!K1239, 0) + IFERROR('San José'!K1239, 0) + IFERROR(Terraplaza!K1239, 0)</f>
        <v>38.625</v>
      </c>
      <c r="C1240">
        <v>9.625</v>
      </c>
      <c r="D1240">
        <v>3.5</v>
      </c>
      <c r="E1240">
        <v>25.5</v>
      </c>
    </row>
    <row r="1241" spans="1:5" x14ac:dyDescent="0.25">
      <c r="A1241" s="1">
        <v>44705</v>
      </c>
      <c r="B1241" s="2">
        <f>IFERROR(Torres!K1240, 0) + IFERROR('San José'!K1240, 0) + IFERROR(Terraplaza!K1240, 0)</f>
        <v>45.5</v>
      </c>
      <c r="C1241">
        <v>13.25</v>
      </c>
      <c r="D1241">
        <v>5.625</v>
      </c>
      <c r="E1241">
        <v>26.625</v>
      </c>
    </row>
    <row r="1242" spans="1:5" x14ac:dyDescent="0.25">
      <c r="A1242" s="1">
        <v>44706</v>
      </c>
      <c r="B1242" s="2">
        <f>IFERROR(Torres!K1241, 0) + IFERROR('San José'!K1241, 0) + IFERROR(Terraplaza!K1241, 0)</f>
        <v>45.625</v>
      </c>
      <c r="C1242">
        <v>14.625</v>
      </c>
      <c r="D1242">
        <v>6.25</v>
      </c>
      <c r="E1242">
        <v>24.75</v>
      </c>
    </row>
    <row r="1243" spans="1:5" x14ac:dyDescent="0.25">
      <c r="A1243" s="1">
        <v>44707</v>
      </c>
      <c r="B1243" s="2">
        <f>IFERROR(Torres!K1242, 0) + IFERROR('San José'!K1242, 0) + IFERROR(Terraplaza!K1242, 0)</f>
        <v>58.25</v>
      </c>
      <c r="C1243">
        <v>20.625</v>
      </c>
      <c r="D1243">
        <v>9.75</v>
      </c>
      <c r="E1243">
        <v>27.875</v>
      </c>
    </row>
    <row r="1244" spans="1:5" x14ac:dyDescent="0.25">
      <c r="A1244" s="1">
        <v>44708</v>
      </c>
      <c r="B1244" s="2">
        <f>IFERROR(Torres!K1243, 0) + IFERROR('San José'!K1243, 0) + IFERROR(Terraplaza!K1243, 0)</f>
        <v>79.75</v>
      </c>
      <c r="C1244">
        <v>20.25</v>
      </c>
      <c r="D1244">
        <v>10.375</v>
      </c>
      <c r="E1244">
        <v>49.125</v>
      </c>
    </row>
    <row r="1245" spans="1:5" x14ac:dyDescent="0.25">
      <c r="A1245" s="1">
        <v>44709</v>
      </c>
      <c r="B1245" s="2">
        <f>IFERROR(Torres!K1244, 0) + IFERROR('San José'!K1244, 0) + IFERROR(Terraplaza!K1244, 0)</f>
        <v>113.125</v>
      </c>
      <c r="C1245">
        <v>46.375</v>
      </c>
      <c r="D1245">
        <v>10.375</v>
      </c>
      <c r="E1245">
        <v>56.375</v>
      </c>
    </row>
    <row r="1246" spans="1:5" x14ac:dyDescent="0.25">
      <c r="A1246" s="1">
        <v>44710</v>
      </c>
      <c r="B1246" s="2">
        <f>IFERROR(Torres!K1245, 0) + IFERROR('San José'!K1245, 0) + IFERROR(Terraplaza!K1245, 0)</f>
        <v>130.625</v>
      </c>
      <c r="C1246">
        <v>43</v>
      </c>
      <c r="D1246">
        <v>18.875</v>
      </c>
      <c r="E1246">
        <v>68.75</v>
      </c>
    </row>
    <row r="1247" spans="1:5" x14ac:dyDescent="0.25">
      <c r="A1247" s="1">
        <v>44711</v>
      </c>
      <c r="B1247" s="2">
        <f>IFERROR(Torres!K1246, 0) + IFERROR('San José'!K1246, 0) + IFERROR(Terraplaza!K1246, 0)</f>
        <v>81.5</v>
      </c>
      <c r="C1247">
        <v>35.125</v>
      </c>
      <c r="D1247" t="e">
        <v>#N/A</v>
      </c>
      <c r="E1247">
        <v>46.375</v>
      </c>
    </row>
    <row r="1248" spans="1:5" x14ac:dyDescent="0.25">
      <c r="A1248" s="1">
        <v>44712</v>
      </c>
      <c r="B1248" s="2">
        <f>IFERROR(Torres!K1247, 0) + IFERROR('San José'!K1247, 0) + IFERROR(Terraplaza!K1247, 0)</f>
        <v>44.875</v>
      </c>
      <c r="C1248">
        <v>13.125</v>
      </c>
      <c r="D1248" t="e">
        <v>#N/A</v>
      </c>
      <c r="E1248">
        <v>31.75</v>
      </c>
    </row>
    <row r="1249" spans="1:5" x14ac:dyDescent="0.25">
      <c r="A1249" s="1">
        <v>44713</v>
      </c>
      <c r="B1249" s="2">
        <f>IFERROR(Torres!K1248, 0) + IFERROR('San José'!K1248, 0) + IFERROR(Terraplaza!K1248, 0)</f>
        <v>50.625</v>
      </c>
      <c r="C1249">
        <v>14.375</v>
      </c>
      <c r="D1249">
        <v>7.375</v>
      </c>
      <c r="E1249">
        <v>28.875</v>
      </c>
    </row>
    <row r="1250" spans="1:5" x14ac:dyDescent="0.25">
      <c r="A1250" s="1">
        <v>44714</v>
      </c>
      <c r="B1250" s="2">
        <f>IFERROR(Torres!K1249, 0) + IFERROR('San José'!K1249, 0) + IFERROR(Terraplaza!K1249, 0)</f>
        <v>62.625</v>
      </c>
      <c r="C1250">
        <v>25.125</v>
      </c>
      <c r="D1250">
        <v>8</v>
      </c>
      <c r="E1250">
        <v>29.5</v>
      </c>
    </row>
    <row r="1251" spans="1:5" x14ac:dyDescent="0.25">
      <c r="A1251" s="1">
        <v>44715</v>
      </c>
      <c r="B1251" s="2">
        <f>IFERROR(Torres!K1250, 0) + IFERROR('San José'!K1250, 0) + IFERROR(Terraplaza!K1250, 0)</f>
        <v>87.5</v>
      </c>
      <c r="C1251">
        <v>35.5</v>
      </c>
      <c r="D1251">
        <v>12.125</v>
      </c>
      <c r="E1251">
        <v>39.875</v>
      </c>
    </row>
    <row r="1252" spans="1:5" x14ac:dyDescent="0.25">
      <c r="A1252" s="1">
        <v>44716</v>
      </c>
      <c r="B1252" s="2">
        <f>IFERROR(Torres!K1251, 0) + IFERROR('San José'!K1251, 0) + IFERROR(Terraplaza!K1251, 0)</f>
        <v>113.5</v>
      </c>
      <c r="C1252">
        <v>49.75</v>
      </c>
      <c r="D1252">
        <v>10.875</v>
      </c>
      <c r="E1252">
        <v>52.875</v>
      </c>
    </row>
    <row r="1253" spans="1:5" x14ac:dyDescent="0.25">
      <c r="A1253" s="1">
        <v>44717</v>
      </c>
      <c r="B1253" s="2">
        <f>IFERROR(Torres!K1252, 0) + IFERROR('San José'!K1252, 0) + IFERROR(Terraplaza!K1252, 0)</f>
        <v>100.375</v>
      </c>
      <c r="C1253">
        <v>42.875</v>
      </c>
      <c r="D1253">
        <v>11.875</v>
      </c>
      <c r="E1253">
        <v>45.625</v>
      </c>
    </row>
    <row r="1254" spans="1:5" x14ac:dyDescent="0.25">
      <c r="A1254" s="1">
        <v>44718</v>
      </c>
      <c r="B1254" s="2">
        <f>IFERROR(Torres!K1253, 0) + IFERROR('San José'!K1253, 0) + IFERROR(Terraplaza!K1253, 0)</f>
        <v>47</v>
      </c>
      <c r="C1254">
        <v>12.625</v>
      </c>
      <c r="D1254">
        <v>7.5</v>
      </c>
      <c r="E1254">
        <v>26.875</v>
      </c>
    </row>
    <row r="1255" spans="1:5" x14ac:dyDescent="0.25">
      <c r="A1255" s="1">
        <v>44719</v>
      </c>
      <c r="B1255" s="2">
        <f>IFERROR(Torres!K1254, 0) + IFERROR('San José'!K1254, 0) + IFERROR(Terraplaza!K1254, 0)</f>
        <v>45.625</v>
      </c>
      <c r="C1255">
        <v>8.375</v>
      </c>
      <c r="D1255">
        <v>6.875</v>
      </c>
      <c r="E1255">
        <v>30.375</v>
      </c>
    </row>
    <row r="1256" spans="1:5" x14ac:dyDescent="0.25">
      <c r="A1256" s="1">
        <v>44720</v>
      </c>
      <c r="B1256" s="2">
        <f>IFERROR(Torres!K1255, 0) + IFERROR('San José'!K1255, 0) + IFERROR(Terraplaza!K1255, 0)</f>
        <v>52.625</v>
      </c>
      <c r="C1256">
        <v>22.75</v>
      </c>
      <c r="D1256">
        <v>10.25</v>
      </c>
      <c r="E1256">
        <v>19.625</v>
      </c>
    </row>
    <row r="1257" spans="1:5" x14ac:dyDescent="0.25">
      <c r="A1257" s="1">
        <v>44721</v>
      </c>
      <c r="B1257" s="2">
        <f>IFERROR(Torres!K1256, 0) + IFERROR('San José'!K1256, 0) + IFERROR(Terraplaza!K1256, 0)</f>
        <v>41</v>
      </c>
      <c r="C1257">
        <v>12.625</v>
      </c>
      <c r="D1257">
        <v>7</v>
      </c>
      <c r="E1257">
        <v>21.375</v>
      </c>
    </row>
    <row r="1258" spans="1:5" x14ac:dyDescent="0.25">
      <c r="A1258" s="1">
        <v>44722</v>
      </c>
      <c r="B1258" s="2">
        <f>IFERROR(Torres!K1257, 0) + IFERROR('San José'!K1257, 0) + IFERROR(Terraplaza!K1257, 0)</f>
        <v>77.75</v>
      </c>
      <c r="C1258">
        <v>28</v>
      </c>
      <c r="D1258">
        <v>9.25</v>
      </c>
      <c r="E1258">
        <v>40.5</v>
      </c>
    </row>
    <row r="1259" spans="1:5" x14ac:dyDescent="0.25">
      <c r="A1259" s="1">
        <v>44723</v>
      </c>
      <c r="B1259" s="2">
        <f>IFERROR(Torres!K1258, 0) + IFERROR('San José'!K1258, 0) + IFERROR(Terraplaza!K1258, 0)</f>
        <v>96.125</v>
      </c>
      <c r="C1259">
        <v>46.375</v>
      </c>
      <c r="D1259">
        <v>11.125</v>
      </c>
      <c r="E1259">
        <v>38.625</v>
      </c>
    </row>
    <row r="1260" spans="1:5" x14ac:dyDescent="0.25">
      <c r="A1260" s="1">
        <v>44724</v>
      </c>
      <c r="B1260" s="2">
        <f>IFERROR(Torres!K1259, 0) + IFERROR('San José'!K1259, 0) + IFERROR(Terraplaza!K1259, 0)</f>
        <v>102.75</v>
      </c>
      <c r="C1260">
        <v>45.75</v>
      </c>
      <c r="D1260">
        <v>12.5</v>
      </c>
      <c r="E1260">
        <v>44.5</v>
      </c>
    </row>
    <row r="1261" spans="1:5" x14ac:dyDescent="0.25">
      <c r="A1261" s="1">
        <v>44725</v>
      </c>
      <c r="B1261" s="2">
        <f>IFERROR(Torres!K1260, 0) + IFERROR('San José'!K1260, 0) + IFERROR(Terraplaza!K1260, 0)</f>
        <v>34.25</v>
      </c>
      <c r="C1261">
        <v>13</v>
      </c>
      <c r="D1261">
        <v>5.25</v>
      </c>
      <c r="E1261">
        <v>16</v>
      </c>
    </row>
    <row r="1262" spans="1:5" x14ac:dyDescent="0.25">
      <c r="A1262" s="1">
        <v>44726</v>
      </c>
      <c r="B1262" s="2">
        <f>IFERROR(Torres!K1261, 0) + IFERROR('San José'!K1261, 0) + IFERROR(Terraplaza!K1261, 0)</f>
        <v>50.25</v>
      </c>
      <c r="C1262">
        <v>19.625</v>
      </c>
      <c r="D1262">
        <v>7.875</v>
      </c>
      <c r="E1262">
        <v>22.75</v>
      </c>
    </row>
    <row r="1263" spans="1:5" x14ac:dyDescent="0.25">
      <c r="A1263" s="1">
        <v>44727</v>
      </c>
      <c r="B1263" s="2">
        <f>IFERROR(Torres!K1262, 0) + IFERROR('San José'!K1262, 0) + IFERROR(Terraplaza!K1262, 0)</f>
        <v>71.125</v>
      </c>
      <c r="C1263">
        <v>31.75</v>
      </c>
      <c r="D1263">
        <v>6.75</v>
      </c>
      <c r="E1263">
        <v>32.625</v>
      </c>
    </row>
    <row r="1264" spans="1:5" x14ac:dyDescent="0.25">
      <c r="A1264" s="1">
        <v>44728</v>
      </c>
      <c r="B1264" s="2">
        <f>IFERROR(Torres!K1263, 0) + IFERROR('San José'!K1263, 0) + IFERROR(Terraplaza!K1263, 0)</f>
        <v>57.125</v>
      </c>
      <c r="C1264">
        <v>17.875</v>
      </c>
      <c r="D1264">
        <v>8.125</v>
      </c>
      <c r="E1264">
        <v>31.125</v>
      </c>
    </row>
    <row r="1265" spans="1:5" x14ac:dyDescent="0.25">
      <c r="A1265" s="1">
        <v>44729</v>
      </c>
      <c r="B1265" s="2">
        <f>IFERROR(Torres!K1264, 0) + IFERROR('San José'!K1264, 0) + IFERROR(Terraplaza!K1264, 0)</f>
        <v>109.125</v>
      </c>
      <c r="C1265">
        <v>35.75</v>
      </c>
      <c r="D1265">
        <v>10</v>
      </c>
      <c r="E1265">
        <v>63.375</v>
      </c>
    </row>
    <row r="1266" spans="1:5" x14ac:dyDescent="0.25">
      <c r="A1266" s="1">
        <v>44730</v>
      </c>
      <c r="B1266" s="2">
        <f>IFERROR(Torres!K1265, 0) + IFERROR('San José'!K1265, 0) + IFERROR(Terraplaza!K1265, 0)</f>
        <v>126.875</v>
      </c>
      <c r="C1266">
        <v>58.5</v>
      </c>
      <c r="D1266">
        <v>15</v>
      </c>
      <c r="E1266">
        <v>53.375</v>
      </c>
    </row>
    <row r="1267" spans="1:5" x14ac:dyDescent="0.25">
      <c r="A1267" s="1">
        <v>44731</v>
      </c>
      <c r="B1267" s="2">
        <f>IFERROR(Torres!K1266, 0) + IFERROR('San José'!K1266, 0) + IFERROR(Terraplaza!K1266, 0)</f>
        <v>107.375</v>
      </c>
      <c r="C1267">
        <v>35.875</v>
      </c>
      <c r="D1267">
        <v>18.875</v>
      </c>
      <c r="E1267">
        <v>52.625</v>
      </c>
    </row>
    <row r="1268" spans="1:5" x14ac:dyDescent="0.25">
      <c r="A1268" s="1">
        <v>44732</v>
      </c>
      <c r="B1268" s="2">
        <f>IFERROR(Torres!K1267, 0) + IFERROR('San José'!K1267, 0) + IFERROR(Terraplaza!K1267, 0)</f>
        <v>125.125</v>
      </c>
      <c r="C1268">
        <v>49.5</v>
      </c>
      <c r="D1268">
        <v>13.875</v>
      </c>
      <c r="E1268">
        <v>61.75</v>
      </c>
    </row>
    <row r="1269" spans="1:5" x14ac:dyDescent="0.25">
      <c r="A1269" s="1">
        <v>44733</v>
      </c>
      <c r="B1269" s="2">
        <f>IFERROR(Torres!K1268, 0) + IFERROR('San José'!K1268, 0) + IFERROR(Terraplaza!K1268, 0)</f>
        <v>58.375</v>
      </c>
      <c r="C1269">
        <v>15.75</v>
      </c>
      <c r="D1269">
        <v>7.75</v>
      </c>
      <c r="E1269">
        <v>34.875</v>
      </c>
    </row>
    <row r="1270" spans="1:5" x14ac:dyDescent="0.25">
      <c r="A1270" s="1">
        <v>44734</v>
      </c>
      <c r="B1270" s="2">
        <f>IFERROR(Torres!K1269, 0) + IFERROR('San José'!K1269, 0) + IFERROR(Terraplaza!K1269, 0)</f>
        <v>57.5</v>
      </c>
      <c r="C1270">
        <v>22.75</v>
      </c>
      <c r="D1270">
        <v>8.25</v>
      </c>
      <c r="E1270">
        <v>26.5</v>
      </c>
    </row>
    <row r="1271" spans="1:5" x14ac:dyDescent="0.25">
      <c r="A1271" s="1">
        <v>44735</v>
      </c>
      <c r="B1271" s="2">
        <f>IFERROR(Torres!K1270, 0) + IFERROR('San José'!K1270, 0) + IFERROR(Terraplaza!K1270, 0)</f>
        <v>62.75</v>
      </c>
      <c r="C1271">
        <v>22</v>
      </c>
      <c r="D1271">
        <v>7.5</v>
      </c>
      <c r="E1271">
        <v>33.25</v>
      </c>
    </row>
    <row r="1272" spans="1:5" x14ac:dyDescent="0.25">
      <c r="A1272" s="1">
        <v>44736</v>
      </c>
      <c r="B1272" s="2">
        <f>IFERROR(Torres!K1271, 0) + IFERROR('San José'!K1271, 0) + IFERROR(Terraplaza!K1271, 0)</f>
        <v>94.375</v>
      </c>
      <c r="C1272">
        <v>26.5</v>
      </c>
      <c r="D1272">
        <v>7.625</v>
      </c>
      <c r="E1272">
        <v>60.25</v>
      </c>
    </row>
    <row r="1273" spans="1:5" x14ac:dyDescent="0.25">
      <c r="A1273" s="1">
        <v>44737</v>
      </c>
      <c r="B1273" s="2">
        <f>IFERROR(Torres!K1272, 0) + IFERROR('San José'!K1272, 0) + IFERROR(Terraplaza!K1272, 0)</f>
        <v>119</v>
      </c>
      <c r="C1273">
        <v>36.5</v>
      </c>
      <c r="D1273">
        <v>17</v>
      </c>
      <c r="E1273">
        <v>65.5</v>
      </c>
    </row>
    <row r="1274" spans="1:5" x14ac:dyDescent="0.25">
      <c r="A1274" s="1">
        <v>44738</v>
      </c>
      <c r="B1274" s="2">
        <f>IFERROR(Torres!K1273, 0) + IFERROR('San José'!K1273, 0) + IFERROR(Terraplaza!K1273, 0)</f>
        <v>120.375</v>
      </c>
      <c r="C1274">
        <v>39.125</v>
      </c>
      <c r="D1274">
        <v>23.75</v>
      </c>
      <c r="E1274">
        <v>57.5</v>
      </c>
    </row>
    <row r="1275" spans="1:5" x14ac:dyDescent="0.25">
      <c r="A1275" s="1">
        <v>44739</v>
      </c>
      <c r="B1275" s="2">
        <f>IFERROR(Torres!K1274, 0) + IFERROR('San José'!K1274, 0) + IFERROR(Terraplaza!K1274, 0)</f>
        <v>109</v>
      </c>
      <c r="C1275">
        <v>36.375</v>
      </c>
      <c r="D1275">
        <v>12.125</v>
      </c>
      <c r="E1275">
        <v>60.5</v>
      </c>
    </row>
    <row r="1276" spans="1:5" x14ac:dyDescent="0.25">
      <c r="A1276" s="1">
        <v>44740</v>
      </c>
      <c r="B1276" s="2">
        <f>IFERROR(Torres!K1275, 0) + IFERROR('San José'!K1275, 0) + IFERROR(Terraplaza!K1275, 0)</f>
        <v>47.625</v>
      </c>
      <c r="C1276">
        <v>16.25</v>
      </c>
      <c r="D1276">
        <v>7.5</v>
      </c>
      <c r="E1276">
        <v>23.875</v>
      </c>
    </row>
    <row r="1277" spans="1:5" x14ac:dyDescent="0.25">
      <c r="A1277" s="1">
        <v>44741</v>
      </c>
      <c r="B1277" s="2">
        <f>IFERROR(Torres!K1276, 0) + IFERROR('San José'!K1276, 0) + IFERROR(Terraplaza!K1276, 0)</f>
        <v>84.375</v>
      </c>
      <c r="C1277">
        <v>34.625</v>
      </c>
      <c r="D1277">
        <v>9</v>
      </c>
      <c r="E1277">
        <v>40.75</v>
      </c>
    </row>
    <row r="1278" spans="1:5" x14ac:dyDescent="0.25">
      <c r="A1278" s="1">
        <v>44742</v>
      </c>
      <c r="B1278" s="2">
        <f>IFERROR(Torres!K1277, 0) + IFERROR('San José'!K1277, 0) + IFERROR(Terraplaza!K1277, 0)</f>
        <v>74</v>
      </c>
      <c r="C1278">
        <v>27.125</v>
      </c>
      <c r="D1278" t="e">
        <v>#N/A</v>
      </c>
      <c r="E1278">
        <v>46.875</v>
      </c>
    </row>
    <row r="1279" spans="1:5" x14ac:dyDescent="0.25">
      <c r="A1279" s="1">
        <v>44743</v>
      </c>
      <c r="B1279" s="2">
        <f>IFERROR(Torres!K1278, 0) + IFERROR('San José'!K1278, 0) + IFERROR(Terraplaza!K1278, 0)</f>
        <v>48.25</v>
      </c>
      <c r="C1279">
        <v>33.75</v>
      </c>
      <c r="D1279">
        <v>14.5</v>
      </c>
      <c r="E1279" t="e">
        <v>#N/A</v>
      </c>
    </row>
    <row r="1280" spans="1:5" x14ac:dyDescent="0.25">
      <c r="A1280" s="1">
        <v>44744</v>
      </c>
      <c r="B1280" s="2">
        <f>IFERROR(Torres!K1279, 0) + IFERROR('San José'!K1279, 0) + IFERROR(Terraplaza!K1279, 0)</f>
        <v>64.375</v>
      </c>
      <c r="C1280">
        <v>52.375</v>
      </c>
      <c r="D1280">
        <v>12</v>
      </c>
      <c r="E1280" t="e">
        <v>#N/A</v>
      </c>
    </row>
    <row r="1281" spans="1:5" x14ac:dyDescent="0.25">
      <c r="A1281" s="1">
        <v>44745</v>
      </c>
      <c r="B1281" s="2">
        <f>IFERROR(Torres!K1280, 0) + IFERROR('San José'!K1280, 0) + IFERROR(Terraplaza!K1280, 0)</f>
        <v>57.5</v>
      </c>
      <c r="C1281">
        <v>40.5</v>
      </c>
      <c r="D1281">
        <v>17</v>
      </c>
      <c r="E1281" t="e">
        <v>#N/A</v>
      </c>
    </row>
    <row r="1282" spans="1:5" x14ac:dyDescent="0.25">
      <c r="A1282" s="1">
        <v>44746</v>
      </c>
      <c r="B1282" s="2">
        <f>IFERROR(Torres!K1281, 0) + IFERROR('San José'!K1281, 0) + IFERROR(Terraplaza!K1281, 0)</f>
        <v>50</v>
      </c>
      <c r="C1282">
        <v>36.75</v>
      </c>
      <c r="D1282">
        <v>13.25</v>
      </c>
      <c r="E1282" t="e">
        <v>#N/A</v>
      </c>
    </row>
    <row r="1283" spans="1:5" x14ac:dyDescent="0.25">
      <c r="A1283" s="1">
        <v>44747</v>
      </c>
      <c r="B1283" s="2">
        <f>IFERROR(Torres!K1282, 0) + IFERROR('San José'!K1282, 0) + IFERROR(Terraplaza!K1282, 0)</f>
        <v>23</v>
      </c>
      <c r="C1283">
        <v>12.875</v>
      </c>
      <c r="D1283">
        <v>10.125</v>
      </c>
      <c r="E1283" t="e">
        <v>#N/A</v>
      </c>
    </row>
    <row r="1284" spans="1:5" x14ac:dyDescent="0.25">
      <c r="A1284" s="1">
        <v>44748</v>
      </c>
      <c r="B1284" s="2">
        <f>IFERROR(Torres!K1283, 0) + IFERROR('San José'!K1283, 0) + IFERROR(Terraplaza!K1283, 0)</f>
        <v>49</v>
      </c>
      <c r="C1284">
        <v>38.875</v>
      </c>
      <c r="D1284">
        <v>10.125</v>
      </c>
      <c r="E1284" t="e">
        <v>#N/A</v>
      </c>
    </row>
    <row r="1285" spans="1:5" x14ac:dyDescent="0.25">
      <c r="A1285" s="1">
        <v>44749</v>
      </c>
      <c r="B1285" s="2">
        <f>IFERROR(Torres!K1284, 0) + IFERROR('San José'!K1284, 0) + IFERROR(Terraplaza!K1284, 0)</f>
        <v>38.875</v>
      </c>
      <c r="C1285">
        <v>30.5</v>
      </c>
      <c r="D1285">
        <v>8.375</v>
      </c>
      <c r="E1285" t="e">
        <v>#N/A</v>
      </c>
    </row>
    <row r="1286" spans="1:5" x14ac:dyDescent="0.25">
      <c r="A1286" s="1">
        <v>44750</v>
      </c>
      <c r="B1286" s="2">
        <f>IFERROR(Torres!K1285, 0) + IFERROR('San José'!K1285, 0) + IFERROR(Terraplaza!K1285, 0)</f>
        <v>35.875</v>
      </c>
      <c r="C1286">
        <v>26.625</v>
      </c>
      <c r="D1286">
        <v>9.25</v>
      </c>
      <c r="E1286" t="e">
        <v>#N/A</v>
      </c>
    </row>
    <row r="1287" spans="1:5" x14ac:dyDescent="0.25">
      <c r="A1287" s="1">
        <v>44751</v>
      </c>
      <c r="B1287" s="2">
        <f>IFERROR(Torres!K1286, 0) + IFERROR('San José'!K1286, 0) + IFERROR(Terraplaza!K1286, 0)</f>
        <v>59.125</v>
      </c>
      <c r="C1287">
        <v>47.375</v>
      </c>
      <c r="D1287">
        <v>11.75</v>
      </c>
      <c r="E1287" t="e">
        <v>#N/A</v>
      </c>
    </row>
    <row r="1288" spans="1:5" x14ac:dyDescent="0.25">
      <c r="A1288" s="1">
        <v>44752</v>
      </c>
      <c r="B1288" s="2">
        <f>IFERROR(Torres!K1287, 0) + IFERROR('San José'!K1287, 0) + IFERROR(Terraplaza!K1287, 0)</f>
        <v>64.25</v>
      </c>
      <c r="C1288">
        <v>47.5</v>
      </c>
      <c r="D1288">
        <v>16.75</v>
      </c>
      <c r="E1288" t="e">
        <v>#N/A</v>
      </c>
    </row>
    <row r="1289" spans="1:5" x14ac:dyDescent="0.25">
      <c r="A1289" s="1">
        <v>44753</v>
      </c>
      <c r="B1289" s="2">
        <f>IFERROR(Torres!K1288, 0) + IFERROR('San José'!K1288, 0) + IFERROR(Terraplaza!K1288, 0)</f>
        <v>20.375</v>
      </c>
      <c r="C1289">
        <v>14</v>
      </c>
      <c r="D1289">
        <v>6.375</v>
      </c>
      <c r="E1289" t="e">
        <v>#N/A</v>
      </c>
    </row>
    <row r="1290" spans="1:5" x14ac:dyDescent="0.25">
      <c r="A1290" s="1">
        <v>44754</v>
      </c>
      <c r="B1290" s="2">
        <f>IFERROR(Torres!K1289, 0) + IFERROR('San José'!K1289, 0) + IFERROR(Terraplaza!K1289, 0)</f>
        <v>28</v>
      </c>
      <c r="C1290">
        <v>21.75</v>
      </c>
      <c r="D1290">
        <v>6.25</v>
      </c>
      <c r="E1290" t="e">
        <v>#N/A</v>
      </c>
    </row>
    <row r="1291" spans="1:5" x14ac:dyDescent="0.25">
      <c r="A1291" s="1">
        <v>44755</v>
      </c>
      <c r="B1291" s="2">
        <f>IFERROR(Torres!K1290, 0) + IFERROR('San José'!K1290, 0) + IFERROR(Terraplaza!K1290, 0)</f>
        <v>43.75</v>
      </c>
      <c r="C1291">
        <v>34.75</v>
      </c>
      <c r="D1291">
        <v>9</v>
      </c>
      <c r="E1291" t="e">
        <v>#N/A</v>
      </c>
    </row>
    <row r="1292" spans="1:5" x14ac:dyDescent="0.25">
      <c r="A1292" s="1">
        <v>44756</v>
      </c>
      <c r="B1292" s="2">
        <f>IFERROR(Torres!K1291, 0) + IFERROR('San José'!K1291, 0) + IFERROR(Terraplaza!K1291, 0)</f>
        <v>23.5</v>
      </c>
      <c r="C1292">
        <v>17.5</v>
      </c>
      <c r="D1292">
        <v>6</v>
      </c>
      <c r="E1292" t="e">
        <v>#N/A</v>
      </c>
    </row>
    <row r="1293" spans="1:5" x14ac:dyDescent="0.25">
      <c r="A1293" s="1">
        <v>44757</v>
      </c>
      <c r="B1293" s="2">
        <f>IFERROR(Torres!K1292, 0) + IFERROR('San José'!K1292, 0) + IFERROR(Terraplaza!K1292, 0)</f>
        <v>44.75</v>
      </c>
      <c r="C1293">
        <v>33.25</v>
      </c>
      <c r="D1293">
        <v>11.5</v>
      </c>
      <c r="E1293" t="e">
        <v>#N/A</v>
      </c>
    </row>
    <row r="1294" spans="1:5" x14ac:dyDescent="0.25">
      <c r="A1294" s="1">
        <v>44758</v>
      </c>
      <c r="B1294" s="2">
        <f>IFERROR(Torres!K1293, 0) + IFERROR('San José'!K1293, 0) + IFERROR(Terraplaza!K1293, 0)</f>
        <v>49.25</v>
      </c>
      <c r="C1294">
        <v>34.5</v>
      </c>
      <c r="D1294">
        <v>14.75</v>
      </c>
      <c r="E1294" t="e">
        <v>#N/A</v>
      </c>
    </row>
    <row r="1295" spans="1:5" x14ac:dyDescent="0.25">
      <c r="A1295" s="1">
        <v>44759</v>
      </c>
      <c r="B1295" s="2">
        <f>IFERROR(Torres!K1294, 0) + IFERROR('San José'!K1294, 0) + IFERROR(Terraplaza!K1294, 0)</f>
        <v>63.875</v>
      </c>
      <c r="C1295">
        <v>46.625</v>
      </c>
      <c r="D1295">
        <v>17.25</v>
      </c>
      <c r="E1295" t="e">
        <v>#N/A</v>
      </c>
    </row>
    <row r="1296" spans="1:5" x14ac:dyDescent="0.25">
      <c r="A1296" s="1">
        <v>44760</v>
      </c>
      <c r="B1296" s="2">
        <f>IFERROR(Torres!K1295, 0) + IFERROR('San José'!K1295, 0) + IFERROR(Terraplaza!K1295, 0)</f>
        <v>22.25</v>
      </c>
      <c r="C1296">
        <v>15</v>
      </c>
      <c r="D1296">
        <v>7.25</v>
      </c>
      <c r="E1296" t="e">
        <v>#N/A</v>
      </c>
    </row>
    <row r="1297" spans="1:5" x14ac:dyDescent="0.25">
      <c r="A1297" s="1">
        <v>44761</v>
      </c>
      <c r="B1297" s="2">
        <f>IFERROR(Torres!K1296, 0) + IFERROR('San José'!K1296, 0) + IFERROR(Terraplaza!K1296, 0)</f>
        <v>29.5</v>
      </c>
      <c r="C1297">
        <v>23.625</v>
      </c>
      <c r="D1297">
        <v>5.875</v>
      </c>
      <c r="E1297" t="e">
        <v>#N/A</v>
      </c>
    </row>
    <row r="1298" spans="1:5" x14ac:dyDescent="0.25">
      <c r="A1298" s="1">
        <v>44762</v>
      </c>
      <c r="B1298" s="2">
        <f>IFERROR(Torres!K1297, 0) + IFERROR('San José'!K1297, 0) + IFERROR(Terraplaza!K1297, 0)</f>
        <v>47.875</v>
      </c>
      <c r="C1298">
        <v>39.5</v>
      </c>
      <c r="D1298">
        <v>8.375</v>
      </c>
      <c r="E1298" t="e">
        <v>#N/A</v>
      </c>
    </row>
    <row r="1299" spans="1:5" x14ac:dyDescent="0.25">
      <c r="A1299" s="1">
        <v>44763</v>
      </c>
      <c r="B1299" s="2">
        <f>IFERROR(Torres!K1298, 0) + IFERROR('San José'!K1298, 0) + IFERROR(Terraplaza!K1298, 0)</f>
        <v>18.375</v>
      </c>
      <c r="C1299">
        <v>11.875</v>
      </c>
      <c r="D1299">
        <v>6.5</v>
      </c>
      <c r="E1299" t="e">
        <v>#N/A</v>
      </c>
    </row>
    <row r="1300" spans="1:5" x14ac:dyDescent="0.25">
      <c r="A1300" s="1">
        <v>44764</v>
      </c>
      <c r="B1300" s="2">
        <f>IFERROR(Torres!K1299, 0) + IFERROR('San José'!K1299, 0) + IFERROR(Terraplaza!K1299, 0)</f>
        <v>52</v>
      </c>
      <c r="C1300">
        <v>38.625</v>
      </c>
      <c r="D1300">
        <v>13.375</v>
      </c>
      <c r="E1300" t="e">
        <v>#N/A</v>
      </c>
    </row>
    <row r="1301" spans="1:5" x14ac:dyDescent="0.25">
      <c r="A1301" s="1">
        <v>44765</v>
      </c>
      <c r="B1301" s="2">
        <f>IFERROR(Torres!K1300, 0) + IFERROR('San José'!K1300, 0) + IFERROR(Terraplaza!K1300, 0)</f>
        <v>54.125</v>
      </c>
      <c r="C1301">
        <v>36.25</v>
      </c>
      <c r="D1301">
        <v>17.875</v>
      </c>
      <c r="E1301" t="e">
        <v>#N/A</v>
      </c>
    </row>
    <row r="1302" spans="1:5" x14ac:dyDescent="0.25">
      <c r="A1302" s="1">
        <v>44766</v>
      </c>
      <c r="B1302" s="2">
        <f>IFERROR(Torres!K1301, 0) + IFERROR('San José'!K1301, 0) + IFERROR(Terraplaza!K1301, 0)</f>
        <v>56.125</v>
      </c>
      <c r="C1302">
        <v>40.375</v>
      </c>
      <c r="D1302">
        <v>15.75</v>
      </c>
      <c r="E1302" t="e">
        <v>#N/A</v>
      </c>
    </row>
    <row r="1303" spans="1:5" x14ac:dyDescent="0.25">
      <c r="A1303" s="1">
        <v>44767</v>
      </c>
      <c r="B1303" s="2">
        <f>IFERROR(Torres!K1302, 0) + IFERROR('San José'!K1302, 0) + IFERROR(Terraplaza!K1302, 0)</f>
        <v>25.75</v>
      </c>
      <c r="C1303">
        <v>16.625</v>
      </c>
      <c r="D1303">
        <v>9.125</v>
      </c>
      <c r="E1303" t="e">
        <v>#N/A</v>
      </c>
    </row>
    <row r="1304" spans="1:5" x14ac:dyDescent="0.25">
      <c r="A1304" s="1">
        <v>44768</v>
      </c>
      <c r="B1304" s="2">
        <f>IFERROR(Torres!K1303, 0) + IFERROR('San José'!K1303, 0) + IFERROR(Terraplaza!K1303, 0)</f>
        <v>26.75</v>
      </c>
      <c r="C1304">
        <v>17.125</v>
      </c>
      <c r="D1304">
        <v>9.625</v>
      </c>
      <c r="E1304" t="e">
        <v>#N/A</v>
      </c>
    </row>
    <row r="1305" spans="1:5" x14ac:dyDescent="0.25">
      <c r="A1305" s="1">
        <v>44769</v>
      </c>
      <c r="B1305" s="2">
        <f>IFERROR(Torres!K1304, 0) + IFERROR('San José'!K1304, 0) + IFERROR(Terraplaza!K1304, 0)</f>
        <v>33.875</v>
      </c>
      <c r="C1305">
        <v>24.75</v>
      </c>
      <c r="D1305">
        <v>9.125</v>
      </c>
      <c r="E1305" t="e">
        <v>#N/A</v>
      </c>
    </row>
    <row r="1306" spans="1:5" x14ac:dyDescent="0.25">
      <c r="A1306" s="1">
        <v>44770</v>
      </c>
      <c r="B1306" s="2">
        <f>IFERROR(Torres!K1305, 0) + IFERROR('San José'!K1305, 0) + IFERROR(Terraplaza!K1305, 0)</f>
        <v>27.125</v>
      </c>
      <c r="C1306">
        <v>16.25</v>
      </c>
      <c r="D1306">
        <v>10.875</v>
      </c>
      <c r="E1306" t="e">
        <v>#N/A</v>
      </c>
    </row>
    <row r="1307" spans="1:5" x14ac:dyDescent="0.25">
      <c r="A1307" s="1">
        <v>44771</v>
      </c>
      <c r="B1307" s="2">
        <f>IFERROR(Torres!K1306, 0) + IFERROR('San José'!K1306, 0) + IFERROR(Terraplaza!K1306, 0)</f>
        <v>38.625</v>
      </c>
      <c r="C1307">
        <v>29</v>
      </c>
      <c r="D1307">
        <v>9.625</v>
      </c>
      <c r="E1307" t="e">
        <v>#N/A</v>
      </c>
    </row>
    <row r="1308" spans="1:5" x14ac:dyDescent="0.25">
      <c r="A1308" s="1">
        <v>44772</v>
      </c>
      <c r="B1308" s="2">
        <f>IFERROR(Torres!K1307, 0) + IFERROR('San José'!K1307, 0) + IFERROR(Terraplaza!K1307, 0)</f>
        <v>47.625</v>
      </c>
      <c r="C1308">
        <v>30.25</v>
      </c>
      <c r="D1308">
        <v>17.375</v>
      </c>
      <c r="E1308" t="e">
        <v>#N/A</v>
      </c>
    </row>
    <row r="1309" spans="1:5" x14ac:dyDescent="0.25">
      <c r="A1309" s="1">
        <v>44773</v>
      </c>
      <c r="B1309" s="2">
        <f>IFERROR(Torres!K1308, 0) + IFERROR('San José'!K1308, 0) + IFERROR(Terraplaza!K1308, 0)</f>
        <v>63.25</v>
      </c>
      <c r="C1309">
        <v>47.25</v>
      </c>
      <c r="D1309">
        <v>16</v>
      </c>
      <c r="E1309" t="e">
        <v>#N/A</v>
      </c>
    </row>
    <row r="1310" spans="1:5" x14ac:dyDescent="0.25">
      <c r="A1310" s="1">
        <v>44774</v>
      </c>
      <c r="B1310" s="2">
        <f>IFERROR(Torres!K1309, 0) + IFERROR('San José'!K1309, 0) + IFERROR(Terraplaza!K1309, 0)</f>
        <v>56.25</v>
      </c>
      <c r="C1310">
        <v>21.75</v>
      </c>
      <c r="D1310">
        <v>6.5</v>
      </c>
      <c r="E1310">
        <v>28</v>
      </c>
    </row>
    <row r="1311" spans="1:5" x14ac:dyDescent="0.25">
      <c r="A1311" s="1">
        <v>44775</v>
      </c>
      <c r="B1311" s="2">
        <f>IFERROR(Torres!K1310, 0) + IFERROR('San José'!K1310, 0) + IFERROR(Terraplaza!K1310, 0)</f>
        <v>55.375</v>
      </c>
      <c r="C1311">
        <v>15.25</v>
      </c>
      <c r="D1311">
        <v>9.25</v>
      </c>
      <c r="E1311">
        <v>30.875</v>
      </c>
    </row>
    <row r="1312" spans="1:5" x14ac:dyDescent="0.25">
      <c r="A1312" s="1">
        <v>44776</v>
      </c>
      <c r="B1312" s="2">
        <f>IFERROR(Torres!K1311, 0) + IFERROR('San José'!K1311, 0) + IFERROR(Terraplaza!K1311, 0)</f>
        <v>75.5</v>
      </c>
      <c r="C1312">
        <v>26.625</v>
      </c>
      <c r="D1312">
        <v>9.25</v>
      </c>
      <c r="E1312">
        <v>39.625</v>
      </c>
    </row>
    <row r="1313" spans="1:5" x14ac:dyDescent="0.25">
      <c r="A1313" s="1">
        <v>44777</v>
      </c>
      <c r="B1313" s="2">
        <f>IFERROR(Torres!K1312, 0) + IFERROR('San José'!K1312, 0) + IFERROR(Terraplaza!K1312, 0)</f>
        <v>53.125</v>
      </c>
      <c r="C1313">
        <v>16.125</v>
      </c>
      <c r="D1313">
        <v>8.125</v>
      </c>
      <c r="E1313">
        <v>28.875</v>
      </c>
    </row>
    <row r="1314" spans="1:5" x14ac:dyDescent="0.25">
      <c r="A1314" s="1">
        <v>44778</v>
      </c>
      <c r="B1314" s="2">
        <f>IFERROR(Torres!K1313, 0) + IFERROR('San José'!K1313, 0) + IFERROR(Terraplaza!K1313, 0)</f>
        <v>85.125</v>
      </c>
      <c r="C1314">
        <v>21.75</v>
      </c>
      <c r="D1314">
        <v>9.375</v>
      </c>
      <c r="E1314">
        <v>54</v>
      </c>
    </row>
    <row r="1315" spans="1:5" x14ac:dyDescent="0.25">
      <c r="A1315" s="1">
        <v>44779</v>
      </c>
      <c r="B1315" s="2">
        <f>IFERROR(Torres!K1314, 0) + IFERROR('San José'!K1314, 0) + IFERROR(Terraplaza!K1314, 0)</f>
        <v>122.375</v>
      </c>
      <c r="C1315">
        <v>37.625</v>
      </c>
      <c r="D1315">
        <v>20</v>
      </c>
      <c r="E1315">
        <v>64.75</v>
      </c>
    </row>
    <row r="1316" spans="1:5" x14ac:dyDescent="0.25">
      <c r="A1316" s="1">
        <v>44780</v>
      </c>
      <c r="B1316" s="2">
        <f>IFERROR(Torres!K1315, 0) + IFERROR('San José'!K1315, 0) + IFERROR(Terraplaza!K1315, 0)</f>
        <v>112.875</v>
      </c>
      <c r="C1316">
        <v>38.25</v>
      </c>
      <c r="D1316">
        <v>17.25</v>
      </c>
      <c r="E1316">
        <v>57.375</v>
      </c>
    </row>
    <row r="1317" spans="1:5" x14ac:dyDescent="0.25">
      <c r="A1317" s="1">
        <v>44781</v>
      </c>
      <c r="B1317" s="2">
        <f>IFERROR(Torres!K1316, 0) + IFERROR('San José'!K1316, 0) + IFERROR(Terraplaza!K1316, 0)</f>
        <v>41.5</v>
      </c>
      <c r="C1317">
        <v>15.875</v>
      </c>
      <c r="D1317">
        <v>3.75</v>
      </c>
      <c r="E1317">
        <v>21.875</v>
      </c>
    </row>
    <row r="1318" spans="1:5" x14ac:dyDescent="0.25">
      <c r="A1318" s="1">
        <v>44782</v>
      </c>
      <c r="B1318" s="2">
        <f>IFERROR(Torres!K1317, 0) + IFERROR('San José'!K1317, 0) + IFERROR(Terraplaza!K1317, 0)</f>
        <v>62.25</v>
      </c>
      <c r="C1318">
        <v>20.125</v>
      </c>
      <c r="D1318">
        <v>12.375</v>
      </c>
      <c r="E1318">
        <v>29.75</v>
      </c>
    </row>
    <row r="1319" spans="1:5" x14ac:dyDescent="0.25">
      <c r="A1319" s="1">
        <v>44783</v>
      </c>
      <c r="B1319" s="2">
        <f>IFERROR(Torres!K1318, 0) + IFERROR('San José'!K1318, 0) + IFERROR(Terraplaza!K1318, 0)</f>
        <v>60.625</v>
      </c>
      <c r="C1319">
        <v>23.625</v>
      </c>
      <c r="D1319">
        <v>7.125</v>
      </c>
      <c r="E1319">
        <v>29.875</v>
      </c>
    </row>
    <row r="1320" spans="1:5" x14ac:dyDescent="0.25">
      <c r="A1320" s="1">
        <v>44784</v>
      </c>
      <c r="B1320" s="2">
        <f>IFERROR(Torres!K1319, 0) + IFERROR('San José'!K1319, 0) + IFERROR(Terraplaza!K1319, 0)</f>
        <v>48.5</v>
      </c>
      <c r="C1320">
        <v>17.5</v>
      </c>
      <c r="D1320">
        <v>7.5</v>
      </c>
      <c r="E1320">
        <v>23.5</v>
      </c>
    </row>
    <row r="1321" spans="1:5" x14ac:dyDescent="0.25">
      <c r="A1321" s="1">
        <v>44785</v>
      </c>
      <c r="B1321" s="2">
        <f>IFERROR(Torres!K1320, 0) + IFERROR('San José'!K1320, 0) + IFERROR(Terraplaza!K1320, 0)</f>
        <v>73.875</v>
      </c>
      <c r="C1321">
        <v>30.5</v>
      </c>
      <c r="D1321">
        <v>11.875</v>
      </c>
      <c r="E1321">
        <v>31.5</v>
      </c>
    </row>
    <row r="1322" spans="1:5" x14ac:dyDescent="0.25">
      <c r="A1322" s="1">
        <v>44786</v>
      </c>
      <c r="B1322" s="2">
        <f>IFERROR(Torres!K1321, 0) + IFERROR('San José'!K1321, 0) + IFERROR(Terraplaza!K1321, 0)</f>
        <v>99.5</v>
      </c>
      <c r="C1322">
        <v>31.5</v>
      </c>
      <c r="D1322">
        <v>11.625</v>
      </c>
      <c r="E1322">
        <v>56.375</v>
      </c>
    </row>
    <row r="1323" spans="1:5" x14ac:dyDescent="0.25">
      <c r="A1323" s="1">
        <v>44787</v>
      </c>
      <c r="B1323" s="2">
        <f>IFERROR(Torres!K1322, 0) + IFERROR('San José'!K1322, 0) + IFERROR(Terraplaza!K1322, 0)</f>
        <v>112.75</v>
      </c>
      <c r="C1323">
        <v>39.75</v>
      </c>
      <c r="D1323">
        <v>21.875</v>
      </c>
      <c r="E1323">
        <v>51.125</v>
      </c>
    </row>
    <row r="1324" spans="1:5" x14ac:dyDescent="0.25">
      <c r="A1324" s="1">
        <v>44788</v>
      </c>
      <c r="B1324" s="2">
        <f>IFERROR(Torres!K1323, 0) + IFERROR('San José'!K1323, 0) + IFERROR(Terraplaza!K1323, 0)</f>
        <v>103</v>
      </c>
      <c r="C1324">
        <v>39.875</v>
      </c>
      <c r="D1324">
        <v>14</v>
      </c>
      <c r="E1324">
        <v>49.125</v>
      </c>
    </row>
    <row r="1325" spans="1:5" x14ac:dyDescent="0.25">
      <c r="A1325" s="1">
        <v>44789</v>
      </c>
      <c r="B1325" s="2">
        <f>IFERROR(Torres!K1324, 0) + IFERROR('San José'!K1324, 0) + IFERROR(Terraplaza!K1324, 0)</f>
        <v>50.375</v>
      </c>
      <c r="C1325">
        <v>14</v>
      </c>
      <c r="D1325">
        <v>8.75</v>
      </c>
      <c r="E1325">
        <v>27.625</v>
      </c>
    </row>
    <row r="1326" spans="1:5" x14ac:dyDescent="0.25">
      <c r="A1326" s="1">
        <v>44790</v>
      </c>
      <c r="B1326" s="2">
        <f>IFERROR(Torres!K1325, 0) + IFERROR('San José'!K1325, 0) + IFERROR(Terraplaza!K1325, 0)</f>
        <v>51.5</v>
      </c>
      <c r="C1326">
        <v>20.625</v>
      </c>
      <c r="D1326">
        <v>3</v>
      </c>
      <c r="E1326">
        <v>27.875</v>
      </c>
    </row>
    <row r="1327" spans="1:5" x14ac:dyDescent="0.25">
      <c r="A1327" s="1">
        <v>44791</v>
      </c>
      <c r="B1327" s="2">
        <f>IFERROR(Torres!K1326, 0) + IFERROR('San José'!K1326, 0) + IFERROR(Terraplaza!K1326, 0)</f>
        <v>64.75</v>
      </c>
      <c r="C1327">
        <v>21.875</v>
      </c>
      <c r="D1327">
        <v>6.375</v>
      </c>
      <c r="E1327">
        <v>36.5</v>
      </c>
    </row>
    <row r="1328" spans="1:5" x14ac:dyDescent="0.25">
      <c r="A1328" s="1">
        <v>44792</v>
      </c>
      <c r="B1328" s="2">
        <f>IFERROR(Torres!K1327, 0) + IFERROR('San José'!K1327, 0) + IFERROR(Terraplaza!K1327, 0)</f>
        <v>76.5</v>
      </c>
      <c r="C1328">
        <v>33.5</v>
      </c>
      <c r="D1328">
        <v>8.625</v>
      </c>
      <c r="E1328">
        <v>34.375</v>
      </c>
    </row>
    <row r="1329" spans="1:5" x14ac:dyDescent="0.25">
      <c r="A1329" s="1">
        <v>44793</v>
      </c>
      <c r="B1329" s="2">
        <f>IFERROR(Torres!K1328, 0) + IFERROR('San José'!K1328, 0) + IFERROR(Terraplaza!K1328, 0)</f>
        <v>108.75</v>
      </c>
      <c r="C1329">
        <v>46.125</v>
      </c>
      <c r="D1329">
        <v>18.875</v>
      </c>
      <c r="E1329">
        <v>43.75</v>
      </c>
    </row>
    <row r="1330" spans="1:5" x14ac:dyDescent="0.25">
      <c r="A1330" s="1">
        <v>44794</v>
      </c>
      <c r="B1330" s="2">
        <f>IFERROR(Torres!K1329, 0) + IFERROR('San José'!K1329, 0) + IFERROR(Terraplaza!K1329, 0)</f>
        <v>102.125</v>
      </c>
      <c r="C1330">
        <v>37.75</v>
      </c>
      <c r="D1330">
        <v>12</v>
      </c>
      <c r="E1330">
        <v>52.375</v>
      </c>
    </row>
    <row r="1331" spans="1:5" x14ac:dyDescent="0.25">
      <c r="A1331" s="1">
        <v>44795</v>
      </c>
      <c r="B1331" s="2">
        <f>IFERROR(Torres!K1330, 0) + IFERROR('San José'!K1330, 0) + IFERROR(Terraplaza!K1330, 0)</f>
        <v>48.75</v>
      </c>
      <c r="C1331">
        <v>13.375</v>
      </c>
      <c r="D1331">
        <v>7.875</v>
      </c>
      <c r="E1331">
        <v>27.5</v>
      </c>
    </row>
    <row r="1332" spans="1:5" x14ac:dyDescent="0.25">
      <c r="A1332" s="1">
        <v>44796</v>
      </c>
      <c r="B1332" s="2">
        <f>IFERROR(Torres!K1331, 0) + IFERROR('San José'!K1331, 0) + IFERROR(Terraplaza!K1331, 0)</f>
        <v>48.375</v>
      </c>
      <c r="C1332">
        <v>15.5</v>
      </c>
      <c r="D1332">
        <v>7.125</v>
      </c>
      <c r="E1332">
        <v>25.75</v>
      </c>
    </row>
    <row r="1333" spans="1:5" x14ac:dyDescent="0.25">
      <c r="A1333" s="1">
        <v>44797</v>
      </c>
      <c r="B1333" s="2">
        <f>IFERROR(Torres!K1332, 0) + IFERROR('San José'!K1332, 0) + IFERROR(Terraplaza!K1332, 0)</f>
        <v>50.375</v>
      </c>
      <c r="C1333">
        <v>17.125</v>
      </c>
      <c r="D1333">
        <v>4.25</v>
      </c>
      <c r="E1333">
        <v>29</v>
      </c>
    </row>
    <row r="1334" spans="1:5" x14ac:dyDescent="0.25">
      <c r="A1334" s="1">
        <v>44798</v>
      </c>
      <c r="B1334" s="2">
        <f>IFERROR(Torres!K1333, 0) + IFERROR('San José'!K1333, 0) + IFERROR(Terraplaza!K1333, 0)</f>
        <v>57.875</v>
      </c>
      <c r="C1334">
        <v>20.5</v>
      </c>
      <c r="D1334">
        <v>7.125</v>
      </c>
      <c r="E1334">
        <v>30.25</v>
      </c>
    </row>
    <row r="1335" spans="1:5" x14ac:dyDescent="0.25">
      <c r="A1335" s="1">
        <v>44799</v>
      </c>
      <c r="B1335" s="2">
        <f>IFERROR(Torres!K1334, 0) + IFERROR('San José'!K1334, 0) + IFERROR(Terraplaza!K1334, 0)</f>
        <v>91</v>
      </c>
      <c r="C1335">
        <v>39.625</v>
      </c>
      <c r="D1335">
        <v>6.125</v>
      </c>
      <c r="E1335">
        <v>45.25</v>
      </c>
    </row>
    <row r="1336" spans="1:5" x14ac:dyDescent="0.25">
      <c r="A1336" s="1">
        <v>44800</v>
      </c>
      <c r="B1336" s="2">
        <f>IFERROR(Torres!K1335, 0) + IFERROR('San José'!K1335, 0) + IFERROR(Terraplaza!K1335, 0)</f>
        <v>110</v>
      </c>
      <c r="C1336">
        <v>42</v>
      </c>
      <c r="D1336">
        <v>12</v>
      </c>
      <c r="E1336">
        <v>56</v>
      </c>
    </row>
    <row r="1337" spans="1:5" x14ac:dyDescent="0.25">
      <c r="A1337" s="1">
        <v>44801</v>
      </c>
      <c r="B1337" s="2">
        <f>IFERROR(Torres!K1336, 0) + IFERROR('San José'!K1336, 0) + IFERROR(Terraplaza!K1336, 0)</f>
        <v>87.75</v>
      </c>
      <c r="C1337">
        <v>36.875</v>
      </c>
      <c r="D1337">
        <v>10.125</v>
      </c>
      <c r="E1337">
        <v>40.75</v>
      </c>
    </row>
    <row r="1338" spans="1:5" x14ac:dyDescent="0.25">
      <c r="A1338" s="1">
        <v>44802</v>
      </c>
      <c r="B1338" s="2">
        <f>IFERROR(Torres!K1337, 0) + IFERROR('San José'!K1337, 0) + IFERROR(Terraplaza!K1337, 0)</f>
        <v>55.5</v>
      </c>
      <c r="C1338">
        <v>13.625</v>
      </c>
      <c r="D1338">
        <v>6</v>
      </c>
      <c r="E1338">
        <v>35.875</v>
      </c>
    </row>
    <row r="1339" spans="1:5" x14ac:dyDescent="0.25">
      <c r="A1339" s="1">
        <v>44803</v>
      </c>
      <c r="B1339" s="2">
        <f>IFERROR(Torres!K1338, 0) + IFERROR('San José'!K1338, 0) + IFERROR(Terraplaza!K1338, 0)</f>
        <v>38.5</v>
      </c>
      <c r="C1339">
        <v>13.375</v>
      </c>
      <c r="D1339" t="e">
        <v>#N/A</v>
      </c>
      <c r="E1339">
        <v>25.125</v>
      </c>
    </row>
    <row r="1340" spans="1:5" x14ac:dyDescent="0.25">
      <c r="A1340" s="1">
        <v>44804</v>
      </c>
      <c r="B1340" s="2">
        <f>IFERROR(Torres!K1339, 0) + IFERROR('San José'!K1339, 0) + IFERROR(Terraplaza!K1339, 0)</f>
        <v>54.875</v>
      </c>
      <c r="C1340">
        <v>23.625</v>
      </c>
      <c r="D1340" t="e">
        <v>#N/A</v>
      </c>
      <c r="E1340">
        <v>31.25</v>
      </c>
    </row>
    <row r="1341" spans="1:5" x14ac:dyDescent="0.25">
      <c r="A1341" s="1">
        <v>44805</v>
      </c>
      <c r="B1341" s="2">
        <f>IFERROR(Torres!K1340, 0) + IFERROR('San José'!K1340, 0) + IFERROR(Terraplaza!K1340, 0)</f>
        <v>49.875</v>
      </c>
      <c r="C1341">
        <v>21.875</v>
      </c>
      <c r="D1341">
        <v>6.875</v>
      </c>
      <c r="E1341">
        <v>21.125</v>
      </c>
    </row>
    <row r="1342" spans="1:5" x14ac:dyDescent="0.25">
      <c r="A1342" s="1">
        <v>44806</v>
      </c>
      <c r="B1342" s="2">
        <f>IFERROR(Torres!K1341, 0) + IFERROR('San José'!K1341, 0) + IFERROR(Terraplaza!K1341, 0)</f>
        <v>53.125</v>
      </c>
      <c r="C1342">
        <v>17.875</v>
      </c>
      <c r="D1342">
        <v>12.875</v>
      </c>
      <c r="E1342">
        <v>22.375</v>
      </c>
    </row>
    <row r="1343" spans="1:5" x14ac:dyDescent="0.25">
      <c r="A1343" s="1">
        <v>44807</v>
      </c>
      <c r="B1343" s="2">
        <f>IFERROR(Torres!K1342, 0) + IFERROR('San José'!K1342, 0) + IFERROR(Terraplaza!K1342, 0)</f>
        <v>94.5</v>
      </c>
      <c r="C1343">
        <v>42.5</v>
      </c>
      <c r="D1343">
        <v>14.125</v>
      </c>
      <c r="E1343">
        <v>37.875</v>
      </c>
    </row>
    <row r="1344" spans="1:5" x14ac:dyDescent="0.25">
      <c r="A1344" s="1">
        <v>44808</v>
      </c>
      <c r="B1344" s="2">
        <f>IFERROR(Torres!K1343, 0) + IFERROR('San José'!K1343, 0) + IFERROR(Terraplaza!K1343, 0)</f>
        <v>80.25</v>
      </c>
      <c r="C1344">
        <v>31.875</v>
      </c>
      <c r="D1344">
        <v>19</v>
      </c>
      <c r="E1344">
        <v>29.375</v>
      </c>
    </row>
    <row r="1345" spans="1:5" x14ac:dyDescent="0.25">
      <c r="A1345" s="1">
        <v>44809</v>
      </c>
      <c r="B1345" s="2">
        <f>IFERROR(Torres!K1344, 0) + IFERROR('San José'!K1344, 0) + IFERROR(Terraplaza!K1344, 0)</f>
        <v>33.875</v>
      </c>
      <c r="C1345">
        <v>10.5</v>
      </c>
      <c r="D1345">
        <v>4.875</v>
      </c>
      <c r="E1345">
        <v>18.5</v>
      </c>
    </row>
    <row r="1346" spans="1:5" x14ac:dyDescent="0.25">
      <c r="A1346" s="1">
        <v>44810</v>
      </c>
      <c r="B1346" s="2">
        <f>IFERROR(Torres!K1345, 0) + IFERROR('San José'!K1345, 0) + IFERROR(Terraplaza!K1345, 0)</f>
        <v>54.625</v>
      </c>
      <c r="C1346">
        <v>11</v>
      </c>
      <c r="D1346">
        <v>9.125</v>
      </c>
      <c r="E1346">
        <v>34.5</v>
      </c>
    </row>
    <row r="1347" spans="1:5" x14ac:dyDescent="0.25">
      <c r="A1347" s="1">
        <v>44811</v>
      </c>
      <c r="B1347" s="2">
        <f>IFERROR(Torres!K1346, 0) + IFERROR('San José'!K1346, 0) + IFERROR(Terraplaza!K1346, 0)</f>
        <v>45.875</v>
      </c>
      <c r="C1347">
        <v>22.5</v>
      </c>
      <c r="D1347">
        <v>7.375</v>
      </c>
      <c r="E1347">
        <v>16</v>
      </c>
    </row>
    <row r="1348" spans="1:5" x14ac:dyDescent="0.25">
      <c r="A1348" s="1">
        <v>44812</v>
      </c>
      <c r="B1348" s="2">
        <f>IFERROR(Torres!K1347, 0) + IFERROR('San José'!K1347, 0) + IFERROR(Terraplaza!K1347, 0)</f>
        <v>49.25</v>
      </c>
      <c r="C1348">
        <v>18.625</v>
      </c>
      <c r="D1348">
        <v>8.125</v>
      </c>
      <c r="E1348">
        <v>22.5</v>
      </c>
    </row>
    <row r="1349" spans="1:5" x14ac:dyDescent="0.25">
      <c r="A1349" s="1">
        <v>44813</v>
      </c>
      <c r="B1349" s="2">
        <f>IFERROR(Torres!K1348, 0) + IFERROR('San José'!K1348, 0) + IFERROR(Terraplaza!K1348, 0)</f>
        <v>68.625</v>
      </c>
      <c r="C1349">
        <v>23.375</v>
      </c>
      <c r="D1349">
        <v>10.875</v>
      </c>
      <c r="E1349">
        <v>34.375</v>
      </c>
    </row>
    <row r="1350" spans="1:5" x14ac:dyDescent="0.25">
      <c r="A1350" s="1">
        <v>44814</v>
      </c>
      <c r="B1350" s="2">
        <f>IFERROR(Torres!K1349, 0) + IFERROR('San José'!K1349, 0) + IFERROR(Terraplaza!K1349, 0)</f>
        <v>102.375</v>
      </c>
      <c r="C1350">
        <v>44.625</v>
      </c>
      <c r="D1350">
        <v>11.875</v>
      </c>
      <c r="E1350">
        <v>45.875</v>
      </c>
    </row>
    <row r="1351" spans="1:5" x14ac:dyDescent="0.25">
      <c r="A1351" s="1">
        <v>44815</v>
      </c>
      <c r="B1351" s="2">
        <f>IFERROR(Torres!K1350, 0) + IFERROR('San José'!K1350, 0) + IFERROR(Terraplaza!K1350, 0)</f>
        <v>112.125</v>
      </c>
      <c r="C1351">
        <v>48</v>
      </c>
      <c r="D1351">
        <v>13.75</v>
      </c>
      <c r="E1351">
        <v>50.375</v>
      </c>
    </row>
    <row r="1352" spans="1:5" x14ac:dyDescent="0.25">
      <c r="A1352" s="1">
        <v>44816</v>
      </c>
      <c r="B1352" s="2">
        <f>IFERROR(Torres!K1351, 0) + IFERROR('San José'!K1351, 0) + IFERROR(Terraplaza!K1351, 0)</f>
        <v>33</v>
      </c>
      <c r="C1352">
        <v>6.375</v>
      </c>
      <c r="D1352">
        <v>6</v>
      </c>
      <c r="E1352">
        <v>20.625</v>
      </c>
    </row>
    <row r="1353" spans="1:5" x14ac:dyDescent="0.25">
      <c r="A1353" s="1">
        <v>44817</v>
      </c>
      <c r="B1353" s="2">
        <f>IFERROR(Torres!K1352, 0) + IFERROR('San José'!K1352, 0) + IFERROR(Terraplaza!K1352, 0)</f>
        <v>42</v>
      </c>
      <c r="C1353">
        <v>31.125</v>
      </c>
      <c r="D1353">
        <v>10.875</v>
      </c>
      <c r="E1353">
        <v>0</v>
      </c>
    </row>
    <row r="1354" spans="1:5" x14ac:dyDescent="0.25">
      <c r="A1354" s="1">
        <v>44818</v>
      </c>
      <c r="B1354" s="2">
        <f>IFERROR(Torres!K1353, 0) + IFERROR('San José'!K1353, 0) + IFERROR(Terraplaza!K1353, 0)</f>
        <v>30.5</v>
      </c>
      <c r="C1354">
        <v>24.5</v>
      </c>
      <c r="D1354">
        <v>6</v>
      </c>
      <c r="E1354">
        <v>0</v>
      </c>
    </row>
    <row r="1355" spans="1:5" x14ac:dyDescent="0.25">
      <c r="A1355" s="1">
        <v>44819</v>
      </c>
      <c r="B1355" s="2">
        <f>IFERROR(Torres!K1354, 0) + IFERROR('San José'!K1354, 0) + IFERROR(Terraplaza!K1354, 0)</f>
        <v>39.25</v>
      </c>
      <c r="C1355">
        <v>15.5</v>
      </c>
      <c r="D1355">
        <v>6.25</v>
      </c>
      <c r="E1355">
        <v>17.5</v>
      </c>
    </row>
    <row r="1356" spans="1:5" x14ac:dyDescent="0.25">
      <c r="A1356" s="1">
        <v>44820</v>
      </c>
      <c r="B1356" s="2">
        <f>IFERROR(Torres!K1355, 0) + IFERROR('San José'!K1355, 0) + IFERROR(Terraplaza!K1355, 0)</f>
        <v>69.375</v>
      </c>
      <c r="C1356">
        <v>23.75</v>
      </c>
      <c r="D1356">
        <v>6.625</v>
      </c>
      <c r="E1356">
        <v>39</v>
      </c>
    </row>
    <row r="1357" spans="1:5" x14ac:dyDescent="0.25">
      <c r="A1357" s="1">
        <v>44821</v>
      </c>
      <c r="B1357" s="2">
        <f>IFERROR(Torres!K1356, 0) + IFERROR('San José'!K1356, 0) + IFERROR(Terraplaza!K1356, 0)</f>
        <v>114.25</v>
      </c>
      <c r="C1357">
        <v>48.625</v>
      </c>
      <c r="D1357">
        <v>22</v>
      </c>
      <c r="E1357">
        <v>43.625</v>
      </c>
    </row>
    <row r="1358" spans="1:5" x14ac:dyDescent="0.25">
      <c r="A1358" s="1">
        <v>44822</v>
      </c>
      <c r="B1358" s="2">
        <f>IFERROR(Torres!K1357, 0) + IFERROR('San José'!K1357, 0) + IFERROR(Terraplaza!K1357, 0)</f>
        <v>110.5</v>
      </c>
      <c r="C1358">
        <v>56.75</v>
      </c>
      <c r="D1358">
        <v>14.75</v>
      </c>
      <c r="E1358">
        <v>39</v>
      </c>
    </row>
    <row r="1359" spans="1:5" x14ac:dyDescent="0.25">
      <c r="A1359" s="1">
        <v>44823</v>
      </c>
      <c r="B1359" s="2">
        <f>IFERROR(Torres!K1358, 0) + IFERROR('San José'!K1358, 0) + IFERROR(Terraplaza!K1358, 0)</f>
        <v>22.375</v>
      </c>
      <c r="C1359">
        <v>11.125</v>
      </c>
      <c r="D1359">
        <v>4.5</v>
      </c>
      <c r="E1359">
        <v>6.75</v>
      </c>
    </row>
    <row r="1360" spans="1:5" x14ac:dyDescent="0.25">
      <c r="A1360" s="1">
        <v>44824</v>
      </c>
      <c r="B1360" s="2">
        <f>IFERROR(Torres!K1359, 0) + IFERROR('San José'!K1359, 0) + IFERROR(Terraplaza!K1359, 0)</f>
        <v>33.125</v>
      </c>
      <c r="C1360">
        <v>9.375</v>
      </c>
      <c r="D1360">
        <v>7.625</v>
      </c>
      <c r="E1360">
        <v>16.125</v>
      </c>
    </row>
    <row r="1361" spans="1:5" x14ac:dyDescent="0.25">
      <c r="A1361" s="1">
        <v>44825</v>
      </c>
      <c r="B1361" s="2">
        <f>IFERROR(Torres!K1360, 0) + IFERROR('San José'!K1360, 0) + IFERROR(Terraplaza!K1360, 0)</f>
        <v>43.375</v>
      </c>
      <c r="C1361">
        <v>12.625</v>
      </c>
      <c r="D1361">
        <v>8.5</v>
      </c>
      <c r="E1361">
        <v>22.25</v>
      </c>
    </row>
    <row r="1362" spans="1:5" x14ac:dyDescent="0.25">
      <c r="A1362" s="1">
        <v>44826</v>
      </c>
      <c r="B1362" s="2">
        <f>IFERROR(Torres!K1361, 0) + IFERROR('San José'!K1361, 0) + IFERROR(Terraplaza!K1361, 0)</f>
        <v>41.875</v>
      </c>
      <c r="C1362">
        <v>18.375</v>
      </c>
      <c r="D1362">
        <v>4.375</v>
      </c>
      <c r="E1362">
        <v>19.125</v>
      </c>
    </row>
    <row r="1363" spans="1:5" x14ac:dyDescent="0.25">
      <c r="A1363" s="1">
        <v>44827</v>
      </c>
      <c r="B1363" s="2">
        <f>IFERROR(Torres!K1362, 0) + IFERROR('San José'!K1362, 0) + IFERROR(Terraplaza!K1362, 0)</f>
        <v>62.375</v>
      </c>
      <c r="C1363">
        <v>28.125</v>
      </c>
      <c r="D1363">
        <v>8.125</v>
      </c>
      <c r="E1363">
        <v>26.125</v>
      </c>
    </row>
    <row r="1364" spans="1:5" x14ac:dyDescent="0.25">
      <c r="A1364" s="1">
        <v>44828</v>
      </c>
      <c r="B1364" s="2">
        <f>IFERROR(Torres!K1363, 0) + IFERROR('San José'!K1363, 0) + IFERROR(Terraplaza!K1363, 0)</f>
        <v>104.125</v>
      </c>
      <c r="C1364">
        <v>45.125</v>
      </c>
      <c r="D1364">
        <v>12.5</v>
      </c>
      <c r="E1364">
        <v>46.5</v>
      </c>
    </row>
    <row r="1365" spans="1:5" x14ac:dyDescent="0.25">
      <c r="A1365" s="1">
        <v>44829</v>
      </c>
      <c r="B1365" s="2">
        <f>IFERROR(Torres!K1364, 0) + IFERROR('San José'!K1364, 0) + IFERROR(Terraplaza!K1364, 0)</f>
        <v>93</v>
      </c>
      <c r="C1365">
        <v>39.625</v>
      </c>
      <c r="D1365">
        <v>11.75</v>
      </c>
      <c r="E1365">
        <v>41.625</v>
      </c>
    </row>
    <row r="1366" spans="1:5" x14ac:dyDescent="0.25">
      <c r="A1366" s="1">
        <v>44830</v>
      </c>
      <c r="B1366" s="2">
        <f>IFERROR(Torres!K1365, 0) + IFERROR('San José'!K1365, 0) + IFERROR(Terraplaza!K1365, 0)</f>
        <v>36.625</v>
      </c>
      <c r="C1366">
        <v>12</v>
      </c>
      <c r="D1366">
        <v>8</v>
      </c>
      <c r="E1366">
        <v>16.625</v>
      </c>
    </row>
    <row r="1367" spans="1:5" x14ac:dyDescent="0.25">
      <c r="A1367" s="1">
        <v>44831</v>
      </c>
      <c r="B1367" s="2">
        <f>IFERROR(Torres!K1366, 0) + IFERROR('San José'!K1366, 0) + IFERROR(Terraplaza!K1366, 0)</f>
        <v>45.375</v>
      </c>
      <c r="C1367">
        <v>21</v>
      </c>
      <c r="D1367">
        <v>7.875</v>
      </c>
      <c r="E1367">
        <v>16.5</v>
      </c>
    </row>
    <row r="1368" spans="1:5" x14ac:dyDescent="0.25">
      <c r="A1368" s="1">
        <v>44832</v>
      </c>
      <c r="B1368" s="2">
        <f>IFERROR(Torres!K1367, 0) + IFERROR('San José'!K1367, 0) + IFERROR(Terraplaza!K1367, 0)</f>
        <v>37.5</v>
      </c>
      <c r="C1368">
        <v>20.375</v>
      </c>
      <c r="D1368">
        <v>4.5</v>
      </c>
      <c r="E1368">
        <v>12.625</v>
      </c>
    </row>
    <row r="1369" spans="1:5" x14ac:dyDescent="0.25">
      <c r="A1369" s="1">
        <v>44833</v>
      </c>
      <c r="B1369" s="2">
        <f>IFERROR(Torres!K1368, 0) + IFERROR('San José'!K1368, 0) + IFERROR(Terraplaza!K1368, 0)</f>
        <v>47.375</v>
      </c>
      <c r="C1369">
        <v>16</v>
      </c>
      <c r="D1369">
        <v>6.125</v>
      </c>
      <c r="E1369">
        <v>25.25</v>
      </c>
    </row>
    <row r="1370" spans="1:5" x14ac:dyDescent="0.25">
      <c r="A1370" s="1">
        <v>44834</v>
      </c>
      <c r="B1370" s="2">
        <f>IFERROR(Torres!K1369, 0) + IFERROR('San José'!K1369, 0) + IFERROR(Terraplaza!K1369, 0)</f>
        <v>60.875</v>
      </c>
      <c r="C1370">
        <v>28.375</v>
      </c>
      <c r="D1370" t="e">
        <v>#N/A</v>
      </c>
      <c r="E1370">
        <v>32.5</v>
      </c>
    </row>
    <row r="1371" spans="1:5" x14ac:dyDescent="0.25">
      <c r="A1371" s="1">
        <v>44835</v>
      </c>
      <c r="B1371" s="2">
        <f>IFERROR(Torres!K1370, 0) + IFERROR('San José'!K1370, 0) + IFERROR(Terraplaza!K1370, 0)</f>
        <v>0</v>
      </c>
      <c r="C1371" t="e">
        <v>#N/A</v>
      </c>
      <c r="D1371" t="e">
        <v>#N/A</v>
      </c>
      <c r="E1371" t="e">
        <v>#N/A</v>
      </c>
    </row>
    <row r="1372" spans="1:5" x14ac:dyDescent="0.25">
      <c r="A1372" s="1">
        <v>44836</v>
      </c>
      <c r="B1372" s="2">
        <f>IFERROR(Torres!K1371, 0) + IFERROR('San José'!K1371, 0) + IFERROR(Terraplaza!K1371, 0)</f>
        <v>0</v>
      </c>
      <c r="C1372" t="e">
        <v>#N/A</v>
      </c>
      <c r="D1372" t="e">
        <v>#N/A</v>
      </c>
      <c r="E1372" t="e">
        <v>#N/A</v>
      </c>
    </row>
    <row r="1373" spans="1:5" x14ac:dyDescent="0.25">
      <c r="A1373" s="1">
        <v>44837</v>
      </c>
      <c r="B1373" s="2">
        <f>IFERROR(Torres!K1372, 0) + IFERROR('San José'!K1372, 0) + IFERROR(Terraplaza!K1372, 0)</f>
        <v>0</v>
      </c>
      <c r="C1373" t="e">
        <v>#N/A</v>
      </c>
      <c r="D1373" t="e">
        <v>#N/A</v>
      </c>
      <c r="E1373" t="e">
        <v>#N/A</v>
      </c>
    </row>
    <row r="1374" spans="1:5" x14ac:dyDescent="0.25">
      <c r="A1374" s="1">
        <v>44838</v>
      </c>
      <c r="B1374" s="2">
        <f>IFERROR(Torres!K1373, 0) + IFERROR('San José'!K1373, 0) + IFERROR(Terraplaza!K1373, 0)</f>
        <v>0</v>
      </c>
      <c r="C1374" t="e">
        <v>#N/A</v>
      </c>
      <c r="D1374" t="e">
        <v>#N/A</v>
      </c>
      <c r="E1374" t="e">
        <v>#N/A</v>
      </c>
    </row>
    <row r="1375" spans="1:5" x14ac:dyDescent="0.25">
      <c r="A1375" s="1">
        <v>44839</v>
      </c>
      <c r="B1375" s="2">
        <f>IFERROR(Torres!K1374, 0) + IFERROR('San José'!K1374, 0) + IFERROR(Terraplaza!K1374, 0)</f>
        <v>0</v>
      </c>
      <c r="C1375" t="e">
        <v>#N/A</v>
      </c>
      <c r="D1375" t="e">
        <v>#N/A</v>
      </c>
      <c r="E1375" t="e">
        <v>#N/A</v>
      </c>
    </row>
    <row r="1376" spans="1:5" x14ac:dyDescent="0.25">
      <c r="A1376" s="1">
        <v>44840</v>
      </c>
      <c r="B1376" s="2">
        <f>IFERROR(Torres!K1375, 0) + IFERROR('San José'!K1375, 0) + IFERROR(Terraplaza!K1375, 0)</f>
        <v>0</v>
      </c>
      <c r="C1376" t="e">
        <v>#N/A</v>
      </c>
      <c r="D1376" t="e">
        <v>#N/A</v>
      </c>
      <c r="E1376" t="e">
        <v>#N/A</v>
      </c>
    </row>
    <row r="1377" spans="1:5" x14ac:dyDescent="0.25">
      <c r="A1377" s="1">
        <v>44841</v>
      </c>
      <c r="B1377" s="2">
        <f>IFERROR(Torres!K1376, 0) + IFERROR('San José'!K1376, 0) + IFERROR(Terraplaza!K1376, 0)</f>
        <v>0</v>
      </c>
      <c r="C1377" t="e">
        <v>#N/A</v>
      </c>
      <c r="D1377" t="e">
        <v>#N/A</v>
      </c>
      <c r="E1377" t="e">
        <v>#N/A</v>
      </c>
    </row>
    <row r="1378" spans="1:5" x14ac:dyDescent="0.25">
      <c r="A1378" s="1">
        <v>44842</v>
      </c>
      <c r="B1378" s="2">
        <f>IFERROR(Torres!K1377, 0) + IFERROR('San José'!K1377, 0) + IFERROR(Terraplaza!K1377, 0)</f>
        <v>0</v>
      </c>
      <c r="C1378" t="e">
        <v>#N/A</v>
      </c>
      <c r="D1378" t="e">
        <v>#N/A</v>
      </c>
      <c r="E1378" t="e">
        <v>#N/A</v>
      </c>
    </row>
    <row r="1379" spans="1:5" x14ac:dyDescent="0.25">
      <c r="A1379" s="1">
        <v>44843</v>
      </c>
      <c r="B1379" s="2">
        <f>IFERROR(Torres!K1378, 0) + IFERROR('San José'!K1378, 0) + IFERROR(Terraplaza!K1378, 0)</f>
        <v>0</v>
      </c>
      <c r="C1379" t="e">
        <v>#N/A</v>
      </c>
      <c r="D1379" t="e">
        <v>#N/A</v>
      </c>
      <c r="E1379" t="e">
        <v>#N/A</v>
      </c>
    </row>
    <row r="1380" spans="1:5" x14ac:dyDescent="0.25">
      <c r="A1380" s="1">
        <v>44844</v>
      </c>
      <c r="B1380" s="2">
        <f>IFERROR(Torres!K1379, 0) + IFERROR('San José'!K1379, 0) + IFERROR(Terraplaza!K1379, 0)</f>
        <v>0</v>
      </c>
      <c r="C1380" t="e">
        <v>#N/A</v>
      </c>
      <c r="D1380" t="e">
        <v>#N/A</v>
      </c>
      <c r="E1380" t="e">
        <v>#N/A</v>
      </c>
    </row>
    <row r="1381" spans="1:5" x14ac:dyDescent="0.25">
      <c r="A1381" s="1">
        <v>44845</v>
      </c>
      <c r="B1381" s="2">
        <f>IFERROR(Torres!K1380, 0) + IFERROR('San José'!K1380, 0) + IFERROR(Terraplaza!K1380, 0)</f>
        <v>0</v>
      </c>
      <c r="C1381" t="e">
        <v>#N/A</v>
      </c>
      <c r="D1381" t="e">
        <v>#N/A</v>
      </c>
      <c r="E1381" t="e">
        <v>#N/A</v>
      </c>
    </row>
    <row r="1382" spans="1:5" x14ac:dyDescent="0.25">
      <c r="A1382" s="1">
        <v>44846</v>
      </c>
      <c r="B1382" s="2">
        <f>IFERROR(Torres!K1381, 0) + IFERROR('San José'!K1381, 0) + IFERROR(Terraplaza!K1381, 0)</f>
        <v>0</v>
      </c>
      <c r="C1382" t="e">
        <v>#N/A</v>
      </c>
      <c r="D1382" t="e">
        <v>#N/A</v>
      </c>
      <c r="E1382" t="e">
        <v>#N/A</v>
      </c>
    </row>
    <row r="1383" spans="1:5" x14ac:dyDescent="0.25">
      <c r="A1383" s="1">
        <v>44847</v>
      </c>
      <c r="B1383" s="2">
        <f>IFERROR(Torres!K1382, 0) + IFERROR('San José'!K1382, 0) + IFERROR(Terraplaza!K1382, 0)</f>
        <v>0</v>
      </c>
      <c r="C1383" t="e">
        <v>#N/A</v>
      </c>
      <c r="D1383" t="e">
        <v>#N/A</v>
      </c>
      <c r="E1383" t="e">
        <v>#N/A</v>
      </c>
    </row>
    <row r="1384" spans="1:5" x14ac:dyDescent="0.25">
      <c r="A1384" s="1">
        <v>44848</v>
      </c>
      <c r="B1384" s="2">
        <f>IFERROR(Torres!K1383, 0) + IFERROR('San José'!K1383, 0) + IFERROR(Terraplaza!K1383, 0)</f>
        <v>0</v>
      </c>
      <c r="C1384" t="e">
        <v>#N/A</v>
      </c>
      <c r="D1384" t="e">
        <v>#N/A</v>
      </c>
      <c r="E1384" t="e">
        <v>#N/A</v>
      </c>
    </row>
    <row r="1385" spans="1:5" x14ac:dyDescent="0.25">
      <c r="A1385" s="1">
        <v>44849</v>
      </c>
      <c r="B1385" s="2">
        <f>IFERROR(Torres!K1384, 0) + IFERROR('San José'!K1384, 0) + IFERROR(Terraplaza!K1384, 0)</f>
        <v>0</v>
      </c>
      <c r="C1385" t="e">
        <v>#N/A</v>
      </c>
      <c r="D1385" t="e">
        <v>#N/A</v>
      </c>
      <c r="E1385" t="e">
        <v>#N/A</v>
      </c>
    </row>
    <row r="1386" spans="1:5" x14ac:dyDescent="0.25">
      <c r="A1386" s="1">
        <v>44850</v>
      </c>
      <c r="B1386" s="2">
        <f>IFERROR(Torres!K1385, 0) + IFERROR('San José'!K1385, 0) + IFERROR(Terraplaza!K1385, 0)</f>
        <v>0</v>
      </c>
      <c r="C1386" t="e">
        <v>#N/A</v>
      </c>
      <c r="D1386" t="e">
        <v>#N/A</v>
      </c>
      <c r="E1386" t="e">
        <v>#N/A</v>
      </c>
    </row>
    <row r="1387" spans="1:5" x14ac:dyDescent="0.25">
      <c r="A1387" s="1">
        <v>44851</v>
      </c>
      <c r="B1387" s="2">
        <f>IFERROR(Torres!K1386, 0) + IFERROR('San José'!K1386, 0) + IFERROR(Terraplaza!K1386, 0)</f>
        <v>0</v>
      </c>
      <c r="C1387" t="e">
        <v>#N/A</v>
      </c>
      <c r="D1387" t="e">
        <v>#N/A</v>
      </c>
      <c r="E1387" t="e">
        <v>#N/A</v>
      </c>
    </row>
    <row r="1388" spans="1:5" x14ac:dyDescent="0.25">
      <c r="A1388" s="1">
        <v>44852</v>
      </c>
      <c r="B1388" s="2">
        <f>IFERROR(Torres!K1387, 0) + IFERROR('San José'!K1387, 0) + IFERROR(Terraplaza!K1387, 0)</f>
        <v>0</v>
      </c>
      <c r="C1388" t="e">
        <v>#N/A</v>
      </c>
      <c r="D1388" t="e">
        <v>#N/A</v>
      </c>
      <c r="E1388" t="e">
        <v>#N/A</v>
      </c>
    </row>
    <row r="1389" spans="1:5" x14ac:dyDescent="0.25">
      <c r="A1389" s="1">
        <v>44853</v>
      </c>
      <c r="B1389" s="2">
        <f>IFERROR(Torres!K1388, 0) + IFERROR('San José'!K1388, 0) + IFERROR(Terraplaza!K1388, 0)</f>
        <v>0</v>
      </c>
      <c r="C1389" t="e">
        <v>#N/A</v>
      </c>
      <c r="D1389" t="e">
        <v>#N/A</v>
      </c>
      <c r="E1389" t="e">
        <v>#N/A</v>
      </c>
    </row>
    <row r="1390" spans="1:5" x14ac:dyDescent="0.25">
      <c r="A1390" s="1">
        <v>44854</v>
      </c>
      <c r="B1390" s="2">
        <f>IFERROR(Torres!K1389, 0) + IFERROR('San José'!K1389, 0) + IFERROR(Terraplaza!K1389, 0)</f>
        <v>0</v>
      </c>
      <c r="C1390" t="e">
        <v>#N/A</v>
      </c>
      <c r="D1390" t="e">
        <v>#N/A</v>
      </c>
      <c r="E1390" t="e">
        <v>#N/A</v>
      </c>
    </row>
    <row r="1391" spans="1:5" x14ac:dyDescent="0.25">
      <c r="A1391" s="1">
        <v>44855</v>
      </c>
      <c r="B1391" s="2">
        <f>IFERROR(Torres!K1390, 0) + IFERROR('San José'!K1390, 0) + IFERROR(Terraplaza!K1390, 0)</f>
        <v>0</v>
      </c>
      <c r="C1391" t="e">
        <v>#N/A</v>
      </c>
      <c r="D1391" t="e">
        <v>#N/A</v>
      </c>
      <c r="E1391" t="e">
        <v>#N/A</v>
      </c>
    </row>
    <row r="1392" spans="1:5" x14ac:dyDescent="0.25">
      <c r="A1392" s="1">
        <v>44856</v>
      </c>
      <c r="B1392" s="2">
        <f>IFERROR(Torres!K1391, 0) + IFERROR('San José'!K1391, 0) + IFERROR(Terraplaza!K1391, 0)</f>
        <v>0</v>
      </c>
      <c r="C1392" t="e">
        <v>#N/A</v>
      </c>
      <c r="D1392" t="e">
        <v>#N/A</v>
      </c>
      <c r="E1392" t="e">
        <v>#N/A</v>
      </c>
    </row>
    <row r="1393" spans="1:5" x14ac:dyDescent="0.25">
      <c r="A1393" s="1">
        <v>44857</v>
      </c>
      <c r="B1393" s="2">
        <f>IFERROR(Torres!K1392, 0) + IFERROR('San José'!K1392, 0) + IFERROR(Terraplaza!K1392, 0)</f>
        <v>0</v>
      </c>
      <c r="C1393" t="e">
        <v>#N/A</v>
      </c>
      <c r="D1393" t="e">
        <v>#N/A</v>
      </c>
      <c r="E1393" t="e">
        <v>#N/A</v>
      </c>
    </row>
    <row r="1394" spans="1:5" x14ac:dyDescent="0.25">
      <c r="A1394" s="1">
        <v>44858</v>
      </c>
      <c r="B1394" s="2">
        <f>IFERROR(Torres!K1393, 0) + IFERROR('San José'!K1393, 0) + IFERROR(Terraplaza!K1393, 0)</f>
        <v>0</v>
      </c>
      <c r="C1394" t="e">
        <v>#N/A</v>
      </c>
      <c r="D1394" t="e">
        <v>#N/A</v>
      </c>
      <c r="E1394" t="e">
        <v>#N/A</v>
      </c>
    </row>
    <row r="1395" spans="1:5" x14ac:dyDescent="0.25">
      <c r="A1395" s="1">
        <v>44859</v>
      </c>
      <c r="B1395" s="2">
        <f>IFERROR(Torres!K1394, 0) + IFERROR('San José'!K1394, 0) + IFERROR(Terraplaza!K1394, 0)</f>
        <v>0</v>
      </c>
      <c r="C1395" t="e">
        <v>#N/A</v>
      </c>
      <c r="D1395" t="e">
        <v>#N/A</v>
      </c>
      <c r="E1395" t="e">
        <v>#N/A</v>
      </c>
    </row>
    <row r="1396" spans="1:5" x14ac:dyDescent="0.25">
      <c r="A1396" s="1">
        <v>44860</v>
      </c>
      <c r="B1396" s="2">
        <f>IFERROR(Torres!K1395, 0) + IFERROR('San José'!K1395, 0) + IFERROR(Terraplaza!K1395, 0)</f>
        <v>0</v>
      </c>
      <c r="C1396" t="e">
        <v>#N/A</v>
      </c>
      <c r="D1396" t="e">
        <v>#N/A</v>
      </c>
      <c r="E1396" t="e">
        <v>#N/A</v>
      </c>
    </row>
    <row r="1397" spans="1:5" x14ac:dyDescent="0.25">
      <c r="A1397" s="1">
        <v>44861</v>
      </c>
      <c r="B1397" s="2">
        <f>IFERROR(Torres!K1396, 0) + IFERROR('San José'!K1396, 0) + IFERROR(Terraplaza!K1396, 0)</f>
        <v>0</v>
      </c>
      <c r="C1397" t="e">
        <v>#N/A</v>
      </c>
      <c r="D1397" t="e">
        <v>#N/A</v>
      </c>
      <c r="E1397" t="e">
        <v>#N/A</v>
      </c>
    </row>
    <row r="1398" spans="1:5" x14ac:dyDescent="0.25">
      <c r="A1398" s="1">
        <v>44862</v>
      </c>
      <c r="B1398" s="2">
        <f>IFERROR(Torres!K1397, 0) + IFERROR('San José'!K1397, 0) + IFERROR(Terraplaza!K1397, 0)</f>
        <v>0</v>
      </c>
      <c r="C1398" t="e">
        <v>#N/A</v>
      </c>
      <c r="D1398" t="e">
        <v>#N/A</v>
      </c>
      <c r="E1398" t="e">
        <v>#N/A</v>
      </c>
    </row>
    <row r="1399" spans="1:5" x14ac:dyDescent="0.25">
      <c r="A1399" s="1">
        <v>44863</v>
      </c>
      <c r="B1399" s="2">
        <f>IFERROR(Torres!K1398, 0) + IFERROR('San José'!K1398, 0) + IFERROR(Terraplaza!K1398, 0)</f>
        <v>0</v>
      </c>
      <c r="C1399" t="e">
        <v>#N/A</v>
      </c>
      <c r="D1399" t="e">
        <v>#N/A</v>
      </c>
      <c r="E1399" t="e">
        <v>#N/A</v>
      </c>
    </row>
    <row r="1400" spans="1:5" x14ac:dyDescent="0.25">
      <c r="A1400" s="1">
        <v>44864</v>
      </c>
      <c r="B1400" s="2">
        <f>IFERROR(Torres!K1399, 0) + IFERROR('San José'!K1399, 0) + IFERROR(Terraplaza!K1399, 0)</f>
        <v>0</v>
      </c>
      <c r="C1400" t="e">
        <v>#N/A</v>
      </c>
      <c r="D1400" t="e">
        <v>#N/A</v>
      </c>
      <c r="E1400" t="e">
        <v>#N/A</v>
      </c>
    </row>
    <row r="1401" spans="1:5" x14ac:dyDescent="0.25">
      <c r="A1401" s="1">
        <v>44865</v>
      </c>
      <c r="B1401" s="2">
        <f>IFERROR(Torres!K1400, 0) + IFERROR('San José'!K1400, 0) + IFERROR(Terraplaza!K1400, 0)</f>
        <v>0</v>
      </c>
      <c r="C1401" t="e">
        <v>#N/A</v>
      </c>
      <c r="D1401" t="e">
        <v>#N/A</v>
      </c>
      <c r="E1401" t="e">
        <v>#N/A</v>
      </c>
    </row>
    <row r="1402" spans="1:5" x14ac:dyDescent="0.25">
      <c r="A1402" s="1">
        <v>44866</v>
      </c>
      <c r="B1402" s="2">
        <f>IFERROR(Torres!K1401, 0) + IFERROR('San José'!K1401, 0) + IFERROR(Terraplaza!K1401, 0)</f>
        <v>18.75</v>
      </c>
      <c r="C1402">
        <v>12.5</v>
      </c>
      <c r="D1402">
        <v>6.25</v>
      </c>
      <c r="E1402" t="e">
        <v>#N/A</v>
      </c>
    </row>
    <row r="1403" spans="1:5" x14ac:dyDescent="0.25">
      <c r="A1403" s="1">
        <v>44867</v>
      </c>
      <c r="B1403" s="2">
        <f>IFERROR(Torres!K1402, 0) + IFERROR('San José'!K1402, 0) + IFERROR(Terraplaza!K1402, 0)</f>
        <v>25</v>
      </c>
      <c r="C1403">
        <v>17.25</v>
      </c>
      <c r="D1403">
        <v>7.75</v>
      </c>
      <c r="E1403" t="e">
        <v>#N/A</v>
      </c>
    </row>
    <row r="1404" spans="1:5" x14ac:dyDescent="0.25">
      <c r="A1404" s="1">
        <v>44868</v>
      </c>
      <c r="B1404" s="2">
        <f>IFERROR(Torres!K1403, 0) + IFERROR('San José'!K1403, 0) + IFERROR(Terraplaza!K1403, 0)</f>
        <v>23.75</v>
      </c>
      <c r="C1404">
        <v>17.125</v>
      </c>
      <c r="D1404">
        <v>6.625</v>
      </c>
      <c r="E1404" t="e">
        <v>#N/A</v>
      </c>
    </row>
    <row r="1405" spans="1:5" x14ac:dyDescent="0.25">
      <c r="A1405" s="1">
        <v>44869</v>
      </c>
      <c r="B1405" s="2">
        <f>IFERROR(Torres!K1404, 0) + IFERROR('San José'!K1404, 0) + IFERROR(Terraplaza!K1404, 0)</f>
        <v>36.25</v>
      </c>
      <c r="C1405">
        <v>26.25</v>
      </c>
      <c r="D1405">
        <v>10</v>
      </c>
      <c r="E1405" t="e">
        <v>#N/A</v>
      </c>
    </row>
    <row r="1406" spans="1:5" x14ac:dyDescent="0.25">
      <c r="A1406" s="1">
        <v>44870</v>
      </c>
      <c r="B1406" s="2">
        <f>IFERROR(Torres!K1405, 0) + IFERROR('San José'!K1405, 0) + IFERROR(Terraplaza!K1405, 0)</f>
        <v>59.25</v>
      </c>
      <c r="C1406">
        <v>43.875</v>
      </c>
      <c r="D1406">
        <v>15.375</v>
      </c>
      <c r="E1406" t="e">
        <v>#N/A</v>
      </c>
    </row>
    <row r="1407" spans="1:5" x14ac:dyDescent="0.25">
      <c r="A1407" s="1">
        <v>44871</v>
      </c>
      <c r="B1407" s="2">
        <f>IFERROR(Torres!K1406, 0) + IFERROR('San José'!K1406, 0) + IFERROR(Terraplaza!K1406, 0)</f>
        <v>53.625</v>
      </c>
      <c r="C1407">
        <v>41.5</v>
      </c>
      <c r="D1407">
        <v>12.125</v>
      </c>
      <c r="E1407" t="e">
        <v>#N/A</v>
      </c>
    </row>
    <row r="1408" spans="1:5" x14ac:dyDescent="0.25">
      <c r="A1408" s="1">
        <v>44872</v>
      </c>
      <c r="B1408" s="2">
        <f>IFERROR(Torres!K1407, 0) + IFERROR('San José'!K1407, 0) + IFERROR(Terraplaza!K1407, 0)</f>
        <v>51.125</v>
      </c>
      <c r="C1408">
        <v>36.375</v>
      </c>
      <c r="D1408">
        <v>14.75</v>
      </c>
      <c r="E1408" t="e">
        <v>#N/A</v>
      </c>
    </row>
    <row r="1409" spans="1:5" x14ac:dyDescent="0.25">
      <c r="A1409" s="1">
        <v>44873</v>
      </c>
      <c r="B1409" s="2">
        <f>IFERROR(Torres!K1408, 0) + IFERROR('San José'!K1408, 0) + IFERROR(Terraplaza!K1408, 0)</f>
        <v>22.25</v>
      </c>
      <c r="C1409">
        <v>10.125</v>
      </c>
      <c r="D1409">
        <v>12.125</v>
      </c>
      <c r="E1409" t="e">
        <v>#N/A</v>
      </c>
    </row>
    <row r="1410" spans="1:5" x14ac:dyDescent="0.25">
      <c r="A1410" s="1">
        <v>44874</v>
      </c>
      <c r="B1410" s="2">
        <f>IFERROR(Torres!K1409, 0) + IFERROR('San José'!K1409, 0) + IFERROR(Terraplaza!K1409, 0)</f>
        <v>23.25</v>
      </c>
      <c r="C1410">
        <v>18.875</v>
      </c>
      <c r="D1410">
        <v>4.375</v>
      </c>
      <c r="E1410" t="e">
        <v>#N/A</v>
      </c>
    </row>
    <row r="1411" spans="1:5" x14ac:dyDescent="0.25">
      <c r="A1411" s="1">
        <v>44875</v>
      </c>
      <c r="B1411" s="2">
        <f>IFERROR(Torres!K1410, 0) + IFERROR('San José'!K1410, 0) + IFERROR(Terraplaza!K1410, 0)</f>
        <v>24.125</v>
      </c>
      <c r="C1411">
        <v>17.25</v>
      </c>
      <c r="D1411">
        <v>6.875</v>
      </c>
      <c r="E1411" t="e">
        <v>#N/A</v>
      </c>
    </row>
    <row r="1412" spans="1:5" x14ac:dyDescent="0.25">
      <c r="A1412" s="1">
        <v>44876</v>
      </c>
      <c r="B1412" s="2">
        <f>IFERROR(Torres!K1411, 0) + IFERROR('San José'!K1411, 0) + IFERROR(Terraplaza!K1411, 0)</f>
        <v>31.875</v>
      </c>
      <c r="C1412">
        <v>23.625</v>
      </c>
      <c r="D1412">
        <v>8.25</v>
      </c>
      <c r="E1412" t="e">
        <v>#N/A</v>
      </c>
    </row>
    <row r="1413" spans="1:5" x14ac:dyDescent="0.25">
      <c r="A1413" s="1">
        <v>44877</v>
      </c>
      <c r="B1413" s="2">
        <f>IFERROR(Torres!K1412, 0) + IFERROR('San José'!K1412, 0) + IFERROR(Terraplaza!K1412, 0)</f>
        <v>56.875</v>
      </c>
      <c r="C1413">
        <v>46.75</v>
      </c>
      <c r="D1413">
        <v>10.125</v>
      </c>
      <c r="E1413" t="e">
        <v>#N/A</v>
      </c>
    </row>
    <row r="1414" spans="1:5" x14ac:dyDescent="0.25">
      <c r="A1414" s="1">
        <v>44878</v>
      </c>
      <c r="B1414" s="2">
        <f>IFERROR(Torres!K1413, 0) + IFERROR('San José'!K1413, 0) + IFERROR(Terraplaza!K1413, 0)</f>
        <v>59.75</v>
      </c>
      <c r="C1414">
        <v>49.5</v>
      </c>
      <c r="D1414">
        <v>10.25</v>
      </c>
      <c r="E1414" t="e">
        <v>#N/A</v>
      </c>
    </row>
    <row r="1415" spans="1:5" x14ac:dyDescent="0.25">
      <c r="A1415" s="1">
        <v>44879</v>
      </c>
      <c r="B1415" s="2">
        <f>IFERROR(Torres!K1414, 0) + IFERROR('San José'!K1414, 0) + IFERROR(Terraplaza!K1414, 0)</f>
        <v>55.375</v>
      </c>
      <c r="C1415">
        <v>45.125</v>
      </c>
      <c r="D1415">
        <v>10.25</v>
      </c>
      <c r="E1415" t="e">
        <v>#N/A</v>
      </c>
    </row>
    <row r="1416" spans="1:5" x14ac:dyDescent="0.25">
      <c r="A1416" s="1">
        <v>44880</v>
      </c>
      <c r="B1416" s="2">
        <f>IFERROR(Torres!K1415, 0) + IFERROR('San José'!K1415, 0) + IFERROR(Terraplaza!K1415, 0)</f>
        <v>20.5</v>
      </c>
      <c r="C1416">
        <v>14.125</v>
      </c>
      <c r="D1416">
        <v>6.375</v>
      </c>
      <c r="E1416" t="e">
        <v>#N/A</v>
      </c>
    </row>
    <row r="1417" spans="1:5" x14ac:dyDescent="0.25">
      <c r="A1417" s="1">
        <v>44881</v>
      </c>
      <c r="B1417" s="2">
        <f>IFERROR(Torres!K1416, 0) + IFERROR('San José'!K1416, 0) + IFERROR(Terraplaza!K1416, 0)</f>
        <v>24.75</v>
      </c>
      <c r="C1417">
        <v>21.75</v>
      </c>
      <c r="D1417">
        <v>3</v>
      </c>
      <c r="E1417" t="e">
        <v>#N/A</v>
      </c>
    </row>
    <row r="1418" spans="1:5" x14ac:dyDescent="0.25">
      <c r="A1418" s="1">
        <v>44882</v>
      </c>
      <c r="B1418" s="2">
        <f>IFERROR(Torres!K1417, 0) + IFERROR('San José'!K1417, 0) + IFERROR(Terraplaza!K1417, 0)</f>
        <v>23.875</v>
      </c>
      <c r="C1418">
        <v>18.125</v>
      </c>
      <c r="D1418">
        <v>5.75</v>
      </c>
      <c r="E1418" t="e">
        <v>#N/A</v>
      </c>
    </row>
    <row r="1419" spans="1:5" x14ac:dyDescent="0.25">
      <c r="A1419" s="1">
        <v>44883</v>
      </c>
      <c r="B1419" s="2">
        <f>IFERROR(Torres!K1418, 0) + IFERROR('San José'!K1418, 0) + IFERROR(Terraplaza!K1418, 0)</f>
        <v>38</v>
      </c>
      <c r="C1419">
        <v>27.5</v>
      </c>
      <c r="D1419">
        <v>10.5</v>
      </c>
      <c r="E1419" t="e">
        <v>#N/A</v>
      </c>
    </row>
    <row r="1420" spans="1:5" x14ac:dyDescent="0.25">
      <c r="A1420" s="1">
        <v>44884</v>
      </c>
      <c r="B1420" s="2">
        <f>IFERROR(Torres!K1419, 0) + IFERROR('San José'!K1419, 0) + IFERROR(Terraplaza!K1419, 0)</f>
        <v>57.375</v>
      </c>
      <c r="C1420">
        <v>43.25</v>
      </c>
      <c r="D1420">
        <v>14.125</v>
      </c>
      <c r="E1420" t="e">
        <v>#N/A</v>
      </c>
    </row>
    <row r="1421" spans="1:5" x14ac:dyDescent="0.25">
      <c r="A1421" s="1">
        <v>44885</v>
      </c>
      <c r="B1421" s="2">
        <f>IFERROR(Torres!K1420, 0) + IFERROR('San José'!K1420, 0) + IFERROR(Terraplaza!K1420, 0)</f>
        <v>65.25</v>
      </c>
      <c r="C1421">
        <v>51.875</v>
      </c>
      <c r="D1421">
        <v>13.375</v>
      </c>
      <c r="E1421" t="e">
        <v>#N/A</v>
      </c>
    </row>
    <row r="1422" spans="1:5" x14ac:dyDescent="0.25">
      <c r="A1422" s="1">
        <v>44886</v>
      </c>
      <c r="B1422" s="2">
        <f>IFERROR(Torres!K1421, 0) + IFERROR('San José'!K1421, 0) + IFERROR(Terraplaza!K1421, 0)</f>
        <v>14</v>
      </c>
      <c r="C1422">
        <v>10.25</v>
      </c>
      <c r="D1422">
        <v>3.75</v>
      </c>
      <c r="E1422" t="e">
        <v>#N/A</v>
      </c>
    </row>
    <row r="1423" spans="1:5" x14ac:dyDescent="0.25">
      <c r="A1423" s="1">
        <v>44887</v>
      </c>
      <c r="B1423" s="2">
        <f>IFERROR(Torres!K1422, 0) + IFERROR('San José'!K1422, 0) + IFERROR(Terraplaza!K1422, 0)</f>
        <v>19.375</v>
      </c>
      <c r="C1423">
        <v>14.875</v>
      </c>
      <c r="D1423">
        <v>4.5</v>
      </c>
      <c r="E1423" t="e">
        <v>#N/A</v>
      </c>
    </row>
    <row r="1424" spans="1:5" x14ac:dyDescent="0.25">
      <c r="A1424" s="1">
        <v>44888</v>
      </c>
      <c r="B1424" s="2">
        <f>IFERROR(Torres!K1423, 0) + IFERROR('San José'!K1423, 0) + IFERROR(Terraplaza!K1423, 0)</f>
        <v>22.125</v>
      </c>
      <c r="C1424">
        <v>15.875</v>
      </c>
      <c r="D1424">
        <v>6.25</v>
      </c>
      <c r="E1424" t="e">
        <v>#N/A</v>
      </c>
    </row>
    <row r="1425" spans="1:5" x14ac:dyDescent="0.25">
      <c r="A1425" s="1">
        <v>44889</v>
      </c>
      <c r="B1425" s="2">
        <f>IFERROR(Torres!K1424, 0) + IFERROR('San José'!K1424, 0) + IFERROR(Terraplaza!K1424, 0)</f>
        <v>22.125</v>
      </c>
      <c r="C1425">
        <v>13.875</v>
      </c>
      <c r="D1425">
        <v>8.25</v>
      </c>
      <c r="E1425" t="e">
        <v>#N/A</v>
      </c>
    </row>
    <row r="1426" spans="1:5" x14ac:dyDescent="0.25">
      <c r="A1426" s="1">
        <v>44890</v>
      </c>
      <c r="B1426" s="2">
        <f>IFERROR(Torres!K1425, 0) + IFERROR('San José'!K1425, 0) + IFERROR(Terraplaza!K1425, 0)</f>
        <v>48.875</v>
      </c>
      <c r="C1426">
        <v>40.625</v>
      </c>
      <c r="D1426">
        <v>8.25</v>
      </c>
      <c r="E1426" t="e">
        <v>#N/A</v>
      </c>
    </row>
    <row r="1427" spans="1:5" x14ac:dyDescent="0.25">
      <c r="A1427" s="1">
        <v>44891</v>
      </c>
      <c r="B1427" s="2">
        <f>IFERROR(Torres!K1426, 0) + IFERROR('San José'!K1426, 0) + IFERROR(Terraplaza!K1426, 0)</f>
        <v>52.5</v>
      </c>
      <c r="C1427">
        <v>40.125</v>
      </c>
      <c r="D1427">
        <v>12.375</v>
      </c>
      <c r="E1427" t="e">
        <v>#N/A</v>
      </c>
    </row>
    <row r="1428" spans="1:5" x14ac:dyDescent="0.25">
      <c r="A1428" s="1">
        <v>44892</v>
      </c>
      <c r="B1428" s="2">
        <f>IFERROR(Torres!K1427, 0) + IFERROR('San José'!K1427, 0) + IFERROR(Terraplaza!K1427, 0)</f>
        <v>51</v>
      </c>
      <c r="C1428">
        <v>37.875</v>
      </c>
      <c r="D1428">
        <v>13.125</v>
      </c>
      <c r="E1428" t="e">
        <v>#N/A</v>
      </c>
    </row>
    <row r="1429" spans="1:5" x14ac:dyDescent="0.25">
      <c r="A1429" s="1">
        <v>44893</v>
      </c>
      <c r="B1429" s="2">
        <f>IFERROR(Torres!K1428, 0) + IFERROR('San José'!K1428, 0) + IFERROR(Terraplaza!K1428, 0)</f>
        <v>12.75</v>
      </c>
      <c r="C1429">
        <v>6.75</v>
      </c>
      <c r="D1429">
        <v>6</v>
      </c>
      <c r="E1429" t="e">
        <v>#N/A</v>
      </c>
    </row>
    <row r="1430" spans="1:5" x14ac:dyDescent="0.25">
      <c r="A1430" s="1">
        <v>44894</v>
      </c>
      <c r="B1430" s="2">
        <f>IFERROR(Torres!K1429, 0) + IFERROR('San José'!K1429, 0) + IFERROR(Terraplaza!K1429, 0)</f>
        <v>17.75</v>
      </c>
      <c r="C1430">
        <v>14.125</v>
      </c>
      <c r="D1430">
        <v>3.625</v>
      </c>
      <c r="E1430" t="e">
        <v>#N/A</v>
      </c>
    </row>
    <row r="1431" spans="1:5" x14ac:dyDescent="0.25">
      <c r="A1431" s="1">
        <v>44895</v>
      </c>
      <c r="B1431" s="2">
        <f>IFERROR(Torres!K1430, 0) + IFERROR('San José'!K1430, 0) + IFERROR(Terraplaza!K1430, 0)</f>
        <v>18.125</v>
      </c>
      <c r="C1431">
        <v>18.125</v>
      </c>
      <c r="D1431" t="e">
        <v>#N/A</v>
      </c>
      <c r="E1431" t="e">
        <v>#N/A</v>
      </c>
    </row>
    <row r="1432" spans="1:5" x14ac:dyDescent="0.25">
      <c r="A1432" s="1">
        <v>44896</v>
      </c>
      <c r="B1432" s="2">
        <f>IFERROR(Torres!K1431, 0) + IFERROR('San José'!K1431, 0) + IFERROR(Terraplaza!K1431, 0)</f>
        <v>54.5</v>
      </c>
      <c r="C1432">
        <v>16.5</v>
      </c>
      <c r="D1432">
        <v>10.25</v>
      </c>
      <c r="E1432">
        <v>27.75</v>
      </c>
    </row>
    <row r="1433" spans="1:5" x14ac:dyDescent="0.25">
      <c r="A1433" s="1">
        <v>44897</v>
      </c>
      <c r="B1433" s="2">
        <f>IFERROR(Torres!K1432, 0) + IFERROR('San José'!K1432, 0) + IFERROR(Terraplaza!K1432, 0)</f>
        <v>75.25</v>
      </c>
      <c r="C1433">
        <v>18.5</v>
      </c>
      <c r="D1433">
        <v>30.875</v>
      </c>
      <c r="E1433">
        <v>25.875</v>
      </c>
    </row>
    <row r="1434" spans="1:5" x14ac:dyDescent="0.25">
      <c r="A1434" s="1">
        <v>44898</v>
      </c>
      <c r="B1434" s="2">
        <f>IFERROR(Torres!K1433, 0) + IFERROR('San José'!K1433, 0) + IFERROR(Terraplaza!K1433, 0)</f>
        <v>84.25</v>
      </c>
      <c r="C1434">
        <v>27.75</v>
      </c>
      <c r="D1434">
        <v>10.5</v>
      </c>
      <c r="E1434">
        <v>46</v>
      </c>
    </row>
    <row r="1435" spans="1:5" x14ac:dyDescent="0.25">
      <c r="A1435" s="1">
        <v>44899</v>
      </c>
      <c r="B1435" s="2">
        <f>IFERROR(Torres!K1434, 0) + IFERROR('San José'!K1434, 0) + IFERROR(Terraplaza!K1434, 0)</f>
        <v>81.125</v>
      </c>
      <c r="C1435">
        <v>25.5</v>
      </c>
      <c r="D1435">
        <v>10.875</v>
      </c>
      <c r="E1435">
        <v>44.75</v>
      </c>
    </row>
    <row r="1436" spans="1:5" x14ac:dyDescent="0.25">
      <c r="A1436" s="1">
        <v>44900</v>
      </c>
      <c r="B1436" s="2">
        <f>IFERROR(Torres!K1435, 0) + IFERROR('San José'!K1435, 0) + IFERROR(Terraplaza!K1435, 0)</f>
        <v>43.75</v>
      </c>
      <c r="C1436">
        <v>13.375</v>
      </c>
      <c r="D1436">
        <v>6.375</v>
      </c>
      <c r="E1436">
        <v>24</v>
      </c>
    </row>
    <row r="1437" spans="1:5" x14ac:dyDescent="0.25">
      <c r="A1437" s="1">
        <v>44901</v>
      </c>
      <c r="B1437" s="2">
        <f>IFERROR(Torres!K1436, 0) + IFERROR('San José'!K1436, 0) + IFERROR(Terraplaza!K1436, 0)</f>
        <v>47.875</v>
      </c>
      <c r="C1437">
        <v>15.625</v>
      </c>
      <c r="D1437">
        <v>7.875</v>
      </c>
      <c r="E1437">
        <v>24.375</v>
      </c>
    </row>
    <row r="1438" spans="1:5" x14ac:dyDescent="0.25">
      <c r="A1438" s="1">
        <v>44902</v>
      </c>
      <c r="B1438" s="2">
        <f>IFERROR(Torres!K1437, 0) + IFERROR('San José'!K1437, 0) + IFERROR(Terraplaza!K1437, 0)</f>
        <v>114</v>
      </c>
      <c r="C1438">
        <v>37.625</v>
      </c>
      <c r="D1438">
        <v>19.375</v>
      </c>
      <c r="E1438">
        <v>57</v>
      </c>
    </row>
    <row r="1439" spans="1:5" x14ac:dyDescent="0.25">
      <c r="A1439" s="1">
        <v>44903</v>
      </c>
      <c r="B1439" s="2">
        <f>IFERROR(Torres!K1438, 0) + IFERROR('San José'!K1438, 0) + IFERROR(Terraplaza!K1438, 0)</f>
        <v>98.75</v>
      </c>
      <c r="C1439">
        <v>48.125</v>
      </c>
      <c r="D1439">
        <v>12.25</v>
      </c>
      <c r="E1439">
        <v>38.375</v>
      </c>
    </row>
    <row r="1440" spans="1:5" x14ac:dyDescent="0.25">
      <c r="A1440" s="1">
        <v>44904</v>
      </c>
      <c r="B1440" s="2">
        <f>IFERROR(Torres!K1439, 0) + IFERROR('San José'!K1439, 0) + IFERROR(Terraplaza!K1439, 0)</f>
        <v>75.75</v>
      </c>
      <c r="C1440">
        <v>27.125</v>
      </c>
      <c r="D1440">
        <v>10.375</v>
      </c>
      <c r="E1440">
        <v>38.25</v>
      </c>
    </row>
    <row r="1441" spans="1:5" x14ac:dyDescent="0.25">
      <c r="A1441" s="1">
        <v>44905</v>
      </c>
      <c r="B1441" s="2">
        <f>IFERROR(Torres!K1440, 0) + IFERROR('San José'!K1440, 0) + IFERROR(Terraplaza!K1440, 0)</f>
        <v>116.625</v>
      </c>
      <c r="C1441">
        <v>65.125</v>
      </c>
      <c r="D1441">
        <v>10.125</v>
      </c>
      <c r="E1441">
        <v>41.375</v>
      </c>
    </row>
    <row r="1442" spans="1:5" x14ac:dyDescent="0.25">
      <c r="A1442" s="1">
        <v>44906</v>
      </c>
      <c r="B1442" s="2">
        <f>IFERROR(Torres!K1441, 0) + IFERROR('San José'!K1441, 0) + IFERROR(Terraplaza!K1441, 0)</f>
        <v>116.375</v>
      </c>
      <c r="C1442">
        <v>55.125</v>
      </c>
      <c r="D1442">
        <v>7.625</v>
      </c>
      <c r="E1442">
        <v>53.625</v>
      </c>
    </row>
    <row r="1443" spans="1:5" x14ac:dyDescent="0.25">
      <c r="A1443" s="1">
        <v>44907</v>
      </c>
      <c r="B1443" s="2">
        <f>IFERROR(Torres!K1442, 0) + IFERROR('San José'!K1442, 0) + IFERROR(Terraplaza!K1442, 0)</f>
        <v>35.25</v>
      </c>
      <c r="C1443">
        <v>13.625</v>
      </c>
      <c r="D1443">
        <v>7</v>
      </c>
      <c r="E1443">
        <v>14.625</v>
      </c>
    </row>
    <row r="1444" spans="1:5" x14ac:dyDescent="0.25">
      <c r="A1444" s="1">
        <v>44908</v>
      </c>
      <c r="B1444" s="2">
        <f>IFERROR(Torres!K1443, 0) + IFERROR('San José'!K1443, 0) + IFERROR(Terraplaza!K1443, 0)</f>
        <v>64.5</v>
      </c>
      <c r="C1444">
        <v>29</v>
      </c>
      <c r="D1444">
        <v>9.375</v>
      </c>
      <c r="E1444">
        <v>26.125</v>
      </c>
    </row>
    <row r="1445" spans="1:5" x14ac:dyDescent="0.25">
      <c r="A1445" s="1">
        <v>44909</v>
      </c>
      <c r="B1445" s="2">
        <f>IFERROR(Torres!K1444, 0) + IFERROR('San José'!K1444, 0) + IFERROR(Terraplaza!K1444, 0)</f>
        <v>78.625</v>
      </c>
      <c r="C1445">
        <v>26.75</v>
      </c>
      <c r="D1445">
        <v>6.5</v>
      </c>
      <c r="E1445">
        <v>45.375</v>
      </c>
    </row>
    <row r="1446" spans="1:5" x14ac:dyDescent="0.25">
      <c r="A1446" s="1">
        <v>44910</v>
      </c>
      <c r="B1446" s="2">
        <f>IFERROR(Torres!K1445, 0) + IFERROR('San José'!K1445, 0) + IFERROR(Terraplaza!K1445, 0)</f>
        <v>87.875</v>
      </c>
      <c r="C1446">
        <v>38.875</v>
      </c>
      <c r="D1446">
        <v>7.5</v>
      </c>
      <c r="E1446">
        <v>41.5</v>
      </c>
    </row>
    <row r="1447" spans="1:5" x14ac:dyDescent="0.25">
      <c r="A1447" s="1">
        <v>44911</v>
      </c>
      <c r="B1447" s="2">
        <f>IFERROR(Torres!K1446, 0) + IFERROR('San José'!K1446, 0) + IFERROR(Terraplaza!K1446, 0)</f>
        <v>88</v>
      </c>
      <c r="C1447">
        <v>33.375</v>
      </c>
      <c r="D1447">
        <v>13.375</v>
      </c>
      <c r="E1447">
        <v>41.25</v>
      </c>
    </row>
    <row r="1448" spans="1:5" x14ac:dyDescent="0.25">
      <c r="A1448" s="1">
        <v>44912</v>
      </c>
      <c r="B1448" s="2">
        <f>IFERROR(Torres!K1447, 0) + IFERROR('San José'!K1447, 0) + IFERROR(Terraplaza!K1447, 0)</f>
        <v>98.375</v>
      </c>
      <c r="C1448">
        <v>43.875</v>
      </c>
      <c r="D1448">
        <v>9.25</v>
      </c>
      <c r="E1448">
        <v>45.25</v>
      </c>
    </row>
    <row r="1449" spans="1:5" x14ac:dyDescent="0.25">
      <c r="A1449" s="1">
        <v>44913</v>
      </c>
      <c r="B1449" s="2">
        <f>IFERROR(Torres!K1448, 0) + IFERROR('San José'!K1448, 0) + IFERROR(Terraplaza!K1448, 0)</f>
        <v>130.625</v>
      </c>
      <c r="C1449">
        <v>62.75</v>
      </c>
      <c r="D1449">
        <v>9.625</v>
      </c>
      <c r="E1449">
        <v>58.25</v>
      </c>
    </row>
    <row r="1450" spans="1:5" x14ac:dyDescent="0.25">
      <c r="A1450" s="1">
        <v>44914</v>
      </c>
      <c r="B1450" s="2">
        <f>IFERROR(Torres!K1449, 0) + IFERROR('San José'!K1449, 0) + IFERROR(Terraplaza!K1449, 0)</f>
        <v>67.625</v>
      </c>
      <c r="C1450">
        <v>25.5</v>
      </c>
      <c r="D1450">
        <v>5.625</v>
      </c>
      <c r="E1450">
        <v>36.5</v>
      </c>
    </row>
    <row r="1451" spans="1:5" x14ac:dyDescent="0.25">
      <c r="A1451" s="1">
        <v>44915</v>
      </c>
      <c r="B1451" s="2">
        <f>IFERROR(Torres!K1450, 0) + IFERROR('San José'!K1450, 0) + IFERROR(Terraplaza!K1450, 0)</f>
        <v>82.5</v>
      </c>
      <c r="C1451">
        <v>37</v>
      </c>
      <c r="D1451">
        <v>5.875</v>
      </c>
      <c r="E1451">
        <v>39.625</v>
      </c>
    </row>
    <row r="1452" spans="1:5" x14ac:dyDescent="0.25">
      <c r="A1452" s="1">
        <v>44916</v>
      </c>
      <c r="B1452" s="2">
        <f>IFERROR(Torres!K1451, 0) + IFERROR('San José'!K1451, 0) + IFERROR(Terraplaza!K1451, 0)</f>
        <v>83.875</v>
      </c>
      <c r="C1452">
        <v>45.5</v>
      </c>
      <c r="D1452">
        <v>8.625</v>
      </c>
      <c r="E1452">
        <v>29.75</v>
      </c>
    </row>
    <row r="1453" spans="1:5" x14ac:dyDescent="0.25">
      <c r="A1453" s="1">
        <v>44917</v>
      </c>
      <c r="B1453" s="2">
        <f>IFERROR(Torres!K1452, 0) + IFERROR('San José'!K1452, 0) + IFERROR(Terraplaza!K1452, 0)</f>
        <v>95</v>
      </c>
      <c r="C1453">
        <v>47.625</v>
      </c>
      <c r="D1453">
        <v>11.875</v>
      </c>
      <c r="E1453">
        <v>35.5</v>
      </c>
    </row>
    <row r="1454" spans="1:5" x14ac:dyDescent="0.25">
      <c r="A1454" s="1">
        <v>44918</v>
      </c>
      <c r="B1454" s="2">
        <f>IFERROR(Torres!K1453, 0) + IFERROR('San José'!K1453, 0) + IFERROR(Terraplaza!K1453, 0)</f>
        <v>102.5</v>
      </c>
      <c r="C1454">
        <v>42.875</v>
      </c>
      <c r="D1454">
        <v>11</v>
      </c>
      <c r="E1454">
        <v>48.625</v>
      </c>
    </row>
    <row r="1455" spans="1:5" x14ac:dyDescent="0.25">
      <c r="A1455" s="1">
        <v>44919</v>
      </c>
      <c r="B1455" s="2">
        <f>IFERROR(Torres!K1454, 0) + IFERROR('San José'!K1454, 0) + IFERROR(Terraplaza!K1454, 0)</f>
        <v>62</v>
      </c>
      <c r="C1455">
        <v>17.75</v>
      </c>
      <c r="D1455">
        <v>13</v>
      </c>
      <c r="E1455">
        <v>31.25</v>
      </c>
    </row>
    <row r="1456" spans="1:5" x14ac:dyDescent="0.25">
      <c r="A1456" s="1">
        <v>44920</v>
      </c>
      <c r="B1456" s="2">
        <f>IFERROR(Torres!K1455, 0) + IFERROR('San José'!K1455, 0) + IFERROR(Terraplaza!K1455, 0)</f>
        <v>146.25</v>
      </c>
      <c r="C1456">
        <v>61.125</v>
      </c>
      <c r="D1456">
        <v>20</v>
      </c>
      <c r="E1456">
        <v>65.125</v>
      </c>
    </row>
    <row r="1457" spans="1:5" x14ac:dyDescent="0.25">
      <c r="A1457" s="1">
        <v>44921</v>
      </c>
      <c r="B1457" s="2">
        <f>IFERROR(Torres!K1456, 0) + IFERROR('San José'!K1456, 0) + IFERROR(Terraplaza!K1456, 0)</f>
        <v>102.25</v>
      </c>
      <c r="C1457">
        <v>51.75</v>
      </c>
      <c r="D1457">
        <v>6.75</v>
      </c>
      <c r="E1457">
        <v>43.75</v>
      </c>
    </row>
    <row r="1458" spans="1:5" x14ac:dyDescent="0.25">
      <c r="A1458" s="1">
        <v>44922</v>
      </c>
      <c r="B1458" s="2">
        <f>IFERROR(Torres!K1457, 0) + IFERROR('San José'!K1457, 0) + IFERROR(Terraplaza!K1457, 0)</f>
        <v>90.75</v>
      </c>
      <c r="C1458">
        <v>36.25</v>
      </c>
      <c r="D1458">
        <v>7.75</v>
      </c>
      <c r="E1458">
        <v>46.75</v>
      </c>
    </row>
    <row r="1459" spans="1:5" x14ac:dyDescent="0.25">
      <c r="A1459" s="1">
        <v>44923</v>
      </c>
      <c r="B1459" s="2">
        <f>IFERROR(Torres!K1458, 0) + IFERROR('San José'!K1458, 0) + IFERROR(Terraplaza!K1458, 0)</f>
        <v>112.25</v>
      </c>
      <c r="C1459">
        <v>62.5</v>
      </c>
      <c r="D1459">
        <v>11</v>
      </c>
      <c r="E1459">
        <v>38.75</v>
      </c>
    </row>
    <row r="1460" spans="1:5" x14ac:dyDescent="0.25">
      <c r="A1460" s="1">
        <v>44924</v>
      </c>
      <c r="B1460" s="2">
        <f>IFERROR(Torres!K1459, 0) + IFERROR('San José'!K1459, 0) + IFERROR(Terraplaza!K1459, 0)</f>
        <v>85.5</v>
      </c>
      <c r="C1460">
        <v>37.875</v>
      </c>
      <c r="D1460">
        <v>10.625</v>
      </c>
      <c r="E1460">
        <v>37</v>
      </c>
    </row>
    <row r="1461" spans="1:5" x14ac:dyDescent="0.25">
      <c r="A1461" s="1">
        <v>44925</v>
      </c>
      <c r="B1461" s="2">
        <f>IFERROR(Torres!K1460, 0) + IFERROR('San José'!K1460, 0) + IFERROR(Terraplaza!K1460, 0)</f>
        <v>106</v>
      </c>
      <c r="C1461">
        <v>39.75</v>
      </c>
      <c r="D1461">
        <v>13.125</v>
      </c>
      <c r="E1461">
        <v>53.125</v>
      </c>
    </row>
    <row r="1462" spans="1:5" x14ac:dyDescent="0.25">
      <c r="A1462" s="1">
        <v>44926</v>
      </c>
      <c r="B1462" s="2">
        <f>IFERROR(Torres!K1461, 0) + IFERROR('San José'!K1461, 0) + IFERROR(Terraplaza!K1461, 0)</f>
        <v>85.375</v>
      </c>
      <c r="C1462">
        <v>28.75</v>
      </c>
      <c r="D1462">
        <v>17.375</v>
      </c>
      <c r="E1462">
        <v>39.25</v>
      </c>
    </row>
    <row r="1463" spans="1:5" x14ac:dyDescent="0.25">
      <c r="A1463" s="1">
        <v>44927</v>
      </c>
      <c r="B1463" s="2">
        <f>IFERROR(Torres!K1462, 0) + IFERROR('San José'!K1462, 0) + IFERROR(Terraplaza!K1462, 0)</f>
        <v>145.625</v>
      </c>
      <c r="C1463">
        <v>65.625</v>
      </c>
      <c r="D1463">
        <v>21</v>
      </c>
      <c r="E1463">
        <v>59</v>
      </c>
    </row>
    <row r="1464" spans="1:5" x14ac:dyDescent="0.25">
      <c r="A1464" s="1">
        <v>44928</v>
      </c>
      <c r="B1464" s="2">
        <f>IFERROR(Torres!K1463, 0) + IFERROR('San José'!K1463, 0) + IFERROR(Terraplaza!K1463, 0)</f>
        <v>89.75</v>
      </c>
      <c r="C1464">
        <v>46.75</v>
      </c>
      <c r="D1464">
        <v>8.875</v>
      </c>
      <c r="E1464">
        <v>34.125</v>
      </c>
    </row>
    <row r="1465" spans="1:5" x14ac:dyDescent="0.25">
      <c r="A1465" s="1">
        <v>44929</v>
      </c>
      <c r="B1465" s="2">
        <f>IFERROR(Torres!K1464, 0) + IFERROR('San José'!K1464, 0) + IFERROR(Terraplaza!K1464, 0)</f>
        <v>94.125</v>
      </c>
      <c r="C1465">
        <v>48.625</v>
      </c>
      <c r="D1465">
        <v>12.5</v>
      </c>
      <c r="E1465">
        <v>33</v>
      </c>
    </row>
    <row r="1466" spans="1:5" x14ac:dyDescent="0.25">
      <c r="A1466" s="1">
        <v>44930</v>
      </c>
      <c r="B1466" s="2">
        <f>IFERROR(Torres!K1465, 0) + IFERROR('San José'!K1465, 0) + IFERROR(Terraplaza!K1465, 0)</f>
        <v>109.75</v>
      </c>
      <c r="C1466">
        <v>53.5</v>
      </c>
      <c r="D1466">
        <v>14.5</v>
      </c>
      <c r="E1466">
        <v>41.75</v>
      </c>
    </row>
    <row r="1467" spans="1:5" x14ac:dyDescent="0.25">
      <c r="A1467" s="1">
        <v>44931</v>
      </c>
      <c r="B1467" s="2">
        <f>IFERROR(Torres!K1466, 0) + IFERROR('San José'!K1466, 0) + IFERROR(Terraplaza!K1466, 0)</f>
        <v>79.625</v>
      </c>
      <c r="C1467">
        <v>41.375</v>
      </c>
      <c r="D1467">
        <v>12.375</v>
      </c>
      <c r="E1467">
        <v>25.875</v>
      </c>
    </row>
    <row r="1468" spans="1:5" x14ac:dyDescent="0.25">
      <c r="A1468" s="1">
        <v>44932</v>
      </c>
      <c r="B1468" s="2">
        <f>IFERROR(Torres!K1467, 0) + IFERROR('San José'!K1467, 0) + IFERROR(Terraplaza!K1467, 0)</f>
        <v>73.625</v>
      </c>
      <c r="C1468">
        <v>33.875</v>
      </c>
      <c r="D1468">
        <v>13.375</v>
      </c>
      <c r="E1468">
        <v>26.375</v>
      </c>
    </row>
    <row r="1469" spans="1:5" x14ac:dyDescent="0.25">
      <c r="A1469" s="1">
        <v>44933</v>
      </c>
      <c r="B1469" s="2">
        <f>IFERROR(Torres!K1468, 0) + IFERROR('San José'!K1468, 0) + IFERROR(Terraplaza!K1468, 0)</f>
        <v>118.375</v>
      </c>
      <c r="C1469">
        <v>44.125</v>
      </c>
      <c r="D1469">
        <v>22.25</v>
      </c>
      <c r="E1469">
        <v>52</v>
      </c>
    </row>
    <row r="1470" spans="1:5" x14ac:dyDescent="0.25">
      <c r="A1470" s="1">
        <v>44934</v>
      </c>
      <c r="B1470" s="2">
        <f>IFERROR(Torres!K1469, 0) + IFERROR('San José'!K1469, 0) + IFERROR(Terraplaza!K1469, 0)</f>
        <v>119.125</v>
      </c>
      <c r="C1470">
        <v>52.75</v>
      </c>
      <c r="D1470">
        <v>15.75</v>
      </c>
      <c r="E1470">
        <v>50.625</v>
      </c>
    </row>
    <row r="1471" spans="1:5" x14ac:dyDescent="0.25">
      <c r="A1471" s="1">
        <v>44935</v>
      </c>
      <c r="B1471" s="2">
        <f>IFERROR(Torres!K1470, 0) + IFERROR('San José'!K1470, 0) + IFERROR(Terraplaza!K1470, 0)</f>
        <v>103.375</v>
      </c>
      <c r="C1471">
        <v>38.125</v>
      </c>
      <c r="D1471">
        <v>18.875</v>
      </c>
      <c r="E1471">
        <v>46.375</v>
      </c>
    </row>
    <row r="1472" spans="1:5" x14ac:dyDescent="0.25">
      <c r="A1472" s="1">
        <v>44936</v>
      </c>
      <c r="B1472" s="2">
        <f>IFERROR(Torres!K1471, 0) + IFERROR('San José'!K1471, 0) + IFERROR(Terraplaza!K1471, 0)</f>
        <v>55.5</v>
      </c>
      <c r="C1472">
        <v>30.625</v>
      </c>
      <c r="D1472">
        <v>6</v>
      </c>
      <c r="E1472">
        <v>18.875</v>
      </c>
    </row>
    <row r="1473" spans="1:5" x14ac:dyDescent="0.25">
      <c r="A1473" s="1">
        <v>44937</v>
      </c>
      <c r="B1473" s="2">
        <f>IFERROR(Torres!K1472, 0) + IFERROR('San José'!K1472, 0) + IFERROR(Terraplaza!K1472, 0)</f>
        <v>84.625</v>
      </c>
      <c r="C1473">
        <v>41.75</v>
      </c>
      <c r="D1473">
        <v>14.25</v>
      </c>
      <c r="E1473">
        <v>28.625</v>
      </c>
    </row>
    <row r="1474" spans="1:5" x14ac:dyDescent="0.25">
      <c r="A1474" s="1">
        <v>44938</v>
      </c>
      <c r="B1474" s="2">
        <f>IFERROR(Torres!K1473, 0) + IFERROR('San José'!K1473, 0) + IFERROR(Terraplaza!K1473, 0)</f>
        <v>54.875</v>
      </c>
      <c r="C1474">
        <v>22.75</v>
      </c>
      <c r="D1474">
        <v>8.625</v>
      </c>
      <c r="E1474">
        <v>23.5</v>
      </c>
    </row>
    <row r="1475" spans="1:5" x14ac:dyDescent="0.25">
      <c r="A1475" s="1">
        <v>44939</v>
      </c>
      <c r="B1475" s="2">
        <f>IFERROR(Torres!K1474, 0) + IFERROR('San José'!K1474, 0) + IFERROR(Terraplaza!K1474, 0)</f>
        <v>72.5</v>
      </c>
      <c r="C1475">
        <v>29.625</v>
      </c>
      <c r="D1475">
        <v>10.25</v>
      </c>
      <c r="E1475">
        <v>32.625</v>
      </c>
    </row>
    <row r="1476" spans="1:5" x14ac:dyDescent="0.25">
      <c r="A1476" s="1">
        <v>44940</v>
      </c>
      <c r="B1476" s="2">
        <f>IFERROR(Torres!K1475, 0) + IFERROR('San José'!K1475, 0) + IFERROR(Terraplaza!K1475, 0)</f>
        <v>108</v>
      </c>
      <c r="C1476">
        <v>53.25</v>
      </c>
      <c r="D1476">
        <v>8.75</v>
      </c>
      <c r="E1476">
        <v>46</v>
      </c>
    </row>
    <row r="1477" spans="1:5" x14ac:dyDescent="0.25">
      <c r="A1477" s="1">
        <v>44941</v>
      </c>
      <c r="B1477" s="2">
        <f>IFERROR(Torres!K1476, 0) + IFERROR('San José'!K1476, 0) + IFERROR(Terraplaza!K1476, 0)</f>
        <v>97</v>
      </c>
      <c r="C1477">
        <v>41.625</v>
      </c>
      <c r="D1477">
        <v>16.875</v>
      </c>
      <c r="E1477">
        <v>38.5</v>
      </c>
    </row>
    <row r="1478" spans="1:5" x14ac:dyDescent="0.25">
      <c r="A1478" s="1">
        <v>44942</v>
      </c>
      <c r="B1478" s="2">
        <f>IFERROR(Torres!K1477, 0) + IFERROR('San José'!K1477, 0) + IFERROR(Terraplaza!K1477, 0)</f>
        <v>53.75</v>
      </c>
      <c r="C1478">
        <v>22.75</v>
      </c>
      <c r="D1478">
        <v>5.75</v>
      </c>
      <c r="E1478">
        <v>25.25</v>
      </c>
    </row>
    <row r="1479" spans="1:5" x14ac:dyDescent="0.25">
      <c r="A1479" s="1">
        <v>44943</v>
      </c>
      <c r="B1479" s="2">
        <f>IFERROR(Torres!K1478, 0) + IFERROR('San José'!K1478, 0) + IFERROR(Terraplaza!K1478, 0)</f>
        <v>63.25</v>
      </c>
      <c r="C1479">
        <v>30.625</v>
      </c>
      <c r="D1479">
        <v>10.625</v>
      </c>
      <c r="E1479">
        <v>22</v>
      </c>
    </row>
    <row r="1480" spans="1:5" x14ac:dyDescent="0.25">
      <c r="A1480" s="1">
        <v>44944</v>
      </c>
      <c r="B1480" s="2">
        <f>IFERROR(Torres!K1479, 0) + IFERROR('San José'!K1479, 0) + IFERROR(Terraplaza!K1479, 0)</f>
        <v>65.625</v>
      </c>
      <c r="C1480">
        <v>32.875</v>
      </c>
      <c r="D1480">
        <v>9.375</v>
      </c>
      <c r="E1480">
        <v>23.375</v>
      </c>
    </row>
    <row r="1481" spans="1:5" x14ac:dyDescent="0.25">
      <c r="A1481" s="1">
        <v>44945</v>
      </c>
      <c r="B1481" s="2">
        <f>IFERROR(Torres!K1480, 0) + IFERROR('San José'!K1480, 0) + IFERROR(Terraplaza!K1480, 0)</f>
        <v>56.5</v>
      </c>
      <c r="C1481">
        <v>21.25</v>
      </c>
      <c r="D1481">
        <v>8.75</v>
      </c>
      <c r="E1481">
        <v>26.5</v>
      </c>
    </row>
    <row r="1482" spans="1:5" x14ac:dyDescent="0.25">
      <c r="A1482" s="1">
        <v>44946</v>
      </c>
      <c r="B1482" s="2">
        <f>IFERROR(Torres!K1481, 0) + IFERROR('San José'!K1481, 0) + IFERROR(Terraplaza!K1481, 0)</f>
        <v>63.375</v>
      </c>
      <c r="C1482">
        <v>30</v>
      </c>
      <c r="D1482">
        <v>8.25</v>
      </c>
      <c r="E1482">
        <v>25.125</v>
      </c>
    </row>
    <row r="1483" spans="1:5" x14ac:dyDescent="0.25">
      <c r="A1483" s="1">
        <v>44947</v>
      </c>
      <c r="B1483" s="2">
        <f>IFERROR(Torres!K1482, 0) + IFERROR('San José'!K1482, 0) + IFERROR(Terraplaza!K1482, 0)</f>
        <v>99.375</v>
      </c>
      <c r="C1483">
        <v>53.125</v>
      </c>
      <c r="D1483">
        <v>11.5</v>
      </c>
      <c r="E1483">
        <v>34.75</v>
      </c>
    </row>
    <row r="1484" spans="1:5" x14ac:dyDescent="0.25">
      <c r="A1484" s="1">
        <v>44948</v>
      </c>
      <c r="B1484" s="2">
        <f>IFERROR(Torres!K1483, 0) + IFERROR('San José'!K1483, 0) + IFERROR(Terraplaza!K1483, 0)</f>
        <v>103.625</v>
      </c>
      <c r="C1484">
        <v>48.125</v>
      </c>
      <c r="D1484">
        <v>15.875</v>
      </c>
      <c r="E1484">
        <v>39.625</v>
      </c>
    </row>
    <row r="1485" spans="1:5" x14ac:dyDescent="0.25">
      <c r="A1485" s="1">
        <v>44949</v>
      </c>
      <c r="B1485" s="2">
        <f>IFERROR(Torres!K1484, 0) + IFERROR('San José'!K1484, 0) + IFERROR(Terraplaza!K1484, 0)</f>
        <v>31.875</v>
      </c>
      <c r="C1485">
        <v>12.625</v>
      </c>
      <c r="D1485">
        <v>3.125</v>
      </c>
      <c r="E1485">
        <v>16.125</v>
      </c>
    </row>
    <row r="1486" spans="1:5" x14ac:dyDescent="0.25">
      <c r="A1486" s="1">
        <v>44950</v>
      </c>
      <c r="B1486" s="2">
        <f>IFERROR(Torres!K1485, 0) + IFERROR('San José'!K1485, 0) + IFERROR(Terraplaza!K1485, 0)</f>
        <v>44.75</v>
      </c>
      <c r="C1486">
        <v>12.75</v>
      </c>
      <c r="D1486">
        <v>7.875</v>
      </c>
      <c r="E1486">
        <v>24.125</v>
      </c>
    </row>
    <row r="1487" spans="1:5" x14ac:dyDescent="0.25">
      <c r="A1487" s="1">
        <v>44951</v>
      </c>
      <c r="B1487" s="2">
        <f>IFERROR(Torres!K1486, 0) + IFERROR('San José'!K1486, 0) + IFERROR(Terraplaza!K1486, 0)</f>
        <v>38.125</v>
      </c>
      <c r="C1487">
        <v>18.625</v>
      </c>
      <c r="D1487">
        <v>5.25</v>
      </c>
      <c r="E1487">
        <v>14.25</v>
      </c>
    </row>
    <row r="1488" spans="1:5" x14ac:dyDescent="0.25">
      <c r="A1488" s="1">
        <v>44952</v>
      </c>
      <c r="B1488" s="2">
        <f>IFERROR(Torres!K1487, 0) + IFERROR('San José'!K1487, 0) + IFERROR(Terraplaza!K1487, 0)</f>
        <v>51.625</v>
      </c>
      <c r="C1488">
        <v>19.25</v>
      </c>
      <c r="D1488">
        <v>6.375</v>
      </c>
      <c r="E1488">
        <v>26</v>
      </c>
    </row>
    <row r="1489" spans="1:5" x14ac:dyDescent="0.25">
      <c r="A1489" s="1">
        <v>44953</v>
      </c>
      <c r="B1489" s="2">
        <f>IFERROR(Torres!K1488, 0) + IFERROR('San José'!K1488, 0) + IFERROR(Terraplaza!K1488, 0)</f>
        <v>67.5</v>
      </c>
      <c r="C1489">
        <v>27.375</v>
      </c>
      <c r="D1489">
        <v>8.625</v>
      </c>
      <c r="E1489">
        <v>31.5</v>
      </c>
    </row>
    <row r="1490" spans="1:5" x14ac:dyDescent="0.25">
      <c r="A1490" s="1">
        <v>44954</v>
      </c>
      <c r="B1490" s="2">
        <f>IFERROR(Torres!K1489, 0) + IFERROR('San José'!K1489, 0) + IFERROR(Terraplaza!K1489, 0)</f>
        <v>93.5</v>
      </c>
      <c r="C1490">
        <v>40.625</v>
      </c>
      <c r="D1490">
        <v>12.125</v>
      </c>
      <c r="E1490">
        <v>40.75</v>
      </c>
    </row>
    <row r="1491" spans="1:5" x14ac:dyDescent="0.25">
      <c r="A1491" s="1">
        <v>44955</v>
      </c>
      <c r="B1491" s="2">
        <f>IFERROR(Torres!K1490, 0) + IFERROR('San José'!K1490, 0) + IFERROR(Terraplaza!K1490, 0)</f>
        <v>83.125</v>
      </c>
      <c r="C1491">
        <v>45.875</v>
      </c>
      <c r="D1491">
        <v>8.875</v>
      </c>
      <c r="E1491">
        <v>28.375</v>
      </c>
    </row>
    <row r="1492" spans="1:5" x14ac:dyDescent="0.25">
      <c r="A1492" s="1">
        <v>44956</v>
      </c>
      <c r="B1492" s="2">
        <f>IFERROR(Torres!K1491, 0) + IFERROR('San José'!K1491, 0) + IFERROR(Terraplaza!K1491, 0)</f>
        <v>43.875</v>
      </c>
      <c r="C1492">
        <v>14.75</v>
      </c>
      <c r="D1492">
        <v>8.75</v>
      </c>
      <c r="E1492">
        <v>20.375</v>
      </c>
    </row>
    <row r="1493" spans="1:5" x14ac:dyDescent="0.25">
      <c r="A1493" s="1">
        <v>44957</v>
      </c>
      <c r="B1493" s="2">
        <f>IFERROR(Torres!K1492, 0) + IFERROR('San José'!K1492, 0) + IFERROR(Terraplaza!K1492, 0)</f>
        <v>41.875</v>
      </c>
      <c r="C1493">
        <v>16.125</v>
      </c>
      <c r="D1493">
        <v>8.5</v>
      </c>
      <c r="E1493">
        <v>17.25</v>
      </c>
    </row>
    <row r="1494" spans="1:5" x14ac:dyDescent="0.25">
      <c r="A1494" s="1">
        <v>44958</v>
      </c>
      <c r="B1494" s="2">
        <f>IFERROR(Torres!K1493, 0) + IFERROR('San José'!K1493, 0) + IFERROR(Terraplaza!K1493, 0)</f>
        <v>57</v>
      </c>
      <c r="C1494">
        <v>20.875</v>
      </c>
      <c r="D1494">
        <v>7.125</v>
      </c>
      <c r="E1494">
        <v>29</v>
      </c>
    </row>
    <row r="1495" spans="1:5" x14ac:dyDescent="0.25">
      <c r="A1495" s="1">
        <v>44959</v>
      </c>
      <c r="B1495" s="2">
        <f>IFERROR(Torres!K1494, 0) + IFERROR('San José'!K1494, 0) + IFERROR(Terraplaza!K1494, 0)</f>
        <v>51.125</v>
      </c>
      <c r="C1495">
        <v>15.875</v>
      </c>
      <c r="D1495">
        <v>13.25</v>
      </c>
      <c r="E1495">
        <v>22</v>
      </c>
    </row>
    <row r="1496" spans="1:5" x14ac:dyDescent="0.25">
      <c r="A1496" s="1">
        <v>44960</v>
      </c>
      <c r="B1496" s="2">
        <f>IFERROR(Torres!K1495, 0) + IFERROR('San José'!K1495, 0) + IFERROR(Terraplaza!K1495, 0)</f>
        <v>70.5</v>
      </c>
      <c r="C1496">
        <v>33</v>
      </c>
      <c r="D1496">
        <v>11</v>
      </c>
      <c r="E1496">
        <v>26.5</v>
      </c>
    </row>
    <row r="1497" spans="1:5" x14ac:dyDescent="0.25">
      <c r="A1497" s="1">
        <v>44961</v>
      </c>
      <c r="B1497" s="2">
        <f>IFERROR(Torres!K1496, 0) + IFERROR('San José'!K1496, 0) + IFERROR(Terraplaza!K1496, 0)</f>
        <v>107.75</v>
      </c>
      <c r="C1497">
        <v>39.875</v>
      </c>
      <c r="D1497">
        <v>19.75</v>
      </c>
      <c r="E1497">
        <v>48.125</v>
      </c>
    </row>
    <row r="1498" spans="1:5" x14ac:dyDescent="0.25">
      <c r="A1498" s="1">
        <v>44962</v>
      </c>
      <c r="B1498" s="2">
        <f>IFERROR(Torres!K1497, 0) + IFERROR('San José'!K1497, 0) + IFERROR(Terraplaza!K1497, 0)</f>
        <v>78.125</v>
      </c>
      <c r="C1498">
        <v>37.5</v>
      </c>
      <c r="D1498">
        <v>9.125</v>
      </c>
      <c r="E1498">
        <v>31.5</v>
      </c>
    </row>
    <row r="1499" spans="1:5" x14ac:dyDescent="0.25">
      <c r="A1499" s="1">
        <v>44963</v>
      </c>
      <c r="B1499" s="2">
        <f>IFERROR(Torres!K1498, 0) + IFERROR('San José'!K1498, 0) + IFERROR(Terraplaza!K1498, 0)</f>
        <v>40.125</v>
      </c>
      <c r="C1499">
        <v>11</v>
      </c>
      <c r="D1499">
        <v>9.75</v>
      </c>
      <c r="E1499">
        <v>19.375</v>
      </c>
    </row>
    <row r="1500" spans="1:5" x14ac:dyDescent="0.25">
      <c r="A1500" s="1">
        <v>44964</v>
      </c>
      <c r="B1500" s="2">
        <f>IFERROR(Torres!K1499, 0) + IFERROR('San José'!K1499, 0) + IFERROR(Terraplaza!K1499, 0)</f>
        <v>24.375</v>
      </c>
      <c r="C1500">
        <v>7.625</v>
      </c>
      <c r="D1500">
        <v>6.375</v>
      </c>
      <c r="E1500">
        <v>10.375</v>
      </c>
    </row>
    <row r="1501" spans="1:5" x14ac:dyDescent="0.25">
      <c r="A1501" s="1">
        <v>44965</v>
      </c>
      <c r="B1501" s="2">
        <f>IFERROR(Torres!K1500, 0) + IFERROR('San José'!K1500, 0) + IFERROR(Terraplaza!K1500, 0)</f>
        <v>45.75</v>
      </c>
      <c r="C1501">
        <v>19.375</v>
      </c>
      <c r="D1501">
        <v>8.625</v>
      </c>
      <c r="E1501">
        <v>17.75</v>
      </c>
    </row>
    <row r="1502" spans="1:5" x14ac:dyDescent="0.25">
      <c r="A1502" s="1">
        <v>44966</v>
      </c>
      <c r="B1502" s="2">
        <f>IFERROR(Torres!K1501, 0) + IFERROR('San José'!K1501, 0) + IFERROR(Terraplaza!K1501, 0)</f>
        <v>38.375</v>
      </c>
      <c r="C1502">
        <v>18.25</v>
      </c>
      <c r="D1502">
        <v>3.25</v>
      </c>
      <c r="E1502">
        <v>16.875</v>
      </c>
    </row>
    <row r="1503" spans="1:5" x14ac:dyDescent="0.25">
      <c r="A1503" s="1">
        <v>44967</v>
      </c>
      <c r="B1503" s="2">
        <f>IFERROR(Torres!K1502, 0) + IFERROR('San José'!K1502, 0) + IFERROR(Terraplaza!K1502, 0)</f>
        <v>76.375</v>
      </c>
      <c r="C1503">
        <v>25.875</v>
      </c>
      <c r="D1503">
        <v>13.5</v>
      </c>
      <c r="E1503">
        <v>37</v>
      </c>
    </row>
    <row r="1504" spans="1:5" x14ac:dyDescent="0.25">
      <c r="A1504" s="1">
        <v>44968</v>
      </c>
      <c r="B1504" s="2">
        <f>IFERROR(Torres!K1503, 0) + IFERROR('San José'!K1503, 0) + IFERROR(Terraplaza!K1503, 0)</f>
        <v>88.375</v>
      </c>
      <c r="C1504">
        <v>41.25</v>
      </c>
      <c r="D1504">
        <v>17.5</v>
      </c>
      <c r="E1504">
        <v>29.625</v>
      </c>
    </row>
    <row r="1505" spans="1:5" x14ac:dyDescent="0.25">
      <c r="A1505" s="1">
        <v>44969</v>
      </c>
      <c r="B1505" s="2">
        <f>IFERROR(Torres!K1504, 0) + IFERROR('San José'!K1504, 0) + IFERROR(Terraplaza!K1504, 0)</f>
        <v>70.75</v>
      </c>
      <c r="C1505">
        <v>28.125</v>
      </c>
      <c r="D1505">
        <v>11.5</v>
      </c>
      <c r="E1505">
        <v>31.125</v>
      </c>
    </row>
    <row r="1506" spans="1:5" x14ac:dyDescent="0.25">
      <c r="A1506" s="1">
        <v>44970</v>
      </c>
      <c r="B1506" s="2">
        <f>IFERROR(Torres!K1505, 0) + IFERROR('San José'!K1505, 0) + IFERROR(Terraplaza!K1505, 0)</f>
        <v>64.75</v>
      </c>
      <c r="C1506">
        <v>33.875</v>
      </c>
      <c r="D1506">
        <v>10.75</v>
      </c>
      <c r="E1506">
        <v>20.125</v>
      </c>
    </row>
    <row r="1507" spans="1:5" x14ac:dyDescent="0.25">
      <c r="A1507" s="1">
        <v>44971</v>
      </c>
      <c r="B1507" s="2">
        <f>IFERROR(Torres!K1506, 0) + IFERROR('San José'!K1506, 0) + IFERROR(Terraplaza!K1506, 0)</f>
        <v>41.25</v>
      </c>
      <c r="C1507">
        <v>14.875</v>
      </c>
      <c r="D1507">
        <v>5.375</v>
      </c>
      <c r="E1507">
        <v>21</v>
      </c>
    </row>
    <row r="1508" spans="1:5" x14ac:dyDescent="0.25">
      <c r="A1508" s="1">
        <v>44972</v>
      </c>
      <c r="B1508" s="2">
        <f>IFERROR(Torres!K1507, 0) + IFERROR('San José'!K1507, 0) + IFERROR(Terraplaza!K1507, 0)</f>
        <v>44.25</v>
      </c>
      <c r="C1508">
        <v>21.375</v>
      </c>
      <c r="D1508">
        <v>7.75</v>
      </c>
      <c r="E1508">
        <v>15.125</v>
      </c>
    </row>
    <row r="1509" spans="1:5" x14ac:dyDescent="0.25">
      <c r="A1509" s="1">
        <v>44973</v>
      </c>
      <c r="B1509" s="2">
        <f>IFERROR(Torres!K1508, 0) + IFERROR('San José'!K1508, 0) + IFERROR(Terraplaza!K1508, 0)</f>
        <v>49.5</v>
      </c>
      <c r="C1509">
        <v>19.75</v>
      </c>
      <c r="D1509">
        <v>12.5</v>
      </c>
      <c r="E1509">
        <v>17.25</v>
      </c>
    </row>
    <row r="1510" spans="1:5" x14ac:dyDescent="0.25">
      <c r="A1510" s="1">
        <v>44974</v>
      </c>
      <c r="B1510" s="2">
        <f>IFERROR(Torres!K1509, 0) + IFERROR('San José'!K1509, 0) + IFERROR(Terraplaza!K1509, 0)</f>
        <v>55.75</v>
      </c>
      <c r="C1510">
        <v>23.125</v>
      </c>
      <c r="D1510">
        <v>4.875</v>
      </c>
      <c r="E1510">
        <v>27.75</v>
      </c>
    </row>
    <row r="1511" spans="1:5" x14ac:dyDescent="0.25">
      <c r="A1511" s="1">
        <v>44975</v>
      </c>
      <c r="B1511" s="2">
        <f>IFERROR(Torres!K1510, 0) + IFERROR('San José'!K1510, 0) + IFERROR(Terraplaza!K1510, 0)</f>
        <v>92.625</v>
      </c>
      <c r="C1511">
        <v>34.875</v>
      </c>
      <c r="D1511">
        <v>17</v>
      </c>
      <c r="E1511">
        <v>40.75</v>
      </c>
    </row>
    <row r="1512" spans="1:5" x14ac:dyDescent="0.25">
      <c r="A1512" s="1">
        <v>44976</v>
      </c>
      <c r="B1512" s="2">
        <f>IFERROR(Torres!K1511, 0) + IFERROR('San José'!K1511, 0) + IFERROR(Terraplaza!K1511, 0)</f>
        <v>86</v>
      </c>
      <c r="C1512">
        <v>45</v>
      </c>
      <c r="D1512">
        <v>14</v>
      </c>
      <c r="E1512">
        <v>27</v>
      </c>
    </row>
    <row r="1513" spans="1:5" x14ac:dyDescent="0.25">
      <c r="A1513" s="1">
        <v>44977</v>
      </c>
      <c r="B1513" s="2">
        <f>IFERROR(Torres!K1512, 0) + IFERROR('San José'!K1512, 0) + IFERROR(Terraplaza!K1512, 0)</f>
        <v>36.875</v>
      </c>
      <c r="C1513">
        <v>11.875</v>
      </c>
      <c r="D1513">
        <v>11.875</v>
      </c>
      <c r="E1513">
        <v>13.125</v>
      </c>
    </row>
    <row r="1514" spans="1:5" x14ac:dyDescent="0.25">
      <c r="A1514" s="1">
        <v>44978</v>
      </c>
      <c r="B1514" s="2">
        <f>IFERROR(Torres!K1513, 0) + IFERROR('San José'!K1513, 0) + IFERROR(Terraplaza!K1513, 0)</f>
        <v>39.875</v>
      </c>
      <c r="C1514">
        <v>17.375</v>
      </c>
      <c r="D1514">
        <v>10</v>
      </c>
      <c r="E1514">
        <v>12.5</v>
      </c>
    </row>
    <row r="1515" spans="1:5" x14ac:dyDescent="0.25">
      <c r="A1515" s="1">
        <v>44979</v>
      </c>
      <c r="B1515" s="2">
        <f>IFERROR(Torres!K1514, 0) + IFERROR('San José'!K1514, 0) + IFERROR(Terraplaza!K1514, 0)</f>
        <v>42.125</v>
      </c>
      <c r="C1515">
        <v>23</v>
      </c>
      <c r="D1515">
        <v>8</v>
      </c>
      <c r="E1515">
        <v>11.125</v>
      </c>
    </row>
    <row r="1516" spans="1:5" x14ac:dyDescent="0.25">
      <c r="A1516" s="1">
        <v>44980</v>
      </c>
      <c r="B1516" s="2">
        <f>IFERROR(Torres!K1515, 0) + IFERROR('San José'!K1515, 0) + IFERROR(Terraplaza!K1515, 0)</f>
        <v>39.375</v>
      </c>
      <c r="C1516">
        <v>15</v>
      </c>
      <c r="D1516">
        <v>6</v>
      </c>
      <c r="E1516">
        <v>18.375</v>
      </c>
    </row>
    <row r="1517" spans="1:5" x14ac:dyDescent="0.25">
      <c r="A1517" s="1">
        <v>44981</v>
      </c>
      <c r="B1517" s="2">
        <f>IFERROR(Torres!K1516, 0) + IFERROR('San José'!K1516, 0) + IFERROR(Terraplaza!K1516, 0)</f>
        <v>55.875</v>
      </c>
      <c r="C1517">
        <v>20.875</v>
      </c>
      <c r="D1517">
        <v>9.375</v>
      </c>
      <c r="E1517">
        <v>25.625</v>
      </c>
    </row>
    <row r="1518" spans="1:5" x14ac:dyDescent="0.25">
      <c r="A1518" s="1">
        <v>44982</v>
      </c>
      <c r="B1518" s="2">
        <f>IFERROR(Torres!K1517, 0) + IFERROR('San José'!K1517, 0) + IFERROR(Terraplaza!K1517, 0)</f>
        <v>82.25</v>
      </c>
      <c r="C1518">
        <v>33.75</v>
      </c>
      <c r="D1518">
        <v>13.25</v>
      </c>
      <c r="E1518">
        <v>35.25</v>
      </c>
    </row>
    <row r="1519" spans="1:5" x14ac:dyDescent="0.25">
      <c r="A1519" s="1">
        <v>44983</v>
      </c>
      <c r="B1519" s="2">
        <f>IFERROR(Torres!K1518, 0) + IFERROR('San José'!K1518, 0) + IFERROR(Terraplaza!K1518, 0)</f>
        <v>75.25</v>
      </c>
      <c r="C1519">
        <v>38</v>
      </c>
      <c r="D1519">
        <v>11.375</v>
      </c>
      <c r="E1519">
        <v>25.875</v>
      </c>
    </row>
    <row r="1520" spans="1:5" x14ac:dyDescent="0.25">
      <c r="A1520" s="1">
        <v>44984</v>
      </c>
      <c r="B1520" s="2">
        <f>IFERROR(Torres!K1519, 0) + IFERROR('San José'!K1519, 0) + IFERROR(Terraplaza!K1519, 0)</f>
        <v>30.5</v>
      </c>
      <c r="C1520">
        <v>11.625</v>
      </c>
      <c r="D1520">
        <v>5.125</v>
      </c>
      <c r="E1520">
        <v>13.75</v>
      </c>
    </row>
    <row r="1521" spans="1:5" x14ac:dyDescent="0.25">
      <c r="A1521" s="1">
        <v>44985</v>
      </c>
      <c r="B1521" s="2">
        <f>IFERROR(Torres!K1520, 0) + IFERROR('San José'!K1520, 0) + IFERROR(Terraplaza!K1520, 0)</f>
        <v>41.25</v>
      </c>
      <c r="C1521">
        <v>10.375</v>
      </c>
      <c r="D1521">
        <v>8.25</v>
      </c>
      <c r="E1521">
        <v>22.625</v>
      </c>
    </row>
    <row r="1522" spans="1:5" x14ac:dyDescent="0.25">
      <c r="A1522" s="1">
        <v>44986</v>
      </c>
      <c r="B1522" s="2">
        <f>IFERROR(Torres!K1521, 0) + IFERROR('San José'!K1521, 0) + IFERROR(Terraplaza!K1521, 0)</f>
        <v>29.625</v>
      </c>
      <c r="C1522" t="e">
        <v>#N/A</v>
      </c>
      <c r="D1522">
        <v>8</v>
      </c>
      <c r="E1522">
        <v>21.625</v>
      </c>
    </row>
    <row r="1523" spans="1:5" x14ac:dyDescent="0.25">
      <c r="A1523" s="1">
        <v>44987</v>
      </c>
      <c r="B1523" s="2">
        <f>IFERROR(Torres!K1522, 0) + IFERROR('San José'!K1522, 0) + IFERROR(Terraplaza!K1522, 0)</f>
        <v>20.375</v>
      </c>
      <c r="C1523" t="e">
        <v>#N/A</v>
      </c>
      <c r="D1523">
        <v>2.5</v>
      </c>
      <c r="E1523">
        <v>17.875</v>
      </c>
    </row>
    <row r="1524" spans="1:5" x14ac:dyDescent="0.25">
      <c r="A1524" s="1">
        <v>44988</v>
      </c>
      <c r="B1524" s="2">
        <f>IFERROR(Torres!K1523, 0) + IFERROR('San José'!K1523, 0) + IFERROR(Terraplaza!K1523, 0)</f>
        <v>39.5</v>
      </c>
      <c r="C1524" t="e">
        <v>#N/A</v>
      </c>
      <c r="D1524">
        <v>9.625</v>
      </c>
      <c r="E1524">
        <v>29.875</v>
      </c>
    </row>
    <row r="1525" spans="1:5" x14ac:dyDescent="0.25">
      <c r="A1525" s="1">
        <v>44989</v>
      </c>
      <c r="B1525" s="2">
        <f>IFERROR(Torres!K1524, 0) + IFERROR('San José'!K1524, 0) + IFERROR(Terraplaza!K1524, 0)</f>
        <v>47</v>
      </c>
      <c r="C1525" t="e">
        <v>#N/A</v>
      </c>
      <c r="D1525">
        <v>13.375</v>
      </c>
      <c r="E1525">
        <v>33.625</v>
      </c>
    </row>
    <row r="1526" spans="1:5" x14ac:dyDescent="0.25">
      <c r="A1526" s="1">
        <v>44990</v>
      </c>
      <c r="B1526" s="2">
        <f>IFERROR(Torres!K1525, 0) + IFERROR('San José'!K1525, 0) + IFERROR(Terraplaza!K1525, 0)</f>
        <v>62.25</v>
      </c>
      <c r="C1526" t="e">
        <v>#N/A</v>
      </c>
      <c r="D1526">
        <v>11.625</v>
      </c>
      <c r="E1526">
        <v>50.625</v>
      </c>
    </row>
    <row r="1527" spans="1:5" x14ac:dyDescent="0.25">
      <c r="A1527" s="1">
        <v>44991</v>
      </c>
      <c r="B1527" s="2">
        <f>IFERROR(Torres!K1526, 0) + IFERROR('San José'!K1526, 0) + IFERROR(Terraplaza!K1526, 0)</f>
        <v>15.25</v>
      </c>
      <c r="C1527" t="e">
        <v>#N/A</v>
      </c>
      <c r="D1527">
        <v>4.25</v>
      </c>
      <c r="E1527">
        <v>11</v>
      </c>
    </row>
    <row r="1528" spans="1:5" x14ac:dyDescent="0.25">
      <c r="A1528" s="1">
        <v>44992</v>
      </c>
      <c r="B1528" s="2">
        <f>IFERROR(Torres!K1527, 0) + IFERROR('San José'!K1527, 0) + IFERROR(Terraplaza!K1527, 0)</f>
        <v>18.125</v>
      </c>
      <c r="C1528" t="e">
        <v>#N/A</v>
      </c>
      <c r="D1528">
        <v>6.5</v>
      </c>
      <c r="E1528">
        <v>11.625</v>
      </c>
    </row>
    <row r="1529" spans="1:5" x14ac:dyDescent="0.25">
      <c r="A1529" s="1">
        <v>44993</v>
      </c>
      <c r="B1529" s="2">
        <f>IFERROR(Torres!K1528, 0) + IFERROR('San José'!K1528, 0) + IFERROR(Terraplaza!K1528, 0)</f>
        <v>40.25</v>
      </c>
      <c r="C1529" t="e">
        <v>#N/A</v>
      </c>
      <c r="D1529">
        <v>16.75</v>
      </c>
      <c r="E1529">
        <v>23.5</v>
      </c>
    </row>
    <row r="1530" spans="1:5" x14ac:dyDescent="0.25">
      <c r="A1530" s="1">
        <v>44994</v>
      </c>
      <c r="B1530" s="2">
        <f>IFERROR(Torres!K1529, 0) + IFERROR('San José'!K1529, 0) + IFERROR(Terraplaza!K1529, 0)</f>
        <v>22</v>
      </c>
      <c r="C1530" t="e">
        <v>#N/A</v>
      </c>
      <c r="D1530">
        <v>6.125</v>
      </c>
      <c r="E1530">
        <v>15.875</v>
      </c>
    </row>
    <row r="1531" spans="1:5" x14ac:dyDescent="0.25">
      <c r="A1531" s="1">
        <v>44995</v>
      </c>
      <c r="B1531" s="2">
        <f>IFERROR(Torres!K1530, 0) + IFERROR('San José'!K1530, 0) + IFERROR(Terraplaza!K1530, 0)</f>
        <v>32.5</v>
      </c>
      <c r="C1531" t="e">
        <v>#N/A</v>
      </c>
      <c r="D1531">
        <v>6.625</v>
      </c>
      <c r="E1531">
        <v>25.875</v>
      </c>
    </row>
    <row r="1532" spans="1:5" x14ac:dyDescent="0.25">
      <c r="A1532" s="1">
        <v>44996</v>
      </c>
      <c r="B1532" s="2">
        <f>IFERROR(Torres!K1531, 0) + IFERROR('San José'!K1531, 0) + IFERROR(Terraplaza!K1531, 0)</f>
        <v>57.375</v>
      </c>
      <c r="C1532" t="e">
        <v>#N/A</v>
      </c>
      <c r="D1532">
        <v>18.5</v>
      </c>
      <c r="E1532">
        <v>38.875</v>
      </c>
    </row>
    <row r="1533" spans="1:5" x14ac:dyDescent="0.25">
      <c r="A1533" s="1">
        <v>44997</v>
      </c>
      <c r="B1533" s="2">
        <f>IFERROR(Torres!K1532, 0) + IFERROR('San José'!K1532, 0) + IFERROR(Terraplaza!K1532, 0)</f>
        <v>49.875</v>
      </c>
      <c r="C1533" t="e">
        <v>#N/A</v>
      </c>
      <c r="D1533">
        <v>15.125</v>
      </c>
      <c r="E1533">
        <v>34.75</v>
      </c>
    </row>
    <row r="1534" spans="1:5" x14ac:dyDescent="0.25">
      <c r="A1534" s="1">
        <v>44998</v>
      </c>
      <c r="B1534" s="2">
        <f>IFERROR(Torres!K1533, 0) + IFERROR('San José'!K1533, 0) + IFERROR(Terraplaza!K1533, 0)</f>
        <v>19.25</v>
      </c>
      <c r="C1534" t="e">
        <v>#N/A</v>
      </c>
      <c r="D1534">
        <v>5.125</v>
      </c>
      <c r="E1534">
        <v>14.125</v>
      </c>
    </row>
    <row r="1535" spans="1:5" x14ac:dyDescent="0.25">
      <c r="A1535" s="1">
        <v>44999</v>
      </c>
      <c r="B1535" s="2">
        <f>IFERROR(Torres!K1534, 0) + IFERROR('San José'!K1534, 0) + IFERROR(Terraplaza!K1534, 0)</f>
        <v>22.125</v>
      </c>
      <c r="C1535" t="e">
        <v>#N/A</v>
      </c>
      <c r="D1535">
        <v>6.75</v>
      </c>
      <c r="E1535">
        <v>15.375</v>
      </c>
    </row>
    <row r="1536" spans="1:5" x14ac:dyDescent="0.25">
      <c r="A1536" s="1">
        <v>45000</v>
      </c>
      <c r="B1536" s="2">
        <f>IFERROR(Torres!K1535, 0) + IFERROR('San José'!K1535, 0) + IFERROR(Terraplaza!K1535, 0)</f>
        <v>28.375</v>
      </c>
      <c r="C1536" t="e">
        <v>#N/A</v>
      </c>
      <c r="D1536">
        <v>5.5</v>
      </c>
      <c r="E1536">
        <v>22.875</v>
      </c>
    </row>
    <row r="1537" spans="1:5" x14ac:dyDescent="0.25">
      <c r="A1537" s="1">
        <v>45001</v>
      </c>
      <c r="B1537" s="2">
        <f>IFERROR(Torres!K1536, 0) + IFERROR('San José'!K1536, 0) + IFERROR(Terraplaza!K1536, 0)</f>
        <v>17.625</v>
      </c>
      <c r="C1537" t="e">
        <v>#N/A</v>
      </c>
      <c r="D1537">
        <v>6.625</v>
      </c>
      <c r="E1537">
        <v>11</v>
      </c>
    </row>
    <row r="1538" spans="1:5" x14ac:dyDescent="0.25">
      <c r="A1538" s="1">
        <v>45002</v>
      </c>
      <c r="B1538" s="2">
        <f>IFERROR(Torres!K1537, 0) + IFERROR('San José'!K1537, 0) + IFERROR(Terraplaza!K1537, 0)</f>
        <v>30.875</v>
      </c>
      <c r="C1538" t="e">
        <v>#N/A</v>
      </c>
      <c r="D1538">
        <v>4.375</v>
      </c>
      <c r="E1538">
        <v>26.5</v>
      </c>
    </row>
    <row r="1539" spans="1:5" x14ac:dyDescent="0.25">
      <c r="A1539" s="1">
        <v>45003</v>
      </c>
      <c r="B1539" s="2">
        <f>IFERROR(Torres!K1538, 0) + IFERROR('San José'!K1538, 0) + IFERROR(Terraplaza!K1538, 0)</f>
        <v>49.625</v>
      </c>
      <c r="C1539" t="e">
        <v>#N/A</v>
      </c>
      <c r="D1539">
        <v>12.5</v>
      </c>
      <c r="E1539">
        <v>37.125</v>
      </c>
    </row>
    <row r="1540" spans="1:5" x14ac:dyDescent="0.25">
      <c r="A1540" s="1">
        <v>45004</v>
      </c>
      <c r="B1540" s="2">
        <f>IFERROR(Torres!K1539, 0) + IFERROR('San José'!K1539, 0) + IFERROR(Terraplaza!K1539, 0)</f>
        <v>50.375</v>
      </c>
      <c r="C1540" t="e">
        <v>#N/A</v>
      </c>
      <c r="D1540">
        <v>16.375</v>
      </c>
      <c r="E1540">
        <v>34</v>
      </c>
    </row>
    <row r="1541" spans="1:5" x14ac:dyDescent="0.25">
      <c r="A1541" s="1">
        <v>45005</v>
      </c>
      <c r="B1541" s="2">
        <f>IFERROR(Torres!K1540, 0) + IFERROR('San José'!K1540, 0) + IFERROR(Terraplaza!K1540, 0)</f>
        <v>41.375</v>
      </c>
      <c r="C1541" t="e">
        <v>#N/A</v>
      </c>
      <c r="D1541">
        <v>14.875</v>
      </c>
      <c r="E1541">
        <v>26.5</v>
      </c>
    </row>
    <row r="1542" spans="1:5" x14ac:dyDescent="0.25">
      <c r="A1542" s="1">
        <v>45006</v>
      </c>
      <c r="B1542" s="2">
        <f>IFERROR(Torres!K1541, 0) + IFERROR('San José'!K1541, 0) + IFERROR(Terraplaza!K1541, 0)</f>
        <v>22</v>
      </c>
      <c r="C1542" t="e">
        <v>#N/A</v>
      </c>
      <c r="D1542">
        <v>13.5</v>
      </c>
      <c r="E1542">
        <v>8.5</v>
      </c>
    </row>
    <row r="1543" spans="1:5" x14ac:dyDescent="0.25">
      <c r="A1543" s="1">
        <v>45007</v>
      </c>
      <c r="B1543" s="2">
        <f>IFERROR(Torres!K1542, 0) + IFERROR('San José'!K1542, 0) + IFERROR(Terraplaza!K1542, 0)</f>
        <v>17.625</v>
      </c>
      <c r="C1543" t="e">
        <v>#N/A</v>
      </c>
      <c r="D1543">
        <v>8.625</v>
      </c>
      <c r="E1543">
        <v>9</v>
      </c>
    </row>
    <row r="1544" spans="1:5" x14ac:dyDescent="0.25">
      <c r="A1544" s="1">
        <v>45008</v>
      </c>
      <c r="B1544" s="2">
        <f>IFERROR(Torres!K1543, 0) + IFERROR('San José'!K1543, 0) + IFERROR(Terraplaza!K1543, 0)</f>
        <v>21.25</v>
      </c>
      <c r="C1544" t="e">
        <v>#N/A</v>
      </c>
      <c r="D1544">
        <v>8.75</v>
      </c>
      <c r="E1544">
        <v>12.5</v>
      </c>
    </row>
    <row r="1545" spans="1:5" x14ac:dyDescent="0.25">
      <c r="A1545" s="1">
        <v>45009</v>
      </c>
      <c r="B1545" s="2">
        <f>IFERROR(Torres!K1544, 0) + IFERROR('San José'!K1544, 0) + IFERROR(Terraplaza!K1544, 0)</f>
        <v>30.375</v>
      </c>
      <c r="C1545" t="e">
        <v>#N/A</v>
      </c>
      <c r="D1545">
        <v>4.75</v>
      </c>
      <c r="E1545">
        <v>25.625</v>
      </c>
    </row>
    <row r="1546" spans="1:5" x14ac:dyDescent="0.25">
      <c r="A1546" s="1">
        <v>45010</v>
      </c>
      <c r="B1546" s="2">
        <f>IFERROR(Torres!K1545, 0) + IFERROR('San José'!K1545, 0) + IFERROR(Terraplaza!K1545, 0)</f>
        <v>56</v>
      </c>
      <c r="C1546" t="e">
        <v>#N/A</v>
      </c>
      <c r="D1546">
        <v>13.25</v>
      </c>
      <c r="E1546">
        <v>42.75</v>
      </c>
    </row>
    <row r="1547" spans="1:5" x14ac:dyDescent="0.25">
      <c r="A1547" s="1">
        <v>45011</v>
      </c>
      <c r="B1547" s="2">
        <f>IFERROR(Torres!K1546, 0) + IFERROR('San José'!K1546, 0) + IFERROR(Terraplaza!K1546, 0)</f>
        <v>40.375</v>
      </c>
      <c r="C1547" t="e">
        <v>#N/A</v>
      </c>
      <c r="D1547">
        <v>10.125</v>
      </c>
      <c r="E1547">
        <v>30.25</v>
      </c>
    </row>
    <row r="1548" spans="1:5" x14ac:dyDescent="0.25">
      <c r="A1548" s="1">
        <v>45012</v>
      </c>
      <c r="B1548" s="2">
        <f>IFERROR(Torres!K1547, 0) + IFERROR('San José'!K1547, 0) + IFERROR(Terraplaza!K1547, 0)</f>
        <v>23.875</v>
      </c>
      <c r="C1548" t="e">
        <v>#N/A</v>
      </c>
      <c r="D1548">
        <v>7.5</v>
      </c>
      <c r="E1548">
        <v>16.375</v>
      </c>
    </row>
    <row r="1549" spans="1:5" x14ac:dyDescent="0.25">
      <c r="A1549" s="1">
        <v>45013</v>
      </c>
      <c r="B1549" s="2">
        <f>IFERROR(Torres!K1548, 0) + IFERROR('San José'!K1548, 0) + IFERROR(Terraplaza!K1548, 0)</f>
        <v>23.375</v>
      </c>
      <c r="C1549" t="e">
        <v>#N/A</v>
      </c>
      <c r="D1549">
        <v>9.375</v>
      </c>
      <c r="E1549">
        <v>14</v>
      </c>
    </row>
    <row r="1550" spans="1:5" x14ac:dyDescent="0.25">
      <c r="A1550" s="1">
        <v>45014</v>
      </c>
      <c r="B1550" s="2">
        <f>IFERROR(Torres!K1549, 0) + IFERROR('San José'!K1549, 0) + IFERROR(Terraplaza!K1549, 0)</f>
        <v>16.625</v>
      </c>
      <c r="C1550" t="e">
        <v>#N/A</v>
      </c>
      <c r="D1550">
        <v>3.625</v>
      </c>
      <c r="E1550">
        <v>13</v>
      </c>
    </row>
    <row r="1551" spans="1:5" x14ac:dyDescent="0.25">
      <c r="A1551" s="1">
        <v>45015</v>
      </c>
      <c r="B1551" s="2">
        <f>IFERROR(Torres!K1550, 0) + IFERROR('San José'!K1550, 0) + IFERROR(Terraplaza!K1550, 0)</f>
        <v>37.625</v>
      </c>
      <c r="C1551" t="e">
        <v>#N/A</v>
      </c>
      <c r="D1551">
        <v>16.25</v>
      </c>
      <c r="E1551">
        <v>21.375</v>
      </c>
    </row>
    <row r="1552" spans="1:5" x14ac:dyDescent="0.25">
      <c r="A1552" s="1">
        <v>45016</v>
      </c>
      <c r="B1552" s="2">
        <f>IFERROR(Torres!K1551, 0) + IFERROR('San José'!K1551, 0) + IFERROR(Terraplaza!K1551, 0)</f>
        <v>42</v>
      </c>
      <c r="C1552" t="e">
        <v>#N/A</v>
      </c>
      <c r="D1552">
        <v>7</v>
      </c>
      <c r="E1552">
        <v>35</v>
      </c>
    </row>
    <row r="1553" spans="1:5" x14ac:dyDescent="0.25">
      <c r="A1553" s="1">
        <v>45017</v>
      </c>
      <c r="B1553" s="2">
        <f>IFERROR(Torres!K1552, 0) + IFERROR('San José'!K1552, 0) + IFERROR(Terraplaza!K1552, 0)</f>
        <v>0</v>
      </c>
      <c r="C1553" t="e">
        <v>#N/A</v>
      </c>
      <c r="D1553" t="e">
        <v>#N/A</v>
      </c>
      <c r="E1553" t="e">
        <v>#N/A</v>
      </c>
    </row>
    <row r="1554" spans="1:5" x14ac:dyDescent="0.25">
      <c r="A1554" s="1">
        <v>45018</v>
      </c>
      <c r="B1554" s="2">
        <f>IFERROR(Torres!K1553, 0) + IFERROR('San José'!K1553, 0) + IFERROR(Terraplaza!K1553, 0)</f>
        <v>0</v>
      </c>
      <c r="C1554" t="e">
        <v>#N/A</v>
      </c>
      <c r="D1554" t="e">
        <v>#N/A</v>
      </c>
      <c r="E1554" t="e">
        <v>#N/A</v>
      </c>
    </row>
    <row r="1555" spans="1:5" x14ac:dyDescent="0.25">
      <c r="A1555" s="1">
        <v>45019</v>
      </c>
      <c r="B1555" s="2">
        <f>IFERROR(Torres!K1554, 0) + IFERROR('San José'!K1554, 0) + IFERROR(Terraplaza!K1554, 0)</f>
        <v>0</v>
      </c>
      <c r="C1555" t="e">
        <v>#N/A</v>
      </c>
      <c r="D1555" t="e">
        <v>#N/A</v>
      </c>
      <c r="E1555" t="e">
        <v>#N/A</v>
      </c>
    </row>
    <row r="1556" spans="1:5" x14ac:dyDescent="0.25">
      <c r="A1556" s="1">
        <v>45020</v>
      </c>
      <c r="B1556" s="2">
        <f>IFERROR(Torres!K1555, 0) + IFERROR('San José'!K1555, 0) + IFERROR(Terraplaza!K1555, 0)</f>
        <v>0</v>
      </c>
      <c r="C1556" t="e">
        <v>#N/A</v>
      </c>
      <c r="D1556" t="e">
        <v>#N/A</v>
      </c>
      <c r="E1556" t="e">
        <v>#N/A</v>
      </c>
    </row>
    <row r="1557" spans="1:5" x14ac:dyDescent="0.25">
      <c r="A1557" s="1">
        <v>45021</v>
      </c>
      <c r="B1557" s="2">
        <f>IFERROR(Torres!K1556, 0) + IFERROR('San José'!K1556, 0) + IFERROR(Terraplaza!K1556, 0)</f>
        <v>0</v>
      </c>
      <c r="C1557" t="e">
        <v>#N/A</v>
      </c>
      <c r="D1557" t="e">
        <v>#N/A</v>
      </c>
      <c r="E1557" t="e">
        <v>#N/A</v>
      </c>
    </row>
    <row r="1558" spans="1:5" x14ac:dyDescent="0.25">
      <c r="A1558" s="1">
        <v>45022</v>
      </c>
      <c r="B1558" s="2">
        <f>IFERROR(Torres!K1557, 0) + IFERROR('San José'!K1557, 0) + IFERROR(Terraplaza!K1557, 0)</f>
        <v>0</v>
      </c>
      <c r="C1558" t="e">
        <v>#N/A</v>
      </c>
      <c r="D1558" t="e">
        <v>#N/A</v>
      </c>
      <c r="E1558" t="e">
        <v>#N/A</v>
      </c>
    </row>
    <row r="1559" spans="1:5" x14ac:dyDescent="0.25">
      <c r="A1559" s="1">
        <v>45023</v>
      </c>
      <c r="B1559" s="2">
        <f>IFERROR(Torres!K1558, 0) + IFERROR('San José'!K1558, 0) + IFERROR(Terraplaza!K1558, 0)</f>
        <v>0</v>
      </c>
      <c r="C1559" t="e">
        <v>#N/A</v>
      </c>
      <c r="D1559" t="e">
        <v>#N/A</v>
      </c>
      <c r="E1559" t="e">
        <v>#N/A</v>
      </c>
    </row>
    <row r="1560" spans="1:5" x14ac:dyDescent="0.25">
      <c r="A1560" s="1">
        <v>45024</v>
      </c>
      <c r="B1560" s="2">
        <f>IFERROR(Torres!K1559, 0) + IFERROR('San José'!K1559, 0) + IFERROR(Terraplaza!K1559, 0)</f>
        <v>0</v>
      </c>
      <c r="C1560" t="e">
        <v>#N/A</v>
      </c>
      <c r="D1560" t="e">
        <v>#N/A</v>
      </c>
      <c r="E1560" t="e">
        <v>#N/A</v>
      </c>
    </row>
    <row r="1561" spans="1:5" x14ac:dyDescent="0.25">
      <c r="A1561" s="1">
        <v>45025</v>
      </c>
      <c r="B1561" s="2">
        <f>IFERROR(Torres!K1560, 0) + IFERROR('San José'!K1560, 0) + IFERROR(Terraplaza!K1560, 0)</f>
        <v>0</v>
      </c>
      <c r="C1561" t="e">
        <v>#N/A</v>
      </c>
      <c r="D1561" t="e">
        <v>#N/A</v>
      </c>
      <c r="E1561" t="e">
        <v>#N/A</v>
      </c>
    </row>
    <row r="1562" spans="1:5" x14ac:dyDescent="0.25">
      <c r="A1562" s="1">
        <v>45026</v>
      </c>
      <c r="B1562" s="2">
        <f>IFERROR(Torres!K1561, 0) + IFERROR('San José'!K1561, 0) + IFERROR(Terraplaza!K1561, 0)</f>
        <v>0</v>
      </c>
      <c r="C1562" t="e">
        <v>#N/A</v>
      </c>
      <c r="D1562" t="e">
        <v>#N/A</v>
      </c>
      <c r="E1562" t="e">
        <v>#N/A</v>
      </c>
    </row>
    <row r="1563" spans="1:5" x14ac:dyDescent="0.25">
      <c r="A1563" s="1">
        <v>45027</v>
      </c>
      <c r="B1563" s="2">
        <f>IFERROR(Torres!K1562, 0) + IFERROR('San José'!K1562, 0) + IFERROR(Terraplaza!K1562, 0)</f>
        <v>0</v>
      </c>
      <c r="C1563" t="e">
        <v>#N/A</v>
      </c>
      <c r="D1563" t="e">
        <v>#N/A</v>
      </c>
      <c r="E1563" t="e">
        <v>#N/A</v>
      </c>
    </row>
    <row r="1564" spans="1:5" x14ac:dyDescent="0.25">
      <c r="A1564" s="1">
        <v>45028</v>
      </c>
      <c r="B1564" s="2">
        <f>IFERROR(Torres!K1563, 0) + IFERROR('San José'!K1563, 0) + IFERROR(Terraplaza!K1563, 0)</f>
        <v>0</v>
      </c>
      <c r="C1564" t="e">
        <v>#N/A</v>
      </c>
      <c r="D1564" t="e">
        <v>#N/A</v>
      </c>
      <c r="E1564" t="e">
        <v>#N/A</v>
      </c>
    </row>
    <row r="1565" spans="1:5" x14ac:dyDescent="0.25">
      <c r="A1565" s="1">
        <v>45029</v>
      </c>
      <c r="B1565" s="2">
        <f>IFERROR(Torres!K1564, 0) + IFERROR('San José'!K1564, 0) + IFERROR(Terraplaza!K1564, 0)</f>
        <v>0</v>
      </c>
      <c r="C1565" t="e">
        <v>#N/A</v>
      </c>
      <c r="D1565" t="e">
        <v>#N/A</v>
      </c>
      <c r="E1565" t="e">
        <v>#N/A</v>
      </c>
    </row>
    <row r="1566" spans="1:5" x14ac:dyDescent="0.25">
      <c r="A1566" s="1">
        <v>45030</v>
      </c>
      <c r="B1566" s="2">
        <f>IFERROR(Torres!K1565, 0) + IFERROR('San José'!K1565, 0) + IFERROR(Terraplaza!K1565, 0)</f>
        <v>0</v>
      </c>
      <c r="C1566" t="e">
        <v>#N/A</v>
      </c>
      <c r="D1566" t="e">
        <v>#N/A</v>
      </c>
      <c r="E1566" t="e">
        <v>#N/A</v>
      </c>
    </row>
    <row r="1567" spans="1:5" x14ac:dyDescent="0.25">
      <c r="A1567" s="1">
        <v>45031</v>
      </c>
      <c r="B1567" s="2">
        <f>IFERROR(Torres!K1566, 0) + IFERROR('San José'!K1566, 0) + IFERROR(Terraplaza!K1566, 0)</f>
        <v>0</v>
      </c>
      <c r="C1567" t="e">
        <v>#N/A</v>
      </c>
      <c r="D1567" t="e">
        <v>#N/A</v>
      </c>
      <c r="E1567" t="e">
        <v>#N/A</v>
      </c>
    </row>
    <row r="1568" spans="1:5" x14ac:dyDescent="0.25">
      <c r="A1568" s="1">
        <v>45032</v>
      </c>
      <c r="B1568" s="2">
        <f>IFERROR(Torres!K1567, 0) + IFERROR('San José'!K1567, 0) + IFERROR(Terraplaza!K1567, 0)</f>
        <v>0</v>
      </c>
      <c r="C1568" t="e">
        <v>#N/A</v>
      </c>
      <c r="D1568" t="e">
        <v>#N/A</v>
      </c>
      <c r="E1568" t="e">
        <v>#N/A</v>
      </c>
    </row>
    <row r="1569" spans="1:5" x14ac:dyDescent="0.25">
      <c r="A1569" s="1">
        <v>45033</v>
      </c>
      <c r="B1569" s="2">
        <f>IFERROR(Torres!K1568, 0) + IFERROR('San José'!K1568, 0) + IFERROR(Terraplaza!K1568, 0)</f>
        <v>0</v>
      </c>
      <c r="C1569" t="e">
        <v>#N/A</v>
      </c>
      <c r="D1569" t="e">
        <v>#N/A</v>
      </c>
      <c r="E1569" t="e">
        <v>#N/A</v>
      </c>
    </row>
    <row r="1570" spans="1:5" x14ac:dyDescent="0.25">
      <c r="A1570" s="1">
        <v>45034</v>
      </c>
      <c r="B1570" s="2">
        <f>IFERROR(Torres!K1569, 0) + IFERROR('San José'!K1569, 0) + IFERROR(Terraplaza!K1569, 0)</f>
        <v>0</v>
      </c>
      <c r="C1570" t="e">
        <v>#N/A</v>
      </c>
      <c r="D1570" t="e">
        <v>#N/A</v>
      </c>
      <c r="E1570" t="e">
        <v>#N/A</v>
      </c>
    </row>
    <row r="1571" spans="1:5" x14ac:dyDescent="0.25">
      <c r="A1571" s="1">
        <v>45035</v>
      </c>
      <c r="B1571" s="2">
        <f>IFERROR(Torres!K1570, 0) + IFERROR('San José'!K1570, 0) + IFERROR(Terraplaza!K1570, 0)</f>
        <v>0</v>
      </c>
      <c r="C1571" t="e">
        <v>#N/A</v>
      </c>
      <c r="D1571" t="e">
        <v>#N/A</v>
      </c>
      <c r="E1571" t="e">
        <v>#N/A</v>
      </c>
    </row>
    <row r="1572" spans="1:5" x14ac:dyDescent="0.25">
      <c r="A1572" s="1">
        <v>45036</v>
      </c>
      <c r="B1572" s="2">
        <f>IFERROR(Torres!K1571, 0) + IFERROR('San José'!K1571, 0) + IFERROR(Terraplaza!K1571, 0)</f>
        <v>0</v>
      </c>
      <c r="C1572" t="e">
        <v>#N/A</v>
      </c>
      <c r="D1572" t="e">
        <v>#N/A</v>
      </c>
      <c r="E1572" t="e">
        <v>#N/A</v>
      </c>
    </row>
    <row r="1573" spans="1:5" x14ac:dyDescent="0.25">
      <c r="A1573" s="1">
        <v>45037</v>
      </c>
      <c r="B1573" s="2">
        <f>IFERROR(Torres!K1572, 0) + IFERROR('San José'!K1572, 0) + IFERROR(Terraplaza!K1572, 0)</f>
        <v>0</v>
      </c>
      <c r="C1573" t="e">
        <v>#N/A</v>
      </c>
      <c r="D1573" t="e">
        <v>#N/A</v>
      </c>
      <c r="E1573" t="e">
        <v>#N/A</v>
      </c>
    </row>
    <row r="1574" spans="1:5" x14ac:dyDescent="0.25">
      <c r="A1574" s="1">
        <v>45038</v>
      </c>
      <c r="B1574" s="2">
        <f>IFERROR(Torres!K1573, 0) + IFERROR('San José'!K1573, 0) + IFERROR(Terraplaza!K1573, 0)</f>
        <v>0</v>
      </c>
      <c r="C1574" t="e">
        <v>#N/A</v>
      </c>
      <c r="D1574" t="e">
        <v>#N/A</v>
      </c>
      <c r="E1574" t="e">
        <v>#N/A</v>
      </c>
    </row>
    <row r="1575" spans="1:5" x14ac:dyDescent="0.25">
      <c r="A1575" s="1">
        <v>45039</v>
      </c>
      <c r="B1575" s="2">
        <f>IFERROR(Torres!K1574, 0) + IFERROR('San José'!K1574, 0) + IFERROR(Terraplaza!K1574, 0)</f>
        <v>0</v>
      </c>
      <c r="C1575" t="e">
        <v>#N/A</v>
      </c>
      <c r="D1575" t="e">
        <v>#N/A</v>
      </c>
      <c r="E1575" t="e">
        <v>#N/A</v>
      </c>
    </row>
    <row r="1576" spans="1:5" x14ac:dyDescent="0.25">
      <c r="A1576" s="1">
        <v>45040</v>
      </c>
      <c r="B1576" s="2">
        <f>IFERROR(Torres!K1575, 0) + IFERROR('San José'!K1575, 0) + IFERROR(Terraplaza!K1575, 0)</f>
        <v>0</v>
      </c>
      <c r="C1576" t="e">
        <v>#N/A</v>
      </c>
      <c r="D1576" t="e">
        <v>#N/A</v>
      </c>
      <c r="E1576" t="e">
        <v>#N/A</v>
      </c>
    </row>
    <row r="1577" spans="1:5" x14ac:dyDescent="0.25">
      <c r="A1577" s="1">
        <v>45041</v>
      </c>
      <c r="B1577" s="2">
        <f>IFERROR(Torres!K1576, 0) + IFERROR('San José'!K1576, 0) + IFERROR(Terraplaza!K1576, 0)</f>
        <v>0</v>
      </c>
      <c r="C1577" t="e">
        <v>#N/A</v>
      </c>
      <c r="D1577" t="e">
        <v>#N/A</v>
      </c>
      <c r="E1577" t="e">
        <v>#N/A</v>
      </c>
    </row>
    <row r="1578" spans="1:5" x14ac:dyDescent="0.25">
      <c r="A1578" s="1">
        <v>45042</v>
      </c>
      <c r="B1578" s="2">
        <f>IFERROR(Torres!K1577, 0) + IFERROR('San José'!K1577, 0) + IFERROR(Terraplaza!K1577, 0)</f>
        <v>0</v>
      </c>
      <c r="C1578" t="e">
        <v>#N/A</v>
      </c>
      <c r="D1578" t="e">
        <v>#N/A</v>
      </c>
      <c r="E1578" t="e">
        <v>#N/A</v>
      </c>
    </row>
    <row r="1579" spans="1:5" x14ac:dyDescent="0.25">
      <c r="A1579" s="1">
        <v>45043</v>
      </c>
      <c r="B1579" s="2">
        <f>IFERROR(Torres!K1578, 0) + IFERROR('San José'!K1578, 0) + IFERROR(Terraplaza!K1578, 0)</f>
        <v>0</v>
      </c>
      <c r="C1579" t="e">
        <v>#N/A</v>
      </c>
      <c r="D1579" t="e">
        <v>#N/A</v>
      </c>
      <c r="E1579" t="e">
        <v>#N/A</v>
      </c>
    </row>
    <row r="1580" spans="1:5" x14ac:dyDescent="0.25">
      <c r="A1580" s="1">
        <v>45044</v>
      </c>
      <c r="B1580" s="2">
        <f>IFERROR(Torres!K1579, 0) + IFERROR('San José'!K1579, 0) + IFERROR(Terraplaza!K1579, 0)</f>
        <v>0</v>
      </c>
      <c r="C1580" t="e">
        <v>#N/A</v>
      </c>
      <c r="D1580" t="e">
        <v>#N/A</v>
      </c>
      <c r="E1580" t="e">
        <v>#N/A</v>
      </c>
    </row>
    <row r="1581" spans="1:5" x14ac:dyDescent="0.25">
      <c r="A1581" s="1">
        <v>45045</v>
      </c>
      <c r="B1581" s="2">
        <f>IFERROR(Torres!K1580, 0) + IFERROR('San José'!K1580, 0) + IFERROR(Terraplaza!K1580, 0)</f>
        <v>0</v>
      </c>
      <c r="C1581" t="e">
        <v>#N/A</v>
      </c>
      <c r="D1581" t="e">
        <v>#N/A</v>
      </c>
      <c r="E1581" t="e">
        <v>#N/A</v>
      </c>
    </row>
    <row r="1582" spans="1:5" x14ac:dyDescent="0.25">
      <c r="A1582" s="1">
        <v>45046</v>
      </c>
      <c r="B1582" s="2">
        <f>IFERROR(Torres!K1581, 0) + IFERROR('San José'!K1581, 0) + IFERROR(Terraplaza!K1581, 0)</f>
        <v>0</v>
      </c>
      <c r="C1582" t="e">
        <v>#N/A</v>
      </c>
      <c r="D1582" t="e">
        <v>#N/A</v>
      </c>
      <c r="E1582" t="e">
        <v>#N/A</v>
      </c>
    </row>
    <row r="1583" spans="1:5" x14ac:dyDescent="0.25">
      <c r="A1583" s="1">
        <v>45047</v>
      </c>
      <c r="B1583" s="2">
        <f>IFERROR(Torres!K1582, 0) + IFERROR('San José'!K1582, 0) + IFERROR(Terraplaza!K1582, 0)</f>
        <v>90.375</v>
      </c>
      <c r="C1583">
        <v>39.875</v>
      </c>
      <c r="D1583">
        <v>10.875</v>
      </c>
      <c r="E1583">
        <v>39.625</v>
      </c>
    </row>
    <row r="1584" spans="1:5" x14ac:dyDescent="0.25">
      <c r="A1584" s="1">
        <v>45048</v>
      </c>
      <c r="B1584" s="2">
        <f>IFERROR(Torres!K1583, 0) + IFERROR('San José'!K1583, 0) + IFERROR(Terraplaza!K1583, 0)</f>
        <v>44.625</v>
      </c>
      <c r="C1584">
        <v>14.25</v>
      </c>
      <c r="D1584">
        <v>7.375</v>
      </c>
      <c r="E1584">
        <v>23</v>
      </c>
    </row>
    <row r="1585" spans="1:5" x14ac:dyDescent="0.25">
      <c r="A1585" s="1">
        <v>45049</v>
      </c>
      <c r="B1585" s="2">
        <f>IFERROR(Torres!K1584, 0) + IFERROR('San José'!K1584, 0) + IFERROR(Terraplaza!K1584, 0)</f>
        <v>42.625</v>
      </c>
      <c r="C1585">
        <v>19.5</v>
      </c>
      <c r="D1585">
        <v>3.625</v>
      </c>
      <c r="E1585">
        <v>19.5</v>
      </c>
    </row>
    <row r="1586" spans="1:5" x14ac:dyDescent="0.25">
      <c r="A1586" s="1">
        <v>45050</v>
      </c>
      <c r="B1586" s="2">
        <f>IFERROR(Torres!K1585, 0) + IFERROR('San José'!K1585, 0) + IFERROR(Terraplaza!K1585, 0)</f>
        <v>39.75</v>
      </c>
      <c r="C1586">
        <v>14.75</v>
      </c>
      <c r="D1586">
        <v>3.25</v>
      </c>
      <c r="E1586">
        <v>21.75</v>
      </c>
    </row>
    <row r="1587" spans="1:5" x14ac:dyDescent="0.25">
      <c r="A1587" s="1">
        <v>45051</v>
      </c>
      <c r="B1587" s="2">
        <f>IFERROR(Torres!K1586, 0) + IFERROR('San José'!K1586, 0) + IFERROR(Terraplaza!K1586, 0)</f>
        <v>55.125</v>
      </c>
      <c r="C1587">
        <v>18.375</v>
      </c>
      <c r="D1587">
        <v>8.25</v>
      </c>
      <c r="E1587">
        <v>28.5</v>
      </c>
    </row>
    <row r="1588" spans="1:5" x14ac:dyDescent="0.25">
      <c r="A1588" s="1">
        <v>45052</v>
      </c>
      <c r="B1588" s="2">
        <f>IFERROR(Torres!K1587, 0) + IFERROR('San José'!K1587, 0) + IFERROR(Terraplaza!K1587, 0)</f>
        <v>90.625</v>
      </c>
      <c r="C1588">
        <v>33.75</v>
      </c>
      <c r="D1588">
        <v>15.625</v>
      </c>
      <c r="E1588">
        <v>41.25</v>
      </c>
    </row>
    <row r="1589" spans="1:5" x14ac:dyDescent="0.25">
      <c r="A1589" s="1">
        <v>45053</v>
      </c>
      <c r="B1589" s="2">
        <f>IFERROR(Torres!K1588, 0) + IFERROR('San José'!K1588, 0) + IFERROR(Terraplaza!K1588, 0)</f>
        <v>84.125</v>
      </c>
      <c r="C1589">
        <v>38</v>
      </c>
      <c r="D1589">
        <v>14.125</v>
      </c>
      <c r="E1589">
        <v>32</v>
      </c>
    </row>
    <row r="1590" spans="1:5" x14ac:dyDescent="0.25">
      <c r="A1590" s="1">
        <v>45054</v>
      </c>
      <c r="B1590" s="2">
        <f>IFERROR(Torres!K1589, 0) + IFERROR('San José'!K1589, 0) + IFERROR(Terraplaza!K1589, 0)</f>
        <v>29.375</v>
      </c>
      <c r="C1590">
        <v>9.625</v>
      </c>
      <c r="D1590">
        <v>4.875</v>
      </c>
      <c r="E1590">
        <v>14.875</v>
      </c>
    </row>
    <row r="1591" spans="1:5" x14ac:dyDescent="0.25">
      <c r="A1591" s="1">
        <v>45055</v>
      </c>
      <c r="B1591" s="2">
        <f>IFERROR(Torres!K1590, 0) + IFERROR('San José'!K1590, 0) + IFERROR(Terraplaza!K1590, 0)</f>
        <v>15.875</v>
      </c>
      <c r="C1591">
        <v>9.625</v>
      </c>
      <c r="D1591">
        <v>1.875</v>
      </c>
      <c r="E1591">
        <v>4.375</v>
      </c>
    </row>
    <row r="1592" spans="1:5" x14ac:dyDescent="0.25">
      <c r="A1592" s="1">
        <v>45056</v>
      </c>
      <c r="B1592" s="2">
        <f>IFERROR(Torres!K1591, 0) + IFERROR('San José'!K1591, 0) + IFERROR(Terraplaza!K1591, 0)</f>
        <v>37.125</v>
      </c>
      <c r="C1592">
        <v>16.625</v>
      </c>
      <c r="D1592">
        <v>4.5</v>
      </c>
      <c r="E1592">
        <v>16</v>
      </c>
    </row>
    <row r="1593" spans="1:5" x14ac:dyDescent="0.25">
      <c r="A1593" s="1">
        <v>45057</v>
      </c>
      <c r="B1593" s="2">
        <f>IFERROR(Torres!K1592, 0) + IFERROR('San José'!K1592, 0) + IFERROR(Terraplaza!K1592, 0)</f>
        <v>42.25</v>
      </c>
      <c r="C1593">
        <v>18.5</v>
      </c>
      <c r="D1593">
        <v>9.25</v>
      </c>
      <c r="E1593">
        <v>14.5</v>
      </c>
    </row>
    <row r="1594" spans="1:5" x14ac:dyDescent="0.25">
      <c r="A1594" s="1">
        <v>45058</v>
      </c>
      <c r="B1594" s="2">
        <f>IFERROR(Torres!K1593, 0) + IFERROR('San José'!K1593, 0) + IFERROR(Terraplaza!K1593, 0)</f>
        <v>82.125</v>
      </c>
      <c r="C1594">
        <v>29</v>
      </c>
      <c r="D1594">
        <v>12.25</v>
      </c>
      <c r="E1594">
        <v>40.875</v>
      </c>
    </row>
    <row r="1595" spans="1:5" x14ac:dyDescent="0.25">
      <c r="A1595" s="1">
        <v>45059</v>
      </c>
      <c r="B1595" s="2">
        <f>IFERROR(Torres!K1594, 0) + IFERROR('San José'!K1594, 0) + IFERROR(Terraplaza!K1594, 0)</f>
        <v>97</v>
      </c>
      <c r="C1595">
        <v>44.625</v>
      </c>
      <c r="D1595">
        <v>10.375</v>
      </c>
      <c r="E1595">
        <v>42</v>
      </c>
    </row>
    <row r="1596" spans="1:5" x14ac:dyDescent="0.25">
      <c r="A1596" s="1">
        <v>45060</v>
      </c>
      <c r="B1596" s="2">
        <f>IFERROR(Torres!K1595, 0) + IFERROR('San José'!K1595, 0) + IFERROR(Terraplaza!K1595, 0)</f>
        <v>91.75</v>
      </c>
      <c r="C1596">
        <v>37.875</v>
      </c>
      <c r="D1596">
        <v>14.25</v>
      </c>
      <c r="E1596">
        <v>39.625</v>
      </c>
    </row>
    <row r="1597" spans="1:5" x14ac:dyDescent="0.25">
      <c r="A1597" s="1">
        <v>45061</v>
      </c>
      <c r="B1597" s="2">
        <f>IFERROR(Torres!K1596, 0) + IFERROR('San José'!K1596, 0) + IFERROR(Terraplaza!K1596, 0)</f>
        <v>47.75</v>
      </c>
      <c r="C1597">
        <v>19.25</v>
      </c>
      <c r="D1597">
        <v>6.625</v>
      </c>
      <c r="E1597">
        <v>21.875</v>
      </c>
    </row>
    <row r="1598" spans="1:5" x14ac:dyDescent="0.25">
      <c r="A1598" s="1">
        <v>45062</v>
      </c>
      <c r="B1598" s="2">
        <f>IFERROR(Torres!K1597, 0) + IFERROR('San José'!K1597, 0) + IFERROR(Terraplaza!K1597, 0)</f>
        <v>11.75</v>
      </c>
      <c r="C1598">
        <v>1.875</v>
      </c>
      <c r="D1598">
        <v>3.625</v>
      </c>
      <c r="E1598">
        <v>6.25</v>
      </c>
    </row>
    <row r="1599" spans="1:5" x14ac:dyDescent="0.25">
      <c r="A1599" s="1">
        <v>45063</v>
      </c>
      <c r="B1599" s="2">
        <f>IFERROR(Torres!K1598, 0) + IFERROR('San José'!K1598, 0) + IFERROR(Terraplaza!K1598, 0)</f>
        <v>51.25</v>
      </c>
      <c r="C1599">
        <v>24.125</v>
      </c>
      <c r="D1599">
        <v>6.25</v>
      </c>
      <c r="E1599">
        <v>20.875</v>
      </c>
    </row>
    <row r="1600" spans="1:5" x14ac:dyDescent="0.25">
      <c r="A1600" s="1">
        <v>45064</v>
      </c>
      <c r="B1600" s="2">
        <f>IFERROR(Torres!K1599, 0) + IFERROR('San José'!K1599, 0) + IFERROR(Terraplaza!K1599, 0)</f>
        <v>48</v>
      </c>
      <c r="C1600">
        <v>11.5</v>
      </c>
      <c r="D1600">
        <v>6.875</v>
      </c>
      <c r="E1600">
        <v>29.625</v>
      </c>
    </row>
    <row r="1601" spans="1:5" x14ac:dyDescent="0.25">
      <c r="A1601" s="1">
        <v>45065</v>
      </c>
      <c r="B1601" s="2">
        <f>IFERROR(Torres!K1600, 0) + IFERROR('San José'!K1600, 0) + IFERROR(Terraplaza!K1600, 0)</f>
        <v>57.375</v>
      </c>
      <c r="C1601">
        <v>22.25</v>
      </c>
      <c r="D1601">
        <v>14</v>
      </c>
      <c r="E1601">
        <v>21.125</v>
      </c>
    </row>
    <row r="1602" spans="1:5" x14ac:dyDescent="0.25">
      <c r="A1602" s="1">
        <v>45066</v>
      </c>
      <c r="B1602" s="2">
        <f>IFERROR(Torres!K1601, 0) + IFERROR('San José'!K1601, 0) + IFERROR(Terraplaza!K1601, 0)</f>
        <v>99</v>
      </c>
      <c r="C1602">
        <v>41.25</v>
      </c>
      <c r="D1602">
        <v>15</v>
      </c>
      <c r="E1602">
        <v>42.75</v>
      </c>
    </row>
    <row r="1603" spans="1:5" x14ac:dyDescent="0.25">
      <c r="A1603" s="1">
        <v>45067</v>
      </c>
      <c r="B1603" s="2">
        <f>IFERROR(Torres!K1602, 0) + IFERROR('San José'!K1602, 0) + IFERROR(Terraplaza!K1602, 0)</f>
        <v>96.75</v>
      </c>
      <c r="C1603">
        <v>40.625</v>
      </c>
      <c r="D1603">
        <v>8.375</v>
      </c>
      <c r="E1603">
        <v>47.75</v>
      </c>
    </row>
    <row r="1604" spans="1:5" x14ac:dyDescent="0.25">
      <c r="A1604" s="1">
        <v>45068</v>
      </c>
      <c r="B1604" s="2">
        <f>IFERROR(Torres!K1603, 0) + IFERROR('San José'!K1603, 0) + IFERROR(Terraplaza!K1603, 0)</f>
        <v>77.5</v>
      </c>
      <c r="C1604">
        <v>36.5</v>
      </c>
      <c r="D1604">
        <v>15</v>
      </c>
      <c r="E1604">
        <v>26</v>
      </c>
    </row>
    <row r="1605" spans="1:5" x14ac:dyDescent="0.25">
      <c r="A1605" s="1">
        <v>45069</v>
      </c>
      <c r="B1605" s="2">
        <f>IFERROR(Torres!K1604, 0) + IFERROR('San José'!K1604, 0) + IFERROR(Terraplaza!K1604, 0)</f>
        <v>15.625</v>
      </c>
      <c r="C1605">
        <v>6.75</v>
      </c>
      <c r="D1605">
        <v>2.625</v>
      </c>
      <c r="E1605">
        <v>6.25</v>
      </c>
    </row>
    <row r="1606" spans="1:5" x14ac:dyDescent="0.25">
      <c r="A1606" s="1">
        <v>45070</v>
      </c>
      <c r="B1606" s="2">
        <f>IFERROR(Torres!K1605, 0) + IFERROR('San José'!K1605, 0) + IFERROR(Terraplaza!K1605, 0)</f>
        <v>56.125</v>
      </c>
      <c r="C1606">
        <v>25.5</v>
      </c>
      <c r="D1606">
        <v>5</v>
      </c>
      <c r="E1606">
        <v>25.625</v>
      </c>
    </row>
    <row r="1607" spans="1:5" x14ac:dyDescent="0.25">
      <c r="A1607" s="1">
        <v>45071</v>
      </c>
      <c r="B1607" s="2">
        <f>IFERROR(Torres!K1606, 0) + IFERROR('San José'!K1606, 0) + IFERROR(Terraplaza!K1606, 0)</f>
        <v>52.875</v>
      </c>
      <c r="C1607">
        <v>17.75</v>
      </c>
      <c r="D1607">
        <v>8.375</v>
      </c>
      <c r="E1607">
        <v>26.75</v>
      </c>
    </row>
    <row r="1608" spans="1:5" x14ac:dyDescent="0.25">
      <c r="A1608" s="1">
        <v>45072</v>
      </c>
      <c r="B1608" s="2">
        <f>IFERROR(Torres!K1607, 0) + IFERROR('San José'!K1607, 0) + IFERROR(Terraplaza!K1607, 0)</f>
        <v>83.5</v>
      </c>
      <c r="C1608">
        <v>35.375</v>
      </c>
      <c r="D1608">
        <v>9.875</v>
      </c>
      <c r="E1608">
        <v>38.25</v>
      </c>
    </row>
    <row r="1609" spans="1:5" x14ac:dyDescent="0.25">
      <c r="A1609" s="1">
        <v>45073</v>
      </c>
      <c r="B1609" s="2">
        <f>IFERROR(Torres!K1608, 0) + IFERROR('San José'!K1608, 0) + IFERROR(Terraplaza!K1608, 0)</f>
        <v>101.875</v>
      </c>
      <c r="C1609">
        <v>47.875</v>
      </c>
      <c r="D1609">
        <v>12.75</v>
      </c>
      <c r="E1609">
        <v>41.25</v>
      </c>
    </row>
    <row r="1610" spans="1:5" x14ac:dyDescent="0.25">
      <c r="A1610" s="1">
        <v>45074</v>
      </c>
      <c r="B1610" s="2">
        <f>IFERROR(Torres!K1609, 0) + IFERROR('San José'!K1609, 0) + IFERROR(Terraplaza!K1609, 0)</f>
        <v>87.875</v>
      </c>
      <c r="C1610">
        <v>36.75</v>
      </c>
      <c r="D1610">
        <v>10.25</v>
      </c>
      <c r="E1610">
        <v>40.875</v>
      </c>
    </row>
    <row r="1611" spans="1:5" x14ac:dyDescent="0.25">
      <c r="A1611" s="1">
        <v>45075</v>
      </c>
      <c r="B1611" s="2">
        <f>IFERROR(Torres!K1610, 0) + IFERROR('San José'!K1610, 0) + IFERROR(Terraplaza!K1610, 0)</f>
        <v>38.625</v>
      </c>
      <c r="C1611">
        <v>10</v>
      </c>
      <c r="D1611">
        <v>7.875</v>
      </c>
      <c r="E1611">
        <v>20.75</v>
      </c>
    </row>
    <row r="1612" spans="1:5" x14ac:dyDescent="0.25">
      <c r="A1612" s="1">
        <v>45076</v>
      </c>
      <c r="B1612" s="2">
        <f>IFERROR(Torres!K1611, 0) + IFERROR('San José'!K1611, 0) + IFERROR(Terraplaza!K1611, 0)</f>
        <v>20</v>
      </c>
      <c r="C1612">
        <v>8.875</v>
      </c>
      <c r="D1612">
        <v>4.125</v>
      </c>
      <c r="E1612">
        <v>7</v>
      </c>
    </row>
    <row r="1613" spans="1:5" x14ac:dyDescent="0.25">
      <c r="A1613" s="1">
        <v>45077</v>
      </c>
      <c r="B1613" s="2">
        <f>IFERROR(Torres!K1612, 0) + IFERROR('San José'!K1612, 0) + IFERROR(Terraplaza!K1612, 0)</f>
        <v>58.875</v>
      </c>
      <c r="C1613">
        <v>23.875</v>
      </c>
      <c r="D1613">
        <v>13.875</v>
      </c>
      <c r="E1613">
        <v>21.125</v>
      </c>
    </row>
    <row r="1614" spans="1:5" x14ac:dyDescent="0.25">
      <c r="A1614" s="1">
        <v>45078</v>
      </c>
      <c r="B1614" s="2">
        <f>IFERROR(Torres!K1613, 0) + IFERROR('San José'!K1613, 0) + IFERROR(Terraplaza!K1613, 0)</f>
        <v>54.625</v>
      </c>
      <c r="C1614">
        <v>18.375</v>
      </c>
      <c r="D1614">
        <v>9.375</v>
      </c>
      <c r="E1614">
        <v>26.875</v>
      </c>
    </row>
    <row r="1615" spans="1:5" x14ac:dyDescent="0.25">
      <c r="A1615" s="1">
        <v>45079</v>
      </c>
      <c r="B1615" s="2">
        <f>IFERROR(Torres!K1614, 0) + IFERROR('San José'!K1614, 0) + IFERROR(Terraplaza!K1614, 0)</f>
        <v>73.625</v>
      </c>
      <c r="C1615">
        <v>31.25</v>
      </c>
      <c r="D1615">
        <v>9.75</v>
      </c>
      <c r="E1615">
        <v>32.625</v>
      </c>
    </row>
    <row r="1616" spans="1:5" x14ac:dyDescent="0.25">
      <c r="A1616" s="1">
        <v>45080</v>
      </c>
      <c r="B1616" s="2">
        <f>IFERROR(Torres!K1615, 0) + IFERROR('San José'!K1615, 0) + IFERROR(Terraplaza!K1615, 0)</f>
        <v>100.125</v>
      </c>
      <c r="C1616">
        <v>35.125</v>
      </c>
      <c r="D1616">
        <v>13.625</v>
      </c>
      <c r="E1616">
        <v>51.375</v>
      </c>
    </row>
    <row r="1617" spans="1:5" x14ac:dyDescent="0.25">
      <c r="A1617" s="1">
        <v>45081</v>
      </c>
      <c r="B1617" s="2">
        <f>IFERROR(Torres!K1616, 0) + IFERROR('San José'!K1616, 0) + IFERROR(Terraplaza!K1616, 0)</f>
        <v>104.875</v>
      </c>
      <c r="C1617">
        <v>50.375</v>
      </c>
      <c r="D1617">
        <v>12.125</v>
      </c>
      <c r="E1617">
        <v>42.375</v>
      </c>
    </row>
    <row r="1618" spans="1:5" x14ac:dyDescent="0.25">
      <c r="A1618" s="1">
        <v>45082</v>
      </c>
      <c r="B1618" s="2">
        <f>IFERROR(Torres!K1617, 0) + IFERROR('San José'!K1617, 0) + IFERROR(Terraplaza!K1617, 0)</f>
        <v>37.25</v>
      </c>
      <c r="C1618">
        <v>15.375</v>
      </c>
      <c r="D1618">
        <v>6.125</v>
      </c>
      <c r="E1618">
        <v>15.75</v>
      </c>
    </row>
    <row r="1619" spans="1:5" x14ac:dyDescent="0.25">
      <c r="A1619" s="1">
        <v>45083</v>
      </c>
      <c r="B1619" s="2">
        <f>IFERROR(Torres!K1618, 0) + IFERROR('San José'!K1618, 0) + IFERROR(Terraplaza!K1618, 0)</f>
        <v>42.625</v>
      </c>
      <c r="C1619">
        <v>15.375</v>
      </c>
      <c r="D1619">
        <v>4.375</v>
      </c>
      <c r="E1619">
        <v>22.875</v>
      </c>
    </row>
    <row r="1620" spans="1:5" x14ac:dyDescent="0.25">
      <c r="A1620" s="1">
        <v>45084</v>
      </c>
      <c r="B1620" s="2">
        <f>IFERROR(Torres!K1619, 0) + IFERROR('San José'!K1619, 0) + IFERROR(Terraplaza!K1619, 0)</f>
        <v>59.625</v>
      </c>
      <c r="C1620">
        <v>25</v>
      </c>
      <c r="D1620">
        <v>10.25</v>
      </c>
      <c r="E1620">
        <v>24.375</v>
      </c>
    </row>
    <row r="1621" spans="1:5" x14ac:dyDescent="0.25">
      <c r="A1621" s="1">
        <v>45085</v>
      </c>
      <c r="B1621" s="2">
        <f>IFERROR(Torres!K1620, 0) + IFERROR('San José'!K1620, 0) + IFERROR(Terraplaza!K1620, 0)</f>
        <v>50.625</v>
      </c>
      <c r="C1621">
        <v>12.75</v>
      </c>
      <c r="D1621">
        <v>9.625</v>
      </c>
      <c r="E1621">
        <v>28.25</v>
      </c>
    </row>
    <row r="1622" spans="1:5" x14ac:dyDescent="0.25">
      <c r="A1622" s="1">
        <v>45086</v>
      </c>
      <c r="B1622" s="2">
        <f>IFERROR(Torres!K1621, 0) + IFERROR('San José'!K1621, 0) + IFERROR(Terraplaza!K1621, 0)</f>
        <v>74.5</v>
      </c>
      <c r="C1622">
        <v>30.625</v>
      </c>
      <c r="D1622">
        <v>9.25</v>
      </c>
      <c r="E1622">
        <v>34.625</v>
      </c>
    </row>
    <row r="1623" spans="1:5" x14ac:dyDescent="0.25">
      <c r="A1623" s="1">
        <v>45087</v>
      </c>
      <c r="B1623" s="2">
        <f>IFERROR(Torres!K1622, 0) + IFERROR('San José'!K1622, 0) + IFERROR(Terraplaza!K1622, 0)</f>
        <v>87.25</v>
      </c>
      <c r="C1623">
        <v>34.125</v>
      </c>
      <c r="D1623">
        <v>12.75</v>
      </c>
      <c r="E1623">
        <v>40.375</v>
      </c>
    </row>
    <row r="1624" spans="1:5" x14ac:dyDescent="0.25">
      <c r="A1624" s="1">
        <v>45088</v>
      </c>
      <c r="B1624" s="2">
        <f>IFERROR(Torres!K1623, 0) + IFERROR('San José'!K1623, 0) + IFERROR(Terraplaza!K1623, 0)</f>
        <v>117.625</v>
      </c>
      <c r="C1624">
        <v>57.875</v>
      </c>
      <c r="D1624">
        <v>16.375</v>
      </c>
      <c r="E1624">
        <v>43.375</v>
      </c>
    </row>
    <row r="1625" spans="1:5" x14ac:dyDescent="0.25">
      <c r="A1625" s="1">
        <v>45089</v>
      </c>
      <c r="B1625" s="2">
        <f>IFERROR(Torres!K1624, 0) + IFERROR('San José'!K1624, 0) + IFERROR(Terraplaza!K1624, 0)</f>
        <v>69</v>
      </c>
      <c r="C1625">
        <v>31.875</v>
      </c>
      <c r="D1625">
        <v>8.25</v>
      </c>
      <c r="E1625">
        <v>28.875</v>
      </c>
    </row>
    <row r="1626" spans="1:5" x14ac:dyDescent="0.25">
      <c r="A1626" s="1">
        <v>45090</v>
      </c>
      <c r="B1626" s="2">
        <f>IFERROR(Torres!K1625, 0) + IFERROR('San José'!K1625, 0) + IFERROR(Terraplaza!K1625, 0)</f>
        <v>41.375</v>
      </c>
      <c r="C1626">
        <v>11.625</v>
      </c>
      <c r="D1626">
        <v>6</v>
      </c>
      <c r="E1626">
        <v>23.75</v>
      </c>
    </row>
    <row r="1627" spans="1:5" x14ac:dyDescent="0.25">
      <c r="A1627" s="1">
        <v>45091</v>
      </c>
      <c r="B1627" s="2">
        <f>IFERROR(Torres!K1626, 0) + IFERROR('San José'!K1626, 0) + IFERROR(Terraplaza!K1626, 0)</f>
        <v>55.625</v>
      </c>
      <c r="C1627">
        <v>26</v>
      </c>
      <c r="D1627">
        <v>5.25</v>
      </c>
      <c r="E1627">
        <v>24.375</v>
      </c>
    </row>
    <row r="1628" spans="1:5" x14ac:dyDescent="0.25">
      <c r="A1628" s="1">
        <v>45092</v>
      </c>
      <c r="B1628" s="2">
        <f>IFERROR(Torres!K1627, 0) + IFERROR('San José'!K1627, 0) + IFERROR(Terraplaza!K1627, 0)</f>
        <v>60</v>
      </c>
      <c r="C1628">
        <v>20.25</v>
      </c>
      <c r="D1628">
        <v>7.625</v>
      </c>
      <c r="E1628">
        <v>32.125</v>
      </c>
    </row>
    <row r="1629" spans="1:5" x14ac:dyDescent="0.25">
      <c r="A1629" s="1">
        <v>45093</v>
      </c>
      <c r="B1629" s="2">
        <f>IFERROR(Torres!K1628, 0) + IFERROR('San José'!K1628, 0) + IFERROR(Terraplaza!K1628, 0)</f>
        <v>71.125</v>
      </c>
      <c r="C1629">
        <v>25.25</v>
      </c>
      <c r="D1629">
        <v>11</v>
      </c>
      <c r="E1629">
        <v>34.875</v>
      </c>
    </row>
    <row r="1630" spans="1:5" x14ac:dyDescent="0.25">
      <c r="A1630" s="1">
        <v>45094</v>
      </c>
      <c r="B1630" s="2">
        <f>IFERROR(Torres!K1629, 0) + IFERROR('San José'!K1629, 0) + IFERROR(Terraplaza!K1629, 0)</f>
        <v>98.75</v>
      </c>
      <c r="C1630">
        <v>39.375</v>
      </c>
      <c r="D1630">
        <v>15.375</v>
      </c>
      <c r="E1630">
        <v>44</v>
      </c>
    </row>
    <row r="1631" spans="1:5" x14ac:dyDescent="0.25">
      <c r="A1631" s="1">
        <v>45095</v>
      </c>
      <c r="B1631" s="2">
        <f>IFERROR(Torres!K1630, 0) + IFERROR('San José'!K1630, 0) + IFERROR(Terraplaza!K1630, 0)</f>
        <v>97.875</v>
      </c>
      <c r="C1631">
        <v>48</v>
      </c>
      <c r="D1631">
        <v>16</v>
      </c>
      <c r="E1631">
        <v>33.875</v>
      </c>
    </row>
    <row r="1632" spans="1:5" x14ac:dyDescent="0.25">
      <c r="A1632" s="1">
        <v>45096</v>
      </c>
      <c r="B1632" s="2">
        <f>IFERROR(Torres!K1631, 0) + IFERROR('San José'!K1631, 0) + IFERROR(Terraplaza!K1631, 0)</f>
        <v>87.5</v>
      </c>
      <c r="C1632">
        <v>41.75</v>
      </c>
      <c r="D1632">
        <v>12.125</v>
      </c>
      <c r="E1632">
        <v>33.625</v>
      </c>
    </row>
    <row r="1633" spans="1:5" x14ac:dyDescent="0.25">
      <c r="A1633" s="1">
        <v>45097</v>
      </c>
      <c r="B1633" s="2">
        <f>IFERROR(Torres!K1632, 0) + IFERROR('San José'!K1632, 0) + IFERROR(Terraplaza!K1632, 0)</f>
        <v>45.75</v>
      </c>
      <c r="C1633">
        <v>19.375</v>
      </c>
      <c r="D1633">
        <v>7.25</v>
      </c>
      <c r="E1633">
        <v>19.125</v>
      </c>
    </row>
    <row r="1634" spans="1:5" x14ac:dyDescent="0.25">
      <c r="A1634" s="1">
        <v>45098</v>
      </c>
      <c r="B1634" s="2">
        <f>IFERROR(Torres!K1633, 0) + IFERROR('San José'!K1633, 0) + IFERROR(Terraplaza!K1633, 0)</f>
        <v>62.125</v>
      </c>
      <c r="C1634">
        <v>31.75</v>
      </c>
      <c r="D1634">
        <v>6</v>
      </c>
      <c r="E1634">
        <v>24.375</v>
      </c>
    </row>
    <row r="1635" spans="1:5" x14ac:dyDescent="0.25">
      <c r="A1635" s="1">
        <v>45099</v>
      </c>
      <c r="B1635" s="2">
        <f>IFERROR(Torres!K1634, 0) + IFERROR('San José'!K1634, 0) + IFERROR(Terraplaza!K1634, 0)</f>
        <v>55.5</v>
      </c>
      <c r="C1635">
        <v>21.625</v>
      </c>
      <c r="D1635">
        <v>9.375</v>
      </c>
      <c r="E1635">
        <v>24.5</v>
      </c>
    </row>
    <row r="1636" spans="1:5" x14ac:dyDescent="0.25">
      <c r="A1636" s="1">
        <v>45100</v>
      </c>
      <c r="B1636" s="2">
        <f>IFERROR(Torres!K1635, 0) + IFERROR('San José'!K1635, 0) + IFERROR(Terraplaza!K1635, 0)</f>
        <v>72.875</v>
      </c>
      <c r="C1636">
        <v>27</v>
      </c>
      <c r="D1636">
        <v>9.875</v>
      </c>
      <c r="E1636">
        <v>36</v>
      </c>
    </row>
    <row r="1637" spans="1:5" x14ac:dyDescent="0.25">
      <c r="A1637" s="1">
        <v>45101</v>
      </c>
      <c r="B1637" s="2">
        <f>IFERROR(Torres!K1636, 0) + IFERROR('San José'!K1636, 0) + IFERROR(Terraplaza!K1636, 0)</f>
        <v>106.25</v>
      </c>
      <c r="C1637">
        <v>51</v>
      </c>
      <c r="D1637">
        <v>10.75</v>
      </c>
      <c r="E1637">
        <v>44.5</v>
      </c>
    </row>
    <row r="1638" spans="1:5" x14ac:dyDescent="0.25">
      <c r="A1638" s="1">
        <v>45102</v>
      </c>
      <c r="B1638" s="2">
        <f>IFERROR(Torres!K1637, 0) + IFERROR('San José'!K1637, 0) + IFERROR(Terraplaza!K1637, 0)</f>
        <v>91.5</v>
      </c>
      <c r="C1638">
        <v>46.125</v>
      </c>
      <c r="D1638">
        <v>14.25</v>
      </c>
      <c r="E1638">
        <v>31.125</v>
      </c>
    </row>
    <row r="1639" spans="1:5" x14ac:dyDescent="0.25">
      <c r="A1639" s="1">
        <v>45103</v>
      </c>
      <c r="B1639" s="2">
        <f>IFERROR(Torres!K1638, 0) + IFERROR('San José'!K1638, 0) + IFERROR(Terraplaza!K1638, 0)</f>
        <v>43.875</v>
      </c>
      <c r="C1639">
        <v>21.375</v>
      </c>
      <c r="D1639">
        <v>5.875</v>
      </c>
      <c r="E1639">
        <v>16.625</v>
      </c>
    </row>
    <row r="1640" spans="1:5" x14ac:dyDescent="0.25">
      <c r="A1640" s="1">
        <v>45104</v>
      </c>
      <c r="B1640" s="2">
        <f>IFERROR(Torres!K1639, 0) + IFERROR('San José'!K1639, 0) + IFERROR(Terraplaza!K1639, 0)</f>
        <v>53.75</v>
      </c>
      <c r="C1640">
        <v>27.25</v>
      </c>
      <c r="D1640">
        <v>6.25</v>
      </c>
      <c r="E1640">
        <v>20.25</v>
      </c>
    </row>
    <row r="1641" spans="1:5" x14ac:dyDescent="0.25">
      <c r="A1641" s="1">
        <v>45105</v>
      </c>
      <c r="B1641" s="2">
        <f>IFERROR(Torres!K1640, 0) + IFERROR('San José'!K1640, 0) + IFERROR(Terraplaza!K1640, 0)</f>
        <v>57.375</v>
      </c>
      <c r="C1641">
        <v>27.75</v>
      </c>
      <c r="D1641">
        <v>3.25</v>
      </c>
      <c r="E1641">
        <v>26.375</v>
      </c>
    </row>
    <row r="1642" spans="1:5" x14ac:dyDescent="0.25">
      <c r="A1642" s="1">
        <v>45106</v>
      </c>
      <c r="B1642" s="2">
        <f>IFERROR(Torres!K1641, 0) + IFERROR('San José'!K1641, 0) + IFERROR(Terraplaza!K1641, 0)</f>
        <v>87.625</v>
      </c>
      <c r="C1642">
        <v>32.625</v>
      </c>
      <c r="D1642">
        <v>13</v>
      </c>
      <c r="E1642">
        <v>42</v>
      </c>
    </row>
    <row r="1643" spans="1:5" x14ac:dyDescent="0.25">
      <c r="A1643" s="1">
        <v>45107</v>
      </c>
      <c r="B1643" s="2">
        <f>IFERROR(Torres!K1642, 0) + IFERROR('San José'!K1642, 0) + IFERROR(Terraplaza!K1642, 0)</f>
        <v>84.75</v>
      </c>
      <c r="C1643">
        <v>27</v>
      </c>
      <c r="D1643">
        <v>10.125</v>
      </c>
      <c r="E1643">
        <v>47.625</v>
      </c>
    </row>
    <row r="1644" spans="1:5" x14ac:dyDescent="0.25">
      <c r="A1644" s="1">
        <v>45108</v>
      </c>
      <c r="B1644" s="2">
        <f>IFERROR(Torres!K1643, 0) + IFERROR('San José'!K1643, 0) + IFERROR(Terraplaza!K1643, 0)</f>
        <v>91.875</v>
      </c>
      <c r="C1644">
        <v>33.375</v>
      </c>
      <c r="D1644">
        <v>42.25</v>
      </c>
      <c r="E1644">
        <v>16.25</v>
      </c>
    </row>
    <row r="1645" spans="1:5" x14ac:dyDescent="0.25">
      <c r="A1645" s="1">
        <v>45109</v>
      </c>
      <c r="B1645" s="2">
        <f>IFERROR(Torres!K1644, 0) + IFERROR('San José'!K1644, 0) + IFERROR(Terraplaza!K1644, 0)</f>
        <v>58</v>
      </c>
      <c r="C1645">
        <v>44.125</v>
      </c>
      <c r="D1645">
        <v>13.875</v>
      </c>
      <c r="E1645" t="e">
        <v>#N/A</v>
      </c>
    </row>
    <row r="1646" spans="1:5" x14ac:dyDescent="0.25">
      <c r="A1646" s="1">
        <v>45110</v>
      </c>
      <c r="B1646" s="2">
        <f>IFERROR(Torres!K1645, 0) + IFERROR('San José'!K1645, 0) + IFERROR(Terraplaza!K1645, 0)</f>
        <v>55.5</v>
      </c>
      <c r="C1646">
        <v>40.75</v>
      </c>
      <c r="D1646">
        <v>14.75</v>
      </c>
      <c r="E1646" t="e">
        <v>#N/A</v>
      </c>
    </row>
    <row r="1647" spans="1:5" x14ac:dyDescent="0.25">
      <c r="A1647" s="1">
        <v>45111</v>
      </c>
      <c r="B1647" s="2">
        <f>IFERROR(Torres!K1646, 0) + IFERROR('San José'!K1646, 0) + IFERROR(Terraplaza!K1646, 0)</f>
        <v>33</v>
      </c>
      <c r="C1647">
        <v>21.5</v>
      </c>
      <c r="D1647">
        <v>11.5</v>
      </c>
      <c r="E1647" t="e">
        <v>#N/A</v>
      </c>
    </row>
    <row r="1648" spans="1:5" x14ac:dyDescent="0.25">
      <c r="A1648" s="1">
        <v>45112</v>
      </c>
      <c r="B1648" s="2">
        <f>IFERROR(Torres!K1647, 0) + IFERROR('San José'!K1647, 0) + IFERROR(Terraplaza!K1647, 0)</f>
        <v>37.5</v>
      </c>
      <c r="C1648">
        <v>30.625</v>
      </c>
      <c r="D1648">
        <v>6.875</v>
      </c>
      <c r="E1648" t="e">
        <v>#N/A</v>
      </c>
    </row>
    <row r="1649" spans="1:5" x14ac:dyDescent="0.25">
      <c r="A1649" s="1">
        <v>45113</v>
      </c>
      <c r="B1649" s="2">
        <f>IFERROR(Torres!K1648, 0) + IFERROR('San José'!K1648, 0) + IFERROR(Terraplaza!K1648, 0)</f>
        <v>37</v>
      </c>
      <c r="C1649">
        <v>23.875</v>
      </c>
      <c r="D1649">
        <v>13.125</v>
      </c>
      <c r="E1649" t="e">
        <v>#N/A</v>
      </c>
    </row>
    <row r="1650" spans="1:5" x14ac:dyDescent="0.25">
      <c r="A1650" s="1">
        <v>45114</v>
      </c>
      <c r="B1650" s="2">
        <f>IFERROR(Torres!K1649, 0) + IFERROR('San José'!K1649, 0) + IFERROR(Terraplaza!K1649, 0)</f>
        <v>35.25</v>
      </c>
      <c r="C1650">
        <v>24.375</v>
      </c>
      <c r="D1650">
        <v>10.875</v>
      </c>
      <c r="E1650" t="e">
        <v>#N/A</v>
      </c>
    </row>
    <row r="1651" spans="1:5" x14ac:dyDescent="0.25">
      <c r="A1651" s="1">
        <v>45115</v>
      </c>
      <c r="B1651" s="2">
        <f>IFERROR(Torres!K1650, 0) + IFERROR('San José'!K1650, 0) + IFERROR(Terraplaza!K1650, 0)</f>
        <v>63.75</v>
      </c>
      <c r="C1651">
        <v>46.125</v>
      </c>
      <c r="D1651">
        <v>17.625</v>
      </c>
      <c r="E1651" t="e">
        <v>#N/A</v>
      </c>
    </row>
    <row r="1652" spans="1:5" x14ac:dyDescent="0.25">
      <c r="A1652" s="1">
        <v>45116</v>
      </c>
      <c r="B1652" s="2">
        <f>IFERROR(Torres!K1651, 0) + IFERROR('San José'!K1651, 0) + IFERROR(Terraplaza!K1651, 0)</f>
        <v>61.625</v>
      </c>
      <c r="C1652">
        <v>50.5</v>
      </c>
      <c r="D1652">
        <v>11.125</v>
      </c>
      <c r="E1652" t="e">
        <v>#N/A</v>
      </c>
    </row>
    <row r="1653" spans="1:5" x14ac:dyDescent="0.25">
      <c r="A1653" s="1">
        <v>45117</v>
      </c>
      <c r="B1653" s="2">
        <f>IFERROR(Torres!K1652, 0) + IFERROR('San José'!K1652, 0) + IFERROR(Terraplaza!K1652, 0)</f>
        <v>25.125</v>
      </c>
      <c r="C1653">
        <v>17.5</v>
      </c>
      <c r="D1653">
        <v>7.625</v>
      </c>
      <c r="E1653" t="e">
        <v>#N/A</v>
      </c>
    </row>
    <row r="1654" spans="1:5" x14ac:dyDescent="0.25">
      <c r="A1654" s="1">
        <v>45118</v>
      </c>
      <c r="B1654" s="2">
        <f>IFERROR(Torres!K1653, 0) + IFERROR('San José'!K1653, 0) + IFERROR(Terraplaza!K1653, 0)</f>
        <v>27.5</v>
      </c>
      <c r="C1654">
        <v>17.75</v>
      </c>
      <c r="D1654">
        <v>9.75</v>
      </c>
      <c r="E1654" t="e">
        <v>#N/A</v>
      </c>
    </row>
    <row r="1655" spans="1:5" x14ac:dyDescent="0.25">
      <c r="A1655" s="1">
        <v>45119</v>
      </c>
      <c r="B1655" s="2">
        <f>IFERROR(Torres!K1654, 0) + IFERROR('San José'!K1654, 0) + IFERROR(Terraplaza!K1654, 0)</f>
        <v>40</v>
      </c>
      <c r="C1655">
        <v>34.375</v>
      </c>
      <c r="D1655">
        <v>5.625</v>
      </c>
      <c r="E1655" t="e">
        <v>#N/A</v>
      </c>
    </row>
    <row r="1656" spans="1:5" x14ac:dyDescent="0.25">
      <c r="A1656" s="1">
        <v>45120</v>
      </c>
      <c r="B1656" s="2">
        <f>IFERROR(Torres!K1655, 0) + IFERROR('San José'!K1655, 0) + IFERROR(Terraplaza!K1655, 0)</f>
        <v>26</v>
      </c>
      <c r="C1656">
        <v>18.875</v>
      </c>
      <c r="D1656">
        <v>7.125</v>
      </c>
      <c r="E1656" t="e">
        <v>#N/A</v>
      </c>
    </row>
    <row r="1657" spans="1:5" x14ac:dyDescent="0.25">
      <c r="A1657" s="1">
        <v>45121</v>
      </c>
      <c r="B1657" s="2">
        <f>IFERROR(Torres!K1656, 0) + IFERROR('San José'!K1656, 0) + IFERROR(Terraplaza!K1656, 0)</f>
        <v>33.375</v>
      </c>
      <c r="C1657">
        <v>23.125</v>
      </c>
      <c r="D1657">
        <v>10.25</v>
      </c>
      <c r="E1657" t="e">
        <v>#N/A</v>
      </c>
    </row>
    <row r="1658" spans="1:5" x14ac:dyDescent="0.25">
      <c r="A1658" s="1">
        <v>45122</v>
      </c>
      <c r="B1658" s="2">
        <f>IFERROR(Torres!K1657, 0) + IFERROR('San José'!K1657, 0) + IFERROR(Terraplaza!K1657, 0)</f>
        <v>46.25</v>
      </c>
      <c r="C1658">
        <v>29.375</v>
      </c>
      <c r="D1658">
        <v>16.875</v>
      </c>
      <c r="E1658" t="e">
        <v>#N/A</v>
      </c>
    </row>
    <row r="1659" spans="1:5" x14ac:dyDescent="0.25">
      <c r="A1659" s="1">
        <v>45123</v>
      </c>
      <c r="B1659" s="2">
        <f>IFERROR(Torres!K1658, 0) + IFERROR('San José'!K1658, 0) + IFERROR(Terraplaza!K1658, 0)</f>
        <v>58.875</v>
      </c>
      <c r="C1659">
        <v>41</v>
      </c>
      <c r="D1659">
        <v>17.875</v>
      </c>
      <c r="E1659" t="e">
        <v>#N/A</v>
      </c>
    </row>
    <row r="1660" spans="1:5" x14ac:dyDescent="0.25">
      <c r="A1660" s="1">
        <v>45124</v>
      </c>
      <c r="B1660" s="2">
        <f>IFERROR(Torres!K1659, 0) + IFERROR('San José'!K1659, 0) + IFERROR(Terraplaza!K1659, 0)</f>
        <v>17</v>
      </c>
      <c r="C1660">
        <v>11.875</v>
      </c>
      <c r="D1660">
        <v>5.125</v>
      </c>
      <c r="E1660" t="e">
        <v>#N/A</v>
      </c>
    </row>
    <row r="1661" spans="1:5" x14ac:dyDescent="0.25">
      <c r="A1661" s="1">
        <v>45125</v>
      </c>
      <c r="B1661" s="2">
        <f>IFERROR(Torres!K1660, 0) + IFERROR('San José'!K1660, 0) + IFERROR(Terraplaza!K1660, 0)</f>
        <v>21.375</v>
      </c>
      <c r="C1661">
        <v>15.125</v>
      </c>
      <c r="D1661">
        <v>6.25</v>
      </c>
      <c r="E1661" t="e">
        <v>#N/A</v>
      </c>
    </row>
    <row r="1662" spans="1:5" x14ac:dyDescent="0.25">
      <c r="A1662" s="1">
        <v>45126</v>
      </c>
      <c r="B1662" s="2">
        <f>IFERROR(Torres!K1661, 0) + IFERROR('San José'!K1661, 0) + IFERROR(Terraplaza!K1661, 0)</f>
        <v>39.25</v>
      </c>
      <c r="C1662">
        <v>31</v>
      </c>
      <c r="D1662">
        <v>8.25</v>
      </c>
      <c r="E1662" t="e">
        <v>#N/A</v>
      </c>
    </row>
    <row r="1663" spans="1:5" x14ac:dyDescent="0.25">
      <c r="A1663" s="1">
        <v>45127</v>
      </c>
      <c r="B1663" s="2">
        <f>IFERROR(Torres!K1662, 0) + IFERROR('San José'!K1662, 0) + IFERROR(Terraplaza!K1662, 0)</f>
        <v>64.375</v>
      </c>
      <c r="C1663">
        <v>57.25</v>
      </c>
      <c r="D1663">
        <v>7.125</v>
      </c>
      <c r="E1663" t="e">
        <v>#N/A</v>
      </c>
    </row>
    <row r="1664" spans="1:5" x14ac:dyDescent="0.25">
      <c r="A1664" s="1">
        <v>45128</v>
      </c>
      <c r="B1664" s="2">
        <f>IFERROR(Torres!K1663, 0) + IFERROR('San José'!K1663, 0) + IFERROR(Terraplaza!K1663, 0)</f>
        <v>40.625</v>
      </c>
      <c r="C1664">
        <v>33.25</v>
      </c>
      <c r="D1664">
        <v>7.375</v>
      </c>
      <c r="E1664" t="e">
        <v>#N/A</v>
      </c>
    </row>
    <row r="1665" spans="1:5" x14ac:dyDescent="0.25">
      <c r="A1665" s="1">
        <v>45129</v>
      </c>
      <c r="B1665" s="2">
        <f>IFERROR(Torres!K1664, 0) + IFERROR('San José'!K1664, 0) + IFERROR(Terraplaza!K1664, 0)</f>
        <v>60</v>
      </c>
      <c r="C1665">
        <v>46.5</v>
      </c>
      <c r="D1665">
        <v>13.5</v>
      </c>
      <c r="E1665" t="e">
        <v>#N/A</v>
      </c>
    </row>
    <row r="1666" spans="1:5" x14ac:dyDescent="0.25">
      <c r="A1666" s="1">
        <v>45130</v>
      </c>
      <c r="B1666" s="2">
        <f>IFERROR(Torres!K1665, 0) + IFERROR('San José'!K1665, 0) + IFERROR(Terraplaza!K1665, 0)</f>
        <v>59.375</v>
      </c>
      <c r="C1666">
        <v>47</v>
      </c>
      <c r="D1666">
        <v>12.375</v>
      </c>
      <c r="E1666" t="e">
        <v>#N/A</v>
      </c>
    </row>
    <row r="1667" spans="1:5" x14ac:dyDescent="0.25">
      <c r="A1667" s="1">
        <v>45131</v>
      </c>
      <c r="B1667" s="2">
        <f>IFERROR(Torres!K1666, 0) + IFERROR('San José'!K1666, 0) + IFERROR(Terraplaza!K1666, 0)</f>
        <v>18.625</v>
      </c>
      <c r="C1667">
        <v>12.375</v>
      </c>
      <c r="D1667">
        <v>6.25</v>
      </c>
      <c r="E1667" t="e">
        <v>#N/A</v>
      </c>
    </row>
    <row r="1668" spans="1:5" x14ac:dyDescent="0.25">
      <c r="A1668" s="1">
        <v>45132</v>
      </c>
      <c r="B1668" s="2">
        <f>IFERROR(Torres!K1667, 0) + IFERROR('San José'!K1667, 0) + IFERROR(Terraplaza!K1667, 0)</f>
        <v>31.5</v>
      </c>
      <c r="C1668">
        <v>22.125</v>
      </c>
      <c r="D1668">
        <v>9.375</v>
      </c>
      <c r="E1668" t="e">
        <v>#N/A</v>
      </c>
    </row>
    <row r="1669" spans="1:5" x14ac:dyDescent="0.25">
      <c r="A1669" s="1">
        <v>45133</v>
      </c>
      <c r="B1669" s="2">
        <f>IFERROR(Torres!K1668, 0) + IFERROR('San José'!K1668, 0) + IFERROR(Terraplaza!K1668, 0)</f>
        <v>40.25</v>
      </c>
      <c r="C1669">
        <v>34.375</v>
      </c>
      <c r="D1669">
        <v>5.875</v>
      </c>
      <c r="E1669" t="e">
        <v>#N/A</v>
      </c>
    </row>
    <row r="1670" spans="1:5" x14ac:dyDescent="0.25">
      <c r="A1670" s="1">
        <v>45134</v>
      </c>
      <c r="B1670" s="2">
        <f>IFERROR(Torres!K1669, 0) + IFERROR('San José'!K1669, 0) + IFERROR(Terraplaza!K1669, 0)</f>
        <v>25.625</v>
      </c>
      <c r="C1670">
        <v>18.875</v>
      </c>
      <c r="D1670">
        <v>6.75</v>
      </c>
      <c r="E1670" t="e">
        <v>#N/A</v>
      </c>
    </row>
    <row r="1671" spans="1:5" x14ac:dyDescent="0.25">
      <c r="A1671" s="1">
        <v>45135</v>
      </c>
      <c r="B1671" s="2">
        <f>IFERROR(Torres!K1670, 0) + IFERROR('San José'!K1670, 0) + IFERROR(Terraplaza!K1670, 0)</f>
        <v>28.5</v>
      </c>
      <c r="C1671">
        <v>20.25</v>
      </c>
      <c r="D1671">
        <v>8.25</v>
      </c>
      <c r="E1671" t="e">
        <v>#N/A</v>
      </c>
    </row>
    <row r="1672" spans="1:5" x14ac:dyDescent="0.25">
      <c r="A1672" s="1">
        <v>45136</v>
      </c>
      <c r="B1672" s="2">
        <f>IFERROR(Torres!K1671, 0) + IFERROR('San José'!K1671, 0) + IFERROR(Terraplaza!K1671, 0)</f>
        <v>42.875</v>
      </c>
      <c r="C1672">
        <v>28.125</v>
      </c>
      <c r="D1672">
        <v>14.75</v>
      </c>
      <c r="E1672" t="e">
        <v>#N/A</v>
      </c>
    </row>
    <row r="1673" spans="1:5" x14ac:dyDescent="0.25">
      <c r="A1673" s="1">
        <v>45137</v>
      </c>
      <c r="B1673" s="2">
        <f>IFERROR(Torres!K1672, 0) + IFERROR('San José'!K1672, 0) + IFERROR(Terraplaza!K1672, 0)</f>
        <v>62.5</v>
      </c>
      <c r="C1673">
        <v>44.125</v>
      </c>
      <c r="D1673">
        <v>18.375</v>
      </c>
      <c r="E1673" t="e">
        <v>#N/A</v>
      </c>
    </row>
    <row r="1674" spans="1:5" x14ac:dyDescent="0.25">
      <c r="A1674" s="1">
        <v>45138</v>
      </c>
      <c r="B1674" s="2">
        <f>IFERROR(Torres!K1673, 0) + IFERROR('San José'!K1673, 0) + IFERROR(Terraplaza!K1673, 0)</f>
        <v>18.375</v>
      </c>
      <c r="C1674">
        <v>15.375</v>
      </c>
      <c r="D1674">
        <v>3</v>
      </c>
      <c r="E1674" t="e">
        <v>#N/A</v>
      </c>
    </row>
    <row r="1675" spans="1:5" x14ac:dyDescent="0.25">
      <c r="A1675" s="1">
        <v>45139</v>
      </c>
      <c r="B1675" s="2">
        <f>IFERROR(Torres!K1674, 0) + IFERROR('San José'!K1674, 0) + IFERROR(Terraplaza!K1674, 0)</f>
        <v>43.125</v>
      </c>
      <c r="C1675">
        <v>7.25</v>
      </c>
      <c r="D1675">
        <v>11.5</v>
      </c>
      <c r="E1675">
        <v>24.375</v>
      </c>
    </row>
    <row r="1676" spans="1:5" x14ac:dyDescent="0.25">
      <c r="A1676" s="1">
        <v>45140</v>
      </c>
      <c r="B1676" s="2">
        <f>IFERROR(Torres!K1675, 0) + IFERROR('San José'!K1675, 0) + IFERROR(Terraplaza!K1675, 0)</f>
        <v>68</v>
      </c>
      <c r="C1676">
        <v>29.5</v>
      </c>
      <c r="D1676">
        <v>8.375</v>
      </c>
      <c r="E1676">
        <v>30.125</v>
      </c>
    </row>
    <row r="1677" spans="1:5" x14ac:dyDescent="0.25">
      <c r="A1677" s="1">
        <v>45141</v>
      </c>
      <c r="B1677" s="2">
        <f>IFERROR(Torres!K1676, 0) + IFERROR('San José'!K1676, 0) + IFERROR(Terraplaza!K1676, 0)</f>
        <v>42.5</v>
      </c>
      <c r="C1677">
        <v>21</v>
      </c>
      <c r="D1677">
        <v>4.75</v>
      </c>
      <c r="E1677">
        <v>16.75</v>
      </c>
    </row>
    <row r="1678" spans="1:5" x14ac:dyDescent="0.25">
      <c r="A1678" s="1">
        <v>45142</v>
      </c>
      <c r="B1678" s="2">
        <f>IFERROR(Torres!K1677, 0) + IFERROR('San José'!K1677, 0) + IFERROR(Terraplaza!K1677, 0)</f>
        <v>84.5</v>
      </c>
      <c r="C1678">
        <v>29.125</v>
      </c>
      <c r="D1678">
        <v>11.375</v>
      </c>
      <c r="E1678">
        <v>44</v>
      </c>
    </row>
    <row r="1679" spans="1:5" x14ac:dyDescent="0.25">
      <c r="A1679" s="1">
        <v>45143</v>
      </c>
      <c r="B1679" s="2">
        <f>IFERROR(Torres!K1678, 0) + IFERROR('San José'!K1678, 0) + IFERROR(Terraplaza!K1678, 0)</f>
        <v>94.5</v>
      </c>
      <c r="C1679">
        <v>36.625</v>
      </c>
      <c r="D1679">
        <v>11.75</v>
      </c>
      <c r="E1679">
        <v>46.125</v>
      </c>
    </row>
    <row r="1680" spans="1:5" x14ac:dyDescent="0.25">
      <c r="A1680" s="1">
        <v>45144</v>
      </c>
      <c r="B1680" s="2">
        <f>IFERROR(Torres!K1679, 0) + IFERROR('San José'!K1679, 0) + IFERROR(Terraplaza!K1679, 0)</f>
        <v>100.75</v>
      </c>
      <c r="C1680">
        <v>40.25</v>
      </c>
      <c r="D1680">
        <v>16.125</v>
      </c>
      <c r="E1680">
        <v>44.375</v>
      </c>
    </row>
    <row r="1681" spans="1:5" x14ac:dyDescent="0.25">
      <c r="A1681" s="1">
        <v>45145</v>
      </c>
      <c r="B1681" s="2">
        <f>IFERROR(Torres!K1680, 0) + IFERROR('San José'!K1680, 0) + IFERROR(Terraplaza!K1680, 0)</f>
        <v>99.125</v>
      </c>
      <c r="C1681">
        <v>38.5</v>
      </c>
      <c r="D1681">
        <v>18.25</v>
      </c>
      <c r="E1681">
        <v>42.375</v>
      </c>
    </row>
    <row r="1682" spans="1:5" x14ac:dyDescent="0.25">
      <c r="A1682" s="1">
        <v>45146</v>
      </c>
      <c r="B1682" s="2">
        <f>IFERROR(Torres!K1681, 0) + IFERROR('San José'!K1681, 0) + IFERROR(Terraplaza!K1681, 0)</f>
        <v>25.625</v>
      </c>
      <c r="C1682">
        <v>9.375</v>
      </c>
      <c r="D1682">
        <v>6.25</v>
      </c>
      <c r="E1682">
        <v>10</v>
      </c>
    </row>
    <row r="1683" spans="1:5" x14ac:dyDescent="0.25">
      <c r="A1683" s="1">
        <v>45147</v>
      </c>
      <c r="B1683" s="2">
        <f>IFERROR(Torres!K1682, 0) + IFERROR('San José'!K1682, 0) + IFERROR(Terraplaza!K1682, 0)</f>
        <v>56</v>
      </c>
      <c r="C1683">
        <v>28.25</v>
      </c>
      <c r="D1683">
        <v>6.375</v>
      </c>
      <c r="E1683">
        <v>21.375</v>
      </c>
    </row>
    <row r="1684" spans="1:5" x14ac:dyDescent="0.25">
      <c r="A1684" s="1">
        <v>45148</v>
      </c>
      <c r="B1684" s="2">
        <f>IFERROR(Torres!K1683, 0) + IFERROR('San José'!K1683, 0) + IFERROR(Terraplaza!K1683, 0)</f>
        <v>38.625</v>
      </c>
      <c r="C1684">
        <v>9.375</v>
      </c>
      <c r="D1684">
        <v>8.75</v>
      </c>
      <c r="E1684">
        <v>20.5</v>
      </c>
    </row>
    <row r="1685" spans="1:5" x14ac:dyDescent="0.25">
      <c r="A1685" s="1">
        <v>45149</v>
      </c>
      <c r="B1685" s="2">
        <f>IFERROR(Torres!K1684, 0) + IFERROR('San José'!K1684, 0) + IFERROR(Terraplaza!K1684, 0)</f>
        <v>63</v>
      </c>
      <c r="C1685">
        <v>20.125</v>
      </c>
      <c r="D1685">
        <v>8.25</v>
      </c>
      <c r="E1685">
        <v>34.625</v>
      </c>
    </row>
    <row r="1686" spans="1:5" x14ac:dyDescent="0.25">
      <c r="A1686" s="1">
        <v>45150</v>
      </c>
      <c r="B1686" s="2">
        <f>IFERROR(Torres!K1685, 0) + IFERROR('San José'!K1685, 0) + IFERROR(Terraplaza!K1685, 0)</f>
        <v>91.25</v>
      </c>
      <c r="C1686">
        <v>32.25</v>
      </c>
      <c r="D1686">
        <v>14.75</v>
      </c>
      <c r="E1686">
        <v>44.25</v>
      </c>
    </row>
    <row r="1687" spans="1:5" x14ac:dyDescent="0.25">
      <c r="A1687" s="1">
        <v>45151</v>
      </c>
      <c r="B1687" s="2">
        <f>IFERROR(Torres!K1686, 0) + IFERROR('San José'!K1686, 0) + IFERROR(Terraplaza!K1686, 0)</f>
        <v>82.25</v>
      </c>
      <c r="C1687">
        <v>34.5</v>
      </c>
      <c r="D1687">
        <v>11.375</v>
      </c>
      <c r="E1687">
        <v>36.375</v>
      </c>
    </row>
    <row r="1688" spans="1:5" x14ac:dyDescent="0.25">
      <c r="A1688" s="1">
        <v>45152</v>
      </c>
      <c r="B1688" s="2">
        <f>IFERROR(Torres!K1687, 0) + IFERROR('San José'!K1687, 0) + IFERROR(Terraplaza!K1687, 0)</f>
        <v>46.75</v>
      </c>
      <c r="C1688">
        <v>10.5</v>
      </c>
      <c r="D1688">
        <v>5.625</v>
      </c>
      <c r="E1688">
        <v>30.625</v>
      </c>
    </row>
    <row r="1689" spans="1:5" x14ac:dyDescent="0.25">
      <c r="A1689" s="1">
        <v>45153</v>
      </c>
      <c r="B1689" s="2">
        <f>IFERROR(Torres!K1688, 0) + IFERROR('San José'!K1688, 0) + IFERROR(Terraplaza!K1688, 0)</f>
        <v>16</v>
      </c>
      <c r="C1689">
        <v>7.75</v>
      </c>
      <c r="D1689">
        <v>2.75</v>
      </c>
      <c r="E1689">
        <v>5.5</v>
      </c>
    </row>
    <row r="1690" spans="1:5" x14ac:dyDescent="0.25">
      <c r="A1690" s="1">
        <v>45154</v>
      </c>
      <c r="B1690" s="2">
        <f>IFERROR(Torres!K1689, 0) + IFERROR('San José'!K1689, 0) + IFERROR(Terraplaza!K1689, 0)</f>
        <v>44.125</v>
      </c>
      <c r="C1690">
        <v>16.125</v>
      </c>
      <c r="D1690">
        <v>4.5</v>
      </c>
      <c r="E1690">
        <v>23.5</v>
      </c>
    </row>
    <row r="1691" spans="1:5" x14ac:dyDescent="0.25">
      <c r="A1691" s="1">
        <v>45155</v>
      </c>
      <c r="B1691" s="2">
        <f>IFERROR(Torres!K1690, 0) + IFERROR('San José'!K1690, 0) + IFERROR(Terraplaza!K1690, 0)</f>
        <v>50.625</v>
      </c>
      <c r="C1691">
        <v>15.875</v>
      </c>
      <c r="D1691">
        <v>10</v>
      </c>
      <c r="E1691">
        <v>24.75</v>
      </c>
    </row>
    <row r="1692" spans="1:5" x14ac:dyDescent="0.25">
      <c r="A1692" s="1">
        <v>45156</v>
      </c>
      <c r="B1692" s="2">
        <f>IFERROR(Torres!K1691, 0) + IFERROR('San José'!K1691, 0) + IFERROR(Terraplaza!K1691, 0)</f>
        <v>64.375</v>
      </c>
      <c r="C1692">
        <v>21.625</v>
      </c>
      <c r="D1692">
        <v>8.375</v>
      </c>
      <c r="E1692">
        <v>34.375</v>
      </c>
    </row>
    <row r="1693" spans="1:5" x14ac:dyDescent="0.25">
      <c r="A1693" s="1">
        <v>45157</v>
      </c>
      <c r="B1693" s="2">
        <f>IFERROR(Torres!K1692, 0) + IFERROR('San José'!K1692, 0) + IFERROR(Terraplaza!K1692, 0)</f>
        <v>79.625</v>
      </c>
      <c r="C1693">
        <v>46.5</v>
      </c>
      <c r="D1693">
        <v>8.125</v>
      </c>
      <c r="E1693">
        <v>25</v>
      </c>
    </row>
    <row r="1694" spans="1:5" x14ac:dyDescent="0.25">
      <c r="A1694" s="1">
        <v>45158</v>
      </c>
      <c r="B1694" s="2">
        <f>IFERROR(Torres!K1693, 0) + IFERROR('San José'!K1693, 0) + IFERROR(Terraplaza!K1693, 0)</f>
        <v>96.5</v>
      </c>
      <c r="C1694">
        <v>43.75</v>
      </c>
      <c r="D1694">
        <v>13.5</v>
      </c>
      <c r="E1694">
        <v>39.25</v>
      </c>
    </row>
    <row r="1695" spans="1:5" x14ac:dyDescent="0.25">
      <c r="A1695" s="1">
        <v>45159</v>
      </c>
      <c r="B1695" s="2">
        <f>IFERROR(Torres!K1694, 0) + IFERROR('San José'!K1694, 0) + IFERROR(Terraplaza!K1694, 0)</f>
        <v>60.875</v>
      </c>
      <c r="C1695">
        <v>27.625</v>
      </c>
      <c r="D1695">
        <v>9.5</v>
      </c>
      <c r="E1695">
        <v>23.75</v>
      </c>
    </row>
    <row r="1696" spans="1:5" x14ac:dyDescent="0.25">
      <c r="A1696" s="1">
        <v>45160</v>
      </c>
      <c r="B1696" s="2">
        <f>IFERROR(Torres!K1695, 0) + IFERROR('San José'!K1695, 0) + IFERROR(Terraplaza!K1695, 0)</f>
        <v>15.875</v>
      </c>
      <c r="C1696">
        <v>5.125</v>
      </c>
      <c r="D1696">
        <v>4</v>
      </c>
      <c r="E1696">
        <v>6.75</v>
      </c>
    </row>
    <row r="1697" spans="1:5" x14ac:dyDescent="0.25">
      <c r="A1697" s="1">
        <v>45161</v>
      </c>
      <c r="B1697" s="2">
        <f>IFERROR(Torres!K1696, 0) + IFERROR('San José'!K1696, 0) + IFERROR(Terraplaza!K1696, 0)</f>
        <v>56.125</v>
      </c>
      <c r="C1697">
        <v>19.625</v>
      </c>
      <c r="D1697">
        <v>7.125</v>
      </c>
      <c r="E1697">
        <v>29.375</v>
      </c>
    </row>
    <row r="1698" spans="1:5" x14ac:dyDescent="0.25">
      <c r="A1698" s="1">
        <v>45162</v>
      </c>
      <c r="B1698" s="2">
        <f>IFERROR(Torres!K1697, 0) + IFERROR('San José'!K1697, 0) + IFERROR(Terraplaza!K1697, 0)</f>
        <v>49.875</v>
      </c>
      <c r="C1698">
        <v>16.875</v>
      </c>
      <c r="D1698">
        <v>7.625</v>
      </c>
      <c r="E1698">
        <v>25.375</v>
      </c>
    </row>
    <row r="1699" spans="1:5" x14ac:dyDescent="0.25">
      <c r="A1699" s="1">
        <v>45163</v>
      </c>
      <c r="B1699" s="2">
        <f>IFERROR(Torres!K1698, 0) + IFERROR('San José'!K1698, 0) + IFERROR(Terraplaza!K1698, 0)</f>
        <v>69</v>
      </c>
      <c r="C1699">
        <v>21.75</v>
      </c>
      <c r="D1699">
        <v>11.5</v>
      </c>
      <c r="E1699">
        <v>35.75</v>
      </c>
    </row>
    <row r="1700" spans="1:5" x14ac:dyDescent="0.25">
      <c r="A1700" s="1">
        <v>45164</v>
      </c>
      <c r="B1700" s="2">
        <f>IFERROR(Torres!K1699, 0) + IFERROR('San José'!K1699, 0) + IFERROR(Terraplaza!K1699, 0)</f>
        <v>72.25</v>
      </c>
      <c r="C1700">
        <v>25.75</v>
      </c>
      <c r="D1700">
        <v>12.375</v>
      </c>
      <c r="E1700">
        <v>34.125</v>
      </c>
    </row>
    <row r="1701" spans="1:5" x14ac:dyDescent="0.25">
      <c r="A1701" s="1">
        <v>45165</v>
      </c>
      <c r="B1701" s="2">
        <f>IFERROR(Torres!K1700, 0) + IFERROR('San José'!K1700, 0) + IFERROR(Terraplaza!K1700, 0)</f>
        <v>90</v>
      </c>
      <c r="C1701">
        <v>34.75</v>
      </c>
      <c r="D1701">
        <v>15.75</v>
      </c>
      <c r="E1701">
        <v>39.5</v>
      </c>
    </row>
    <row r="1702" spans="1:5" x14ac:dyDescent="0.25">
      <c r="A1702" s="1">
        <v>45166</v>
      </c>
      <c r="B1702" s="2">
        <f>IFERROR(Torres!K1701, 0) + IFERROR('San José'!K1701, 0) + IFERROR(Terraplaza!K1701, 0)</f>
        <v>37.125</v>
      </c>
      <c r="C1702">
        <v>15.25</v>
      </c>
      <c r="D1702">
        <v>2.5</v>
      </c>
      <c r="E1702">
        <v>19.375</v>
      </c>
    </row>
    <row r="1703" spans="1:5" x14ac:dyDescent="0.25">
      <c r="A1703" s="1">
        <v>45167</v>
      </c>
      <c r="B1703" s="2">
        <f>IFERROR(Torres!K1702, 0) + IFERROR('San José'!K1702, 0) + IFERROR(Terraplaza!K1702, 0)</f>
        <v>22.625</v>
      </c>
      <c r="C1703">
        <v>8.25</v>
      </c>
      <c r="D1703">
        <v>7.25</v>
      </c>
      <c r="E1703">
        <v>7.125</v>
      </c>
    </row>
    <row r="1704" spans="1:5" x14ac:dyDescent="0.25">
      <c r="A1704" s="1">
        <v>45168</v>
      </c>
      <c r="B1704" s="2">
        <f>IFERROR(Torres!K1703, 0) + IFERROR('San José'!K1703, 0) + IFERROR(Terraplaza!K1703, 0)</f>
        <v>45.25</v>
      </c>
      <c r="C1704">
        <v>16.5</v>
      </c>
      <c r="D1704">
        <v>6.875</v>
      </c>
      <c r="E1704">
        <v>21.875</v>
      </c>
    </row>
    <row r="1705" spans="1:5" x14ac:dyDescent="0.25">
      <c r="A1705" s="1">
        <v>45169</v>
      </c>
      <c r="B1705" s="2">
        <f>IFERROR(Torres!K1704, 0) + IFERROR('San José'!K1704, 0) + IFERROR(Terraplaza!K1704, 0)</f>
        <v>52.875</v>
      </c>
      <c r="C1705">
        <v>16.125</v>
      </c>
      <c r="D1705">
        <v>10.25</v>
      </c>
      <c r="E1705">
        <v>26.5</v>
      </c>
    </row>
    <row r="1706" spans="1:5" x14ac:dyDescent="0.25">
      <c r="A1706" s="1">
        <v>45170</v>
      </c>
      <c r="B1706" s="2">
        <f>IFERROR(Torres!K1705, 0) + IFERROR('San José'!K1705, 0) + IFERROR(Terraplaza!K1705, 0)</f>
        <v>0</v>
      </c>
      <c r="C1706" t="e">
        <v>#N/A</v>
      </c>
      <c r="D1706" t="e">
        <v>#N/A</v>
      </c>
      <c r="E1706" t="e">
        <v>#N/A</v>
      </c>
    </row>
    <row r="1707" spans="1:5" x14ac:dyDescent="0.25">
      <c r="A1707" s="1">
        <v>45171</v>
      </c>
      <c r="B1707" s="2">
        <f>IFERROR(Torres!K1706, 0) + IFERROR('San José'!K1706, 0) + IFERROR(Terraplaza!K1706, 0)</f>
        <v>0</v>
      </c>
      <c r="C1707" t="e">
        <v>#N/A</v>
      </c>
      <c r="D1707" t="e">
        <v>#N/A</v>
      </c>
      <c r="E1707" t="e">
        <v>#N/A</v>
      </c>
    </row>
    <row r="1708" spans="1:5" x14ac:dyDescent="0.25">
      <c r="A1708" s="1">
        <v>45172</v>
      </c>
      <c r="B1708" s="2">
        <f>IFERROR(Torres!K1707, 0) + IFERROR('San José'!K1707, 0) + IFERROR(Terraplaza!K1707, 0)</f>
        <v>0</v>
      </c>
      <c r="C1708" t="e">
        <v>#N/A</v>
      </c>
      <c r="D1708" t="e">
        <v>#N/A</v>
      </c>
      <c r="E1708" t="e">
        <v>#N/A</v>
      </c>
    </row>
    <row r="1709" spans="1:5" x14ac:dyDescent="0.25">
      <c r="A1709" s="1">
        <v>45173</v>
      </c>
      <c r="B1709" s="2">
        <f>IFERROR(Torres!K1708, 0) + IFERROR('San José'!K1708, 0) + IFERROR(Terraplaza!K1708, 0)</f>
        <v>0</v>
      </c>
      <c r="C1709" t="e">
        <v>#N/A</v>
      </c>
      <c r="D1709" t="e">
        <v>#N/A</v>
      </c>
      <c r="E1709" t="e">
        <v>#N/A</v>
      </c>
    </row>
    <row r="1710" spans="1:5" x14ac:dyDescent="0.25">
      <c r="A1710" s="1">
        <v>45174</v>
      </c>
      <c r="B1710" s="2">
        <f>IFERROR(Torres!K1709, 0) + IFERROR('San José'!K1709, 0) + IFERROR(Terraplaza!K1709, 0)</f>
        <v>0</v>
      </c>
      <c r="C1710" t="e">
        <v>#N/A</v>
      </c>
      <c r="D1710" t="e">
        <v>#N/A</v>
      </c>
      <c r="E1710" t="e">
        <v>#N/A</v>
      </c>
    </row>
    <row r="1711" spans="1:5" x14ac:dyDescent="0.25">
      <c r="A1711" s="1">
        <v>45175</v>
      </c>
      <c r="B1711" s="2">
        <f>IFERROR(Torres!K1710, 0) + IFERROR('San José'!K1710, 0) + IFERROR(Terraplaza!K1710, 0)</f>
        <v>0</v>
      </c>
      <c r="C1711" t="e">
        <v>#N/A</v>
      </c>
      <c r="D1711" t="e">
        <v>#N/A</v>
      </c>
      <c r="E1711" t="e">
        <v>#N/A</v>
      </c>
    </row>
    <row r="1712" spans="1:5" x14ac:dyDescent="0.25">
      <c r="A1712" s="1">
        <v>45176</v>
      </c>
      <c r="B1712" s="2">
        <f>IFERROR(Torres!K1711, 0) + IFERROR('San José'!K1711, 0) + IFERROR(Terraplaza!K1711, 0)</f>
        <v>0</v>
      </c>
      <c r="C1712" t="e">
        <v>#N/A</v>
      </c>
      <c r="D1712" t="e">
        <v>#N/A</v>
      </c>
      <c r="E1712" t="e">
        <v>#N/A</v>
      </c>
    </row>
    <row r="1713" spans="1:5" x14ac:dyDescent="0.25">
      <c r="A1713" s="1">
        <v>45177</v>
      </c>
      <c r="B1713" s="2">
        <f>IFERROR(Torres!K1712, 0) + IFERROR('San José'!K1712, 0) + IFERROR(Terraplaza!K1712, 0)</f>
        <v>0</v>
      </c>
      <c r="C1713" t="e">
        <v>#N/A</v>
      </c>
      <c r="D1713" t="e">
        <v>#N/A</v>
      </c>
      <c r="E1713" t="e">
        <v>#N/A</v>
      </c>
    </row>
    <row r="1714" spans="1:5" x14ac:dyDescent="0.25">
      <c r="A1714" s="1">
        <v>45178</v>
      </c>
      <c r="B1714" s="2">
        <f>IFERROR(Torres!K1713, 0) + IFERROR('San José'!K1713, 0) + IFERROR(Terraplaza!K1713, 0)</f>
        <v>0</v>
      </c>
      <c r="C1714" t="e">
        <v>#N/A</v>
      </c>
      <c r="D1714" t="e">
        <v>#N/A</v>
      </c>
      <c r="E1714" t="e">
        <v>#N/A</v>
      </c>
    </row>
    <row r="1715" spans="1:5" x14ac:dyDescent="0.25">
      <c r="A1715" s="1">
        <v>45179</v>
      </c>
      <c r="B1715" s="2">
        <f>IFERROR(Torres!K1714, 0) + IFERROR('San José'!K1714, 0) + IFERROR(Terraplaza!K1714, 0)</f>
        <v>0</v>
      </c>
      <c r="C1715" t="e">
        <v>#N/A</v>
      </c>
      <c r="D1715" t="e">
        <v>#N/A</v>
      </c>
      <c r="E1715" t="e">
        <v>#N/A</v>
      </c>
    </row>
    <row r="1716" spans="1:5" x14ac:dyDescent="0.25">
      <c r="A1716" s="1">
        <v>45180</v>
      </c>
      <c r="B1716" s="2">
        <f>IFERROR(Torres!K1715, 0) + IFERROR('San José'!K1715, 0) + IFERROR(Terraplaza!K1715, 0)</f>
        <v>0</v>
      </c>
      <c r="C1716" t="e">
        <v>#N/A</v>
      </c>
      <c r="D1716" t="e">
        <v>#N/A</v>
      </c>
      <c r="E1716" t="e">
        <v>#N/A</v>
      </c>
    </row>
    <row r="1717" spans="1:5" x14ac:dyDescent="0.25">
      <c r="A1717" s="1">
        <v>45181</v>
      </c>
      <c r="B1717" s="2">
        <f>IFERROR(Torres!K1716, 0) + IFERROR('San José'!K1716, 0) + IFERROR(Terraplaza!K1716, 0)</f>
        <v>0</v>
      </c>
      <c r="C1717" t="e">
        <v>#N/A</v>
      </c>
      <c r="D1717" t="e">
        <v>#N/A</v>
      </c>
      <c r="E1717" t="e">
        <v>#N/A</v>
      </c>
    </row>
    <row r="1718" spans="1:5" x14ac:dyDescent="0.25">
      <c r="A1718" s="1">
        <v>45182</v>
      </c>
      <c r="B1718" s="2">
        <f>IFERROR(Torres!K1717, 0) + IFERROR('San José'!K1717, 0) + IFERROR(Terraplaza!K1717, 0)</f>
        <v>0</v>
      </c>
      <c r="C1718" t="e">
        <v>#N/A</v>
      </c>
      <c r="D1718" t="e">
        <v>#N/A</v>
      </c>
      <c r="E1718" t="e">
        <v>#N/A</v>
      </c>
    </row>
    <row r="1719" spans="1:5" x14ac:dyDescent="0.25">
      <c r="A1719" s="1">
        <v>45183</v>
      </c>
      <c r="B1719" s="2">
        <f>IFERROR(Torres!K1718, 0) + IFERROR('San José'!K1718, 0) + IFERROR(Terraplaza!K1718, 0)</f>
        <v>0</v>
      </c>
      <c r="C1719" t="e">
        <v>#N/A</v>
      </c>
      <c r="D1719" t="e">
        <v>#N/A</v>
      </c>
      <c r="E1719" t="e">
        <v>#N/A</v>
      </c>
    </row>
    <row r="1720" spans="1:5" x14ac:dyDescent="0.25">
      <c r="A1720" s="1">
        <v>45184</v>
      </c>
      <c r="B1720" s="2">
        <f>IFERROR(Torres!K1719, 0) + IFERROR('San José'!K1719, 0) + IFERROR(Terraplaza!K1719, 0)</f>
        <v>0</v>
      </c>
      <c r="C1720" t="e">
        <v>#N/A</v>
      </c>
      <c r="D1720" t="e">
        <v>#N/A</v>
      </c>
      <c r="E1720" t="e">
        <v>#N/A</v>
      </c>
    </row>
    <row r="1721" spans="1:5" x14ac:dyDescent="0.25">
      <c r="A1721" s="1">
        <v>45185</v>
      </c>
      <c r="B1721" s="2">
        <f>IFERROR(Torres!K1720, 0) + IFERROR('San José'!K1720, 0) + IFERROR(Terraplaza!K1720, 0)</f>
        <v>0</v>
      </c>
      <c r="C1721" t="e">
        <v>#N/A</v>
      </c>
      <c r="D1721" t="e">
        <v>#N/A</v>
      </c>
      <c r="E1721" t="e">
        <v>#N/A</v>
      </c>
    </row>
    <row r="1722" spans="1:5" x14ac:dyDescent="0.25">
      <c r="A1722" s="1">
        <v>45186</v>
      </c>
      <c r="B1722" s="2">
        <f>IFERROR(Torres!K1721, 0) + IFERROR('San José'!K1721, 0) + IFERROR(Terraplaza!K1721, 0)</f>
        <v>0</v>
      </c>
      <c r="C1722" t="e">
        <v>#N/A</v>
      </c>
      <c r="D1722" t="e">
        <v>#N/A</v>
      </c>
      <c r="E1722" t="e">
        <v>#N/A</v>
      </c>
    </row>
    <row r="1723" spans="1:5" x14ac:dyDescent="0.25">
      <c r="A1723" s="1">
        <v>45187</v>
      </c>
      <c r="B1723" s="2">
        <f>IFERROR(Torres!K1722, 0) + IFERROR('San José'!K1722, 0) + IFERROR(Terraplaza!K1722, 0)</f>
        <v>0</v>
      </c>
      <c r="C1723" t="e">
        <v>#N/A</v>
      </c>
      <c r="D1723" t="e">
        <v>#N/A</v>
      </c>
      <c r="E1723" t="e">
        <v>#N/A</v>
      </c>
    </row>
    <row r="1724" spans="1:5" x14ac:dyDescent="0.25">
      <c r="A1724" s="1">
        <v>45188</v>
      </c>
      <c r="B1724" s="2">
        <f>IFERROR(Torres!K1723, 0) + IFERROR('San José'!K1723, 0) + IFERROR(Terraplaza!K1723, 0)</f>
        <v>0</v>
      </c>
      <c r="C1724" t="e">
        <v>#N/A</v>
      </c>
      <c r="D1724" t="e">
        <v>#N/A</v>
      </c>
      <c r="E1724" t="e">
        <v>#N/A</v>
      </c>
    </row>
    <row r="1725" spans="1:5" x14ac:dyDescent="0.25">
      <c r="A1725" s="1">
        <v>45189</v>
      </c>
      <c r="B1725" s="2">
        <f>IFERROR(Torres!K1724, 0) + IFERROR('San José'!K1724, 0) + IFERROR(Terraplaza!K1724, 0)</f>
        <v>0</v>
      </c>
      <c r="C1725" t="e">
        <v>#N/A</v>
      </c>
      <c r="D1725" t="e">
        <v>#N/A</v>
      </c>
      <c r="E1725" t="e">
        <v>#N/A</v>
      </c>
    </row>
    <row r="1726" spans="1:5" x14ac:dyDescent="0.25">
      <c r="A1726" s="1">
        <v>45190</v>
      </c>
      <c r="B1726" s="2">
        <f>IFERROR(Torres!K1725, 0) + IFERROR('San José'!K1725, 0) + IFERROR(Terraplaza!K1725, 0)</f>
        <v>0</v>
      </c>
      <c r="C1726" t="e">
        <v>#N/A</v>
      </c>
      <c r="D1726" t="e">
        <v>#N/A</v>
      </c>
      <c r="E1726" t="e">
        <v>#N/A</v>
      </c>
    </row>
    <row r="1727" spans="1:5" x14ac:dyDescent="0.25">
      <c r="A1727" s="1">
        <v>45191</v>
      </c>
      <c r="B1727" s="2">
        <f>IFERROR(Torres!K1726, 0) + IFERROR('San José'!K1726, 0) + IFERROR(Terraplaza!K1726, 0)</f>
        <v>0</v>
      </c>
      <c r="C1727" t="e">
        <v>#N/A</v>
      </c>
      <c r="D1727" t="e">
        <v>#N/A</v>
      </c>
      <c r="E1727" t="e">
        <v>#N/A</v>
      </c>
    </row>
    <row r="1728" spans="1:5" x14ac:dyDescent="0.25">
      <c r="A1728" s="1">
        <v>45192</v>
      </c>
      <c r="B1728" s="2">
        <f>IFERROR(Torres!K1727, 0) + IFERROR('San José'!K1727, 0) + IFERROR(Terraplaza!K1727, 0)</f>
        <v>0</v>
      </c>
      <c r="C1728" t="e">
        <v>#N/A</v>
      </c>
      <c r="D1728" t="e">
        <v>#N/A</v>
      </c>
      <c r="E1728" t="e">
        <v>#N/A</v>
      </c>
    </row>
    <row r="1729" spans="1:5" x14ac:dyDescent="0.25">
      <c r="A1729" s="1">
        <v>45193</v>
      </c>
      <c r="B1729" s="2">
        <f>IFERROR(Torres!K1728, 0) + IFERROR('San José'!K1728, 0) + IFERROR(Terraplaza!K1728, 0)</f>
        <v>0</v>
      </c>
      <c r="C1729" t="e">
        <v>#N/A</v>
      </c>
      <c r="D1729" t="e">
        <v>#N/A</v>
      </c>
      <c r="E1729" t="e">
        <v>#N/A</v>
      </c>
    </row>
    <row r="1730" spans="1:5" x14ac:dyDescent="0.25">
      <c r="A1730" s="1">
        <v>45194</v>
      </c>
      <c r="B1730" s="2">
        <f>IFERROR(Torres!K1729, 0) + IFERROR('San José'!K1729, 0) + IFERROR(Terraplaza!K1729, 0)</f>
        <v>0</v>
      </c>
      <c r="C1730" t="e">
        <v>#N/A</v>
      </c>
      <c r="D1730" t="e">
        <v>#N/A</v>
      </c>
      <c r="E1730" t="e">
        <v>#N/A</v>
      </c>
    </row>
    <row r="1731" spans="1:5" x14ac:dyDescent="0.25">
      <c r="A1731" s="1">
        <v>45195</v>
      </c>
      <c r="B1731" s="2">
        <f>IFERROR(Torres!K1730, 0) + IFERROR('San José'!K1730, 0) + IFERROR(Terraplaza!K1730, 0)</f>
        <v>0</v>
      </c>
      <c r="C1731" t="e">
        <v>#N/A</v>
      </c>
      <c r="D1731" t="e">
        <v>#N/A</v>
      </c>
      <c r="E1731" t="e">
        <v>#N/A</v>
      </c>
    </row>
    <row r="1732" spans="1:5" x14ac:dyDescent="0.25">
      <c r="A1732" s="1">
        <v>45196</v>
      </c>
      <c r="B1732" s="2">
        <f>IFERROR(Torres!K1731, 0) + IFERROR('San José'!K1731, 0) + IFERROR(Terraplaza!K1731, 0)</f>
        <v>0</v>
      </c>
      <c r="C1732" t="e">
        <v>#N/A</v>
      </c>
      <c r="D1732" t="e">
        <v>#N/A</v>
      </c>
      <c r="E1732" t="e">
        <v>#N/A</v>
      </c>
    </row>
    <row r="1733" spans="1:5" x14ac:dyDescent="0.25">
      <c r="A1733" s="1">
        <v>45197</v>
      </c>
      <c r="B1733" s="2">
        <f>IFERROR(Torres!K1732, 0) + IFERROR('San José'!K1732, 0) + IFERROR(Terraplaza!K1732, 0)</f>
        <v>0</v>
      </c>
      <c r="C1733" t="e">
        <v>#N/A</v>
      </c>
      <c r="D1733" t="e">
        <v>#N/A</v>
      </c>
      <c r="E1733" t="e">
        <v>#N/A</v>
      </c>
    </row>
    <row r="1734" spans="1:5" x14ac:dyDescent="0.25">
      <c r="A1734" s="1">
        <v>45198</v>
      </c>
      <c r="B1734" s="2">
        <f>IFERROR(Torres!K1733, 0) + IFERROR('San José'!K1733, 0) + IFERROR(Terraplaza!K1733, 0)</f>
        <v>0</v>
      </c>
      <c r="C1734" t="e">
        <v>#N/A</v>
      </c>
      <c r="D1734" t="e">
        <v>#N/A</v>
      </c>
      <c r="E1734" t="e">
        <v>#N/A</v>
      </c>
    </row>
    <row r="1735" spans="1:5" x14ac:dyDescent="0.25">
      <c r="A1735" s="1">
        <v>45199</v>
      </c>
      <c r="B1735" s="2">
        <f>IFERROR(Torres!K1734, 0) + IFERROR('San José'!K1734, 0) + IFERROR(Terraplaza!K1734, 0)</f>
        <v>0</v>
      </c>
      <c r="C1735" t="e">
        <v>#N/A</v>
      </c>
      <c r="D1735" t="e">
        <v>#N/A</v>
      </c>
      <c r="E1735" t="e">
        <v>#N/A</v>
      </c>
    </row>
    <row r="1736" spans="1:5" x14ac:dyDescent="0.25">
      <c r="A1736" s="1">
        <v>45200</v>
      </c>
      <c r="B1736" s="2">
        <f>IFERROR(Torres!K1735, 0) + IFERROR('San José'!K1735, 0) + IFERROR(Terraplaza!K1735, 0)</f>
        <v>0</v>
      </c>
      <c r="C1736" t="e">
        <v>#N/A</v>
      </c>
      <c r="D1736" t="e">
        <v>#N/A</v>
      </c>
      <c r="E1736" t="e">
        <v>#N/A</v>
      </c>
    </row>
    <row r="1737" spans="1:5" x14ac:dyDescent="0.25">
      <c r="A1737" s="1">
        <v>45201</v>
      </c>
      <c r="B1737" s="2">
        <f>IFERROR(Torres!K1736, 0) + IFERROR('San José'!K1736, 0) + IFERROR(Terraplaza!K1736, 0)</f>
        <v>0</v>
      </c>
      <c r="C1737" t="e">
        <v>#N/A</v>
      </c>
      <c r="D1737" t="e">
        <v>#N/A</v>
      </c>
      <c r="E1737" t="e">
        <v>#N/A</v>
      </c>
    </row>
    <row r="1738" spans="1:5" x14ac:dyDescent="0.25">
      <c r="A1738" s="1">
        <v>45202</v>
      </c>
      <c r="B1738" s="2">
        <f>IFERROR(Torres!K1737, 0) + IFERROR('San José'!K1737, 0) + IFERROR(Terraplaza!K1737, 0)</f>
        <v>0</v>
      </c>
      <c r="C1738" t="e">
        <v>#N/A</v>
      </c>
      <c r="D1738" t="e">
        <v>#N/A</v>
      </c>
      <c r="E1738" t="e">
        <v>#N/A</v>
      </c>
    </row>
    <row r="1739" spans="1:5" x14ac:dyDescent="0.25">
      <c r="A1739" s="1">
        <v>45203</v>
      </c>
      <c r="B1739" s="2">
        <f>IFERROR(Torres!K1738, 0) + IFERROR('San José'!K1738, 0) + IFERROR(Terraplaza!K1738, 0)</f>
        <v>0</v>
      </c>
      <c r="C1739" t="e">
        <v>#N/A</v>
      </c>
      <c r="D1739" t="e">
        <v>#N/A</v>
      </c>
      <c r="E1739" t="e">
        <v>#N/A</v>
      </c>
    </row>
    <row r="1740" spans="1:5" x14ac:dyDescent="0.25">
      <c r="A1740" s="1">
        <v>45204</v>
      </c>
      <c r="B1740" s="2">
        <f>IFERROR(Torres!K1739, 0) + IFERROR('San José'!K1739, 0) + IFERROR(Terraplaza!K1739, 0)</f>
        <v>0</v>
      </c>
      <c r="C1740" t="e">
        <v>#N/A</v>
      </c>
      <c r="D1740" t="e">
        <v>#N/A</v>
      </c>
      <c r="E1740" t="e">
        <v>#N/A</v>
      </c>
    </row>
    <row r="1741" spans="1:5" x14ac:dyDescent="0.25">
      <c r="A1741" s="1">
        <v>45205</v>
      </c>
      <c r="B1741" s="2">
        <f>IFERROR(Torres!K1740, 0) + IFERROR('San José'!K1740, 0) + IFERROR(Terraplaza!K1740, 0)</f>
        <v>0</v>
      </c>
      <c r="C1741" t="e">
        <v>#N/A</v>
      </c>
      <c r="D1741" t="e">
        <v>#N/A</v>
      </c>
      <c r="E1741" t="e">
        <v>#N/A</v>
      </c>
    </row>
    <row r="1742" spans="1:5" x14ac:dyDescent="0.25">
      <c r="A1742" s="1">
        <v>45206</v>
      </c>
      <c r="B1742" s="2">
        <f>IFERROR(Torres!K1741, 0) + IFERROR('San José'!K1741, 0) + IFERROR(Terraplaza!K1741, 0)</f>
        <v>0</v>
      </c>
      <c r="C1742" t="e">
        <v>#N/A</v>
      </c>
      <c r="D1742" t="e">
        <v>#N/A</v>
      </c>
      <c r="E1742" t="e">
        <v>#N/A</v>
      </c>
    </row>
    <row r="1743" spans="1:5" x14ac:dyDescent="0.25">
      <c r="A1743" s="1">
        <v>45207</v>
      </c>
      <c r="B1743" s="2">
        <f>IFERROR(Torres!K1742, 0) + IFERROR('San José'!K1742, 0) + IFERROR(Terraplaza!K1742, 0)</f>
        <v>0</v>
      </c>
      <c r="C1743" t="e">
        <v>#N/A</v>
      </c>
      <c r="D1743" t="e">
        <v>#N/A</v>
      </c>
      <c r="E1743" t="e">
        <v>#N/A</v>
      </c>
    </row>
    <row r="1744" spans="1:5" x14ac:dyDescent="0.25">
      <c r="A1744" s="1">
        <v>45208</v>
      </c>
      <c r="B1744" s="2">
        <f>IFERROR(Torres!K1743, 0) + IFERROR('San José'!K1743, 0) + IFERROR(Terraplaza!K1743, 0)</f>
        <v>0</v>
      </c>
      <c r="C1744" t="e">
        <v>#N/A</v>
      </c>
      <c r="D1744" t="e">
        <v>#N/A</v>
      </c>
      <c r="E1744" t="e">
        <v>#N/A</v>
      </c>
    </row>
    <row r="1745" spans="1:5" x14ac:dyDescent="0.25">
      <c r="A1745" s="1">
        <v>45209</v>
      </c>
      <c r="B1745" s="2">
        <f>IFERROR(Torres!K1744, 0) + IFERROR('San José'!K1744, 0) + IFERROR(Terraplaza!K1744, 0)</f>
        <v>0</v>
      </c>
      <c r="C1745" t="e">
        <v>#N/A</v>
      </c>
      <c r="D1745" t="e">
        <v>#N/A</v>
      </c>
      <c r="E1745" t="e">
        <v>#N/A</v>
      </c>
    </row>
    <row r="1746" spans="1:5" x14ac:dyDescent="0.25">
      <c r="A1746" s="1">
        <v>45210</v>
      </c>
      <c r="B1746" s="2">
        <f>IFERROR(Torres!K1745, 0) + IFERROR('San José'!K1745, 0) + IFERROR(Terraplaza!K1745, 0)</f>
        <v>0</v>
      </c>
      <c r="C1746" t="e">
        <v>#N/A</v>
      </c>
      <c r="D1746" t="e">
        <v>#N/A</v>
      </c>
      <c r="E1746" t="e">
        <v>#N/A</v>
      </c>
    </row>
    <row r="1747" spans="1:5" x14ac:dyDescent="0.25">
      <c r="A1747" s="1">
        <v>45211</v>
      </c>
      <c r="B1747" s="2">
        <f>IFERROR(Torres!K1746, 0) + IFERROR('San José'!K1746, 0) + IFERROR(Terraplaza!K1746, 0)</f>
        <v>0</v>
      </c>
      <c r="C1747" t="e">
        <v>#N/A</v>
      </c>
      <c r="D1747" t="e">
        <v>#N/A</v>
      </c>
      <c r="E1747" t="e">
        <v>#N/A</v>
      </c>
    </row>
    <row r="1748" spans="1:5" x14ac:dyDescent="0.25">
      <c r="A1748" s="1">
        <v>45212</v>
      </c>
      <c r="B1748" s="2">
        <f>IFERROR(Torres!K1747, 0) + IFERROR('San José'!K1747, 0) + IFERROR(Terraplaza!K1747, 0)</f>
        <v>0</v>
      </c>
      <c r="C1748" t="e">
        <v>#N/A</v>
      </c>
      <c r="D1748" t="e">
        <v>#N/A</v>
      </c>
      <c r="E1748" t="e">
        <v>#N/A</v>
      </c>
    </row>
    <row r="1749" spans="1:5" x14ac:dyDescent="0.25">
      <c r="A1749" s="1">
        <v>45213</v>
      </c>
      <c r="B1749" s="2">
        <f>IFERROR(Torres!K1748, 0) + IFERROR('San José'!K1748, 0) + IFERROR(Terraplaza!K1748, 0)</f>
        <v>0</v>
      </c>
      <c r="C1749" t="e">
        <v>#N/A</v>
      </c>
      <c r="D1749" t="e">
        <v>#N/A</v>
      </c>
      <c r="E1749" t="e">
        <v>#N/A</v>
      </c>
    </row>
    <row r="1750" spans="1:5" x14ac:dyDescent="0.25">
      <c r="A1750" s="1">
        <v>45214</v>
      </c>
      <c r="B1750" s="2">
        <f>IFERROR(Torres!K1749, 0) + IFERROR('San José'!K1749, 0) + IFERROR(Terraplaza!K1749, 0)</f>
        <v>0</v>
      </c>
      <c r="C1750" t="e">
        <v>#N/A</v>
      </c>
      <c r="D1750" t="e">
        <v>#N/A</v>
      </c>
      <c r="E1750" t="e">
        <v>#N/A</v>
      </c>
    </row>
    <row r="1751" spans="1:5" x14ac:dyDescent="0.25">
      <c r="A1751" s="1">
        <v>45215</v>
      </c>
      <c r="B1751" s="2">
        <f>IFERROR(Torres!K1750, 0) + IFERROR('San José'!K1750, 0) + IFERROR(Terraplaza!K1750, 0)</f>
        <v>0</v>
      </c>
      <c r="C1751" t="e">
        <v>#N/A</v>
      </c>
      <c r="D1751" t="e">
        <v>#N/A</v>
      </c>
      <c r="E1751" t="e">
        <v>#N/A</v>
      </c>
    </row>
    <row r="1752" spans="1:5" x14ac:dyDescent="0.25">
      <c r="A1752" s="1">
        <v>45216</v>
      </c>
      <c r="B1752" s="2">
        <f>IFERROR(Torres!K1751, 0) + IFERROR('San José'!K1751, 0) + IFERROR(Terraplaza!K1751, 0)</f>
        <v>0</v>
      </c>
      <c r="C1752" t="e">
        <v>#N/A</v>
      </c>
      <c r="D1752" t="e">
        <v>#N/A</v>
      </c>
      <c r="E1752" t="e">
        <v>#N/A</v>
      </c>
    </row>
    <row r="1753" spans="1:5" x14ac:dyDescent="0.25">
      <c r="A1753" s="1">
        <v>45217</v>
      </c>
      <c r="B1753" s="2">
        <f>IFERROR(Torres!K1752, 0) + IFERROR('San José'!K1752, 0) + IFERROR(Terraplaza!K1752, 0)</f>
        <v>0</v>
      </c>
      <c r="C1753" t="e">
        <v>#N/A</v>
      </c>
      <c r="D1753" t="e">
        <v>#N/A</v>
      </c>
      <c r="E1753" t="e">
        <v>#N/A</v>
      </c>
    </row>
    <row r="1754" spans="1:5" x14ac:dyDescent="0.25">
      <c r="A1754" s="1">
        <v>45218</v>
      </c>
      <c r="B1754" s="2">
        <f>IFERROR(Torres!K1753, 0) + IFERROR('San José'!K1753, 0) + IFERROR(Terraplaza!K1753, 0)</f>
        <v>0</v>
      </c>
      <c r="C1754" t="e">
        <v>#N/A</v>
      </c>
      <c r="D1754" t="e">
        <v>#N/A</v>
      </c>
      <c r="E1754" t="e">
        <v>#N/A</v>
      </c>
    </row>
    <row r="1755" spans="1:5" x14ac:dyDescent="0.25">
      <c r="A1755" s="1">
        <v>45219</v>
      </c>
      <c r="B1755" s="2">
        <f>IFERROR(Torres!K1754, 0) + IFERROR('San José'!K1754, 0) + IFERROR(Terraplaza!K1754, 0)</f>
        <v>0</v>
      </c>
      <c r="C1755" t="e">
        <v>#N/A</v>
      </c>
      <c r="D1755" t="e">
        <v>#N/A</v>
      </c>
      <c r="E1755" t="e">
        <v>#N/A</v>
      </c>
    </row>
    <row r="1756" spans="1:5" x14ac:dyDescent="0.25">
      <c r="A1756" s="1">
        <v>45220</v>
      </c>
      <c r="B1756" s="2">
        <f>IFERROR(Torres!K1755, 0) + IFERROR('San José'!K1755, 0) + IFERROR(Terraplaza!K1755, 0)</f>
        <v>0</v>
      </c>
      <c r="C1756" t="e">
        <v>#N/A</v>
      </c>
      <c r="D1756" t="e">
        <v>#N/A</v>
      </c>
      <c r="E1756" t="e">
        <v>#N/A</v>
      </c>
    </row>
    <row r="1757" spans="1:5" x14ac:dyDescent="0.25">
      <c r="A1757" s="1">
        <v>45221</v>
      </c>
      <c r="B1757" s="2">
        <f>IFERROR(Torres!K1756, 0) + IFERROR('San José'!K1756, 0) + IFERROR(Terraplaza!K1756, 0)</f>
        <v>0</v>
      </c>
      <c r="C1757" t="e">
        <v>#N/A</v>
      </c>
      <c r="D1757" t="e">
        <v>#N/A</v>
      </c>
      <c r="E1757" t="e">
        <v>#N/A</v>
      </c>
    </row>
    <row r="1758" spans="1:5" x14ac:dyDescent="0.25">
      <c r="A1758" s="1">
        <v>45222</v>
      </c>
      <c r="B1758" s="2">
        <f>IFERROR(Torres!K1757, 0) + IFERROR('San José'!K1757, 0) + IFERROR(Terraplaza!K1757, 0)</f>
        <v>0</v>
      </c>
      <c r="C1758" t="e">
        <v>#N/A</v>
      </c>
      <c r="D1758" t="e">
        <v>#N/A</v>
      </c>
      <c r="E1758" t="e">
        <v>#N/A</v>
      </c>
    </row>
    <row r="1759" spans="1:5" x14ac:dyDescent="0.25">
      <c r="A1759" s="1">
        <v>45223</v>
      </c>
      <c r="B1759" s="2">
        <f>IFERROR(Torres!K1758, 0) + IFERROR('San José'!K1758, 0) + IFERROR(Terraplaza!K1758, 0)</f>
        <v>0</v>
      </c>
      <c r="C1759" t="e">
        <v>#N/A</v>
      </c>
      <c r="D1759" t="e">
        <v>#N/A</v>
      </c>
      <c r="E1759" t="e">
        <v>#N/A</v>
      </c>
    </row>
    <row r="1760" spans="1:5" x14ac:dyDescent="0.25">
      <c r="A1760" s="1">
        <v>45224</v>
      </c>
      <c r="B1760" s="2">
        <f>IFERROR(Torres!K1759, 0) + IFERROR('San José'!K1759, 0) + IFERROR(Terraplaza!K1759, 0)</f>
        <v>0</v>
      </c>
      <c r="C1760" t="e">
        <v>#N/A</v>
      </c>
      <c r="D1760" t="e">
        <v>#N/A</v>
      </c>
      <c r="E1760" t="e">
        <v>#N/A</v>
      </c>
    </row>
    <row r="1761" spans="1:5" x14ac:dyDescent="0.25">
      <c r="A1761" s="1">
        <v>45225</v>
      </c>
      <c r="B1761" s="2">
        <f>IFERROR(Torres!K1760, 0) + IFERROR('San José'!K1760, 0) + IFERROR(Terraplaza!K1760, 0)</f>
        <v>0</v>
      </c>
      <c r="C1761" t="e">
        <v>#N/A</v>
      </c>
      <c r="D1761" t="e">
        <v>#N/A</v>
      </c>
      <c r="E1761" t="e">
        <v>#N/A</v>
      </c>
    </row>
    <row r="1762" spans="1:5" x14ac:dyDescent="0.25">
      <c r="A1762" s="1">
        <v>45226</v>
      </c>
      <c r="B1762" s="2">
        <f>IFERROR(Torres!K1761, 0) + IFERROR('San José'!K1761, 0) + IFERROR(Terraplaza!K1761, 0)</f>
        <v>0</v>
      </c>
      <c r="C1762" t="e">
        <v>#N/A</v>
      </c>
      <c r="D1762" t="e">
        <v>#N/A</v>
      </c>
      <c r="E1762" t="e">
        <v>#N/A</v>
      </c>
    </row>
    <row r="1763" spans="1:5" x14ac:dyDescent="0.25">
      <c r="A1763" s="1">
        <v>45227</v>
      </c>
      <c r="B1763" s="2">
        <f>IFERROR(Torres!K1762, 0) + IFERROR('San José'!K1762, 0) + IFERROR(Terraplaza!K1762, 0)</f>
        <v>0</v>
      </c>
      <c r="C1763" t="e">
        <v>#N/A</v>
      </c>
      <c r="D1763" t="e">
        <v>#N/A</v>
      </c>
      <c r="E1763" t="e">
        <v>#N/A</v>
      </c>
    </row>
    <row r="1764" spans="1:5" x14ac:dyDescent="0.25">
      <c r="A1764" s="1">
        <v>45228</v>
      </c>
      <c r="B1764" s="2">
        <f>IFERROR(Torres!K1763, 0) + IFERROR('San José'!K1763, 0) + IFERROR(Terraplaza!K1763, 0)</f>
        <v>0</v>
      </c>
      <c r="C1764" t="e">
        <v>#N/A</v>
      </c>
      <c r="D1764" t="e">
        <v>#N/A</v>
      </c>
      <c r="E1764" t="e">
        <v>#N/A</v>
      </c>
    </row>
    <row r="1765" spans="1:5" x14ac:dyDescent="0.25">
      <c r="A1765" s="1">
        <v>45229</v>
      </c>
      <c r="B1765" s="2">
        <f>IFERROR(Torres!K1764, 0) + IFERROR('San José'!K1764, 0) + IFERROR(Terraplaza!K1764, 0)</f>
        <v>0</v>
      </c>
      <c r="C1765" t="e">
        <v>#N/A</v>
      </c>
      <c r="D1765" t="e">
        <v>#N/A</v>
      </c>
      <c r="E1765" t="e">
        <v>#N/A</v>
      </c>
    </row>
    <row r="1766" spans="1:5" x14ac:dyDescent="0.25">
      <c r="A1766" s="1">
        <v>45230</v>
      </c>
      <c r="B1766" s="2">
        <f>IFERROR(Torres!K1765, 0) + IFERROR('San José'!K1765, 0) + IFERROR(Terraplaza!K1765, 0)</f>
        <v>0</v>
      </c>
      <c r="C1766" t="e">
        <v>#N/A</v>
      </c>
      <c r="D1766" t="e">
        <v>#N/A</v>
      </c>
      <c r="E1766" t="e">
        <v>#N/A</v>
      </c>
    </row>
    <row r="1767" spans="1:5" x14ac:dyDescent="0.25">
      <c r="A1767" s="1">
        <v>45231</v>
      </c>
      <c r="B1767" s="2">
        <f>IFERROR(Torres!K1766, 0) + IFERROR('San José'!K1766, 0) + IFERROR(Terraplaza!K1766, 0)</f>
        <v>19.375</v>
      </c>
      <c r="C1767">
        <v>19.375</v>
      </c>
      <c r="D1767" t="e">
        <v>#N/A</v>
      </c>
      <c r="E1767" t="e">
        <v>#N/A</v>
      </c>
    </row>
    <row r="1768" spans="1:5" x14ac:dyDescent="0.25">
      <c r="A1768" s="1">
        <v>45232</v>
      </c>
      <c r="B1768" s="2">
        <f>IFERROR(Torres!K1767, 0) + IFERROR('San José'!K1767, 0) + IFERROR(Terraplaza!K1767, 0)</f>
        <v>16.75</v>
      </c>
      <c r="C1768">
        <v>16.75</v>
      </c>
      <c r="D1768" t="e">
        <v>#N/A</v>
      </c>
      <c r="E1768" t="e">
        <v>#N/A</v>
      </c>
    </row>
    <row r="1769" spans="1:5" x14ac:dyDescent="0.25">
      <c r="A1769" s="1">
        <v>45233</v>
      </c>
      <c r="B1769" s="2">
        <f>IFERROR(Torres!K1768, 0) + IFERROR('San José'!K1768, 0) + IFERROR(Terraplaza!K1768, 0)</f>
        <v>25.375</v>
      </c>
      <c r="C1769">
        <v>25.375</v>
      </c>
      <c r="D1769" t="e">
        <v>#N/A</v>
      </c>
      <c r="E1769" t="e">
        <v>#N/A</v>
      </c>
    </row>
    <row r="1770" spans="1:5" x14ac:dyDescent="0.25">
      <c r="A1770" s="1">
        <v>45234</v>
      </c>
      <c r="B1770" s="2">
        <f>IFERROR(Torres!K1769, 0) + IFERROR('San José'!K1769, 0) + IFERROR(Terraplaza!K1769, 0)</f>
        <v>32.375</v>
      </c>
      <c r="C1770">
        <v>32.375</v>
      </c>
      <c r="D1770" t="e">
        <v>#N/A</v>
      </c>
      <c r="E1770" t="e">
        <v>#N/A</v>
      </c>
    </row>
    <row r="1771" spans="1:5" x14ac:dyDescent="0.25">
      <c r="A1771" s="1">
        <v>45235</v>
      </c>
      <c r="B1771" s="2">
        <f>IFERROR(Torres!K1770, 0) + IFERROR('San José'!K1770, 0) + IFERROR(Terraplaza!K1770, 0)</f>
        <v>37</v>
      </c>
      <c r="C1771">
        <v>37</v>
      </c>
      <c r="D1771" t="e">
        <v>#N/A</v>
      </c>
      <c r="E1771" t="e">
        <v>#N/A</v>
      </c>
    </row>
    <row r="1772" spans="1:5" x14ac:dyDescent="0.25">
      <c r="A1772" s="1">
        <v>45236</v>
      </c>
      <c r="B1772" s="2">
        <f>IFERROR(Torres!K1771, 0) + IFERROR('San José'!K1771, 0) + IFERROR(Terraplaza!K1771, 0)</f>
        <v>30.75</v>
      </c>
      <c r="C1772">
        <v>30.75</v>
      </c>
      <c r="D1772" t="e">
        <v>#N/A</v>
      </c>
      <c r="E1772" t="e">
        <v>#N/A</v>
      </c>
    </row>
    <row r="1773" spans="1:5" x14ac:dyDescent="0.25">
      <c r="A1773" s="1">
        <v>45237</v>
      </c>
      <c r="B1773" s="2">
        <f>IFERROR(Torres!K1772, 0) + IFERROR('San José'!K1772, 0) + IFERROR(Terraplaza!K1772, 0)</f>
        <v>8.375</v>
      </c>
      <c r="C1773">
        <v>8.375</v>
      </c>
      <c r="D1773" t="e">
        <v>#N/A</v>
      </c>
      <c r="E1773" t="e">
        <v>#N/A</v>
      </c>
    </row>
    <row r="1774" spans="1:5" x14ac:dyDescent="0.25">
      <c r="A1774" s="1">
        <v>45238</v>
      </c>
      <c r="B1774" s="2">
        <f>IFERROR(Torres!K1773, 0) + IFERROR('San José'!K1773, 0) + IFERROR(Terraplaza!K1773, 0)</f>
        <v>10</v>
      </c>
      <c r="C1774">
        <v>10</v>
      </c>
      <c r="D1774" t="e">
        <v>#N/A</v>
      </c>
      <c r="E1774" t="e">
        <v>#N/A</v>
      </c>
    </row>
    <row r="1775" spans="1:5" x14ac:dyDescent="0.25">
      <c r="A1775" s="1">
        <v>45239</v>
      </c>
      <c r="B1775" s="2">
        <f>IFERROR(Torres!K1774, 0) + IFERROR('San José'!K1774, 0) + IFERROR(Terraplaza!K1774, 0)</f>
        <v>11.375</v>
      </c>
      <c r="C1775">
        <v>11.375</v>
      </c>
      <c r="D1775" t="e">
        <v>#N/A</v>
      </c>
      <c r="E1775" t="e">
        <v>#N/A</v>
      </c>
    </row>
    <row r="1776" spans="1:5" x14ac:dyDescent="0.25">
      <c r="A1776" s="1">
        <v>45240</v>
      </c>
      <c r="B1776" s="2">
        <f>IFERROR(Torres!K1775, 0) + IFERROR('San José'!K1775, 0) + IFERROR(Terraplaza!K1775, 0)</f>
        <v>25.5</v>
      </c>
      <c r="C1776">
        <v>25.5</v>
      </c>
      <c r="D1776" t="e">
        <v>#N/A</v>
      </c>
      <c r="E1776" t="e">
        <v>#N/A</v>
      </c>
    </row>
    <row r="1777" spans="1:5" x14ac:dyDescent="0.25">
      <c r="A1777" s="1">
        <v>45241</v>
      </c>
      <c r="B1777" s="2">
        <f>IFERROR(Torres!K1776, 0) + IFERROR('San José'!K1776, 0) + IFERROR(Terraplaza!K1776, 0)</f>
        <v>35.375</v>
      </c>
      <c r="C1777">
        <v>35.375</v>
      </c>
      <c r="D1777" t="e">
        <v>#N/A</v>
      </c>
      <c r="E1777" t="e">
        <v>#N/A</v>
      </c>
    </row>
    <row r="1778" spans="1:5" x14ac:dyDescent="0.25">
      <c r="A1778" s="1">
        <v>45242</v>
      </c>
      <c r="B1778" s="2">
        <f>IFERROR(Torres!K1777, 0) + IFERROR('San José'!K1777, 0) + IFERROR(Terraplaza!K1777, 0)</f>
        <v>36.25</v>
      </c>
      <c r="C1778">
        <v>36.25</v>
      </c>
      <c r="D1778" t="e">
        <v>#N/A</v>
      </c>
      <c r="E1778" t="e">
        <v>#N/A</v>
      </c>
    </row>
    <row r="1779" spans="1:5" x14ac:dyDescent="0.25">
      <c r="A1779" s="1">
        <v>45243</v>
      </c>
      <c r="B1779" s="2">
        <f>IFERROR(Torres!K1778, 0) + IFERROR('San José'!K1778, 0) + IFERROR(Terraplaza!K1778, 0)</f>
        <v>33</v>
      </c>
      <c r="C1779">
        <v>33</v>
      </c>
      <c r="D1779" t="e">
        <v>#N/A</v>
      </c>
      <c r="E1779" t="e">
        <v>#N/A</v>
      </c>
    </row>
    <row r="1780" spans="1:5" x14ac:dyDescent="0.25">
      <c r="A1780" s="1">
        <v>45244</v>
      </c>
      <c r="B1780" s="2">
        <f>IFERROR(Torres!K1779, 0) + IFERROR('San José'!K1779, 0) + IFERROR(Terraplaza!K1779, 0)</f>
        <v>12</v>
      </c>
      <c r="C1780">
        <v>12</v>
      </c>
      <c r="D1780" t="e">
        <v>#N/A</v>
      </c>
      <c r="E1780" t="e">
        <v>#N/A</v>
      </c>
    </row>
    <row r="1781" spans="1:5" x14ac:dyDescent="0.25">
      <c r="A1781" s="1">
        <v>45245</v>
      </c>
      <c r="B1781" s="2">
        <f>IFERROR(Torres!K1780, 0) + IFERROR('San José'!K1780, 0) + IFERROR(Terraplaza!K1780, 0)</f>
        <v>16.25</v>
      </c>
      <c r="C1781">
        <v>16.25</v>
      </c>
      <c r="D1781" t="e">
        <v>#N/A</v>
      </c>
      <c r="E1781" t="e">
        <v>#N/A</v>
      </c>
    </row>
    <row r="1782" spans="1:5" x14ac:dyDescent="0.25">
      <c r="A1782" s="1">
        <v>45246</v>
      </c>
      <c r="B1782" s="2">
        <f>IFERROR(Torres!K1781, 0) + IFERROR('San José'!K1781, 0) + IFERROR(Terraplaza!K1781, 0)</f>
        <v>22.5</v>
      </c>
      <c r="C1782">
        <v>22.5</v>
      </c>
      <c r="D1782" t="e">
        <v>#N/A</v>
      </c>
      <c r="E1782" t="e">
        <v>#N/A</v>
      </c>
    </row>
    <row r="1783" spans="1:5" x14ac:dyDescent="0.25">
      <c r="A1783" s="1">
        <v>45247</v>
      </c>
      <c r="B1783" s="2">
        <f>IFERROR(Torres!K1782, 0) + IFERROR('San José'!K1782, 0) + IFERROR(Terraplaza!K1782, 0)</f>
        <v>19.75</v>
      </c>
      <c r="C1783">
        <v>19.75</v>
      </c>
      <c r="D1783" t="e">
        <v>#N/A</v>
      </c>
      <c r="E1783" t="e">
        <v>#N/A</v>
      </c>
    </row>
    <row r="1784" spans="1:5" x14ac:dyDescent="0.25">
      <c r="A1784" s="1">
        <v>45248</v>
      </c>
      <c r="B1784" s="2">
        <f>IFERROR(Torres!K1783, 0) + IFERROR('San José'!K1783, 0) + IFERROR(Terraplaza!K1783, 0)</f>
        <v>36.75</v>
      </c>
      <c r="C1784">
        <v>36.75</v>
      </c>
      <c r="D1784" t="e">
        <v>#N/A</v>
      </c>
      <c r="E1784" t="e">
        <v>#N/A</v>
      </c>
    </row>
    <row r="1785" spans="1:5" x14ac:dyDescent="0.25">
      <c r="A1785" s="1">
        <v>45249</v>
      </c>
      <c r="B1785" s="2">
        <f>IFERROR(Torres!K1784, 0) + IFERROR('San José'!K1784, 0) + IFERROR(Terraplaza!K1784, 0)</f>
        <v>36.875</v>
      </c>
      <c r="C1785">
        <v>36.875</v>
      </c>
      <c r="D1785" t="e">
        <v>#N/A</v>
      </c>
      <c r="E1785" t="e">
        <v>#N/A</v>
      </c>
    </row>
    <row r="1786" spans="1:5" x14ac:dyDescent="0.25">
      <c r="A1786" s="1">
        <v>45250</v>
      </c>
      <c r="B1786" s="2">
        <f>IFERROR(Torres!K1785, 0) + IFERROR('San José'!K1785, 0) + IFERROR(Terraplaza!K1785, 0)</f>
        <v>10.375</v>
      </c>
      <c r="C1786">
        <v>10.375</v>
      </c>
      <c r="D1786" t="e">
        <v>#N/A</v>
      </c>
      <c r="E1786" t="e">
        <v>#N/A</v>
      </c>
    </row>
    <row r="1787" spans="1:5" x14ac:dyDescent="0.25">
      <c r="A1787" s="1">
        <v>45251</v>
      </c>
      <c r="B1787" s="2">
        <f>IFERROR(Torres!K1786, 0) + IFERROR('San José'!K1786, 0) + IFERROR(Terraplaza!K1786, 0)</f>
        <v>19.125</v>
      </c>
      <c r="C1787">
        <v>19.125</v>
      </c>
      <c r="D1787" t="e">
        <v>#N/A</v>
      </c>
      <c r="E1787" t="e">
        <v>#N/A</v>
      </c>
    </row>
    <row r="1788" spans="1:5" x14ac:dyDescent="0.25">
      <c r="A1788" s="1">
        <v>45252</v>
      </c>
      <c r="B1788" s="2">
        <f>IFERROR(Torres!K1787, 0) + IFERROR('San José'!K1787, 0) + IFERROR(Terraplaza!K1787, 0)</f>
        <v>19.5</v>
      </c>
      <c r="C1788">
        <v>19.5</v>
      </c>
      <c r="D1788" t="e">
        <v>#N/A</v>
      </c>
      <c r="E1788" t="e">
        <v>#N/A</v>
      </c>
    </row>
    <row r="1789" spans="1:5" x14ac:dyDescent="0.25">
      <c r="A1789" s="1">
        <v>45253</v>
      </c>
      <c r="B1789" s="2">
        <f>IFERROR(Torres!K1788, 0) + IFERROR('San José'!K1788, 0) + IFERROR(Terraplaza!K1788, 0)</f>
        <v>19.875</v>
      </c>
      <c r="C1789">
        <v>19.875</v>
      </c>
      <c r="D1789" t="e">
        <v>#N/A</v>
      </c>
      <c r="E1789" t="e">
        <v>#N/A</v>
      </c>
    </row>
    <row r="1790" spans="1:5" x14ac:dyDescent="0.25">
      <c r="A1790" s="1">
        <v>45254</v>
      </c>
      <c r="B1790" s="2">
        <f>IFERROR(Torres!K1789, 0) + IFERROR('San José'!K1789, 0) + IFERROR(Terraplaza!K1789, 0)</f>
        <v>137.75</v>
      </c>
      <c r="C1790">
        <v>137.75</v>
      </c>
      <c r="D1790" t="e">
        <v>#N/A</v>
      </c>
      <c r="E1790" t="e">
        <v>#N/A</v>
      </c>
    </row>
    <row r="1791" spans="1:5" x14ac:dyDescent="0.25">
      <c r="A1791" s="1"/>
      <c r="B1791" s="2"/>
    </row>
    <row r="1792" spans="1:5" x14ac:dyDescent="0.25">
      <c r="A1792" s="1"/>
      <c r="B1792" s="2"/>
    </row>
    <row r="1793" spans="1:2" x14ac:dyDescent="0.25">
      <c r="A1793" s="1"/>
      <c r="B1793" s="2"/>
    </row>
    <row r="1794" spans="1:2" x14ac:dyDescent="0.25">
      <c r="A1794" s="1"/>
      <c r="B1794" s="2"/>
    </row>
    <row r="1795" spans="1:2" x14ac:dyDescent="0.25">
      <c r="A1795" s="1"/>
      <c r="B1795" s="2"/>
    </row>
    <row r="1796" spans="1:2" x14ac:dyDescent="0.25">
      <c r="A1796" s="1"/>
      <c r="B1796" s="2"/>
    </row>
    <row r="1797" spans="1:2" x14ac:dyDescent="0.25">
      <c r="A1797" s="1"/>
      <c r="B1797" s="2"/>
    </row>
    <row r="1798" spans="1:2" x14ac:dyDescent="0.25">
      <c r="A1798" s="1"/>
      <c r="B1798" s="2"/>
    </row>
    <row r="1799" spans="1:2" x14ac:dyDescent="0.25">
      <c r="A1799" s="1"/>
      <c r="B1799" s="2"/>
    </row>
    <row r="1800" spans="1:2" x14ac:dyDescent="0.25">
      <c r="A1800" s="1"/>
      <c r="B1800" s="2"/>
    </row>
    <row r="1801" spans="1:2" x14ac:dyDescent="0.25">
      <c r="A1801" s="1"/>
      <c r="B1801" s="2"/>
    </row>
    <row r="1802" spans="1:2" x14ac:dyDescent="0.25">
      <c r="A1802" s="1"/>
      <c r="B1802" s="2"/>
    </row>
    <row r="1803" spans="1:2" x14ac:dyDescent="0.25">
      <c r="A1803" s="1"/>
      <c r="B1803" s="2"/>
    </row>
    <row r="1804" spans="1:2" x14ac:dyDescent="0.25">
      <c r="A1804" s="1"/>
      <c r="B1804" s="2"/>
    </row>
    <row r="1805" spans="1:2" x14ac:dyDescent="0.25">
      <c r="A1805" s="1"/>
      <c r="B1805" s="2"/>
    </row>
    <row r="1806" spans="1:2" x14ac:dyDescent="0.25">
      <c r="A1806" s="1"/>
      <c r="B1806" s="2"/>
    </row>
    <row r="1807" spans="1:2" x14ac:dyDescent="0.25">
      <c r="A1807" s="1"/>
      <c r="B1807" s="2"/>
    </row>
    <row r="1808" spans="1:2" x14ac:dyDescent="0.25">
      <c r="A1808" s="1"/>
      <c r="B1808" s="2"/>
    </row>
    <row r="1809" spans="1:2" x14ac:dyDescent="0.25">
      <c r="A1809" s="1"/>
      <c r="B1809" s="2"/>
    </row>
    <row r="1810" spans="1:2" x14ac:dyDescent="0.25">
      <c r="A1810" s="1"/>
      <c r="B1810" s="2"/>
    </row>
    <row r="1811" spans="1:2" x14ac:dyDescent="0.25">
      <c r="A1811" s="1"/>
      <c r="B1811" s="2"/>
    </row>
    <row r="1812" spans="1:2" x14ac:dyDescent="0.25">
      <c r="A1812" s="1"/>
      <c r="B1812" s="2"/>
    </row>
    <row r="1813" spans="1:2" x14ac:dyDescent="0.25">
      <c r="A1813" s="1"/>
      <c r="B1813" s="2"/>
    </row>
    <row r="1814" spans="1:2" x14ac:dyDescent="0.25">
      <c r="A1814" s="1"/>
      <c r="B1814" s="2"/>
    </row>
    <row r="1815" spans="1:2" x14ac:dyDescent="0.25">
      <c r="A1815" s="1"/>
      <c r="B1815" s="2"/>
    </row>
    <row r="1816" spans="1:2" x14ac:dyDescent="0.25">
      <c r="A1816" s="1"/>
      <c r="B1816" s="2"/>
    </row>
    <row r="1817" spans="1:2" x14ac:dyDescent="0.25">
      <c r="A1817" s="1"/>
      <c r="B1817" s="2"/>
    </row>
    <row r="1818" spans="1:2" x14ac:dyDescent="0.25">
      <c r="A1818" s="1"/>
      <c r="B1818" s="2"/>
    </row>
    <row r="1819" spans="1:2" x14ac:dyDescent="0.25">
      <c r="A1819" s="1"/>
      <c r="B1819" s="2"/>
    </row>
    <row r="1820" spans="1:2" x14ac:dyDescent="0.25">
      <c r="A1820" s="1"/>
      <c r="B1820" s="2"/>
    </row>
    <row r="1821" spans="1:2" x14ac:dyDescent="0.25">
      <c r="A1821" s="1"/>
      <c r="B1821" s="2"/>
    </row>
    <row r="1822" spans="1:2" x14ac:dyDescent="0.25">
      <c r="A1822" s="1"/>
      <c r="B1822" s="2"/>
    </row>
    <row r="1823" spans="1:2" x14ac:dyDescent="0.25">
      <c r="A1823" s="1"/>
      <c r="B1823" s="2"/>
    </row>
    <row r="1824" spans="1:2" x14ac:dyDescent="0.25">
      <c r="A1824" s="1"/>
      <c r="B1824" s="2"/>
    </row>
    <row r="1825" spans="1:2" x14ac:dyDescent="0.25">
      <c r="A1825" s="1"/>
      <c r="B1825" s="2"/>
    </row>
    <row r="1826" spans="1:2" x14ac:dyDescent="0.25">
      <c r="A1826" s="1"/>
      <c r="B1826" s="2"/>
    </row>
    <row r="1827" spans="1:2" x14ac:dyDescent="0.25">
      <c r="A1827" s="1"/>
      <c r="B182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4F64-3EC0-4A9C-9AFE-4889B41F136B}">
  <dimension ref="A1"/>
  <sheetViews>
    <sheetView topLeftCell="A24" zoomScaleNormal="100" workbookViewId="0">
      <selection activeCell="EW60" sqref="EW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Completa</vt:lpstr>
      <vt:lpstr>Torres</vt:lpstr>
      <vt:lpstr>San José</vt:lpstr>
      <vt:lpstr>Terraplaza</vt:lpstr>
      <vt:lpstr>Totales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LEON PARRA</dc:creator>
  <cp:lastModifiedBy>Daniel Ricardo Burgos Sierra</cp:lastModifiedBy>
  <dcterms:created xsi:type="dcterms:W3CDTF">2025-04-21T03:51:48Z</dcterms:created>
  <dcterms:modified xsi:type="dcterms:W3CDTF">2025-07-08T03:35:33Z</dcterms:modified>
</cp:coreProperties>
</file>